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m9474\OneDrive - AT&amp;T Mexico\Escritorio\"/>
    </mc:Choice>
  </mc:AlternateContent>
  <xr:revisionPtr revIDLastSave="0" documentId="13_ncr:1_{5A0CFEFC-BB18-47A2-B482-9D304782EB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Sheet1!$A$1:$R$5247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47" i="1" l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<sst xmlns="http://schemas.openxmlformats.org/spreadsheetml/2006/main" count="48985" uniqueCount="3889">
  <si>
    <t>Id Form</t>
  </si>
  <si>
    <t>Form Name</t>
  </si>
  <si>
    <t>Región</t>
  </si>
  <si>
    <t>Market</t>
  </si>
  <si>
    <t>Site Code</t>
  </si>
  <si>
    <t>Milestone</t>
  </si>
  <si>
    <t>Project</t>
  </si>
  <si>
    <t>Vendor</t>
  </si>
  <si>
    <t>Status</t>
  </si>
  <si>
    <t>Started On</t>
  </si>
  <si>
    <t>Dia</t>
  </si>
  <si>
    <t>Mes</t>
  </si>
  <si>
    <t>Año</t>
  </si>
  <si>
    <t>Tipo de combustible</t>
  </si>
  <si>
    <t>Cantidad de Litros Suministrados</t>
  </si>
  <si>
    <t>Cantidad de Litros Suministrados Tanque Interno</t>
  </si>
  <si>
    <t>Cantidad de Litros Suministrados Tanque Externo</t>
  </si>
  <si>
    <t>Link</t>
  </si>
  <si>
    <t xml:space="preserve"> 1010 FS Suministro de fluidos</t>
  </si>
  <si>
    <t>5 - GOLFO</t>
  </si>
  <si>
    <t>Campeche</t>
  </si>
  <si>
    <t>CAMCAM0025</t>
  </si>
  <si>
    <t>On Air</t>
  </si>
  <si>
    <t>DIESEL SUPPLY_REPARACIONES PREVENTIVAS</t>
  </si>
  <si>
    <t>Towac (Tomas Wall Cerezo)</t>
  </si>
  <si>
    <t>Accepted</t>
  </si>
  <si>
    <t>ago 22, 2025 10:27:33</t>
  </si>
  <si>
    <t>Diesel</t>
  </si>
  <si>
    <t>8 - GOLFO</t>
  </si>
  <si>
    <t>Cosamaloapan</t>
  </si>
  <si>
    <t>VERCCA0482</t>
  </si>
  <si>
    <t>Orizaba</t>
  </si>
  <si>
    <t>HORI0002</t>
  </si>
  <si>
    <t>Network System Acceptance</t>
  </si>
  <si>
    <t>9 - DF</t>
  </si>
  <si>
    <t>Tula</t>
  </si>
  <si>
    <t>HIDATI0006</t>
  </si>
  <si>
    <t>Moza Construcciones y Servicios</t>
  </si>
  <si>
    <t>Ixmiquilpan</t>
  </si>
  <si>
    <t>HIDIXQ0017</t>
  </si>
  <si>
    <t>Pijijiapan</t>
  </si>
  <si>
    <t>CHPPIJ0081</t>
  </si>
  <si>
    <t>Tapachula</t>
  </si>
  <si>
    <t>CHPHHT0072</t>
  </si>
  <si>
    <t>Gasolina</t>
  </si>
  <si>
    <t>Mérida</t>
  </si>
  <si>
    <t>YUCPGS0495</t>
  </si>
  <si>
    <t>DIESEL SUPPLY_CONTINGENCIA C4I</t>
  </si>
  <si>
    <t>YUCMER0416</t>
  </si>
  <si>
    <t>ago 13, 2025 18:24:11</t>
  </si>
  <si>
    <t>YUCCHX0369</t>
  </si>
  <si>
    <t>Cuernavaca</t>
  </si>
  <si>
    <t>MORTPZ0280</t>
  </si>
  <si>
    <t>Ciudad de Mexico</t>
  </si>
  <si>
    <t>MEXTLB0712</t>
  </si>
  <si>
    <t>4 - NORTE</t>
  </si>
  <si>
    <t>Monterrey</t>
  </si>
  <si>
    <t>NLEMTY1530</t>
  </si>
  <si>
    <t>Casen Comunicaciones (Solocom)</t>
  </si>
  <si>
    <t>6 - PACIFICO</t>
  </si>
  <si>
    <t>Guadalajara</t>
  </si>
  <si>
    <t>JALZAP2053</t>
  </si>
  <si>
    <t>Villahermosa</t>
  </si>
  <si>
    <t>TABTEA1046</t>
  </si>
  <si>
    <t>Matamoros</t>
  </si>
  <si>
    <t>TAMMTS1076</t>
  </si>
  <si>
    <t>Coatzacoalcos</t>
  </si>
  <si>
    <t>VERCSQ0503</t>
  </si>
  <si>
    <t>7 - PACIFICO</t>
  </si>
  <si>
    <t>San Luis Potosí</t>
  </si>
  <si>
    <t>GUASDU2501</t>
  </si>
  <si>
    <t>Villa Guerrero</t>
  </si>
  <si>
    <t>MEXTGV0666</t>
  </si>
  <si>
    <t>Ixtapan de la Sal</t>
  </si>
  <si>
    <t>MEXIXS8244</t>
  </si>
  <si>
    <t>NLEAPO0530</t>
  </si>
  <si>
    <t>NLEAPO0508</t>
  </si>
  <si>
    <t>NLESNG1698</t>
  </si>
  <si>
    <t>San Miguel de Allende</t>
  </si>
  <si>
    <t>GUASMA1893</t>
  </si>
  <si>
    <t>NLEGRS1472</t>
  </si>
  <si>
    <t>NLERMS0933</t>
  </si>
  <si>
    <t>JALACC0552</t>
  </si>
  <si>
    <t>DIESEL SUPPLY_EN MODO CONTINUO</t>
  </si>
  <si>
    <t>Corrected</t>
  </si>
  <si>
    <t>JALZPJ1073</t>
  </si>
  <si>
    <t>NLEMTY0757</t>
  </si>
  <si>
    <t>Lagos de Moreno</t>
  </si>
  <si>
    <t>JALLAG0767</t>
  </si>
  <si>
    <t>Ciudad Victoria</t>
  </si>
  <si>
    <t>TAMVIL1309</t>
  </si>
  <si>
    <t>Leon</t>
  </si>
  <si>
    <t>GUALEO0299</t>
  </si>
  <si>
    <t>GUALEO0307</t>
  </si>
  <si>
    <t>JALGDL0700</t>
  </si>
  <si>
    <t>GENERATOR &amp; T.S._MANTO CORRECTIVO</t>
  </si>
  <si>
    <t>VERAGD0447</t>
  </si>
  <si>
    <t>MORCVA8152</t>
  </si>
  <si>
    <t>MORCVA8153</t>
  </si>
  <si>
    <t>NLECIE0565</t>
  </si>
  <si>
    <t>3 - NORTE</t>
  </si>
  <si>
    <t>Chihuahua</t>
  </si>
  <si>
    <t>CHHCHH0060</t>
  </si>
  <si>
    <t>GUALEO0304</t>
  </si>
  <si>
    <t>VERCTZ0509</t>
  </si>
  <si>
    <t>NLECRI0577</t>
  </si>
  <si>
    <t>NLERMS0931</t>
  </si>
  <si>
    <t>Montemorelos</t>
  </si>
  <si>
    <t>NLEMNM0719</t>
  </si>
  <si>
    <t>Comalcalco</t>
  </si>
  <si>
    <t>TABCML1013</t>
  </si>
  <si>
    <t>Tehuacan</t>
  </si>
  <si>
    <t>PUETEH0381</t>
  </si>
  <si>
    <t>Penjamo</t>
  </si>
  <si>
    <t>GUAABS3542</t>
  </si>
  <si>
    <t>MEXTCM0605</t>
  </si>
  <si>
    <t>Aguascalientes</t>
  </si>
  <si>
    <t>AGUAGU1648</t>
  </si>
  <si>
    <t>Minatitlan</t>
  </si>
  <si>
    <t>VERCSQ0501</t>
  </si>
  <si>
    <t>VERMTT0571</t>
  </si>
  <si>
    <t>Toluca</t>
  </si>
  <si>
    <t>MEXJIL0366</t>
  </si>
  <si>
    <t>Atlacomulco</t>
  </si>
  <si>
    <t>MEXATL0025</t>
  </si>
  <si>
    <t>JALAHU0554</t>
  </si>
  <si>
    <t>CHHCHH0078</t>
  </si>
  <si>
    <t>GUALEO0356</t>
  </si>
  <si>
    <t>Tampico</t>
  </si>
  <si>
    <t>TAMALT8245</t>
  </si>
  <si>
    <t>YUCPGS0484</t>
  </si>
  <si>
    <t>ago 29, 2025 16:29:05</t>
  </si>
  <si>
    <t>Celaya</t>
  </si>
  <si>
    <t>GUAVIL0540</t>
  </si>
  <si>
    <t>MORCVA0223</t>
  </si>
  <si>
    <t>SLPSGS1468</t>
  </si>
  <si>
    <t>VERCTZ0520</t>
  </si>
  <si>
    <t>ago 31, 2025 15:23:47</t>
  </si>
  <si>
    <t>Tuxpan Veracruz</t>
  </si>
  <si>
    <t>VERTXP0650</t>
  </si>
  <si>
    <t>Ciudad del Carmen</t>
  </si>
  <si>
    <t>CAMCRN0049</t>
  </si>
  <si>
    <t>GUAPUR0463</t>
  </si>
  <si>
    <t>CAMCAM0013</t>
  </si>
  <si>
    <t>MEXTTT0838</t>
  </si>
  <si>
    <t>VERMTT0569</t>
  </si>
  <si>
    <t>VERCTZ0895</t>
  </si>
  <si>
    <t>GUALEO0441</t>
  </si>
  <si>
    <t>Teziutlan</t>
  </si>
  <si>
    <t>VERTLY0642</t>
  </si>
  <si>
    <t>1 - NOROESTE</t>
  </si>
  <si>
    <t>La Paz</t>
  </si>
  <si>
    <t>BCSPAZ0420</t>
  </si>
  <si>
    <t>SLPSGS1470</t>
  </si>
  <si>
    <t>Mexicali</t>
  </si>
  <si>
    <t>BCNMXC0059</t>
  </si>
  <si>
    <t>Tuxtla Gutierrez</t>
  </si>
  <si>
    <t>CHPCCZ0841</t>
  </si>
  <si>
    <t>GUALEO0301</t>
  </si>
  <si>
    <t>YUCUAY0507</t>
  </si>
  <si>
    <t>MEXCTT2110</t>
  </si>
  <si>
    <t>San Martin Texmelucan</t>
  </si>
  <si>
    <t>PUESAC1066</t>
  </si>
  <si>
    <t>MEXTEX1241</t>
  </si>
  <si>
    <t>Ensenada</t>
  </si>
  <si>
    <t>BCNENS0001</t>
  </si>
  <si>
    <t>CAMCTO0055</t>
  </si>
  <si>
    <t>2 - NOROESTE</t>
  </si>
  <si>
    <t>Hermosillo</t>
  </si>
  <si>
    <t>SONHRS0709</t>
  </si>
  <si>
    <t>Chetumal</t>
  </si>
  <si>
    <t>ROOOTH0229</t>
  </si>
  <si>
    <t>JALZAP1009</t>
  </si>
  <si>
    <t>YUCABA0360</t>
  </si>
  <si>
    <t>BCSPAZ0440</t>
  </si>
  <si>
    <t>Cardenas Tabasco</t>
  </si>
  <si>
    <t>TABCDC0274</t>
  </si>
  <si>
    <t>Tuxtepec</t>
  </si>
  <si>
    <t>OAXJBT0104</t>
  </si>
  <si>
    <t>VERISL0544</t>
  </si>
  <si>
    <t>BCSPAZ0444</t>
  </si>
  <si>
    <t>Veracruz</t>
  </si>
  <si>
    <t>VERMED1633</t>
  </si>
  <si>
    <t>0 - UNKN</t>
  </si>
  <si>
    <t>Huejotzingo</t>
  </si>
  <si>
    <t>PUEHZG0191</t>
  </si>
  <si>
    <t>YUCKNS0691</t>
  </si>
  <si>
    <t>Cuautla</t>
  </si>
  <si>
    <t>MORYAU0298</t>
  </si>
  <si>
    <t>Cancun</t>
  </si>
  <si>
    <t>ROOBEJ0195</t>
  </si>
  <si>
    <t>ROOBEJ0189</t>
  </si>
  <si>
    <t>Huauchinango</t>
  </si>
  <si>
    <t>PUEHCN1396</t>
  </si>
  <si>
    <t>VERCAC0480</t>
  </si>
  <si>
    <t>VERJRC0554</t>
  </si>
  <si>
    <t>MORCVA0222</t>
  </si>
  <si>
    <t>MORCVA0197</t>
  </si>
  <si>
    <t>Cintalapa de Figueroa</t>
  </si>
  <si>
    <t>CHPCIN0070</t>
  </si>
  <si>
    <t>Macuspana</t>
  </si>
  <si>
    <t>TABMAC1053</t>
  </si>
  <si>
    <t>ago 31, 2025 17:11:47</t>
  </si>
  <si>
    <t>NLEAPO0531</t>
  </si>
  <si>
    <t>ago 23, 2025 12:07:38</t>
  </si>
  <si>
    <t>SONSMC0923</t>
  </si>
  <si>
    <t>MEXIXP0351</t>
  </si>
  <si>
    <t>BCSPAZ0441</t>
  </si>
  <si>
    <t>AC POWER &amp; SUBSTATION_CONTINGENCIA C4I</t>
  </si>
  <si>
    <t>On Review</t>
  </si>
  <si>
    <t>Reynosa</t>
  </si>
  <si>
    <t>TAMREY1250</t>
  </si>
  <si>
    <t>SLPSLP1508</t>
  </si>
  <si>
    <t>Escuinapa</t>
  </si>
  <si>
    <t>SINESN0506</t>
  </si>
  <si>
    <t>Ciudad Obregon</t>
  </si>
  <si>
    <t>SONBCU0626</t>
  </si>
  <si>
    <t>SONCAJ0654</t>
  </si>
  <si>
    <t>VERCTX0506</t>
  </si>
  <si>
    <t>Zacatecas</t>
  </si>
  <si>
    <t>ZACGDP1566</t>
  </si>
  <si>
    <t>ZACGDP1561</t>
  </si>
  <si>
    <t>Las Choapas</t>
  </si>
  <si>
    <t>VERLCH1630</t>
  </si>
  <si>
    <t>Canceled</t>
  </si>
  <si>
    <t>ago 31, 2025 15:35:36</t>
  </si>
  <si>
    <t>SLPSLP1510</t>
  </si>
  <si>
    <t>ZACZAC1592</t>
  </si>
  <si>
    <t>ago 29, 2025 11:23:15</t>
  </si>
  <si>
    <t>ago 30, 2025 00:21:02</t>
  </si>
  <si>
    <t>Tijuana</t>
  </si>
  <si>
    <t>BCNTIJ0202</t>
  </si>
  <si>
    <t>BCSPAZ0442</t>
  </si>
  <si>
    <t>Tepic</t>
  </si>
  <si>
    <t>NAYMRO1260</t>
  </si>
  <si>
    <t>SLPSLP3553</t>
  </si>
  <si>
    <t>BCSPAZ0430</t>
  </si>
  <si>
    <t>ROOBEJ0168</t>
  </si>
  <si>
    <t>ago 30, 2025 11:39:54</t>
  </si>
  <si>
    <t>ROOBEJ0184</t>
  </si>
  <si>
    <t>TAMALT1011</t>
  </si>
  <si>
    <t>YUCPGS0489</t>
  </si>
  <si>
    <t>Apizaco</t>
  </si>
  <si>
    <t>TLAAPI0404</t>
  </si>
  <si>
    <t>VERVER0679</t>
  </si>
  <si>
    <t>NLEMTY1511</t>
  </si>
  <si>
    <t>TAMMTS1100</t>
  </si>
  <si>
    <t>NLESGO0942</t>
  </si>
  <si>
    <t>GUALEO0378</t>
  </si>
  <si>
    <t>Guamuchil</t>
  </si>
  <si>
    <t>SINSAA0611</t>
  </si>
  <si>
    <t>SINSAA0616</t>
  </si>
  <si>
    <t>SINSAA0619</t>
  </si>
  <si>
    <t>Navojoa</t>
  </si>
  <si>
    <t>HNAV0003</t>
  </si>
  <si>
    <t>VERANG0859</t>
  </si>
  <si>
    <t>CAMCRN0050</t>
  </si>
  <si>
    <t>CAMCRN0045</t>
  </si>
  <si>
    <t>Queretaro</t>
  </si>
  <si>
    <t>QTOCRR1302</t>
  </si>
  <si>
    <t>JALZAP2035</t>
  </si>
  <si>
    <t>Salina Cruz</t>
  </si>
  <si>
    <t>OAXSLC0136</t>
  </si>
  <si>
    <t>TABHMG1030</t>
  </si>
  <si>
    <t>Culiacán</t>
  </si>
  <si>
    <t>SINCUL0493</t>
  </si>
  <si>
    <t>SONHRS0708</t>
  </si>
  <si>
    <t>MEXZUM0941</t>
  </si>
  <si>
    <t>Los Mochis</t>
  </si>
  <si>
    <t>SINHOM0541</t>
  </si>
  <si>
    <t>GUACJR0186</t>
  </si>
  <si>
    <t>Apaseo el Alto</t>
  </si>
  <si>
    <t>GUAAPA3334</t>
  </si>
  <si>
    <t>TAMALT1021</t>
  </si>
  <si>
    <t>YUCPGS0494</t>
  </si>
  <si>
    <t>CAMCAM0016</t>
  </si>
  <si>
    <t>VERCTZ0907</t>
  </si>
  <si>
    <t>VERTXY0656</t>
  </si>
  <si>
    <t>Maravatio de Ocampo</t>
  </si>
  <si>
    <t>MEXSFP1593</t>
  </si>
  <si>
    <t>Huamantla</t>
  </si>
  <si>
    <t>TLAHMT0412</t>
  </si>
  <si>
    <t>TLAHMT0411</t>
  </si>
  <si>
    <t>TLAYQH0439</t>
  </si>
  <si>
    <t>SINCUL0483</t>
  </si>
  <si>
    <t>MEXVAL0902</t>
  </si>
  <si>
    <t>VERIXZ0548</t>
  </si>
  <si>
    <t>CHPHHT0073</t>
  </si>
  <si>
    <t>Nuevo Laredo</t>
  </si>
  <si>
    <t>TAMNLD1197</t>
  </si>
  <si>
    <t>JALPTL0808</t>
  </si>
  <si>
    <t>SONGYM0665</t>
  </si>
  <si>
    <t>Pachuca</t>
  </si>
  <si>
    <t>MEXHYT0332</t>
  </si>
  <si>
    <t>NAYTPI1269</t>
  </si>
  <si>
    <t>TAMMTS1083</t>
  </si>
  <si>
    <t>Los Cabos</t>
  </si>
  <si>
    <t>BCSCAB0924</t>
  </si>
  <si>
    <t>MEXJTC0372</t>
  </si>
  <si>
    <t>MORTLP0275</t>
  </si>
  <si>
    <t>MORHAC0248</t>
  </si>
  <si>
    <t>YUCNUL0482</t>
  </si>
  <si>
    <t>BCNENS0028</t>
  </si>
  <si>
    <t>Valladolid</t>
  </si>
  <si>
    <t>YUCVLL0515</t>
  </si>
  <si>
    <t>Unknown</t>
  </si>
  <si>
    <t>YUCTAH0810</t>
  </si>
  <si>
    <t>Uruapan</t>
  </si>
  <si>
    <t>MICURU1216</t>
  </si>
  <si>
    <t>ago 28, 2025 16:20:11</t>
  </si>
  <si>
    <t>ALM006</t>
  </si>
  <si>
    <t>ago 30, 2025 12:27:07</t>
  </si>
  <si>
    <t>CHHCHH8237</t>
  </si>
  <si>
    <t>Guaymas</t>
  </si>
  <si>
    <t>SONGYM0679</t>
  </si>
  <si>
    <t>Cordoba</t>
  </si>
  <si>
    <t>VERAMR0458</t>
  </si>
  <si>
    <t>CHPCCZ0067</t>
  </si>
  <si>
    <t>BCNTIJ0169</t>
  </si>
  <si>
    <t>ago 31, 2025 10:25:29</t>
  </si>
  <si>
    <t>NLECDJ0555</t>
  </si>
  <si>
    <t>PUETEH0382</t>
  </si>
  <si>
    <t>ago 25, 2025 15:03:44</t>
  </si>
  <si>
    <t>ago 25, 2025 12:25:37</t>
  </si>
  <si>
    <t>NLEAPO1383</t>
  </si>
  <si>
    <t>ago 25, 2025 10:46:35</t>
  </si>
  <si>
    <t>SONHRS0704</t>
  </si>
  <si>
    <t>MEXXLT0924</t>
  </si>
  <si>
    <t>BCSPAZ0427</t>
  </si>
  <si>
    <t>Acayucan</t>
  </si>
  <si>
    <t>VERACY2014</t>
  </si>
  <si>
    <t>BCSPAZ0436</t>
  </si>
  <si>
    <t>Irapuato</t>
  </si>
  <si>
    <t>GUAIRA0245</t>
  </si>
  <si>
    <t>ago 28, 2025 12:41:02</t>
  </si>
  <si>
    <t>ago 31, 2025 12:29:10</t>
  </si>
  <si>
    <t>ago 29, 2025 14:45:04</t>
  </si>
  <si>
    <t>ago 29, 2025 14:48:19</t>
  </si>
  <si>
    <t>ago 31, 2025 20:36:19</t>
  </si>
  <si>
    <t>ago 22, 2025 11:51:45</t>
  </si>
  <si>
    <t>ago 22, 2025 11:49:05</t>
  </si>
  <si>
    <t>ago 12, 2025 17:22:02</t>
  </si>
  <si>
    <t>JALZAP1010</t>
  </si>
  <si>
    <t>ago 31, 2025 22:14:51</t>
  </si>
  <si>
    <t>YUCMER0462</t>
  </si>
  <si>
    <t>ago 17, 2025 07:38:14</t>
  </si>
  <si>
    <t>ago 25, 2025 11:56:54</t>
  </si>
  <si>
    <t>Playa del Carmen</t>
  </si>
  <si>
    <t>ROOSOL0268</t>
  </si>
  <si>
    <t>ago 19, 2025 22:13:14</t>
  </si>
  <si>
    <t>ago 20, 2025 08:57:40</t>
  </si>
  <si>
    <t>YUCMUN0480</t>
  </si>
  <si>
    <t>ago 31, 2025 16:45:43</t>
  </si>
  <si>
    <t>ROOTLM0814</t>
  </si>
  <si>
    <t>ago 19, 2025 10:37:54</t>
  </si>
  <si>
    <t>ago 25, 2025 11:41:13</t>
  </si>
  <si>
    <t>ago 27, 2025 06:58:46</t>
  </si>
  <si>
    <t>Pátzcuaro</t>
  </si>
  <si>
    <t>REP051</t>
  </si>
  <si>
    <t>ago 30, 2025 10:41:39</t>
  </si>
  <si>
    <t>ago 31, 2025 16:00:32</t>
  </si>
  <si>
    <t>VERJLN0552</t>
  </si>
  <si>
    <t>ago 31, 2025 12:57:20</t>
  </si>
  <si>
    <t>ago 31, 2025 13:21:26</t>
  </si>
  <si>
    <t>ROOSOL0802</t>
  </si>
  <si>
    <t>ago 21, 2025 13:57:22</t>
  </si>
  <si>
    <t>Saltillo</t>
  </si>
  <si>
    <t>NLEGAL0592</t>
  </si>
  <si>
    <t>ago 30, 2025 21:31:03</t>
  </si>
  <si>
    <t>ROOSOL0256</t>
  </si>
  <si>
    <t>ago 26, 2025 18:45:39</t>
  </si>
  <si>
    <t>ago 26, 2025 16:09:39</t>
  </si>
  <si>
    <t>ago 26, 2025 14:48:39</t>
  </si>
  <si>
    <t>ago 23, 2025 10:34:00</t>
  </si>
  <si>
    <t>ROOLAZ0226</t>
  </si>
  <si>
    <t>ago 09, 2025 14:48:45</t>
  </si>
  <si>
    <t>ROOOTH0240</t>
  </si>
  <si>
    <t>ago 22, 2025 19:05:44</t>
  </si>
  <si>
    <t>CAMCTO0056</t>
  </si>
  <si>
    <t>ago 29, 2025 07:59:33</t>
  </si>
  <si>
    <t>DIFTLH0818</t>
  </si>
  <si>
    <t>ago 25, 2025 09:02:30</t>
  </si>
  <si>
    <t>ago 30, 2025 20:13:42</t>
  </si>
  <si>
    <t>YUCCHX0367</t>
  </si>
  <si>
    <t>ago 27, 2025 10:59:50</t>
  </si>
  <si>
    <t>Guasave</t>
  </si>
  <si>
    <t>SINGVE0533</t>
  </si>
  <si>
    <t>ago 28, 2025 08:08:42</t>
  </si>
  <si>
    <t>ago 30, 2025 16:41:29</t>
  </si>
  <si>
    <t>ago 28, 2025 17:35:49</t>
  </si>
  <si>
    <t>Grupo Insme</t>
  </si>
  <si>
    <t>ago 30, 2025 10:32:24</t>
  </si>
  <si>
    <t>BCNTIJ0307</t>
  </si>
  <si>
    <t>ago 30, 2025 16:40:53</t>
  </si>
  <si>
    <t>MORHAC0247</t>
  </si>
  <si>
    <t>ago 30, 2025 08:45:37</t>
  </si>
  <si>
    <t>HMEX0828</t>
  </si>
  <si>
    <t>ago 30, 2025 09:43:50</t>
  </si>
  <si>
    <t>ago 30, 2025 14:55:21</t>
  </si>
  <si>
    <t>BCNTIJ0318</t>
  </si>
  <si>
    <t>ago 30, 2025 14:05:33</t>
  </si>
  <si>
    <t>VERIRR0543</t>
  </si>
  <si>
    <t>ago 30, 2025 09:08:21</t>
  </si>
  <si>
    <t>SONETC0664</t>
  </si>
  <si>
    <t>ago 29, 2025 17:45:47</t>
  </si>
  <si>
    <t>SONBEJ0628</t>
  </si>
  <si>
    <t>ago 29, 2025 17:34:21</t>
  </si>
  <si>
    <t>QTOQTO1355</t>
  </si>
  <si>
    <t>ago 28, 2025 15:36:21</t>
  </si>
  <si>
    <t>Zitácuaro</t>
  </si>
  <si>
    <t>MICZIT1238</t>
  </si>
  <si>
    <t>ago 28, 2025 08:39:40</t>
  </si>
  <si>
    <t>YUCMUN0481</t>
  </si>
  <si>
    <t>ago 29, 2025 17:26:13</t>
  </si>
  <si>
    <t>VERCTZ0529</t>
  </si>
  <si>
    <t>ago 26, 2025 12:26:11</t>
  </si>
  <si>
    <t>VERZRG1740</t>
  </si>
  <si>
    <t>ago 29, 2025 12:37:08</t>
  </si>
  <si>
    <t>ago 28, 2025 17:02:02</t>
  </si>
  <si>
    <t>Dolores Hidalgo</t>
  </si>
  <si>
    <t>GUADLH1721</t>
  </si>
  <si>
    <t>ago 28, 2025 15:14:34</t>
  </si>
  <si>
    <t>TABCTR0651</t>
  </si>
  <si>
    <t>ago 27, 2025 17:14:09</t>
  </si>
  <si>
    <t>JALGDL0721</t>
  </si>
  <si>
    <t>ago 18, 2025 22:50:48</t>
  </si>
  <si>
    <t>TABCET0283</t>
  </si>
  <si>
    <t>ago 26, 2025 10:23:08</t>
  </si>
  <si>
    <t>ago 24, 2025 09:47:34</t>
  </si>
  <si>
    <t>Gutierrez Zamora</t>
  </si>
  <si>
    <t>VERTTN0645</t>
  </si>
  <si>
    <t>ago 27, 2025 12:29:24</t>
  </si>
  <si>
    <t>NLEJRZ0697</t>
  </si>
  <si>
    <t>ago 17, 2025 10:09:31</t>
  </si>
  <si>
    <t>SLPSLP1522</t>
  </si>
  <si>
    <t>ago 27, 2025 16:53:18</t>
  </si>
  <si>
    <t>SLPSLP2220</t>
  </si>
  <si>
    <t>ago 27, 2025 17:08:09</t>
  </si>
  <si>
    <t>TAMALT1018</t>
  </si>
  <si>
    <t>ago 28, 2025 07:12:04</t>
  </si>
  <si>
    <t>NLEGRO0684</t>
  </si>
  <si>
    <t>ago 28, 2025 07:13:24</t>
  </si>
  <si>
    <t>HNAV0012</t>
  </si>
  <si>
    <t>ago 27, 2025 22:41:15</t>
  </si>
  <si>
    <t>CHPTXG0581</t>
  </si>
  <si>
    <t>ago 22, 2025 02:35:29</t>
  </si>
  <si>
    <t>Colima</t>
  </si>
  <si>
    <t>COLCOL0071</t>
  </si>
  <si>
    <t>ago 27, 2025 22:06:50</t>
  </si>
  <si>
    <t>OAXJBT0106</t>
  </si>
  <si>
    <t>ago 26, 2025 16:19:19</t>
  </si>
  <si>
    <t>Ciudad Cuauhtemoc</t>
  </si>
  <si>
    <t>CHHCHT0102</t>
  </si>
  <si>
    <t>ago 26, 2025 18:41:41</t>
  </si>
  <si>
    <t>ago 21, 2025 10:58:06</t>
  </si>
  <si>
    <t>VERCSQ0502</t>
  </si>
  <si>
    <t>ago 27, 2025 15:13:56</t>
  </si>
  <si>
    <t>MEXCHL0088</t>
  </si>
  <si>
    <t>ago 25, 2025 12:30:54</t>
  </si>
  <si>
    <t>MEXIXP0336</t>
  </si>
  <si>
    <t>ago 25, 2025 13:39:02</t>
  </si>
  <si>
    <t>Guanajuato</t>
  </si>
  <si>
    <t>GUAGUA0217</t>
  </si>
  <si>
    <t>ago 27, 2025 15:36:14</t>
  </si>
  <si>
    <t>JALLEO0779</t>
  </si>
  <si>
    <t>ago 26, 2025 20:02:55</t>
  </si>
  <si>
    <t>ago 27, 2025 18:34:37</t>
  </si>
  <si>
    <t>Poza Rica</t>
  </si>
  <si>
    <t>VERPOZ0609</t>
  </si>
  <si>
    <t>ago 23, 2025 13:29:30</t>
  </si>
  <si>
    <t>ago 30, 2025 13:22:42</t>
  </si>
  <si>
    <t>NLEPGG8234</t>
  </si>
  <si>
    <t>ago 30, 2025 09:59:29</t>
  </si>
  <si>
    <t>ROOBEJ0196</t>
  </si>
  <si>
    <t>ago 26, 2025 11:59:34</t>
  </si>
  <si>
    <t>ago 28, 2025 12:55:21</t>
  </si>
  <si>
    <t>AGUAGU0025</t>
  </si>
  <si>
    <t>CHPTXG0126</t>
  </si>
  <si>
    <t>ago 30, 2025 15:56:48</t>
  </si>
  <si>
    <t>QTOQTO1419</t>
  </si>
  <si>
    <t>CHPOST0080</t>
  </si>
  <si>
    <t>ago 30, 2025 12:34:03</t>
  </si>
  <si>
    <t>DIFMGH0753</t>
  </si>
  <si>
    <t>ago 29, 2025 10:11:40</t>
  </si>
  <si>
    <t>AGUAGU0011</t>
  </si>
  <si>
    <t>VERMOL0561</t>
  </si>
  <si>
    <t>ago 29, 2025 11:47:29</t>
  </si>
  <si>
    <t>Compostela</t>
  </si>
  <si>
    <t>NAYCMP1253</t>
  </si>
  <si>
    <t>ago 30, 2025 10:35:49</t>
  </si>
  <si>
    <t>ago 30, 2025 13:30:34</t>
  </si>
  <si>
    <t>MEXVIV0922</t>
  </si>
  <si>
    <t>ago 29, 2025 17:14:15</t>
  </si>
  <si>
    <t>CHPTXG0561</t>
  </si>
  <si>
    <t>ago 27, 2025 13:05:24</t>
  </si>
  <si>
    <t>NAYMRO1264</t>
  </si>
  <si>
    <t>ago 29, 2025 13:10:15</t>
  </si>
  <si>
    <t>AGUAGU0013</t>
  </si>
  <si>
    <t>ago 29, 2025 11:53:14</t>
  </si>
  <si>
    <t>TABCTR0303</t>
  </si>
  <si>
    <t>ago 25, 2025 12:39:58</t>
  </si>
  <si>
    <t>JALTNL2021</t>
  </si>
  <si>
    <t>ago 28, 2025 17:57:31</t>
  </si>
  <si>
    <t>ago 29, 2025 16:14:30</t>
  </si>
  <si>
    <t>Delicias</t>
  </si>
  <si>
    <t>CHHDLC0129</t>
  </si>
  <si>
    <t>ago 29, 2025 14:43:55</t>
  </si>
  <si>
    <t>HNAV0006</t>
  </si>
  <si>
    <t>ago 28, 2025 07:29:24</t>
  </si>
  <si>
    <t>Mazatlan</t>
  </si>
  <si>
    <t>SINMAZ0566</t>
  </si>
  <si>
    <t>ago 29, 2025 12:17:09</t>
  </si>
  <si>
    <t>ago 29, 2025 11:31:55</t>
  </si>
  <si>
    <t>Puebla</t>
  </si>
  <si>
    <t>PUEPUE0284</t>
  </si>
  <si>
    <t>ago 27, 2025 09:33:14</t>
  </si>
  <si>
    <t>CHPCCZ0068</t>
  </si>
  <si>
    <t>ago 22, 2025 10:54:17</t>
  </si>
  <si>
    <t>Fresnillo</t>
  </si>
  <si>
    <t>ZACFRE1548</t>
  </si>
  <si>
    <t>ago 29, 2025 08:07:03</t>
  </si>
  <si>
    <t>ago 23, 2025 12:51:40</t>
  </si>
  <si>
    <t>GUACEL0152</t>
  </si>
  <si>
    <t>ago 28, 2025 05:15:27</t>
  </si>
  <si>
    <t>CHPTXG0558</t>
  </si>
  <si>
    <t>ago 26, 2025 12:43:27</t>
  </si>
  <si>
    <t>ago 28, 2025 14:07:42</t>
  </si>
  <si>
    <t>TABCDS0276</t>
  </si>
  <si>
    <t>ago 12, 2025 11:33:50</t>
  </si>
  <si>
    <t>ago 28, 2025 09:55:41</t>
  </si>
  <si>
    <t>ago 28, 2025 20:17:23</t>
  </si>
  <si>
    <t>ago 28, 2025 18:51:17</t>
  </si>
  <si>
    <t>COLVLV0121</t>
  </si>
  <si>
    <t>ago 27, 2025 17:36:22</t>
  </si>
  <si>
    <t>Victor Rosales</t>
  </si>
  <si>
    <t>ZACCAL1546</t>
  </si>
  <si>
    <t>ago 28, 2025 12:04:49</t>
  </si>
  <si>
    <t>ZACFRE1554</t>
  </si>
  <si>
    <t>ago 28, 2025 16:46:25</t>
  </si>
  <si>
    <t>YUCMER0435</t>
  </si>
  <si>
    <t>ago 25, 2025 15:05:07</t>
  </si>
  <si>
    <t>BCNTIJ0330</t>
  </si>
  <si>
    <t>ago 27, 2025 14:10:14</t>
  </si>
  <si>
    <t>ZACZAC1600</t>
  </si>
  <si>
    <t>ago 26, 2025 12:56:54</t>
  </si>
  <si>
    <t>ago 27, 2025 12:12:23</t>
  </si>
  <si>
    <t>SONHRS0739</t>
  </si>
  <si>
    <t>ago 27, 2025 11:03:27</t>
  </si>
  <si>
    <t>QTOQTO1418</t>
  </si>
  <si>
    <t>ago 26, 2025 13:31:47</t>
  </si>
  <si>
    <t>VERTIH1696</t>
  </si>
  <si>
    <t>ago 27, 2025 09:32:25</t>
  </si>
  <si>
    <t>ago 26, 2025 12:05:30</t>
  </si>
  <si>
    <t>ago 22, 2025 18:31:05</t>
  </si>
  <si>
    <t>TAMGRO1053</t>
  </si>
  <si>
    <t>ago 27, 2025 08:22:44</t>
  </si>
  <si>
    <t>Salamanca</t>
  </si>
  <si>
    <t>GUASAL0472</t>
  </si>
  <si>
    <t>ago 27, 2025 08:18:31</t>
  </si>
  <si>
    <t>ago 27, 2025 08:01:57</t>
  </si>
  <si>
    <t>ago 26, 2025 16:03:12</t>
  </si>
  <si>
    <t>TAMGRO1056</t>
  </si>
  <si>
    <t>ago 27, 2025 07:16:07</t>
  </si>
  <si>
    <t>JALGDL0668</t>
  </si>
  <si>
    <t>ago 26, 2025 09:35:07</t>
  </si>
  <si>
    <t>JALZAP1055</t>
  </si>
  <si>
    <t>ago 25, 2025 20:37:37</t>
  </si>
  <si>
    <t>ago 26, 2025 23:54:27</t>
  </si>
  <si>
    <t>BCNMXC0077</t>
  </si>
  <si>
    <t>ago 26, 2025 22:12:14</t>
  </si>
  <si>
    <t>NAYMRO1262</t>
  </si>
  <si>
    <t>ago 26, 2025 08:54:52</t>
  </si>
  <si>
    <t>CHPTXG0557</t>
  </si>
  <si>
    <t>ago 26, 2025 09:06:25</t>
  </si>
  <si>
    <t>Morelia</t>
  </si>
  <si>
    <t>MICMRL3321</t>
  </si>
  <si>
    <t>ago 26, 2025 19:48:49</t>
  </si>
  <si>
    <t>BCNMXC0113</t>
  </si>
  <si>
    <t>ago 26, 2025 20:26:50</t>
  </si>
  <si>
    <t>NLEGAL0597</t>
  </si>
  <si>
    <t>ago 26, 2025 18:41:31</t>
  </si>
  <si>
    <t>AGUJSM1663</t>
  </si>
  <si>
    <t>ago 24, 2025 13:46:31</t>
  </si>
  <si>
    <t>MORYAU1283</t>
  </si>
  <si>
    <t>ago 26, 2025 11:56:14</t>
  </si>
  <si>
    <t>Tizimin</t>
  </si>
  <si>
    <t>YUCTZM0504</t>
  </si>
  <si>
    <t>ago 22, 2025 10:44:43</t>
  </si>
  <si>
    <t>MEXPOL0593</t>
  </si>
  <si>
    <t>ago 22, 2025 11:07:54</t>
  </si>
  <si>
    <t>ago 22, 2025 21:05:37</t>
  </si>
  <si>
    <t>ago 22, 2025 19:27:24</t>
  </si>
  <si>
    <t>ago 22, 2025 11:40:35</t>
  </si>
  <si>
    <t>MEXIXP0342</t>
  </si>
  <si>
    <t>ago 21, 2025 14:46:58</t>
  </si>
  <si>
    <t>ago 21, 2025 16:06:16</t>
  </si>
  <si>
    <t>ago 22, 2025 16:16:14</t>
  </si>
  <si>
    <t>Zamora</t>
  </si>
  <si>
    <t>MICJAC1103</t>
  </si>
  <si>
    <t>ago 22, 2025 17:29:58</t>
  </si>
  <si>
    <t>ago 22, 2025 17:12:15</t>
  </si>
  <si>
    <t>SONCAJ0631</t>
  </si>
  <si>
    <t>ago 22, 2025 16:59:09</t>
  </si>
  <si>
    <t>AGUAGU0007</t>
  </si>
  <si>
    <t>ago 20, 2025 16:46:38</t>
  </si>
  <si>
    <t>SONNVJ0802</t>
  </si>
  <si>
    <t>ago 22, 2025 14:38:37</t>
  </si>
  <si>
    <t>CAMCRN0029</t>
  </si>
  <si>
    <t>ago 22, 2025 15:43:48</t>
  </si>
  <si>
    <t>ROOOTH0227</t>
  </si>
  <si>
    <t>ago 22, 2025 14:11:21</t>
  </si>
  <si>
    <t>Tecoman</t>
  </si>
  <si>
    <t>COLTCN0112</t>
  </si>
  <si>
    <t>ago 22, 2025 14:13:07</t>
  </si>
  <si>
    <t>ago 22, 2025 13:29:52</t>
  </si>
  <si>
    <t>CAMCRN0036</t>
  </si>
  <si>
    <t>ago 12, 2025 14:46:22</t>
  </si>
  <si>
    <t>ago 22, 2025 13:18:27</t>
  </si>
  <si>
    <t>CHHCHT0098</t>
  </si>
  <si>
    <t>ago 22, 2025 12:28:25</t>
  </si>
  <si>
    <t>CAMCAM0524</t>
  </si>
  <si>
    <t>ago 18, 2025 15:01:00</t>
  </si>
  <si>
    <t>YUCYAX0520</t>
  </si>
  <si>
    <t>ago 13, 2025 06:28:26</t>
  </si>
  <si>
    <t>NLEMTY0838</t>
  </si>
  <si>
    <t>ago 14, 2025 16:51:57</t>
  </si>
  <si>
    <t>ago 13, 2025 06:29:56</t>
  </si>
  <si>
    <t>ago 13, 2025 06:26:43</t>
  </si>
  <si>
    <t>Monclova</t>
  </si>
  <si>
    <t>COAFRO1901</t>
  </si>
  <si>
    <t>ago 18, 2025 06:50:24</t>
  </si>
  <si>
    <t>MORTLQ0276</t>
  </si>
  <si>
    <t>ago 22, 2025 19:57:24</t>
  </si>
  <si>
    <t>ago 23, 2025 19:12:23</t>
  </si>
  <si>
    <t>TAMMTS1108</t>
  </si>
  <si>
    <t>ago 24, 2025 10:28:45</t>
  </si>
  <si>
    <t>Manzanillo</t>
  </si>
  <si>
    <t>COLMAN0100</t>
  </si>
  <si>
    <t>ago 23, 2025 16:57:42</t>
  </si>
  <si>
    <t>ago 24, 2025 08:54:29</t>
  </si>
  <si>
    <t>GUAIRA0249</t>
  </si>
  <si>
    <t>ago 21, 2025 23:35:30</t>
  </si>
  <si>
    <t>COLTCN0115</t>
  </si>
  <si>
    <t>ago 23, 2025 11:35:03</t>
  </si>
  <si>
    <t>ago 23, 2025 14:17:58</t>
  </si>
  <si>
    <t>MORYAU0299</t>
  </si>
  <si>
    <t>ago 20, 2025 17:42:08</t>
  </si>
  <si>
    <t>ago 20, 2025 13:29:03</t>
  </si>
  <si>
    <t>ago 21, 2025 17:15:14</t>
  </si>
  <si>
    <t>MEXTTZ0876</t>
  </si>
  <si>
    <t>ago 23, 2025 19:47:35</t>
  </si>
  <si>
    <t>Torreon</t>
  </si>
  <si>
    <t>DURLRD0490</t>
  </si>
  <si>
    <t>ago 22, 2025 16:29:37</t>
  </si>
  <si>
    <t>ago 23, 2025 15:36:58</t>
  </si>
  <si>
    <t>VERCTZ0896</t>
  </si>
  <si>
    <t>ago 23, 2025 10:28:12</t>
  </si>
  <si>
    <t>ago 23, 2025 14:40:22</t>
  </si>
  <si>
    <t>MICZAM1225</t>
  </si>
  <si>
    <t>ago 23, 2025 12:43:34</t>
  </si>
  <si>
    <t>ago 23, 2025 11:34:00</t>
  </si>
  <si>
    <t>ago 15, 2025 11:35:14</t>
  </si>
  <si>
    <t>ago 19, 2025 11:22:47</t>
  </si>
  <si>
    <t>ago 18, 2025 12:58:26</t>
  </si>
  <si>
    <t>ago 21, 2025 19:57:49</t>
  </si>
  <si>
    <t>ago 22, 2025 16:37:27</t>
  </si>
  <si>
    <t>YUCCLT0370</t>
  </si>
  <si>
    <t>ago 22, 2025 11:40:06</t>
  </si>
  <si>
    <t>NLEGEE1456</t>
  </si>
  <si>
    <t>ago 24, 2025 10:06:35</t>
  </si>
  <si>
    <t>ago 21, 2025 15:41:40</t>
  </si>
  <si>
    <t>ago 26, 2025 17:24:16</t>
  </si>
  <si>
    <t>ago 23, 2025 15:16:12</t>
  </si>
  <si>
    <t>ago 24, 2025 11:18:51</t>
  </si>
  <si>
    <t>SONGYM0666</t>
  </si>
  <si>
    <t>ago 26, 2025 19:34:24</t>
  </si>
  <si>
    <t>ago 24, 2025 13:28:11</t>
  </si>
  <si>
    <t>BCNMXC0070</t>
  </si>
  <si>
    <t>ago 26, 2025 18:22:58</t>
  </si>
  <si>
    <t>AGUAGU0008</t>
  </si>
  <si>
    <t>ago 26, 2025 00:53:27</t>
  </si>
  <si>
    <t>TABCTR0646</t>
  </si>
  <si>
    <t>ago 26, 2025 18:19:44</t>
  </si>
  <si>
    <t>TABMAC1050</t>
  </si>
  <si>
    <t>ago 24, 2025 13:32:17</t>
  </si>
  <si>
    <t>TABMAC0349</t>
  </si>
  <si>
    <t>ago 26, 2025 09:02:54</t>
  </si>
  <si>
    <t>ago 25, 2025 18:14:55</t>
  </si>
  <si>
    <t>Tepejí de Ocampo</t>
  </si>
  <si>
    <t>MEXHHC0281</t>
  </si>
  <si>
    <t>ago 26, 2025 15:28:56</t>
  </si>
  <si>
    <t>ago 26, 2025 10:29:32</t>
  </si>
  <si>
    <t>YUCMER0434</t>
  </si>
  <si>
    <t>ago 25, 2025 17:18:17</t>
  </si>
  <si>
    <t>ago 25, 2025 12:18:30</t>
  </si>
  <si>
    <t>AGUAGU0033</t>
  </si>
  <si>
    <t>ago 26, 2025 00:55:25</t>
  </si>
  <si>
    <t>Chiapas</t>
  </si>
  <si>
    <t>CHPARR1141</t>
  </si>
  <si>
    <t>ago 17, 2025 02:53:58</t>
  </si>
  <si>
    <t>ago 25, 2025 21:53:31</t>
  </si>
  <si>
    <t>VERVER0688</t>
  </si>
  <si>
    <t>ago 19, 2025 23:52:22</t>
  </si>
  <si>
    <t>VERATY0464</t>
  </si>
  <si>
    <t>ago 26, 2025 11:34:18</t>
  </si>
  <si>
    <t>SINESN0508</t>
  </si>
  <si>
    <t>ago 23, 2025 11:29:13</t>
  </si>
  <si>
    <t>VERCTZ0508</t>
  </si>
  <si>
    <t>ago 25, 2025 10:24:08</t>
  </si>
  <si>
    <t>SINHOM0536</t>
  </si>
  <si>
    <t>ago 25, 2025 15:30:34</t>
  </si>
  <si>
    <t>ago 26, 2025 09:30:21</t>
  </si>
  <si>
    <t>SONGYM0950</t>
  </si>
  <si>
    <t>ago 25, 2025 23:09:04</t>
  </si>
  <si>
    <t>MICMRL1143</t>
  </si>
  <si>
    <t>ago 25, 2025 21:47:37</t>
  </si>
  <si>
    <t>Ciudad Juarez</t>
  </si>
  <si>
    <t>CHHJRZ0265</t>
  </si>
  <si>
    <t>ago 25, 2025 22:22:08</t>
  </si>
  <si>
    <t>ago 25, 2025 18:25:43</t>
  </si>
  <si>
    <t>ago 23, 2025 11:05:16</t>
  </si>
  <si>
    <t>ago 25, 2025 18:43:26</t>
  </si>
  <si>
    <t>ago 01, 2025 13:00:39</t>
  </si>
  <si>
    <t>AGUAGU8257</t>
  </si>
  <si>
    <t>ago 25, 2025 15:39:01</t>
  </si>
  <si>
    <t>ago 25, 2025 14:15:35</t>
  </si>
  <si>
    <t>ago 25, 2025 15:39:12</t>
  </si>
  <si>
    <t>SINHOM1101</t>
  </si>
  <si>
    <t>ago 25, 2025 10:57:13</t>
  </si>
  <si>
    <t>SINHOM0552</t>
  </si>
  <si>
    <t>ago 21, 2025 16:31:45</t>
  </si>
  <si>
    <t>QTOQTO2191</t>
  </si>
  <si>
    <t>ago 24, 2025 15:03:01</t>
  </si>
  <si>
    <t>CHPTAP0885</t>
  </si>
  <si>
    <t>ago 24, 2025 14:32:03</t>
  </si>
  <si>
    <t>CAMTNB0060</t>
  </si>
  <si>
    <t>ago 22, 2025 15:58:58</t>
  </si>
  <si>
    <t>ago 25, 2025 08:04:03</t>
  </si>
  <si>
    <t>QTOQTO1360</t>
  </si>
  <si>
    <t>ago 24, 2025 13:56:44</t>
  </si>
  <si>
    <t>MICMRL1161</t>
  </si>
  <si>
    <t>ago 24, 2025 19:06:01</t>
  </si>
  <si>
    <t>MORCUA0178</t>
  </si>
  <si>
    <t>ago 21, 2025 10:38:38</t>
  </si>
  <si>
    <t>ago 23, 2025 09:59:51</t>
  </si>
  <si>
    <t>ago 23, 2025 11:57:40</t>
  </si>
  <si>
    <t>ago 20, 2025 13:10:03</t>
  </si>
  <si>
    <t>Juchitan</t>
  </si>
  <si>
    <t>OAXHJZ0101</t>
  </si>
  <si>
    <t>ago 21, 2025 12:44:30</t>
  </si>
  <si>
    <t>COAGEC0289</t>
  </si>
  <si>
    <t>ago 21, 2025 09:08:48</t>
  </si>
  <si>
    <t>YUCYAX0519</t>
  </si>
  <si>
    <t>ago 21, 2025 16:56:14</t>
  </si>
  <si>
    <t>JALPTL0818</t>
  </si>
  <si>
    <t>ago 14, 2025 12:34:15</t>
  </si>
  <si>
    <t>ago 15, 2025 16:24:38</t>
  </si>
  <si>
    <t>Ciudad Camargo</t>
  </si>
  <si>
    <t>CHHCMG0110</t>
  </si>
  <si>
    <t>ago 21, 2025 22:17:19</t>
  </si>
  <si>
    <t>ago 21, 2025 20:11:27</t>
  </si>
  <si>
    <t>ago 21, 2025 20:08:51</t>
  </si>
  <si>
    <t>Silao</t>
  </si>
  <si>
    <t>GUASIL0499</t>
  </si>
  <si>
    <t>ago 21, 2025 19:38:04</t>
  </si>
  <si>
    <t>ago 18, 2025 10:41:53</t>
  </si>
  <si>
    <t>GUAGUA0219</t>
  </si>
  <si>
    <t>ago 21, 2025 16:58:01</t>
  </si>
  <si>
    <t>Nogales</t>
  </si>
  <si>
    <t>SONIMU0750</t>
  </si>
  <si>
    <t>ago 21, 2025 15:32:56</t>
  </si>
  <si>
    <t>ago 21, 2025 16:17:09</t>
  </si>
  <si>
    <t>Chapala</t>
  </si>
  <si>
    <t>JALTUX8246</t>
  </si>
  <si>
    <t>ago 14, 2025 01:06:34</t>
  </si>
  <si>
    <t>GUASIL0503</t>
  </si>
  <si>
    <t>ago 21, 2025 13:42:46</t>
  </si>
  <si>
    <t>Cortazar Guanajuato</t>
  </si>
  <si>
    <t>GUACZR0192</t>
  </si>
  <si>
    <t>ago 21, 2025 13:58:30</t>
  </si>
  <si>
    <t>TAMREY1235</t>
  </si>
  <si>
    <t>ago 20, 2025 10:43:02</t>
  </si>
  <si>
    <t>ago 21, 2025 13:58:13</t>
  </si>
  <si>
    <t>BB-085</t>
  </si>
  <si>
    <t>ago 19, 2025 09:53:50</t>
  </si>
  <si>
    <t>JALIXM2415</t>
  </si>
  <si>
    <t>ago 13, 2025 00:07:11</t>
  </si>
  <si>
    <t>ago 15, 2025 18:18:08</t>
  </si>
  <si>
    <t>ago 18, 2025 08:44:05</t>
  </si>
  <si>
    <t>ago 15, 2025 09:36:30</t>
  </si>
  <si>
    <t>MEXTOL0813</t>
  </si>
  <si>
    <t>ago 20, 2025 18:34:07</t>
  </si>
  <si>
    <t>ago 16, 2025 10:10:16</t>
  </si>
  <si>
    <t>ago 11, 2025 20:24:11</t>
  </si>
  <si>
    <t>ago 11, 2025 22:59:56</t>
  </si>
  <si>
    <t>YUCTNM0503</t>
  </si>
  <si>
    <t>ago 06, 2025 15:34:10</t>
  </si>
  <si>
    <t>ago 08, 2025 14:02:20</t>
  </si>
  <si>
    <t>TAMVHS1304</t>
  </si>
  <si>
    <t>ago 20, 2025 18:31:19</t>
  </si>
  <si>
    <t>ago 20, 2025 16:27:23</t>
  </si>
  <si>
    <t>ago 20, 2025 09:37:55</t>
  </si>
  <si>
    <t>REP056</t>
  </si>
  <si>
    <t>ago 20, 2025 14:37:29</t>
  </si>
  <si>
    <t>ago 18, 2025 10:29:10</t>
  </si>
  <si>
    <t>ago 20, 2025 13:53:16</t>
  </si>
  <si>
    <t>ago 20, 2025 13:54:39</t>
  </si>
  <si>
    <t>YUCBUZ0363</t>
  </si>
  <si>
    <t>ago 17, 2025 22:35:02</t>
  </si>
  <si>
    <t>AGUAGU0003</t>
  </si>
  <si>
    <t>ago 20, 2025 12:00:42</t>
  </si>
  <si>
    <t>Valle de Bravo Avandaro</t>
  </si>
  <si>
    <t>MEXVAB0892</t>
  </si>
  <si>
    <t>ago 20, 2025 11:51:07</t>
  </si>
  <si>
    <t>ago 20, 2025 12:48:15</t>
  </si>
  <si>
    <t>COASLT0362</t>
  </si>
  <si>
    <t>ago 20, 2025 10:13:33</t>
  </si>
  <si>
    <t>ago 20, 2025 11:23:25</t>
  </si>
  <si>
    <t>ago 18, 2025 19:49:38</t>
  </si>
  <si>
    <t>ago 19, 2025 18:26:48</t>
  </si>
  <si>
    <t>JALTNL0916</t>
  </si>
  <si>
    <t>ago 13, 2025 12:55:00</t>
  </si>
  <si>
    <t>JALTNL0904</t>
  </si>
  <si>
    <t>ago 13, 2025 10:56:49</t>
  </si>
  <si>
    <t>Ciudad Valles</t>
  </si>
  <si>
    <t>SLP-6016D</t>
  </si>
  <si>
    <t>ago 19, 2025 17:29:43</t>
  </si>
  <si>
    <t>ago 19, 2025 10:50:22</t>
  </si>
  <si>
    <t>GUALEO0382</t>
  </si>
  <si>
    <t>ago 19, 2025 21:38:37</t>
  </si>
  <si>
    <t>ago 18, 2025 19:50:44</t>
  </si>
  <si>
    <t>ago 14, 2025 16:16:52</t>
  </si>
  <si>
    <t>ago 12, 2025 11:20:07</t>
  </si>
  <si>
    <t>Jiménez</t>
  </si>
  <si>
    <t>CHHCMG0117</t>
  </si>
  <si>
    <t>ago 16, 2025 15:47:04</t>
  </si>
  <si>
    <t>SINCUL0482</t>
  </si>
  <si>
    <t>ago 18, 2025 14:25:54</t>
  </si>
  <si>
    <t>VERPOZ0603</t>
  </si>
  <si>
    <t>ago 13, 2025 11:45:58</t>
  </si>
  <si>
    <t>ago 14, 2025 10:55:49</t>
  </si>
  <si>
    <t>Fraccionamiento Real Palmas</t>
  </si>
  <si>
    <t>NLEGEZ0682</t>
  </si>
  <si>
    <t>ago 17, 2025 11:37:22</t>
  </si>
  <si>
    <t>ago 17, 2025 13:16:06</t>
  </si>
  <si>
    <t>ago 18, 2025 15:55:36</t>
  </si>
  <si>
    <t>VERCTZ0523</t>
  </si>
  <si>
    <t>ago 18, 2025 11:10:34</t>
  </si>
  <si>
    <t>NLEAPO1392</t>
  </si>
  <si>
    <t>ago 16, 2025 12:10:43</t>
  </si>
  <si>
    <t>NLEAPO0518</t>
  </si>
  <si>
    <t>ago 16, 2025 10:17:31</t>
  </si>
  <si>
    <t>ago 14, 2025 13:42:48</t>
  </si>
  <si>
    <t>ago 15, 2025 10:43:31</t>
  </si>
  <si>
    <t>Durango</t>
  </si>
  <si>
    <t>DURCNM0429</t>
  </si>
  <si>
    <t>ago 13, 2025 15:53:48</t>
  </si>
  <si>
    <t>DURPBL0497</t>
  </si>
  <si>
    <t>ago 13, 2025 18:14:18</t>
  </si>
  <si>
    <t>ago 16, 2025 05:55:45</t>
  </si>
  <si>
    <t>VERPOZ0924</t>
  </si>
  <si>
    <t>ago 04, 2025 14:59:41</t>
  </si>
  <si>
    <t>NLESLV0951</t>
  </si>
  <si>
    <t>ago 14, 2025 10:41:19</t>
  </si>
  <si>
    <t>VERMTT0563</t>
  </si>
  <si>
    <t>ago 16, 2025 13:42:11</t>
  </si>
  <si>
    <t>MSOTIJ01</t>
  </si>
  <si>
    <t>Integration</t>
  </si>
  <si>
    <t>ago 18, 2025 09:35:27</t>
  </si>
  <si>
    <t>ago 18, 2025 08:59:46</t>
  </si>
  <si>
    <t>ago 17, 2025 07:55:52</t>
  </si>
  <si>
    <t>ago 18, 2025 07:45:22</t>
  </si>
  <si>
    <t>San Jose Iturbide</t>
  </si>
  <si>
    <t>GUASJI0518</t>
  </si>
  <si>
    <t>ago 19, 2025 11:01:37</t>
  </si>
  <si>
    <t>SONCRO0660</t>
  </si>
  <si>
    <t>ago 19, 2025 19:57:53</t>
  </si>
  <si>
    <t>VERVER2174</t>
  </si>
  <si>
    <t>ago 01, 2025 14:32:52</t>
  </si>
  <si>
    <t>OAXSLC0138</t>
  </si>
  <si>
    <t>ago 18, 2025 09:16:14</t>
  </si>
  <si>
    <t>COARAM0325</t>
  </si>
  <si>
    <t>ago 19, 2025 12:38:56</t>
  </si>
  <si>
    <t>ago 18, 2025 14:16:10</t>
  </si>
  <si>
    <t>ago 19, 2025 17:30:12</t>
  </si>
  <si>
    <t>TAMCSS1039</t>
  </si>
  <si>
    <t>ago 19, 2025 17:29:42</t>
  </si>
  <si>
    <t>Gonzalez</t>
  </si>
  <si>
    <t>TAMGNZ1052</t>
  </si>
  <si>
    <t>ago 19, 2025 14:01:59</t>
  </si>
  <si>
    <t>BCNPYR0143</t>
  </si>
  <si>
    <t>ago 19, 2025 16:31:27</t>
  </si>
  <si>
    <t>ago 19, 2025 14:55:36</t>
  </si>
  <si>
    <t>ago 19, 2025 11:46:14</t>
  </si>
  <si>
    <t>ago 19, 2025 10:38:56</t>
  </si>
  <si>
    <t>Chilpancingo</t>
  </si>
  <si>
    <t>GROCHB0071</t>
  </si>
  <si>
    <t>ago 09, 2025 14:12:11</t>
  </si>
  <si>
    <t>ago 19, 2025 13:07:42</t>
  </si>
  <si>
    <t>ago 18, 2025 11:02:13</t>
  </si>
  <si>
    <t>ago 19, 2025 11:04:24</t>
  </si>
  <si>
    <t>ago 19, 2025 10:35:08</t>
  </si>
  <si>
    <t>ago 18, 2025 16:36:27</t>
  </si>
  <si>
    <t>YUCMAX0382</t>
  </si>
  <si>
    <t>ago 16, 2025 16:53:47</t>
  </si>
  <si>
    <t>YUCTAH0497</t>
  </si>
  <si>
    <t>ago 13, 2025 13:06:37</t>
  </si>
  <si>
    <t>ago 15, 2025 13:38:17</t>
  </si>
  <si>
    <t>ago 12, 2025 16:18:24</t>
  </si>
  <si>
    <t>ago 07, 2025 12:38:40</t>
  </si>
  <si>
    <t>ago 18, 2025 13:46:07</t>
  </si>
  <si>
    <t>ago 17, 2025 15:01:12</t>
  </si>
  <si>
    <t>MEXJTC8122</t>
  </si>
  <si>
    <t>ago 17, 2025 11:40:52</t>
  </si>
  <si>
    <t>ago 17, 2025 13:42:25</t>
  </si>
  <si>
    <t>NLEJRZ0708</t>
  </si>
  <si>
    <t>ago 15, 2025 15:55:18</t>
  </si>
  <si>
    <t>Cadereyta Jimenez</t>
  </si>
  <si>
    <t>NLECDJ0558</t>
  </si>
  <si>
    <t>ago 16, 2025 13:10:52</t>
  </si>
  <si>
    <t>ago 17, 2025 19:33:26</t>
  </si>
  <si>
    <t>ago 17, 2025 20:21:02</t>
  </si>
  <si>
    <t>HCOL9001</t>
  </si>
  <si>
    <t>ago 16, 2025 14:59:19</t>
  </si>
  <si>
    <t>SINRSR0606</t>
  </si>
  <si>
    <t>ago 16, 2025 11:41:57</t>
  </si>
  <si>
    <t>ago 17, 2025 15:58:23</t>
  </si>
  <si>
    <t>VERCTZ0527</t>
  </si>
  <si>
    <t>ago 17, 2025 10:51:49</t>
  </si>
  <si>
    <t>COLMAN0094</t>
  </si>
  <si>
    <t>ago 15, 2025 14:32:37</t>
  </si>
  <si>
    <t>VERNLC0580</t>
  </si>
  <si>
    <t>ago 17, 2025 11:22:14</t>
  </si>
  <si>
    <t>ago 17, 2025 10:18:47</t>
  </si>
  <si>
    <t>ago 17, 2025 11:34:05</t>
  </si>
  <si>
    <t>NAYTPI1275</t>
  </si>
  <si>
    <t>ago 14, 2025 22:35:52</t>
  </si>
  <si>
    <t>CHHCHH0050</t>
  </si>
  <si>
    <t>ago 17, 2025 00:43:49</t>
  </si>
  <si>
    <t>YUCKTN0380</t>
  </si>
  <si>
    <t>ago 16, 2025 18:48:08</t>
  </si>
  <si>
    <t>ago 16, 2025 17:52:45</t>
  </si>
  <si>
    <t>ago 16, 2025 22:18:52</t>
  </si>
  <si>
    <t>ago 16, 2025 19:19:13</t>
  </si>
  <si>
    <t>VERPPT0618</t>
  </si>
  <si>
    <t>ago 16, 2025 17:44:02</t>
  </si>
  <si>
    <t>ago 16, 2025 14:10:34</t>
  </si>
  <si>
    <t>SINFRT0510</t>
  </si>
  <si>
    <t>ago 15, 2025 11:31:23</t>
  </si>
  <si>
    <t>MICZAM1233</t>
  </si>
  <si>
    <t>ago 14, 2025 09:49:17</t>
  </si>
  <si>
    <t>ago 15, 2025 12:10:30</t>
  </si>
  <si>
    <t>GUASIL0504</t>
  </si>
  <si>
    <t>ago 15, 2025 19:57:58</t>
  </si>
  <si>
    <t>BCNMXC0050</t>
  </si>
  <si>
    <t>ago 16, 2025 06:17:44</t>
  </si>
  <si>
    <t>Atlixco</t>
  </si>
  <si>
    <t>PUEATX0742</t>
  </si>
  <si>
    <t>ago 15, 2025 21:35:25</t>
  </si>
  <si>
    <t>ago 15, 2025 21:48:30</t>
  </si>
  <si>
    <t>JALGDL0697</t>
  </si>
  <si>
    <t>ago 08, 2025 14:51:32</t>
  </si>
  <si>
    <t>CAMCRN0051</t>
  </si>
  <si>
    <t>ago 15, 2025 22:54:43</t>
  </si>
  <si>
    <t>ago 15, 2025 21:46:45</t>
  </si>
  <si>
    <t>ago 15, 2025 22:35:27</t>
  </si>
  <si>
    <t>ago 15, 2025 21:29:42</t>
  </si>
  <si>
    <t>ago 15, 2025 18:16:27</t>
  </si>
  <si>
    <t>BCNTIJ0306</t>
  </si>
  <si>
    <t>ago 15, 2025 21:37:42</t>
  </si>
  <si>
    <t>GUALEO0432</t>
  </si>
  <si>
    <t>ago 15, 2025 18:50:46</t>
  </si>
  <si>
    <t>Ciudad Sahagún</t>
  </si>
  <si>
    <t>HIDTPE0119</t>
  </si>
  <si>
    <t>ago 15, 2025 19:13:18</t>
  </si>
  <si>
    <t>GUAGUA0216</t>
  </si>
  <si>
    <t>ago 15, 2025 18:56:15</t>
  </si>
  <si>
    <t>ago 15, 2025 18:12:00</t>
  </si>
  <si>
    <t>DIFBEJ0148</t>
  </si>
  <si>
    <t>ago 15, 2025 09:06:49</t>
  </si>
  <si>
    <t>CHPTAP0108</t>
  </si>
  <si>
    <t>ago 15, 2025 09:48:04</t>
  </si>
  <si>
    <t>CHPTAP0109</t>
  </si>
  <si>
    <t>ago 15, 2025 09:15:48</t>
  </si>
  <si>
    <t>ago 15, 2025 14:36:58</t>
  </si>
  <si>
    <t>ago 15, 2025 11:57:22</t>
  </si>
  <si>
    <t>TAMGMZ1044</t>
  </si>
  <si>
    <t>ago 15, 2025 09:37:50</t>
  </si>
  <si>
    <t>ago 14, 2025 23:37:53</t>
  </si>
  <si>
    <t>CHHAHM0007</t>
  </si>
  <si>
    <t>ago 14, 2025 16:23:19</t>
  </si>
  <si>
    <t>CHHAHM0006</t>
  </si>
  <si>
    <t>ago 13, 2025 09:57:02</t>
  </si>
  <si>
    <t>DURCNM0430</t>
  </si>
  <si>
    <t>ago 13, 2025 12:56:19</t>
  </si>
  <si>
    <t>ago 07, 2025 12:44:36</t>
  </si>
  <si>
    <t>ago 13, 2025 11:16:24</t>
  </si>
  <si>
    <t>ago 13, 2025 09:57:54</t>
  </si>
  <si>
    <t>SONMGD0767</t>
  </si>
  <si>
    <t>ago 13, 2025 10:24:49</t>
  </si>
  <si>
    <t>NLEGEE0657</t>
  </si>
  <si>
    <t>ago 13, 2025 10:09:22</t>
  </si>
  <si>
    <t>GUACEL0158</t>
  </si>
  <si>
    <t>ago 12, 2025 21:20:15</t>
  </si>
  <si>
    <t>ago 13, 2025 09:32:32</t>
  </si>
  <si>
    <t>NLEGEE0663</t>
  </si>
  <si>
    <t>ago 12, 2025 10:46:31</t>
  </si>
  <si>
    <t>CAMCAM0020</t>
  </si>
  <si>
    <t>ago 11, 2025 10:05:44</t>
  </si>
  <si>
    <t>TABCDS0278</t>
  </si>
  <si>
    <t>ago 13, 2025 08:26:33</t>
  </si>
  <si>
    <t>Sahuayo</t>
  </si>
  <si>
    <t>MICSHY1193</t>
  </si>
  <si>
    <t>ago 07, 2025 16:36:35</t>
  </si>
  <si>
    <t>JALTLZ0874</t>
  </si>
  <si>
    <t>ago 12, 2025 23:36:46</t>
  </si>
  <si>
    <t>MICTAR1198</t>
  </si>
  <si>
    <t>ago 04, 2025 08:43:32</t>
  </si>
  <si>
    <t>JALESL0586</t>
  </si>
  <si>
    <t>ago 12, 2025 23:06:57</t>
  </si>
  <si>
    <t>MEXTCG0602</t>
  </si>
  <si>
    <t>ago 11, 2025 18:10:02</t>
  </si>
  <si>
    <t>MEXCHO0111</t>
  </si>
  <si>
    <t>ago 11, 2025 17:45:14</t>
  </si>
  <si>
    <t>VERCTZ0524</t>
  </si>
  <si>
    <t>ago 09, 2025 21:30:30</t>
  </si>
  <si>
    <t>NLEMNM0718</t>
  </si>
  <si>
    <t>ago 12, 2025 13:18:15</t>
  </si>
  <si>
    <t>JALGDL0732</t>
  </si>
  <si>
    <t>ago 07, 2025 14:15:43</t>
  </si>
  <si>
    <t>JALPTL0816</t>
  </si>
  <si>
    <t>ago 08, 2025 12:32:40</t>
  </si>
  <si>
    <t>ago 12, 2025 18:04:37</t>
  </si>
  <si>
    <t>VERCTZ0901</t>
  </si>
  <si>
    <t>ago 12, 2025 17:30:46</t>
  </si>
  <si>
    <t>ago 11, 2025 14:53:01</t>
  </si>
  <si>
    <t>Acapulco</t>
  </si>
  <si>
    <t>GROACA2191</t>
  </si>
  <si>
    <t>ago 14, 2025 17:22:41</t>
  </si>
  <si>
    <t>GROACA0025</t>
  </si>
  <si>
    <t>ago 14, 2025 18:30:15</t>
  </si>
  <si>
    <t>ago 14, 2025 14:05:42</t>
  </si>
  <si>
    <t>GROACA0019</t>
  </si>
  <si>
    <t>ago 14, 2025 12:48:16</t>
  </si>
  <si>
    <t>COLMAN0096</t>
  </si>
  <si>
    <t>ago 13, 2025 18:22:59</t>
  </si>
  <si>
    <t>ago 14, 2025 19:28:24</t>
  </si>
  <si>
    <t>ago 14, 2025 19:30:01</t>
  </si>
  <si>
    <t>Ocozocoautla de Espinosa</t>
  </si>
  <si>
    <t>CHPTPN0115</t>
  </si>
  <si>
    <t>ago 12, 2025 14:12:38</t>
  </si>
  <si>
    <t>BCNTIJ0172</t>
  </si>
  <si>
    <t>ago 14, 2025 17:45:53</t>
  </si>
  <si>
    <t>ago 13, 2025 18:33:16</t>
  </si>
  <si>
    <t>Xalapa</t>
  </si>
  <si>
    <t>VERXPL0963</t>
  </si>
  <si>
    <t>ago 14, 2025 18:41:10</t>
  </si>
  <si>
    <t>ago 14, 2025 16:38:13</t>
  </si>
  <si>
    <t>ago 14, 2025 13:50:48</t>
  </si>
  <si>
    <t>ago 14, 2025 14:32:19</t>
  </si>
  <si>
    <t>ago 13, 2025 23:45:07</t>
  </si>
  <si>
    <t>ago 10, 2025 23:49:16</t>
  </si>
  <si>
    <t>ago 14, 2025 08:05:17</t>
  </si>
  <si>
    <t>ago 11, 2025 12:56:36</t>
  </si>
  <si>
    <t>ago 06, 2025 14:47:29</t>
  </si>
  <si>
    <t>ago 14, 2025 08:40:33</t>
  </si>
  <si>
    <t>ago 14, 2025 07:43:51</t>
  </si>
  <si>
    <t>JALTLZ0888</t>
  </si>
  <si>
    <t>ago 14, 2025 00:34:15</t>
  </si>
  <si>
    <t>YUCKNS0376</t>
  </si>
  <si>
    <t>ago 11, 2025 14:14:15</t>
  </si>
  <si>
    <t>ago 13, 2025 07:03:54</t>
  </si>
  <si>
    <t>ago 13, 2025 20:50:20</t>
  </si>
  <si>
    <t>ago 13, 2025 20:49:12</t>
  </si>
  <si>
    <t>MEXECA0243</t>
  </si>
  <si>
    <t>ago 13, 2025 14:36:01</t>
  </si>
  <si>
    <t>ago 13, 2025 20:00:31</t>
  </si>
  <si>
    <t>ago 12, 2025 09:59:19</t>
  </si>
  <si>
    <t>VERAMR0457</t>
  </si>
  <si>
    <t>ago 13, 2025 15:55:28</t>
  </si>
  <si>
    <t>ago 09, 2025 10:33:33</t>
  </si>
  <si>
    <t>ROOBEJ0800</t>
  </si>
  <si>
    <t>ago 09, 2025 09:04:37</t>
  </si>
  <si>
    <t>ago 06, 2025 10:05:22</t>
  </si>
  <si>
    <t>VERVER0951</t>
  </si>
  <si>
    <t>ago 13, 2025 16:49:02</t>
  </si>
  <si>
    <t>VERNLC0921</t>
  </si>
  <si>
    <t>ago 09, 2025 07:28:04</t>
  </si>
  <si>
    <t>PUECHG0161</t>
  </si>
  <si>
    <t>ago 13, 2025 16:27:45</t>
  </si>
  <si>
    <t>VEREMZ0536</t>
  </si>
  <si>
    <t>ago 13, 2025 16:10:51</t>
  </si>
  <si>
    <t>ago 13, 2025 17:44:13</t>
  </si>
  <si>
    <t>Tierra Blanca Veracruz</t>
  </si>
  <si>
    <t>VERTBL0634</t>
  </si>
  <si>
    <t>ago 13, 2025 15:53:15</t>
  </si>
  <si>
    <t>NFO-111</t>
  </si>
  <si>
    <t>ago 11, 2025 10:29:06</t>
  </si>
  <si>
    <t>TAMVHS1303</t>
  </si>
  <si>
    <t>ago 10, 2025 15:05:20</t>
  </si>
  <si>
    <t>TAMREY1228</t>
  </si>
  <si>
    <t>ago 09, 2025 18:11:35</t>
  </si>
  <si>
    <t>ago 13, 2025 16:49:06</t>
  </si>
  <si>
    <t>ago 13, 2025 16:56:01</t>
  </si>
  <si>
    <t>ago 13, 2025 17:04:47</t>
  </si>
  <si>
    <t>Lerdo de Tejada Veracruz</t>
  </si>
  <si>
    <t>VERSTX0629</t>
  </si>
  <si>
    <t>ago 13, 2025 15:28:10</t>
  </si>
  <si>
    <t>ago 13, 2025 16:26:20</t>
  </si>
  <si>
    <t>ago 13, 2025 14:42:53</t>
  </si>
  <si>
    <t>ago 06, 2025 10:36:15</t>
  </si>
  <si>
    <t>CHHAHM0003</t>
  </si>
  <si>
    <t>ago 13, 2025 12:11:50</t>
  </si>
  <si>
    <t>ago 12, 2025 10:20:50</t>
  </si>
  <si>
    <t>ago 12, 2025 14:26:09</t>
  </si>
  <si>
    <t>SONOPO0806</t>
  </si>
  <si>
    <t>ago 12, 2025 12:55:03</t>
  </si>
  <si>
    <t>TAMALT1013</t>
  </si>
  <si>
    <t>ago 12, 2025 14:12:24</t>
  </si>
  <si>
    <t>GUALEO0290</t>
  </si>
  <si>
    <t>ago 12, 2025 13:38:10</t>
  </si>
  <si>
    <t>ago 12, 2025 14:14:08</t>
  </si>
  <si>
    <t>ago 11, 2025 19:05:11</t>
  </si>
  <si>
    <t>REP053</t>
  </si>
  <si>
    <t>ago 12, 2025 08:41:34</t>
  </si>
  <si>
    <t>ago 12, 2025 12:05:54</t>
  </si>
  <si>
    <t>VERMTT0568</t>
  </si>
  <si>
    <t>ago 12, 2025 10:22:31</t>
  </si>
  <si>
    <t>SLPSLP1518</t>
  </si>
  <si>
    <t>ago 11, 2025 12:37:25</t>
  </si>
  <si>
    <t>JALOJU0793</t>
  </si>
  <si>
    <t>ago 11, 2025 15:33:28</t>
  </si>
  <si>
    <t>ago 12, 2025 09:28:17</t>
  </si>
  <si>
    <t>ago 11, 2025 12:31:17</t>
  </si>
  <si>
    <t>VERALV0857</t>
  </si>
  <si>
    <t>ago 07, 2025 17:21:21</t>
  </si>
  <si>
    <t>TABCML1019</t>
  </si>
  <si>
    <t>ago 07, 2025 19:26:49</t>
  </si>
  <si>
    <t>ago 08, 2025 15:05:55</t>
  </si>
  <si>
    <t>TABCTR0305</t>
  </si>
  <si>
    <t>ago 11, 2025 15:33:17</t>
  </si>
  <si>
    <t>TABHMG0341</t>
  </si>
  <si>
    <t>ago 07, 2025 12:13:05</t>
  </si>
  <si>
    <t>ago 07, 2025 10:29:48</t>
  </si>
  <si>
    <t>ago 12, 2025 08:04:50</t>
  </si>
  <si>
    <t>ago 11, 2025 15:35:40</t>
  </si>
  <si>
    <t>ago 11, 2025 17:31:34</t>
  </si>
  <si>
    <t>ago 11, 2025 15:55:13</t>
  </si>
  <si>
    <t>ago 11, 2025 15:45:40</t>
  </si>
  <si>
    <t>COLARM0065</t>
  </si>
  <si>
    <t>ago 11, 2025 12:58:55</t>
  </si>
  <si>
    <t>ago 06, 2025 21:00:33</t>
  </si>
  <si>
    <t>COLTCN0114</t>
  </si>
  <si>
    <t>ago 11, 2025 09:31:51</t>
  </si>
  <si>
    <t>ago 11, 2025 20:43:04</t>
  </si>
  <si>
    <t>ago 11, 2025 17:20:03</t>
  </si>
  <si>
    <t>BCNTIJ0333</t>
  </si>
  <si>
    <t>ago 11, 2025 15:37:01</t>
  </si>
  <si>
    <t>ago 09, 2025 16:06:42</t>
  </si>
  <si>
    <t>ago 11, 2025 08:35:11</t>
  </si>
  <si>
    <t>ago 09, 2025 21:59:24</t>
  </si>
  <si>
    <t>ago 11, 2025 13:01:06</t>
  </si>
  <si>
    <t>ago 11, 2025 11:40:08</t>
  </si>
  <si>
    <t>ROOBEJ0155</t>
  </si>
  <si>
    <t>TAMNLD1124</t>
  </si>
  <si>
    <t>ago 11, 2025 09:46:57</t>
  </si>
  <si>
    <t>ago 09, 2025 12:02:01</t>
  </si>
  <si>
    <t>VERCOR0491</t>
  </si>
  <si>
    <t>ago 10, 2025 16:39:19</t>
  </si>
  <si>
    <t>TAMNLD1182</t>
  </si>
  <si>
    <t>ago 09, 2025 12:55:39</t>
  </si>
  <si>
    <t>ago 09, 2025 21:19:51</t>
  </si>
  <si>
    <t>BCNTIJ1328</t>
  </si>
  <si>
    <t>ago 11, 2025 07:26:23</t>
  </si>
  <si>
    <t>REP029</t>
  </si>
  <si>
    <t>ago 10, 2025 05:39:08</t>
  </si>
  <si>
    <t>ago 08, 2025 14:03:53</t>
  </si>
  <si>
    <t>ago 08, 2025 16:24:07</t>
  </si>
  <si>
    <t>ago 08, 2025 19:13:50</t>
  </si>
  <si>
    <t>ago 10, 2025 10:01:21</t>
  </si>
  <si>
    <t>ago 10, 2025 14:59:38</t>
  </si>
  <si>
    <t>ago 10, 2025 11:26:31</t>
  </si>
  <si>
    <t>ago 09, 2025 19:15:49</t>
  </si>
  <si>
    <t>BCSPAZ1448</t>
  </si>
  <si>
    <t>ago 09, 2025 19:59:40</t>
  </si>
  <si>
    <t>ago 08, 2025 14:46:02</t>
  </si>
  <si>
    <t>ago 09, 2025 22:56:41</t>
  </si>
  <si>
    <t>VERNLC0581</t>
  </si>
  <si>
    <t>ago 09, 2025 17:14:52</t>
  </si>
  <si>
    <t>GROACA0041</t>
  </si>
  <si>
    <t>ago 09, 2025 16:15:54</t>
  </si>
  <si>
    <t>ago 09, 2025 22:01:51</t>
  </si>
  <si>
    <t>MEXTLB0730</t>
  </si>
  <si>
    <t>ago 06, 2025 11:00:28</t>
  </si>
  <si>
    <t>TAMLLE1065</t>
  </si>
  <si>
    <t>ago 09, 2025 20:45:30</t>
  </si>
  <si>
    <t>ago 09, 2025 18:07:13</t>
  </si>
  <si>
    <t>ago 09, 2025 17:05:55</t>
  </si>
  <si>
    <t>ago 09, 2025 16:21:30</t>
  </si>
  <si>
    <t>GUALEO1801</t>
  </si>
  <si>
    <t>ago 09, 2025 09:04:11</t>
  </si>
  <si>
    <t>VERTBL0631</t>
  </si>
  <si>
    <t>ago 07, 2025 11:07:05</t>
  </si>
  <si>
    <t>CHHCHH0058</t>
  </si>
  <si>
    <t>ago 09, 2025 13:40:22</t>
  </si>
  <si>
    <t>ago 09, 2025 12:31:26</t>
  </si>
  <si>
    <t>ago 09, 2025 10:32:53</t>
  </si>
  <si>
    <t>ago 09, 2025 08:07:19</t>
  </si>
  <si>
    <t>ago 04, 2025 16:33:42</t>
  </si>
  <si>
    <t>ago 04, 2025 19:34:39</t>
  </si>
  <si>
    <t>ago 09, 2025 08:44:17</t>
  </si>
  <si>
    <t>ago 07, 2025 07:28:43</t>
  </si>
  <si>
    <t>ago 08, 2025 14:08:30</t>
  </si>
  <si>
    <t>VERCTZ0530</t>
  </si>
  <si>
    <t>ago 07, 2025 10:35:37</t>
  </si>
  <si>
    <t>ago 07, 2025 15:10:02</t>
  </si>
  <si>
    <t>COLMAN0092</t>
  </si>
  <si>
    <t>ago 08, 2025 12:48:41</t>
  </si>
  <si>
    <t>ago 08, 2025 11:02:29</t>
  </si>
  <si>
    <t>CHHJRZ1768</t>
  </si>
  <si>
    <t>ago 08, 2025 19:17:13</t>
  </si>
  <si>
    <t>MORCVA0214</t>
  </si>
  <si>
    <t>ago 07, 2025 16:01:49</t>
  </si>
  <si>
    <t>ago 08, 2025 17:26:31</t>
  </si>
  <si>
    <t>ago 07, 2025 16:49:13</t>
  </si>
  <si>
    <t>ago 02, 2025 16:24:47</t>
  </si>
  <si>
    <t>ago 08, 2025 16:42:47</t>
  </si>
  <si>
    <t>ago 08, 2025 14:03:36</t>
  </si>
  <si>
    <t>NLEMTY0824</t>
  </si>
  <si>
    <t>ago 08, 2025 15:34:50</t>
  </si>
  <si>
    <t>ago 08, 2025 15:47:31</t>
  </si>
  <si>
    <t>VERSJE0626</t>
  </si>
  <si>
    <t>ago 08, 2025 15:04:18</t>
  </si>
  <si>
    <t>ago 07, 2025 11:27:08</t>
  </si>
  <si>
    <t>ago 04, 2025 16:43:11</t>
  </si>
  <si>
    <t>NLEGEE1462</t>
  </si>
  <si>
    <t>ago 04, 2025 14:52:21</t>
  </si>
  <si>
    <t>ago 08, 2025 15:39:38</t>
  </si>
  <si>
    <t>CHHAHM0004</t>
  </si>
  <si>
    <t>ago 08, 2025 15:23:31</t>
  </si>
  <si>
    <t>ago 08, 2025 14:23:51</t>
  </si>
  <si>
    <t>VERPOZ0604</t>
  </si>
  <si>
    <t>Puerto Vallarta</t>
  </si>
  <si>
    <t>NAYBAH2434</t>
  </si>
  <si>
    <t>ago 07, 2025 18:03:30</t>
  </si>
  <si>
    <t>VERCTZ0511</t>
  </si>
  <si>
    <t>ago 07, 2025 11:39:56</t>
  </si>
  <si>
    <t>VERNLC0582</t>
  </si>
  <si>
    <t>ago 07, 2025 07:00:00</t>
  </si>
  <si>
    <t>CHHCHH0023</t>
  </si>
  <si>
    <t>ago 08, 2025 13:13:33</t>
  </si>
  <si>
    <t>COLMAN0093</t>
  </si>
  <si>
    <t>ago 08, 2025 12:37:17</t>
  </si>
  <si>
    <t>ago 08, 2025 11:15:21</t>
  </si>
  <si>
    <t>CAMCAM0021</t>
  </si>
  <si>
    <t>ago 03, 2025 12:51:52</t>
  </si>
  <si>
    <t>ago 07, 2025 05:30:57</t>
  </si>
  <si>
    <t>VERMTT0918</t>
  </si>
  <si>
    <t>ago 07, 2025 05:42:17</t>
  </si>
  <si>
    <t>JALGDL0710</t>
  </si>
  <si>
    <t>ago 08, 2025 02:00:21</t>
  </si>
  <si>
    <t>CHHCHH1923</t>
  </si>
  <si>
    <t>ago 08, 2025 00:28:56</t>
  </si>
  <si>
    <t>YUCCHX0368</t>
  </si>
  <si>
    <t>ago 07, 2025 10:06:55</t>
  </si>
  <si>
    <t>YUCVLL0514</t>
  </si>
  <si>
    <t>ago 07, 2025 08:17:05</t>
  </si>
  <si>
    <t>ago 07, 2025 22:19:01</t>
  </si>
  <si>
    <t>ago 07, 2025 22:08:08</t>
  </si>
  <si>
    <t>ago 07, 2025 20:35:33</t>
  </si>
  <si>
    <t>GENERATOR &amp; T.S._CONTINGENCIA C4I</t>
  </si>
  <si>
    <t>ago 07, 2025 20:31:32</t>
  </si>
  <si>
    <t>PUEPUE0253</t>
  </si>
  <si>
    <t>ago 05, 2025 12:58:47</t>
  </si>
  <si>
    <t>JALZAP0990</t>
  </si>
  <si>
    <t>ago 07, 2025 20:09:13</t>
  </si>
  <si>
    <t>ago 05, 2025 12:54:43</t>
  </si>
  <si>
    <t>NLEAPO0538</t>
  </si>
  <si>
    <t>ago 07, 2025 14:36:11</t>
  </si>
  <si>
    <t>ago 07, 2025 16:40:02</t>
  </si>
  <si>
    <t>TAMVTR1337</t>
  </si>
  <si>
    <t>ago 07, 2025 17:03:11</t>
  </si>
  <si>
    <t>ago 07, 2025 19:44:18</t>
  </si>
  <si>
    <t>ago 07, 2025 18:34:40</t>
  </si>
  <si>
    <t>JALGDL0608</t>
  </si>
  <si>
    <t>ago 07, 2025 19:11:35</t>
  </si>
  <si>
    <t>CHHDLC0121</t>
  </si>
  <si>
    <t>ago 07, 2025 18:37:07</t>
  </si>
  <si>
    <t>ago 07, 2025 10:27:20</t>
  </si>
  <si>
    <t>ago 07, 2025 15:16:59</t>
  </si>
  <si>
    <t>ago 07, 2025 16:03:52</t>
  </si>
  <si>
    <t>MICPDD1176</t>
  </si>
  <si>
    <t>ago 07, 2025 11:27:59</t>
  </si>
  <si>
    <t>VERVER0669</t>
  </si>
  <si>
    <t>ago 03, 2025 12:42:24</t>
  </si>
  <si>
    <t>JALZAP1023</t>
  </si>
  <si>
    <t>ago 07, 2025 11:22:28</t>
  </si>
  <si>
    <t>ago 07, 2025 09:07:54</t>
  </si>
  <si>
    <t>ago 07, 2025 10:02:44</t>
  </si>
  <si>
    <t>ago 06, 2025 17:29:09</t>
  </si>
  <si>
    <t>ago 07, 2025 09:30:57</t>
  </si>
  <si>
    <t>JALZAP0942</t>
  </si>
  <si>
    <t>ago 07, 2025 08:50:31</t>
  </si>
  <si>
    <t>CHHLPZ0268</t>
  </si>
  <si>
    <t>ago 07, 2025 06:45:27</t>
  </si>
  <si>
    <t>VERJLN0551</t>
  </si>
  <si>
    <t>ago 06, 2025 16:20:43</t>
  </si>
  <si>
    <t>Tala</t>
  </si>
  <si>
    <t>JALTAL0860</t>
  </si>
  <si>
    <t>ago 06, 2025 13:22:54</t>
  </si>
  <si>
    <t>JALJNC0761</t>
  </si>
  <si>
    <t>ago 05, 2025 16:18:45</t>
  </si>
  <si>
    <t>JALPTL0800</t>
  </si>
  <si>
    <t>ago 05, 2025 14:23:07</t>
  </si>
  <si>
    <t>JALZAP0954</t>
  </si>
  <si>
    <t>ago 04, 2025 20:07:51</t>
  </si>
  <si>
    <t>ago 06, 2025 22:27:16</t>
  </si>
  <si>
    <t>TAMMTS1089</t>
  </si>
  <si>
    <t>ago 06, 2025 12:27:06</t>
  </si>
  <si>
    <t>ago 06, 2025 18:23:43</t>
  </si>
  <si>
    <t>VERVER0672</t>
  </si>
  <si>
    <t>ROOSOL1219</t>
  </si>
  <si>
    <t>ago 04, 2025 06:50:06</t>
  </si>
  <si>
    <t>CHHLPZ0269</t>
  </si>
  <si>
    <t>ago 06, 2025 17:27:16</t>
  </si>
  <si>
    <t>ago 05, 2025 20:17:12</t>
  </si>
  <si>
    <t>TABCTR0330</t>
  </si>
  <si>
    <t>ago 06, 2025 15:18:09</t>
  </si>
  <si>
    <t>VERVER0935</t>
  </si>
  <si>
    <t>ago 06, 2025 12:55:54</t>
  </si>
  <si>
    <t>CHHHDP8250</t>
  </si>
  <si>
    <t>ago 06, 2025 15:25:41</t>
  </si>
  <si>
    <t>ago 02, 2025 11:31:25</t>
  </si>
  <si>
    <t>ROOSOL0266</t>
  </si>
  <si>
    <t>ago 01, 2025 15:28:42</t>
  </si>
  <si>
    <t>JALLAG0776</t>
  </si>
  <si>
    <t>ago 04, 2025 09:59:52</t>
  </si>
  <si>
    <t>ROOBEJ0145</t>
  </si>
  <si>
    <t>ago 04, 2025 10:46:02</t>
  </si>
  <si>
    <t>ago 05, 2025 14:34:04</t>
  </si>
  <si>
    <t>ZACJER1571</t>
  </si>
  <si>
    <t>ago 04, 2025 11:57:48</t>
  </si>
  <si>
    <t>ago 04, 2025 11:34:15</t>
  </si>
  <si>
    <t>ago 04, 2025 12:18:59</t>
  </si>
  <si>
    <t>ago 04, 2025 16:24:28</t>
  </si>
  <si>
    <t>CHHJRZ0244</t>
  </si>
  <si>
    <t>ago 05, 2025 13:30:49</t>
  </si>
  <si>
    <t>ago 04, 2025 11:01:28</t>
  </si>
  <si>
    <t>ago 05, 2025 12:22:37</t>
  </si>
  <si>
    <t>ago 05, 2025 12:11:06</t>
  </si>
  <si>
    <t>CHHJRZ0189</t>
  </si>
  <si>
    <t>ago 05, 2025 11:41:39</t>
  </si>
  <si>
    <t>CHHJRZ0256</t>
  </si>
  <si>
    <t>ago 05, 2025 11:43:11</t>
  </si>
  <si>
    <t>ago 03, 2025 07:41:45</t>
  </si>
  <si>
    <t>ago 05, 2025 08:05:23</t>
  </si>
  <si>
    <t>ago 05, 2025 09:23:10</t>
  </si>
  <si>
    <t>ago 05, 2025 09:51:45</t>
  </si>
  <si>
    <t>ago 03, 2025 15:11:21</t>
  </si>
  <si>
    <t>ago 04, 2025 18:32:29</t>
  </si>
  <si>
    <t>TAMCIM1026</t>
  </si>
  <si>
    <t>ago 05, 2025 08:41:02</t>
  </si>
  <si>
    <t>ago 04, 2025 10:34:34</t>
  </si>
  <si>
    <t>ago 04, 2025 23:32:38</t>
  </si>
  <si>
    <t>ago 05, 2025 12:16:37</t>
  </si>
  <si>
    <t>ago 05, 2025 15:52:18</t>
  </si>
  <si>
    <t>ago 06, 2025 13:27:54</t>
  </si>
  <si>
    <t>ago 06, 2025 09:26:28</t>
  </si>
  <si>
    <t>TABCDS0277</t>
  </si>
  <si>
    <t>ago 01, 2025 13:29:23</t>
  </si>
  <si>
    <t>CHPBER0064</t>
  </si>
  <si>
    <t>GUACEL1693</t>
  </si>
  <si>
    <t>ago 06, 2025 07:59:41</t>
  </si>
  <si>
    <t>YUCTZM0807</t>
  </si>
  <si>
    <t>ago 05, 2025 21:34:30</t>
  </si>
  <si>
    <t>ago 04, 2025 20:53:24</t>
  </si>
  <si>
    <t>ago 05, 2025 09:19:16</t>
  </si>
  <si>
    <t>Martinez de la Torre</t>
  </si>
  <si>
    <t>VERSRF0627</t>
  </si>
  <si>
    <t>ago 01, 2025 12:14:51</t>
  </si>
  <si>
    <t>JALTNL0912</t>
  </si>
  <si>
    <t>ago 05, 2025 23:40:59</t>
  </si>
  <si>
    <t>JALGDL0606</t>
  </si>
  <si>
    <t>ago 05, 2025 23:06:58</t>
  </si>
  <si>
    <t>ago 05, 2025 21:33:01</t>
  </si>
  <si>
    <t>ago 05, 2025 20:06:33</t>
  </si>
  <si>
    <t>ago 05, 2025 16:33:39</t>
  </si>
  <si>
    <t>ago 05, 2025 13:34:36</t>
  </si>
  <si>
    <t>MICHID1098</t>
  </si>
  <si>
    <t>ago 03, 2025 07:38:52</t>
  </si>
  <si>
    <t>CHHCRZ1732</t>
  </si>
  <si>
    <t>ago 05, 2025 17:42:37</t>
  </si>
  <si>
    <t>TAMMTS1103</t>
  </si>
  <si>
    <t>ago 05, 2025 11:14:38</t>
  </si>
  <si>
    <t>CAMCTO0057</t>
  </si>
  <si>
    <t>ago 01, 2025 11:26:22</t>
  </si>
  <si>
    <t>ago 05, 2025 16:43:44</t>
  </si>
  <si>
    <t>ago 04, 2025 12:50:27</t>
  </si>
  <si>
    <t>TAMMTS1113</t>
  </si>
  <si>
    <t>ago 05, 2025 12:50:47</t>
  </si>
  <si>
    <t>ago 04, 2025 23:14:07</t>
  </si>
  <si>
    <t>ago 04, 2025 02:11:02</t>
  </si>
  <si>
    <t>MEXSMP0598</t>
  </si>
  <si>
    <t>ago 04, 2025 10:22:44</t>
  </si>
  <si>
    <t>VERCME1577</t>
  </si>
  <si>
    <t>ago 01, 2025 16:05:53</t>
  </si>
  <si>
    <t>ago 04, 2025 12:41:18</t>
  </si>
  <si>
    <t>ago 04, 2025 12:42:22</t>
  </si>
  <si>
    <t>VERCTZ0514</t>
  </si>
  <si>
    <t>ago 03, 2025 06:57:10</t>
  </si>
  <si>
    <t>ago 03, 2025 10:42:21</t>
  </si>
  <si>
    <t>YUCMER0391</t>
  </si>
  <si>
    <t>ago 04, 2025 15:10:00</t>
  </si>
  <si>
    <t>TAMMTS1117</t>
  </si>
  <si>
    <t>ago 04, 2025 13:21:42</t>
  </si>
  <si>
    <t>ago 04, 2025 10:39:43</t>
  </si>
  <si>
    <t>ago 03, 2025 09:27:52</t>
  </si>
  <si>
    <t>MEXNIC0482</t>
  </si>
  <si>
    <t>ago 04, 2025 11:46:04</t>
  </si>
  <si>
    <t>ago 02, 2025 09:05:32</t>
  </si>
  <si>
    <t>San Juan del Rio</t>
  </si>
  <si>
    <t>QTOSJR1431</t>
  </si>
  <si>
    <t>GENERATOR &amp; T.S._MANTO PREVENTIVO</t>
  </si>
  <si>
    <t>ago 04, 2025 11:04:08</t>
  </si>
  <si>
    <t>ago 04, 2025 11:25:10</t>
  </si>
  <si>
    <t>ago 04, 2025 11:43:13</t>
  </si>
  <si>
    <t>ago 04, 2025 11:32:00</t>
  </si>
  <si>
    <t>GUAYUR0550</t>
  </si>
  <si>
    <t>ago 04, 2025 04:39:16</t>
  </si>
  <si>
    <t>ago 03, 2025 22:41:11</t>
  </si>
  <si>
    <t>ago 03, 2025 22:39:42</t>
  </si>
  <si>
    <t>ago 03, 2025 22:37:23</t>
  </si>
  <si>
    <t>VERVER0689</t>
  </si>
  <si>
    <t>ago 03, 2025 13:11:54</t>
  </si>
  <si>
    <t>GROACA0039</t>
  </si>
  <si>
    <t>ago 03, 2025 17:00:50</t>
  </si>
  <si>
    <t>ago 03, 2025 11:18:56</t>
  </si>
  <si>
    <t>ago 03, 2025 12:31:03</t>
  </si>
  <si>
    <t>ago 03, 2025 18:00:40</t>
  </si>
  <si>
    <t>ago 03, 2025 17:52:56</t>
  </si>
  <si>
    <t>ago 03, 2025 17:43:58</t>
  </si>
  <si>
    <t>ago 03, 2025 17:36:30</t>
  </si>
  <si>
    <t>ago 03, 2025 17:25:34</t>
  </si>
  <si>
    <t>ago 03, 2025 15:57:37</t>
  </si>
  <si>
    <t>ago 03, 2025 13:55:53</t>
  </si>
  <si>
    <t>ago 03, 2025 01:19:40</t>
  </si>
  <si>
    <t>TABCDC0273</t>
  </si>
  <si>
    <t>ago 02, 2025 22:53:37</t>
  </si>
  <si>
    <t>ago 02, 2025 19:25:50</t>
  </si>
  <si>
    <t>ago 02, 2025 11:42:11</t>
  </si>
  <si>
    <t>ago 02, 2025 10:35:58</t>
  </si>
  <si>
    <t>BCNMXC0114</t>
  </si>
  <si>
    <t>ago 02, 2025 12:31:27</t>
  </si>
  <si>
    <t>NLEMTY0778</t>
  </si>
  <si>
    <t>ago 02, 2025 12:23:46</t>
  </si>
  <si>
    <t>ago 01, 2025 12:07:35</t>
  </si>
  <si>
    <t>ago 01, 2025 14:14:15</t>
  </si>
  <si>
    <t>ago 01, 2025 16:47:48</t>
  </si>
  <si>
    <t>ago 02, 2025 11:38:53</t>
  </si>
  <si>
    <t>MICTIN1201</t>
  </si>
  <si>
    <t>ago 02, 2025 11:35:10</t>
  </si>
  <si>
    <t>ago 02, 2025 10:32:50</t>
  </si>
  <si>
    <t>ago 02, 2025 11:01:19</t>
  </si>
  <si>
    <t>ago 02, 2025 09:15:15</t>
  </si>
  <si>
    <t>GUAVIL0541</t>
  </si>
  <si>
    <t>ago 02, 2025 09:26:37</t>
  </si>
  <si>
    <t>SONHRS0718</t>
  </si>
  <si>
    <t>ago 02, 2025 08:17:24</t>
  </si>
  <si>
    <t>ago 01, 2025 14:34:58</t>
  </si>
  <si>
    <t>ago 01, 2025 19:56:57</t>
  </si>
  <si>
    <t>TABCDC1026</t>
  </si>
  <si>
    <t>ago 01, 2025 20:42:46</t>
  </si>
  <si>
    <t>ago 01, 2025 18:23:35</t>
  </si>
  <si>
    <t>ago 01, 2025 18:52:11</t>
  </si>
  <si>
    <t>MICTGM1200</t>
  </si>
  <si>
    <t>ago 01, 2025 11:40:29</t>
  </si>
  <si>
    <t>NLEGRS2455</t>
  </si>
  <si>
    <t>ago 01, 2025 17:59:39</t>
  </si>
  <si>
    <t>YUCTNM0502</t>
  </si>
  <si>
    <t>ago 01, 2025 14:41:06</t>
  </si>
  <si>
    <t>COATOR0411</t>
  </si>
  <si>
    <t>ago 01, 2025 15:03:09</t>
  </si>
  <si>
    <t>YUCOLA0483</t>
  </si>
  <si>
    <t>VERTXP0653</t>
  </si>
  <si>
    <t>Papantla</t>
  </si>
  <si>
    <t>VERPPT0619</t>
  </si>
  <si>
    <t>VERMTT0572</t>
  </si>
  <si>
    <t>ago 01, 2025 10:21:39</t>
  </si>
  <si>
    <t>ago 01, 2025 09:44:02</t>
  </si>
  <si>
    <t>ago 01, 2025 02:11:48</t>
  </si>
  <si>
    <t>JALTQL0928</t>
  </si>
  <si>
    <t>JALPTL0817</t>
  </si>
  <si>
    <t>Oaxaca</t>
  </si>
  <si>
    <t>OAXSCX0133</t>
  </si>
  <si>
    <t>MEXNIC0481</t>
  </si>
  <si>
    <t>MICTGM1199</t>
  </si>
  <si>
    <t>ROOOTH0232</t>
  </si>
  <si>
    <t>PUEHZG1405</t>
  </si>
  <si>
    <t>TAMMTS1110</t>
  </si>
  <si>
    <t>MICURU1211</t>
  </si>
  <si>
    <t>Ciudad Allende</t>
  </si>
  <si>
    <t>NLEMNM0720</t>
  </si>
  <si>
    <t>SONHRS0699</t>
  </si>
  <si>
    <t>Cozumel</t>
  </si>
  <si>
    <t>ROOCZM0211</t>
  </si>
  <si>
    <t>ROOSOL0262</t>
  </si>
  <si>
    <t>SONHRS0915</t>
  </si>
  <si>
    <t>VERCTZ0521</t>
  </si>
  <si>
    <t>MEXTEY1255</t>
  </si>
  <si>
    <t>BCNTIJ0295</t>
  </si>
  <si>
    <t>BCNTIJ0245</t>
  </si>
  <si>
    <t>NAYROS1266</t>
  </si>
  <si>
    <t>BCSPAZ0437</t>
  </si>
  <si>
    <t>NAYBAH1247</t>
  </si>
  <si>
    <t>Valle Hermoso</t>
  </si>
  <si>
    <t>TAMVHS1305</t>
  </si>
  <si>
    <t>NLEJRZ0707</t>
  </si>
  <si>
    <t>NLEGRS1831</t>
  </si>
  <si>
    <t>JALTLZ3747</t>
  </si>
  <si>
    <t>JALTLZ0885</t>
  </si>
  <si>
    <t>VERCTZ0904</t>
  </si>
  <si>
    <t>MICMRL1145</t>
  </si>
  <si>
    <t>Zapotlanejo</t>
  </si>
  <si>
    <t>JALZPJ1078</t>
  </si>
  <si>
    <t>Huatulco</t>
  </si>
  <si>
    <t>OAXMRH0116</t>
  </si>
  <si>
    <t>MEXTTT0858</t>
  </si>
  <si>
    <t>MEXNPL0539</t>
  </si>
  <si>
    <t>CAMCAM0017</t>
  </si>
  <si>
    <t>Xicotepec de Juárez</t>
  </si>
  <si>
    <t>PUEXTZ0397</t>
  </si>
  <si>
    <t>NLEDCR0587</t>
  </si>
  <si>
    <t>TAMLLE1683</t>
  </si>
  <si>
    <t>YUCMER6024</t>
  </si>
  <si>
    <t>TAMNLD1153</t>
  </si>
  <si>
    <t>DIFCYN0399</t>
  </si>
  <si>
    <t>TABCDC1027</t>
  </si>
  <si>
    <t>NLEANH0504</t>
  </si>
  <si>
    <t>TAMCSS1041</t>
  </si>
  <si>
    <t>JALGDL1965</t>
  </si>
  <si>
    <t>VERTXT0655</t>
  </si>
  <si>
    <t>TABCML1011</t>
  </si>
  <si>
    <t>TABCTR0314</t>
  </si>
  <si>
    <t>HIDATT0311</t>
  </si>
  <si>
    <t>COASLT0365</t>
  </si>
  <si>
    <t>GUACEL0150</t>
  </si>
  <si>
    <t>TABHMG0344</t>
  </si>
  <si>
    <t>CHHJRZ0201</t>
  </si>
  <si>
    <t>TABCTR0667</t>
  </si>
  <si>
    <t>GUALEO0293</t>
  </si>
  <si>
    <t>Rosarito</t>
  </si>
  <si>
    <t>BCNPYR0135</t>
  </si>
  <si>
    <t>CHHCHH0057</t>
  </si>
  <si>
    <t>MORTTP0425</t>
  </si>
  <si>
    <t>BCNTIJ0191</t>
  </si>
  <si>
    <t>NLEGRS1922</t>
  </si>
  <si>
    <t>SLPVIH1540</t>
  </si>
  <si>
    <t>ZACRIG1580</t>
  </si>
  <si>
    <t>BCNTIJ0265</t>
  </si>
  <si>
    <t>MEXTLB0719</t>
  </si>
  <si>
    <t>NLESNG0983</t>
  </si>
  <si>
    <t>MEXALJ1479</t>
  </si>
  <si>
    <t>YUCMER0429</t>
  </si>
  <si>
    <t>CHPTAP0100</t>
  </si>
  <si>
    <t>REP014</t>
  </si>
  <si>
    <t>COASLT8253</t>
  </si>
  <si>
    <t>BCNTIJ0234</t>
  </si>
  <si>
    <t>BCNTIJ8231</t>
  </si>
  <si>
    <t>OAXJBT0108</t>
  </si>
  <si>
    <t>MORCVA0395</t>
  </si>
  <si>
    <t>PUEATX0156</t>
  </si>
  <si>
    <t>CHPTAP0102</t>
  </si>
  <si>
    <t>TAMMTS1092</t>
  </si>
  <si>
    <t>BCNPYR0132</t>
  </si>
  <si>
    <t>VERALV0456</t>
  </si>
  <si>
    <t>GENERATOR &amp; TS (PREVENTIVO)_EN MODO CONTINUO</t>
  </si>
  <si>
    <t>TAMMTS2270</t>
  </si>
  <si>
    <t>GROACA0026</t>
  </si>
  <si>
    <t>MEXTLC0745</t>
  </si>
  <si>
    <t>CHPTXG0127</t>
  </si>
  <si>
    <t>SINCUL0480</t>
  </si>
  <si>
    <t>TABCTR0311</t>
  </si>
  <si>
    <t>Champoton</t>
  </si>
  <si>
    <t>CAMCTO0054</t>
  </si>
  <si>
    <t>CHHAHM0002</t>
  </si>
  <si>
    <t>CHHCHH0056</t>
  </si>
  <si>
    <t>MEXNEZ0433</t>
  </si>
  <si>
    <t>CHHCMG0116</t>
  </si>
  <si>
    <t>ROOTLM0271</t>
  </si>
  <si>
    <t>CHHAHM0001</t>
  </si>
  <si>
    <t>CHHCHH0055</t>
  </si>
  <si>
    <t>VERALV0451</t>
  </si>
  <si>
    <t>CHHJRZ0198</t>
  </si>
  <si>
    <t>GUASLZ0522</t>
  </si>
  <si>
    <t>GUASDU0493</t>
  </si>
  <si>
    <t>DIFAZC0117</t>
  </si>
  <si>
    <t>JALGDL0677</t>
  </si>
  <si>
    <t>JALTLZ2016</t>
  </si>
  <si>
    <t>SONHRS0690</t>
  </si>
  <si>
    <t>CAMCRN0047</t>
  </si>
  <si>
    <t>CAMCRN0046</t>
  </si>
  <si>
    <t>CAMCRN0037</t>
  </si>
  <si>
    <t>COASLT0344</t>
  </si>
  <si>
    <t>Nueva Italia</t>
  </si>
  <si>
    <t>MICMUG1170</t>
  </si>
  <si>
    <t>MEXTUP0880</t>
  </si>
  <si>
    <t>GUASIL0507</t>
  </si>
  <si>
    <t>VERVER0682</t>
  </si>
  <si>
    <t>TAMNLD1154</t>
  </si>
  <si>
    <t>VERJMP0553</t>
  </si>
  <si>
    <t>VERCTZ0905</t>
  </si>
  <si>
    <t>JALGDL0671</t>
  </si>
  <si>
    <t>JALPTL1990</t>
  </si>
  <si>
    <t>CHHJRZ0226</t>
  </si>
  <si>
    <t>JALTNL2020</t>
  </si>
  <si>
    <t>CAMCAM0006</t>
  </si>
  <si>
    <t>SINELO0502</t>
  </si>
  <si>
    <t>CHPREF0086</t>
  </si>
  <si>
    <t>GUACEL0154</t>
  </si>
  <si>
    <t>GUACEL1696</t>
  </si>
  <si>
    <t>YUCPGS0492</t>
  </si>
  <si>
    <t>BCSPAZ0434</t>
  </si>
  <si>
    <t>NLEJRZ1486</t>
  </si>
  <si>
    <t>DIFIZT7398</t>
  </si>
  <si>
    <t>COAPRR0313</t>
  </si>
  <si>
    <t>CAMCRN0035</t>
  </si>
  <si>
    <t>NLEGEE0666</t>
  </si>
  <si>
    <t>NLECRI0579</t>
  </si>
  <si>
    <t>YUCCNK0371</t>
  </si>
  <si>
    <t>BCNTIJ0292</t>
  </si>
  <si>
    <t>DIFMGH0666</t>
  </si>
  <si>
    <t>VERVER0676</t>
  </si>
  <si>
    <t>TABHMG0342</t>
  </si>
  <si>
    <t>SINCUL0453</t>
  </si>
  <si>
    <t>YUCPGS0488</t>
  </si>
  <si>
    <t>Received</t>
  </si>
  <si>
    <t>YUCMER0399</t>
  </si>
  <si>
    <t>GROACA0029</t>
  </si>
  <si>
    <t>JALZPJ2061</t>
  </si>
  <si>
    <t>MICMRV1168</t>
  </si>
  <si>
    <t>MICMRV1167</t>
  </si>
  <si>
    <t>JALZAP1051</t>
  </si>
  <si>
    <t>Tlaxcala</t>
  </si>
  <si>
    <t>TLAAAC1071</t>
  </si>
  <si>
    <t>JALZAP0972</t>
  </si>
  <si>
    <t>YUCPGS1342</t>
  </si>
  <si>
    <t>CHHSNI0273</t>
  </si>
  <si>
    <t>VERMED0916</t>
  </si>
  <si>
    <t>DC POWER PLANT_REPARACIONES PREVENTIVAS</t>
  </si>
  <si>
    <t>ROOBEJ0176</t>
  </si>
  <si>
    <t>ROOBEJ0156</t>
  </si>
  <si>
    <t>VERVER0948</t>
  </si>
  <si>
    <t>GROCHB8150</t>
  </si>
  <si>
    <t>Agua Dulce</t>
  </si>
  <si>
    <t>VERAGD0448</t>
  </si>
  <si>
    <t>YUCPGS0486</t>
  </si>
  <si>
    <t>BCSCAB0918</t>
  </si>
  <si>
    <t>BCSCAB0406</t>
  </si>
  <si>
    <t>YUCTZM0506</t>
  </si>
  <si>
    <t>AGUAGU1607</t>
  </si>
  <si>
    <t>Acaponeta</t>
  </si>
  <si>
    <t>NAYACP1240</t>
  </si>
  <si>
    <t>AGUJSM0057</t>
  </si>
  <si>
    <t>GUASAL8310</t>
  </si>
  <si>
    <t>GROACA0038</t>
  </si>
  <si>
    <t>PUEPUE0297</t>
  </si>
  <si>
    <t>CHHJRZ0188</t>
  </si>
  <si>
    <t>BCNTIJ0344</t>
  </si>
  <si>
    <t>SONGYM0681</t>
  </si>
  <si>
    <t>SONGYM0668</t>
  </si>
  <si>
    <t>NLEPES1694</t>
  </si>
  <si>
    <t>YUCMER0406</t>
  </si>
  <si>
    <t>MEXVAB0900</t>
  </si>
  <si>
    <t>ROOBEJ0190</t>
  </si>
  <si>
    <t>TABNAC3325</t>
  </si>
  <si>
    <t>VERCTZ0515</t>
  </si>
  <si>
    <t>YUCMER0420</t>
  </si>
  <si>
    <t>GUALEO0297</t>
  </si>
  <si>
    <t>PUEXTZ0398</t>
  </si>
  <si>
    <t>ROOTLM0269</t>
  </si>
  <si>
    <t>JALMGD0781</t>
  </si>
  <si>
    <t>DURCNM0432</t>
  </si>
  <si>
    <t>VERVGR0695</t>
  </si>
  <si>
    <t>VERPUV1752</t>
  </si>
  <si>
    <t>CHHJRZ0255</t>
  </si>
  <si>
    <t>TABCTR0319</t>
  </si>
  <si>
    <t>TAMMTS1102</t>
  </si>
  <si>
    <t>TAMMTS1077</t>
  </si>
  <si>
    <t>BCNENS0044</t>
  </si>
  <si>
    <t>Pochutla</t>
  </si>
  <si>
    <t>OAXPPO1748</t>
  </si>
  <si>
    <t>YUCMER0705</t>
  </si>
  <si>
    <t>GUASAL0469</t>
  </si>
  <si>
    <t>QTOCRR1309</t>
  </si>
  <si>
    <t>QTOHLP3177</t>
  </si>
  <si>
    <t>VERTTN0647</t>
  </si>
  <si>
    <t>MEXNPL0514</t>
  </si>
  <si>
    <t>CAMCAM0008</t>
  </si>
  <si>
    <t>GROACA0058</t>
  </si>
  <si>
    <t>GROACA1153</t>
  </si>
  <si>
    <t>VERCTZ0526</t>
  </si>
  <si>
    <t>NLEGEE0655</t>
  </si>
  <si>
    <t>NLEAPO0520</t>
  </si>
  <si>
    <t>DIFCUJ0357</t>
  </si>
  <si>
    <t>QTOCRR1301</t>
  </si>
  <si>
    <t>YUCCAH0365</t>
  </si>
  <si>
    <t>TABMAC1036</t>
  </si>
  <si>
    <t>AGURIN0062</t>
  </si>
  <si>
    <t>ZACCAL1545</t>
  </si>
  <si>
    <t>GUAGUA0214</t>
  </si>
  <si>
    <t>JALZAP0992</t>
  </si>
  <si>
    <t>MEXVAL0901</t>
  </si>
  <si>
    <t>TABJLP0345</t>
  </si>
  <si>
    <t>NLESLV0954</t>
  </si>
  <si>
    <t>NLEPES2338</t>
  </si>
  <si>
    <t>Juarez</t>
  </si>
  <si>
    <t>NLEJRZ2376</t>
  </si>
  <si>
    <t>PUEPUE0227</t>
  </si>
  <si>
    <t>GROACA0028</t>
  </si>
  <si>
    <t>DIFGAM0516</t>
  </si>
  <si>
    <t>Ciudad Hidalgo</t>
  </si>
  <si>
    <t>CHPSCT0095</t>
  </si>
  <si>
    <t>JALLAG0766</t>
  </si>
  <si>
    <t>Iguala</t>
  </si>
  <si>
    <t>GROBUC0066</t>
  </si>
  <si>
    <t>MEXECA8110</t>
  </si>
  <si>
    <t>MORCVA0195</t>
  </si>
  <si>
    <t>MEXECA0255</t>
  </si>
  <si>
    <t>BCSPAZ0917</t>
  </si>
  <si>
    <t>JALZAP2050</t>
  </si>
  <si>
    <t>NLESBH0937</t>
  </si>
  <si>
    <t>DIFCHT0323</t>
  </si>
  <si>
    <t>SLPMRR1458</t>
  </si>
  <si>
    <t>SLPSLP1477</t>
  </si>
  <si>
    <t>Ojuelos</t>
  </si>
  <si>
    <t>JALOJU0794</t>
  </si>
  <si>
    <t>MORTXC0418</t>
  </si>
  <si>
    <t>JALTLZ6066</t>
  </si>
  <si>
    <t>SONCAJ0651</t>
  </si>
  <si>
    <t>MEXIXP0340</t>
  </si>
  <si>
    <t>ROOBEJ0803</t>
  </si>
  <si>
    <t>ROOOTH0241</t>
  </si>
  <si>
    <t>YUCMER0460</t>
  </si>
  <si>
    <t>DIFCHT0305</t>
  </si>
  <si>
    <t>MORTYN1274</t>
  </si>
  <si>
    <t>Tonalá Chiapas</t>
  </si>
  <si>
    <t>CHPTNL0111</t>
  </si>
  <si>
    <t>CHPTNL1152</t>
  </si>
  <si>
    <t>NLESLV0957</t>
  </si>
  <si>
    <t>VERIXZ0546</t>
  </si>
  <si>
    <t>JALGDL0651</t>
  </si>
  <si>
    <t>NLEDCR0588</t>
  </si>
  <si>
    <t>DIFAZC0102</t>
  </si>
  <si>
    <t>MEXIXT0365</t>
  </si>
  <si>
    <t>VERMTT0565</t>
  </si>
  <si>
    <t>DIFMGH0712</t>
  </si>
  <si>
    <t>DIFMGH0791</t>
  </si>
  <si>
    <t>OAXPPO0128</t>
  </si>
  <si>
    <t>VERIXH0545</t>
  </si>
  <si>
    <t>MEXVAB8239</t>
  </si>
  <si>
    <t>MEXVAB0897</t>
  </si>
  <si>
    <t>CHPCCZ0545</t>
  </si>
  <si>
    <t>NLEPES0878</t>
  </si>
  <si>
    <t>JEVEMS SOLUCIONES INTEGRALES SA DE CV</t>
  </si>
  <si>
    <t>QTOMQS1324</t>
  </si>
  <si>
    <t>MOREMZ0400</t>
  </si>
  <si>
    <t>BCNTIJ0175</t>
  </si>
  <si>
    <t>MEXVIV1651</t>
  </si>
  <si>
    <t>CHHGRM0131</t>
  </si>
  <si>
    <t>YUCPGS0490</t>
  </si>
  <si>
    <t>GUACEL0157</t>
  </si>
  <si>
    <t>MEXCOB0123</t>
  </si>
  <si>
    <t>VERTIH0640</t>
  </si>
  <si>
    <t>CAMKAN0059</t>
  </si>
  <si>
    <t>YUCMER0395</t>
  </si>
  <si>
    <t>ZACJUA1573</t>
  </si>
  <si>
    <t>YUCMER0402</t>
  </si>
  <si>
    <t>HFRE0011</t>
  </si>
  <si>
    <t>NLESNG0986</t>
  </si>
  <si>
    <t>YUCUMA0741</t>
  </si>
  <si>
    <t>GUACEL0151</t>
  </si>
  <si>
    <t>Even Telecom</t>
  </si>
  <si>
    <t>YUCMER0732</t>
  </si>
  <si>
    <t>VERURS0930</t>
  </si>
  <si>
    <t>VERAMR0459</t>
  </si>
  <si>
    <t>CHHJRZ0253</t>
  </si>
  <si>
    <t>VERTBL0633</t>
  </si>
  <si>
    <t>ROOSOL0248</t>
  </si>
  <si>
    <t>ROOSOL0959</t>
  </si>
  <si>
    <t>CHHCHH0039</t>
  </si>
  <si>
    <t>DIFCUJ0366</t>
  </si>
  <si>
    <t>COATOR0416</t>
  </si>
  <si>
    <t>BCSCAB0378</t>
  </si>
  <si>
    <t>ROOBEJ1325</t>
  </si>
  <si>
    <t>NLECDJ1405</t>
  </si>
  <si>
    <t>DIFBEJ0150</t>
  </si>
  <si>
    <t>QTOQTO1412</t>
  </si>
  <si>
    <t>PUEPUE0785</t>
  </si>
  <si>
    <t>MEXECA0261</t>
  </si>
  <si>
    <t>MEXCTI0175</t>
  </si>
  <si>
    <t>BCSCAB0407</t>
  </si>
  <si>
    <t>YUCKTN0809</t>
  </si>
  <si>
    <t>COATOR0404</t>
  </si>
  <si>
    <t>MICMRL1164</t>
  </si>
  <si>
    <t>AGUJSM1666</t>
  </si>
  <si>
    <t>COAMTS0298</t>
  </si>
  <si>
    <t>Santiago Pinotepa Nacional</t>
  </si>
  <si>
    <t>OAXMRC0114</t>
  </si>
  <si>
    <t>SLPSGS2215</t>
  </si>
  <si>
    <t>VERTTN0646</t>
  </si>
  <si>
    <t>TABJLP1033</t>
  </si>
  <si>
    <t>MEXVAB1332</t>
  </si>
  <si>
    <t>VERBOR0874</t>
  </si>
  <si>
    <t>TABNAC0683</t>
  </si>
  <si>
    <t>DIFALO0023</t>
  </si>
  <si>
    <t>JALPVA0848</t>
  </si>
  <si>
    <t>E-COM</t>
  </si>
  <si>
    <t>PUEPUE0761</t>
  </si>
  <si>
    <t>ROOBEJ0797</t>
  </si>
  <si>
    <t>ROOBEJ0207</t>
  </si>
  <si>
    <t>YUCMER0403</t>
  </si>
  <si>
    <t>TAMNLD1123</t>
  </si>
  <si>
    <t>NAYTXP1291</t>
  </si>
  <si>
    <t>YUCTMZ0501</t>
  </si>
  <si>
    <t>DURGOM0483</t>
  </si>
  <si>
    <t>TAMNLD1128</t>
  </si>
  <si>
    <t>TAMNLD1129</t>
  </si>
  <si>
    <t>TAMNLD1192</t>
  </si>
  <si>
    <t>TAMNLD1125</t>
  </si>
  <si>
    <t>JALGDL0660</t>
  </si>
  <si>
    <t>MEXTCM1995</t>
  </si>
  <si>
    <t>ROOOTH0242</t>
  </si>
  <si>
    <t>COASPR0387</t>
  </si>
  <si>
    <t>DURGOM0473</t>
  </si>
  <si>
    <t>TAMVTR1335</t>
  </si>
  <si>
    <t>JALPTL0798</t>
  </si>
  <si>
    <t>Ciudad Mante</t>
  </si>
  <si>
    <t>TAMGNZ1050</t>
  </si>
  <si>
    <t>TABCTR0665</t>
  </si>
  <si>
    <t>CHPREF0547</t>
  </si>
  <si>
    <t>NLEGEZ1471</t>
  </si>
  <si>
    <t>NLESLV0956</t>
  </si>
  <si>
    <t>NLEGRS0691</t>
  </si>
  <si>
    <t>QTOQTO2173</t>
  </si>
  <si>
    <t>QTOMQS1317</t>
  </si>
  <si>
    <t>PUEATX0158</t>
  </si>
  <si>
    <t>GROACA0044</t>
  </si>
  <si>
    <t>NAYJLA1259</t>
  </si>
  <si>
    <t>JALZAP1030</t>
  </si>
  <si>
    <t>MORYAU0301</t>
  </si>
  <si>
    <t>JALESL1919</t>
  </si>
  <si>
    <t>Tulancingo de Bravo</t>
  </si>
  <si>
    <t>HIDTGR0115</t>
  </si>
  <si>
    <t>HIDMNR0020</t>
  </si>
  <si>
    <t>COAART0277</t>
  </si>
  <si>
    <t>GUASIL0497</t>
  </si>
  <si>
    <t>DIFTLP0858</t>
  </si>
  <si>
    <t>VERTXP0652</t>
  </si>
  <si>
    <t>DIFTLP0843</t>
  </si>
  <si>
    <t>NAYMRO1261</t>
  </si>
  <si>
    <t>TLATET1075</t>
  </si>
  <si>
    <t>DIFVEN0927</t>
  </si>
  <si>
    <t>DIFGAM0488</t>
  </si>
  <si>
    <t>DIFGAM1538</t>
  </si>
  <si>
    <t>JALAGU0553</t>
  </si>
  <si>
    <t>DIFBEJ0186</t>
  </si>
  <si>
    <t>JALPVA3562</t>
  </si>
  <si>
    <t>JALBAH0574</t>
  </si>
  <si>
    <t>NAYBAH1248</t>
  </si>
  <si>
    <t>HID-9002</t>
  </si>
  <si>
    <t>Miguel Aleman</t>
  </si>
  <si>
    <t>TAMMGA1067</t>
  </si>
  <si>
    <t>TAMREY1281</t>
  </si>
  <si>
    <t>TAMREY1272</t>
  </si>
  <si>
    <t>TAMREY1276</t>
  </si>
  <si>
    <t>TAMREY1226</t>
  </si>
  <si>
    <t>TLATOC0435</t>
  </si>
  <si>
    <t>MOREMZ0242</t>
  </si>
  <si>
    <t>CHPCCZ0065</t>
  </si>
  <si>
    <t>CHPMRQ0078</t>
  </si>
  <si>
    <t>BCNTIJ0200</t>
  </si>
  <si>
    <t>TAMCIM1033</t>
  </si>
  <si>
    <t>CHPBEA0063</t>
  </si>
  <si>
    <t>MORAYA1229</t>
  </si>
  <si>
    <t>VERCTZ0510</t>
  </si>
  <si>
    <t>TAMTAM1291</t>
  </si>
  <si>
    <t>VERPOZ0607</t>
  </si>
  <si>
    <t>MEXCOB0125</t>
  </si>
  <si>
    <t>JALPTL0815</t>
  </si>
  <si>
    <t>MORJIU0259</t>
  </si>
  <si>
    <t>GROACA0021</t>
  </si>
  <si>
    <t>MEXHUA1719</t>
  </si>
  <si>
    <t>GROACA0009</t>
  </si>
  <si>
    <t>GROACA0035</t>
  </si>
  <si>
    <t>VERCTZ0893</t>
  </si>
  <si>
    <t>Coatepec</t>
  </si>
  <si>
    <t>MEXCOH0126</t>
  </si>
  <si>
    <t>MEXTOL1626</t>
  </si>
  <si>
    <t>TABCML0746</t>
  </si>
  <si>
    <t>TAMALT1007</t>
  </si>
  <si>
    <t>COLMAN0104</t>
  </si>
  <si>
    <t>DIFXCH0958</t>
  </si>
  <si>
    <t>MEXCHL0099</t>
  </si>
  <si>
    <t>MEXIXP0347</t>
  </si>
  <si>
    <t>MEXVCS0915</t>
  </si>
  <si>
    <t>CHPPIJ0082</t>
  </si>
  <si>
    <t>TAMTAM1296</t>
  </si>
  <si>
    <t>MICTNC1202</t>
  </si>
  <si>
    <t>NLEMTY2301</t>
  </si>
  <si>
    <t>DIFGAM0504</t>
  </si>
  <si>
    <t>JAL-5342</t>
  </si>
  <si>
    <t>To be Defined</t>
  </si>
  <si>
    <t>NLEGEB1696</t>
  </si>
  <si>
    <t>NLEGEB0651</t>
  </si>
  <si>
    <t>NLEGEB0654</t>
  </si>
  <si>
    <t>China</t>
  </si>
  <si>
    <t>NLECHN1682</t>
  </si>
  <si>
    <t>BCSCAB0399</t>
  </si>
  <si>
    <t>DIFCYN0431</t>
  </si>
  <si>
    <t>QTOQTO1388</t>
  </si>
  <si>
    <t>JALGDL0714</t>
  </si>
  <si>
    <t>JALGDL0689</t>
  </si>
  <si>
    <t>JALGDL0684</t>
  </si>
  <si>
    <t>TAMTAM2289</t>
  </si>
  <si>
    <t>MORXOC0290</t>
  </si>
  <si>
    <t>JALESL0591</t>
  </si>
  <si>
    <t>JALTLZ0891</t>
  </si>
  <si>
    <t>JALTNL0902</t>
  </si>
  <si>
    <t>JALGDL0632</t>
  </si>
  <si>
    <t>MEXTOL0817</t>
  </si>
  <si>
    <t>HMEX0172</t>
  </si>
  <si>
    <t>Colombia</t>
  </si>
  <si>
    <t>NLEANH0507</t>
  </si>
  <si>
    <t>TAMNLD1152</t>
  </si>
  <si>
    <t>TAMNLD1194</t>
  </si>
  <si>
    <t>MEXECA0273</t>
  </si>
  <si>
    <t>MEXTTT0856</t>
  </si>
  <si>
    <t>CHPOCZ0744</t>
  </si>
  <si>
    <t>NLEANH0505</t>
  </si>
  <si>
    <t>NLEVCI1000</t>
  </si>
  <si>
    <t>MEXCOB0116</t>
  </si>
  <si>
    <t>NLECIE0564</t>
  </si>
  <si>
    <t>PUETEH1069</t>
  </si>
  <si>
    <t>TAMVTR1325</t>
  </si>
  <si>
    <t>TAMVTR1330</t>
  </si>
  <si>
    <t>TAMREY1238</t>
  </si>
  <si>
    <t>TAMREY1211</t>
  </si>
  <si>
    <t>NLEMTY0758</t>
  </si>
  <si>
    <t>TAMALT1019</t>
  </si>
  <si>
    <t>TAMVTR1310</t>
  </si>
  <si>
    <t>TAMNLD1157</t>
  </si>
  <si>
    <t>TAMNLD1186</t>
  </si>
  <si>
    <t>Izucar de Matamoros</t>
  </si>
  <si>
    <t>PUEIZU0193</t>
  </si>
  <si>
    <t>TAMNLD1140</t>
  </si>
  <si>
    <t>PUEPUE0326</t>
  </si>
  <si>
    <t>TAMNLD1146</t>
  </si>
  <si>
    <t>NLEMTY0794</t>
  </si>
  <si>
    <t>TAMNLD1174</t>
  </si>
  <si>
    <t>YUCMER0401</t>
  </si>
  <si>
    <t>SLPMTH1462</t>
  </si>
  <si>
    <t>TAMVTR1338</t>
  </si>
  <si>
    <t>NLEPGG0891</t>
  </si>
  <si>
    <t>Rio Bravo</t>
  </si>
  <si>
    <t>TAMRBV1200</t>
  </si>
  <si>
    <t>TAMREY1212</t>
  </si>
  <si>
    <t>CHPTXG0577</t>
  </si>
  <si>
    <t>CHPTXG0120</t>
  </si>
  <si>
    <t>CHPTXG0116</t>
  </si>
  <si>
    <t>CHPTNL0114</t>
  </si>
  <si>
    <t>TAMVTR1333</t>
  </si>
  <si>
    <t>TAMVTR1326</t>
  </si>
  <si>
    <t>TAMMNT1684</t>
  </si>
  <si>
    <t>MEXIXP0337</t>
  </si>
  <si>
    <t>TAMGNZ1047</t>
  </si>
  <si>
    <t>JALPVA0849</t>
  </si>
  <si>
    <t>JALGDL0702</t>
  </si>
  <si>
    <t>TAMNLD1143</t>
  </si>
  <si>
    <t>TAMNLD1176</t>
  </si>
  <si>
    <t>MEXZUM1341</t>
  </si>
  <si>
    <t>AC POWER &amp; SUBSTATION_MANTO CORRECTIVO</t>
  </si>
  <si>
    <t>HIDZEM2273</t>
  </si>
  <si>
    <t>HIDACX0002</t>
  </si>
  <si>
    <t>Sabinas Hidalgo</t>
  </si>
  <si>
    <t>NLESBH0936</t>
  </si>
  <si>
    <t>TAMNLD1149</t>
  </si>
  <si>
    <t>BCNTIJ0345</t>
  </si>
  <si>
    <t>TAMREY1233</t>
  </si>
  <si>
    <t>TAMREY1229</t>
  </si>
  <si>
    <t>TAMTAM1292</t>
  </si>
  <si>
    <t>TAMMTS1082</t>
  </si>
  <si>
    <t>VEREMZ0531</t>
  </si>
  <si>
    <t>ene 27, 2025 14:31:59</t>
  </si>
  <si>
    <t>NLEGRS1474</t>
  </si>
  <si>
    <t>TAMALT1012</t>
  </si>
  <si>
    <t>JALGDL0715</t>
  </si>
  <si>
    <t>JALPTL0802</t>
  </si>
  <si>
    <t>SINHOM0550</t>
  </si>
  <si>
    <t>TAMNLD1177</t>
  </si>
  <si>
    <t>TAMNLD1189</t>
  </si>
  <si>
    <t>TAMCIM1025</t>
  </si>
  <si>
    <t>TAMMTS1090</t>
  </si>
  <si>
    <t>JALPTL1984</t>
  </si>
  <si>
    <t>TAMNLD1139</t>
  </si>
  <si>
    <t>TAMNLD1170</t>
  </si>
  <si>
    <t>TAMREY2169</t>
  </si>
  <si>
    <t>TAMALT1006</t>
  </si>
  <si>
    <t>TAMMTS1080</t>
  </si>
  <si>
    <t>TAMMTS1093</t>
  </si>
  <si>
    <t>TAMMTS1685</t>
  </si>
  <si>
    <t>CAMCAM0015</t>
  </si>
  <si>
    <t>VERXPL0970</t>
  </si>
  <si>
    <t>CHHCHH0033</t>
  </si>
  <si>
    <t>NAYTPI1274</t>
  </si>
  <si>
    <t>NLEGEE1467</t>
  </si>
  <si>
    <t>NLEABS2235</t>
  </si>
  <si>
    <t>DIFCYN0426</t>
  </si>
  <si>
    <t>DIFTLP0876</t>
  </si>
  <si>
    <t>GUAIRA0252</t>
  </si>
  <si>
    <t>NLEAPO0537</t>
  </si>
  <si>
    <t>SINGVE0515</t>
  </si>
  <si>
    <t>NLESBH0941</t>
  </si>
  <si>
    <t>ROOBLR0799</t>
  </si>
  <si>
    <t>NLESBH0939</t>
  </si>
  <si>
    <t>JALGDL0709</t>
  </si>
  <si>
    <t>NLESLV0953</t>
  </si>
  <si>
    <t>NLEMTY1520</t>
  </si>
  <si>
    <t>JALGDL0609</t>
  </si>
  <si>
    <t>YUCMER0383</t>
  </si>
  <si>
    <t>MEXVIV1816</t>
  </si>
  <si>
    <t>JALSJL0858</t>
  </si>
  <si>
    <t>VERTIH0641</t>
  </si>
  <si>
    <t>VERCSQ0891</t>
  </si>
  <si>
    <t>JALGDL0694</t>
  </si>
  <si>
    <t>JALPTL0804</t>
  </si>
  <si>
    <t>SLPSLP1486</t>
  </si>
  <si>
    <t>ROOSOL0251</t>
  </si>
  <si>
    <t>CHHAQS0013</t>
  </si>
  <si>
    <t>GUALEO0325</t>
  </si>
  <si>
    <t>AC POWER &amp; SUBSTATION_MANTO PREVENTIVO</t>
  </si>
  <si>
    <t>SONHRS0725</t>
  </si>
  <si>
    <t>DESMONTAJE DE SITIO_CONTINGENCIA C4I</t>
  </si>
  <si>
    <t>ROOOTH0231</t>
  </si>
  <si>
    <t>CHHJRZ0184</t>
  </si>
  <si>
    <t>ROOBEJ1323</t>
  </si>
  <si>
    <t>CHPTXG0121</t>
  </si>
  <si>
    <t>MORTYN0288</t>
  </si>
  <si>
    <t>CHPTXG0567</t>
  </si>
  <si>
    <t>GUACEL0178</t>
  </si>
  <si>
    <t>GROEDU0081</t>
  </si>
  <si>
    <t>GROCHB2071</t>
  </si>
  <si>
    <t>TABCTR1336</t>
  </si>
  <si>
    <t>DIFXCH0945</t>
  </si>
  <si>
    <t>VERAQI0463</t>
  </si>
  <si>
    <t>MEXJTC0371</t>
  </si>
  <si>
    <t>MEXIXP0349</t>
  </si>
  <si>
    <t>NLEVCI0999</t>
  </si>
  <si>
    <t>MICMRL1130</t>
  </si>
  <si>
    <t>TABCDS0282</t>
  </si>
  <si>
    <t>COATOR0414</t>
  </si>
  <si>
    <t>TABCTR0308</t>
  </si>
  <si>
    <t>ROOSOL0267</t>
  </si>
  <si>
    <t>SONSMC0812</t>
  </si>
  <si>
    <t>QTOQTO3203</t>
  </si>
  <si>
    <t>JALGDL0707</t>
  </si>
  <si>
    <t>YUCMER0718</t>
  </si>
  <si>
    <t>GUASMA3326</t>
  </si>
  <si>
    <t>QTOQTO1376</t>
  </si>
  <si>
    <t>MEXTLB0722</t>
  </si>
  <si>
    <t>COAMCV1918</t>
  </si>
  <si>
    <t>CAMCRN0039</t>
  </si>
  <si>
    <t>San Felipe</t>
  </si>
  <si>
    <t>GUASFE0495</t>
  </si>
  <si>
    <t>CHPSMJ0097</t>
  </si>
  <si>
    <t>MORCUA0181</t>
  </si>
  <si>
    <t>MORYAU0295</t>
  </si>
  <si>
    <t>TAMCIM1028</t>
  </si>
  <si>
    <t>DIFGAM0455</t>
  </si>
  <si>
    <t>VERBOR0478</t>
  </si>
  <si>
    <t>CHPTXG0560</t>
  </si>
  <si>
    <t>HIDVTZ0161</t>
  </si>
  <si>
    <t>DURGOM2053</t>
  </si>
  <si>
    <t>CHPSCH0094</t>
  </si>
  <si>
    <t>NLEECR2241</t>
  </si>
  <si>
    <t>NLEMTY0833</t>
  </si>
  <si>
    <t>VERPOZ0610</t>
  </si>
  <si>
    <t>DIFBEJ0216</t>
  </si>
  <si>
    <t>PUEPUE0324</t>
  </si>
  <si>
    <t>ZACOJO1577</t>
  </si>
  <si>
    <t>NLEGDP1438</t>
  </si>
  <si>
    <t>TABCTR0652</t>
  </si>
  <si>
    <t>TABCTR0318</t>
  </si>
  <si>
    <t>TABHMG0340</t>
  </si>
  <si>
    <t>TABHMG0343</t>
  </si>
  <si>
    <t>VERCTZ2009</t>
  </si>
  <si>
    <t>TAMPAD1199</t>
  </si>
  <si>
    <t>COLMAN0106</t>
  </si>
  <si>
    <t>COLMAN0103</t>
  </si>
  <si>
    <t>COLMAN0109</t>
  </si>
  <si>
    <t>PUEATX0152</t>
  </si>
  <si>
    <t>YUCMER0452</t>
  </si>
  <si>
    <t>JALPTL0826</t>
  </si>
  <si>
    <t>JALPVA0851</t>
  </si>
  <si>
    <t>GUASMA1930</t>
  </si>
  <si>
    <t>abr 29, 2025 16:59:56</t>
  </si>
  <si>
    <t>DIFTLP0867</t>
  </si>
  <si>
    <t>GROACA0049</t>
  </si>
  <si>
    <t>BCNENS0020</t>
  </si>
  <si>
    <t>NLEAPO1402</t>
  </si>
  <si>
    <t>TABCTR0302</t>
  </si>
  <si>
    <t>VERMTZ0577</t>
  </si>
  <si>
    <t>YUCMER0393</t>
  </si>
  <si>
    <t>Ciudad Guzmán</t>
  </si>
  <si>
    <t>JALAMC0556</t>
  </si>
  <si>
    <t>NLEAPO0539</t>
  </si>
  <si>
    <t>MEXIXS0359</t>
  </si>
  <si>
    <t>YUCMER0424</t>
  </si>
  <si>
    <t>YUCPGS0491</t>
  </si>
  <si>
    <t>BCNMXC0105</t>
  </si>
  <si>
    <t>DIFALO0029</t>
  </si>
  <si>
    <t>GUALEO0291</t>
  </si>
  <si>
    <t>SINHOM0557</t>
  </si>
  <si>
    <t>TAMMTS1107</t>
  </si>
  <si>
    <t>NLEPES1850</t>
  </si>
  <si>
    <t>CHHDLC0122</t>
  </si>
  <si>
    <t>TAMREY1260</t>
  </si>
  <si>
    <t>JALZAP0952</t>
  </si>
  <si>
    <t>NLEMTY1519</t>
  </si>
  <si>
    <t>SLPSGS1469</t>
  </si>
  <si>
    <t>Linares</t>
  </si>
  <si>
    <t>NLELIN0710</t>
  </si>
  <si>
    <t>NLELIN0716</t>
  </si>
  <si>
    <t>NLEALL0501</t>
  </si>
  <si>
    <t>CHPTXC0897</t>
  </si>
  <si>
    <t>JALGDL3319</t>
  </si>
  <si>
    <t>YUCIZA1066</t>
  </si>
  <si>
    <t>JALZTL1081</t>
  </si>
  <si>
    <t>GROACA0037</t>
  </si>
  <si>
    <t>MEXECA0266</t>
  </si>
  <si>
    <t>SINMAZ0573</t>
  </si>
  <si>
    <t>MICURU1213</t>
  </si>
  <si>
    <t>GUASJI0517</t>
  </si>
  <si>
    <t>VERJLG1626</t>
  </si>
  <si>
    <t>VERXPL0715</t>
  </si>
  <si>
    <t>NLEAPO1399</t>
  </si>
  <si>
    <t>CHPTXG0568</t>
  </si>
  <si>
    <t>GUASLZ0523</t>
  </si>
  <si>
    <t>Actopan</t>
  </si>
  <si>
    <t>HIDARL0005</t>
  </si>
  <si>
    <t>VERCOR0498</t>
  </si>
  <si>
    <t>NLEHHI0695</t>
  </si>
  <si>
    <t>JALTLZ0873</t>
  </si>
  <si>
    <t>JALZAT1072</t>
  </si>
  <si>
    <t>ROOSOL1272</t>
  </si>
  <si>
    <t>MEXECA0245</t>
  </si>
  <si>
    <t>GUALEO0371</t>
  </si>
  <si>
    <t>San Francisco del Rincón</t>
  </si>
  <si>
    <t>GUAFRI0210</t>
  </si>
  <si>
    <t>GROCHB0073</t>
  </si>
  <si>
    <t>Teapa</t>
  </si>
  <si>
    <t>TABTEA0358</t>
  </si>
  <si>
    <t>ROOBEJ0594</t>
  </si>
  <si>
    <t>GUASMA2757</t>
  </si>
  <si>
    <t>GUACEL1705</t>
  </si>
  <si>
    <t>JALTNL0922</t>
  </si>
  <si>
    <t>VERCOR2040</t>
  </si>
  <si>
    <t>SLPSLP1511</t>
  </si>
  <si>
    <t>NLEGRS0690</t>
  </si>
  <si>
    <t>YUCPGS1098</t>
  </si>
  <si>
    <t>JALZAP1042</t>
  </si>
  <si>
    <t>MEXCTI0164</t>
  </si>
  <si>
    <t>GUALEO0308</t>
  </si>
  <si>
    <t>PUETEP0390</t>
  </si>
  <si>
    <t>JALACC0551</t>
  </si>
  <si>
    <t>NLEGDP0611</t>
  </si>
  <si>
    <t>GROACA0032</t>
  </si>
  <si>
    <t>MEXHUA2164</t>
  </si>
  <si>
    <t>NLEGAL1429</t>
  </si>
  <si>
    <t>NLESNG0978</t>
  </si>
  <si>
    <t>JALGDL0736</t>
  </si>
  <si>
    <t>JALZPT1079</t>
  </si>
  <si>
    <t>NLEPGG0894</t>
  </si>
  <si>
    <t>NLESNG0984</t>
  </si>
  <si>
    <t>CC210A</t>
  </si>
  <si>
    <t>NLEMTY0731</t>
  </si>
  <si>
    <t>QTOQTO1416</t>
  </si>
  <si>
    <t>TAMREY2383</t>
  </si>
  <si>
    <t>QTOQTO1428</t>
  </si>
  <si>
    <t>NLEJRZ1489</t>
  </si>
  <si>
    <t>abr 12, 2025 15:07:55</t>
  </si>
  <si>
    <t>QTOQTO1411</t>
  </si>
  <si>
    <t>QTOQTO1336</t>
  </si>
  <si>
    <t>DIFCHT0293</t>
  </si>
  <si>
    <t>JALGDL0646</t>
  </si>
  <si>
    <t>GUALEO0348</t>
  </si>
  <si>
    <t>ROOLAZ0225</t>
  </si>
  <si>
    <t>CHPTXG0139</t>
  </si>
  <si>
    <t>QTOCRR1299</t>
  </si>
  <si>
    <t>MEXCTT0189</t>
  </si>
  <si>
    <t>NLECRI0573</t>
  </si>
  <si>
    <t>TABCTR0331</t>
  </si>
  <si>
    <t>OAXSCI0132</t>
  </si>
  <si>
    <t>PUEPUE0304</t>
  </si>
  <si>
    <t>CHPTAP0104</t>
  </si>
  <si>
    <t>PUEPUE0214</t>
  </si>
  <si>
    <t>NLEGEE1463</t>
  </si>
  <si>
    <t>JALZAP2038</t>
  </si>
  <si>
    <t>JALTLZ0871</t>
  </si>
  <si>
    <t>CHHCHH0059</t>
  </si>
  <si>
    <t>TAMMTS1101</t>
  </si>
  <si>
    <t>BCNPYR0141</t>
  </si>
  <si>
    <t>MEXCTI0182</t>
  </si>
  <si>
    <t>NLESNG1566</t>
  </si>
  <si>
    <t>MEXATZ0075</t>
  </si>
  <si>
    <t>VERTXP0649</t>
  </si>
  <si>
    <t>abr 08, 2025 17:59:56</t>
  </si>
  <si>
    <t>MEXAMM1490</t>
  </si>
  <si>
    <t>VERSTX0630</t>
  </si>
  <si>
    <t>VERXPL0708</t>
  </si>
  <si>
    <t>COARAM0319</t>
  </si>
  <si>
    <t>BCSPAZ0435</t>
  </si>
  <si>
    <t>MEXTCM1233</t>
  </si>
  <si>
    <t>TABCTR0670</t>
  </si>
  <si>
    <t>JALPVA0838</t>
  </si>
  <si>
    <t>Tecate</t>
  </si>
  <si>
    <t>BCNTIJ0210</t>
  </si>
  <si>
    <t>HIDZEM0163</t>
  </si>
  <si>
    <t>DIFBEJ0136</t>
  </si>
  <si>
    <t>CHPTAP0099</t>
  </si>
  <si>
    <t>TLATLX1076</t>
  </si>
  <si>
    <t>COASLT0361</t>
  </si>
  <si>
    <t>GUALEO0451</t>
  </si>
  <si>
    <t>abr 02, 2025 17:46:57</t>
  </si>
  <si>
    <t>CAMCRN0540</t>
  </si>
  <si>
    <t>CHPTNL0112</t>
  </si>
  <si>
    <t>TAMALT1008</t>
  </si>
  <si>
    <t>GUALEO0383</t>
  </si>
  <si>
    <t>SINCUL0497</t>
  </si>
  <si>
    <t>TAMNLD1159</t>
  </si>
  <si>
    <t>CHHJRZ0179</t>
  </si>
  <si>
    <t>ROOTLM0272</t>
  </si>
  <si>
    <t>NLEDOG2240</t>
  </si>
  <si>
    <t>NLESNG1568</t>
  </si>
  <si>
    <t>GUALEO0302</t>
  </si>
  <si>
    <t>abr 02, 2025 11:01:57</t>
  </si>
  <si>
    <t>MORPUI0274</t>
  </si>
  <si>
    <t>YUCKAU0374</t>
  </si>
  <si>
    <t>PUEXTZ0399</t>
  </si>
  <si>
    <t>abr 27, 2025 23:49:21</t>
  </si>
  <si>
    <t>BCNTIJ0229</t>
  </si>
  <si>
    <t>San Cristobal de las Casas</t>
  </si>
  <si>
    <t>CHPSCC0091</t>
  </si>
  <si>
    <t>abr 29, 2025 18:59:49</t>
  </si>
  <si>
    <t>VERCOR0487</t>
  </si>
  <si>
    <t>VERFOR0539</t>
  </si>
  <si>
    <t>CHPTNL1149</t>
  </si>
  <si>
    <t>OAXJBT0107</t>
  </si>
  <si>
    <t>VERACY0444</t>
  </si>
  <si>
    <t>VERMTZ0574</t>
  </si>
  <si>
    <t>VERCTY0985</t>
  </si>
  <si>
    <t>DIFCYN0402</t>
  </si>
  <si>
    <t>DIFCYN0384</t>
  </si>
  <si>
    <t>MEXECA0260</t>
  </si>
  <si>
    <t>GUAAPG0132</t>
  </si>
  <si>
    <t>Juventino Rosas Guanajuato</t>
  </si>
  <si>
    <t>GUACJR0185</t>
  </si>
  <si>
    <t>GUACEL0140</t>
  </si>
  <si>
    <t>VERCTZ0892</t>
  </si>
  <si>
    <t>PUEPUE1422</t>
  </si>
  <si>
    <t>San Juan de Los Lagos</t>
  </si>
  <si>
    <t>JALSJL0857</t>
  </si>
  <si>
    <t>MEXVAB0895</t>
  </si>
  <si>
    <t>TABMAC1052</t>
  </si>
  <si>
    <t>CHPTAP0893</t>
  </si>
  <si>
    <t>abr 30, 2025 13:33:30</t>
  </si>
  <si>
    <t>abr 30, 2025 17:02:32</t>
  </si>
  <si>
    <t>MICZAM1231</t>
  </si>
  <si>
    <t>PUEPUE2181</t>
  </si>
  <si>
    <t>YUCMER0449</t>
  </si>
  <si>
    <t>MEXCTI0132</t>
  </si>
  <si>
    <t>abr 22, 2025 23:44:08</t>
  </si>
  <si>
    <t>CHPTAP0103</t>
  </si>
  <si>
    <t>MORCVA0220</t>
  </si>
  <si>
    <t>JALZAP0957</t>
  </si>
  <si>
    <t>MEXTOL0764</t>
  </si>
  <si>
    <t>OAXLCA0110</t>
  </si>
  <si>
    <t>DIFCYN0427</t>
  </si>
  <si>
    <t>OAXSLC1340</t>
  </si>
  <si>
    <t>CAMCAM0026</t>
  </si>
  <si>
    <t>MEXECA0247</t>
  </si>
  <si>
    <t>MEXJIL0369</t>
  </si>
  <si>
    <t>abr 29, 2025 17:01:05</t>
  </si>
  <si>
    <t>abr 30, 2025 13:49:54</t>
  </si>
  <si>
    <t>NLEGRS0688</t>
  </si>
  <si>
    <t>abr 30, 2025 19:16:06</t>
  </si>
  <si>
    <t>abr 30, 2025 22:52:31</t>
  </si>
  <si>
    <t>abr 28, 2025 23:36:08</t>
  </si>
  <si>
    <t>DIFCYN0403</t>
  </si>
  <si>
    <t>abr 29, 2025 13:07:32</t>
  </si>
  <si>
    <t>DIFCYN0411</t>
  </si>
  <si>
    <t>abr 29, 2025 11:06:35</t>
  </si>
  <si>
    <t>abr 30, 2025 14:40:31</t>
  </si>
  <si>
    <t>abr 12, 2025 21:48:30</t>
  </si>
  <si>
    <t>abr 29, 2025 16:00:26</t>
  </si>
  <si>
    <t>abr 28, 2025 12:26:35</t>
  </si>
  <si>
    <t>ROOSOL0623</t>
  </si>
  <si>
    <t>abr 29, 2025 20:02:01</t>
  </si>
  <si>
    <t>ROOBEJ0192</t>
  </si>
  <si>
    <t>abr 21, 2025 14:31:27</t>
  </si>
  <si>
    <t>ROOSOL0622</t>
  </si>
  <si>
    <t>abr 30, 2025 10:04:25</t>
  </si>
  <si>
    <t>MEXCHO0989</t>
  </si>
  <si>
    <t>MEXZUM2073</t>
  </si>
  <si>
    <t>MEXTCM0616</t>
  </si>
  <si>
    <t>TLAAPI0401</t>
  </si>
  <si>
    <t>abr 24, 2025 13:36:35</t>
  </si>
  <si>
    <t>NLEGEE0675</t>
  </si>
  <si>
    <t>abr 30, 2025 18:05:48</t>
  </si>
  <si>
    <t>abr 29, 2025 10:36:17</t>
  </si>
  <si>
    <t>NLEGRS2157</t>
  </si>
  <si>
    <t>abr 29, 2025 11:46:21</t>
  </si>
  <si>
    <t>abr 30, 2025 17:09:39</t>
  </si>
  <si>
    <t>NLEMTY1498</t>
  </si>
  <si>
    <t>abr 30, 2025 15:11:06</t>
  </si>
  <si>
    <t>abr 26, 2025 14:15:08</t>
  </si>
  <si>
    <t>abr 26, 2025 10:49:05</t>
  </si>
  <si>
    <t>abr 29, 2025 12:17:44</t>
  </si>
  <si>
    <t>abr 29, 2025 10:38:09</t>
  </si>
  <si>
    <t>abr 29, 2025 11:38:44</t>
  </si>
  <si>
    <t>NLEJRZ0702</t>
  </si>
  <si>
    <t>abr 24, 2025 13:59:21</t>
  </si>
  <si>
    <t>abr 28, 2025 13:46:48</t>
  </si>
  <si>
    <t>abr 28, 2025 09:13:19</t>
  </si>
  <si>
    <t>abr 22, 2025 10:05:42</t>
  </si>
  <si>
    <t>JALGDL0637</t>
  </si>
  <si>
    <t>abr 25, 2025 12:08:26</t>
  </si>
  <si>
    <t>abr 28, 2025 13:44:44</t>
  </si>
  <si>
    <t>abr 25, 2025 14:53:31</t>
  </si>
  <si>
    <t>abr 25, 2025 16:39:25</t>
  </si>
  <si>
    <t>abr 26, 2025 11:07:40</t>
  </si>
  <si>
    <t>abr 19, 2025 10:30:56</t>
  </si>
  <si>
    <t>abr 19, 2025 08:48:43</t>
  </si>
  <si>
    <t>abr 25, 2025 17:06:00</t>
  </si>
  <si>
    <t>TAMMTS1686</t>
  </si>
  <si>
    <t>abr 28, 2025 15:53:30</t>
  </si>
  <si>
    <t>COATOR0417</t>
  </si>
  <si>
    <t>abr 23, 2025 19:49:48</t>
  </si>
  <si>
    <t>abr 26, 2025 08:54:07</t>
  </si>
  <si>
    <t>abr 28, 2025 16:06:56</t>
  </si>
  <si>
    <t>PUEPUE0298</t>
  </si>
  <si>
    <t>abr 28, 2025 11:10:52</t>
  </si>
  <si>
    <t>abr 24, 2025 15:51:09</t>
  </si>
  <si>
    <t>abr 28, 2025 11:19:25</t>
  </si>
  <si>
    <t>abr 23, 2025 12:24:47</t>
  </si>
  <si>
    <t>ROOOTH0243</t>
  </si>
  <si>
    <t>abr 23, 2025 09:49:44</t>
  </si>
  <si>
    <t>abr 15, 2025 17:42:09</t>
  </si>
  <si>
    <t>abr 29, 2025 11:49:10</t>
  </si>
  <si>
    <t>abr 25, 2025 13:11:47</t>
  </si>
  <si>
    <t>abr 30, 2025 13:58:00</t>
  </si>
  <si>
    <t>abr 22, 2025 10:28:22</t>
  </si>
  <si>
    <t>ROOSOL0252</t>
  </si>
  <si>
    <t>abr 30, 2025 12:44:41</t>
  </si>
  <si>
    <t>abr 29, 2025 16:38:23</t>
  </si>
  <si>
    <t>ROOSOL0249</t>
  </si>
  <si>
    <t>abr 29, 2025 18:44:25</t>
  </si>
  <si>
    <t>abr 30, 2025 12:49:30</t>
  </si>
  <si>
    <t>abr 30, 2025 07:34:23</t>
  </si>
  <si>
    <t>abr 25, 2025 17:38:44</t>
  </si>
  <si>
    <t>abr 29, 2025 13:56:24</t>
  </si>
  <si>
    <t>GUACEL0142</t>
  </si>
  <si>
    <t>abr 23, 2025 09:32:13</t>
  </si>
  <si>
    <t>SINCUL0494</t>
  </si>
  <si>
    <t>abr 29, 2025 12:01:47</t>
  </si>
  <si>
    <t>NLEGDP0648</t>
  </si>
  <si>
    <t>abr 15, 2025 14:17:54</t>
  </si>
  <si>
    <t>abr 29, 2025 20:08:25</t>
  </si>
  <si>
    <t>MEXJUC0374</t>
  </si>
  <si>
    <t>abr 29, 2025 00:38:27</t>
  </si>
  <si>
    <t>abr 17, 2025 10:28:29</t>
  </si>
  <si>
    <t>ROOBEJ0177</t>
  </si>
  <si>
    <t>abr 17, 2025 08:57:36</t>
  </si>
  <si>
    <t>YUCMER0417</t>
  </si>
  <si>
    <t>abr 28, 2025 09:09:46</t>
  </si>
  <si>
    <t>abr 29, 2025 16:16:37</t>
  </si>
  <si>
    <t>COLMAN0101</t>
  </si>
  <si>
    <t>abr 28, 2025 02:29:21</t>
  </si>
  <si>
    <t>ZACRIG1579</t>
  </si>
  <si>
    <t>abr 14, 2025 11:27:18</t>
  </si>
  <si>
    <t>abr 28, 2025 11:25:27</t>
  </si>
  <si>
    <t>abr 22, 2025 11:51:33</t>
  </si>
  <si>
    <t>MICECU1096</t>
  </si>
  <si>
    <t>abr 28, 2025 11:54:49</t>
  </si>
  <si>
    <t>abr 27, 2025 15:02:11</t>
  </si>
  <si>
    <t>abr 26, 2025 15:33:15</t>
  </si>
  <si>
    <t>QTOCRR1298</t>
  </si>
  <si>
    <t>abr 28, 2025 08:15:17</t>
  </si>
  <si>
    <t>abr 27, 2025 09:32:33</t>
  </si>
  <si>
    <t>abr 27, 2025 14:09:01</t>
  </si>
  <si>
    <t>abr 27, 2025 12:25:51</t>
  </si>
  <si>
    <t>abr 16, 2025 12:28:17</t>
  </si>
  <si>
    <t>abr 26, 2025 21:36:12</t>
  </si>
  <si>
    <t>abr 24, 2025 21:30:14</t>
  </si>
  <si>
    <t>abr 27, 2025 18:35:44</t>
  </si>
  <si>
    <t>NLECRI0583</t>
  </si>
  <si>
    <t>abr 25, 2025 12:52:18</t>
  </si>
  <si>
    <t>abr 27, 2025 15:37:48</t>
  </si>
  <si>
    <t>abr 24, 2025 16:52:40</t>
  </si>
  <si>
    <t>abr 27, 2025 14:20:32</t>
  </si>
  <si>
    <t>abr 26, 2025 23:16:56</t>
  </si>
  <si>
    <t>abr 27, 2025 10:06:59</t>
  </si>
  <si>
    <t>abr 27, 2025 10:51:47</t>
  </si>
  <si>
    <t>abr 26, 2025 13:31:05</t>
  </si>
  <si>
    <t>abr 27, 2025 08:19:05</t>
  </si>
  <si>
    <t>abr 26, 2025 13:48:10</t>
  </si>
  <si>
    <t>abr 26, 2025 14:30:13</t>
  </si>
  <si>
    <t>abr 23, 2025 22:08:08</t>
  </si>
  <si>
    <t>abr 24, 2025 14:20:43</t>
  </si>
  <si>
    <t>BCNTIJ0282</t>
  </si>
  <si>
    <t>abr 22, 2025 06:34:53</t>
  </si>
  <si>
    <t>abr 21, 2025 22:44:25</t>
  </si>
  <si>
    <t>abr 21, 2025 10:47:06</t>
  </si>
  <si>
    <t>abr 21, 2025 20:14:49</t>
  </si>
  <si>
    <t>abr 21, 2025 17:17:36</t>
  </si>
  <si>
    <t>abr 15, 2025 18:02:22</t>
  </si>
  <si>
    <t>Topolobampo</t>
  </si>
  <si>
    <t>SINHOM0560</t>
  </si>
  <si>
    <t>abr 16, 2025 10:44:39</t>
  </si>
  <si>
    <t>abr 15, 2025 16:31:52</t>
  </si>
  <si>
    <t>abr 12, 2025 13:02:12</t>
  </si>
  <si>
    <t>abr 07, 2025 10:32:12</t>
  </si>
  <si>
    <t>abr 07, 2025 13:33:28</t>
  </si>
  <si>
    <t>abr 15, 2025 18:20:56</t>
  </si>
  <si>
    <t>abr 18, 2025 15:23:59</t>
  </si>
  <si>
    <t>abr 19, 2025 16:04:55</t>
  </si>
  <si>
    <t>abr 21, 2025 12:31:10</t>
  </si>
  <si>
    <t>abr 21, 2025 11:24:29</t>
  </si>
  <si>
    <t>abr 21, 2025 07:48:55</t>
  </si>
  <si>
    <t>abr 21, 2025 09:37:34</t>
  </si>
  <si>
    <t>CHPTNL0113</t>
  </si>
  <si>
    <t>abr 21, 2025 09:24:07</t>
  </si>
  <si>
    <t>VERPNC0599</t>
  </si>
  <si>
    <t>abr 21, 2025 08:03:49</t>
  </si>
  <si>
    <t>abr 18, 2025 11:59:34</t>
  </si>
  <si>
    <t>abr 20, 2025 14:31:30</t>
  </si>
  <si>
    <t>COATOR0423</t>
  </si>
  <si>
    <t>abr 20, 2025 22:17:16</t>
  </si>
  <si>
    <t>abr 17, 2025 10:41:07</t>
  </si>
  <si>
    <t>abr 14, 2025 14:33:48</t>
  </si>
  <si>
    <t>abr 23, 2025 05:56:27</t>
  </si>
  <si>
    <t>GUALEO1829</t>
  </si>
  <si>
    <t>abr 22, 2025 16:28:06</t>
  </si>
  <si>
    <t>TAMNLD1175</t>
  </si>
  <si>
    <t>abr 23, 2025 07:21:56</t>
  </si>
  <si>
    <t>abr 22, 2025 13:12:22</t>
  </si>
  <si>
    <t>CHPTPN0894</t>
  </si>
  <si>
    <t>abr 21, 2025 13:34:48</t>
  </si>
  <si>
    <t>abr 21, 2025 16:51:59</t>
  </si>
  <si>
    <t>abr 22, 2025 21:49:46</t>
  </si>
  <si>
    <t>abr 21, 2025 23:13:08</t>
  </si>
  <si>
    <t>abr 22, 2025 20:03:07</t>
  </si>
  <si>
    <t>abr 22, 2025 12:03:51</t>
  </si>
  <si>
    <t>abr 22, 2025 17:48:54</t>
  </si>
  <si>
    <t>JALTNL0917</t>
  </si>
  <si>
    <t>abr 15, 2025 22:11:18</t>
  </si>
  <si>
    <t>abr 22, 2025 15:20:24</t>
  </si>
  <si>
    <t>NLESNG0959</t>
  </si>
  <si>
    <t>abr 16, 2025 19:48:47</t>
  </si>
  <si>
    <t>abr 22, 2025 10:29:55</t>
  </si>
  <si>
    <t>abr 18, 2025 08:28:50</t>
  </si>
  <si>
    <t>NLEMTY0779</t>
  </si>
  <si>
    <t>abr 17, 2025 12:13:11</t>
  </si>
  <si>
    <t>JALGDL1952</t>
  </si>
  <si>
    <t>abr 16, 2025 11:18:07</t>
  </si>
  <si>
    <t>abr 20, 2025 22:29:44</t>
  </si>
  <si>
    <t>abr 18, 2025 21:32:15</t>
  </si>
  <si>
    <t>SINCUL0488</t>
  </si>
  <si>
    <t>abr 18, 2025 21:49:01</t>
  </si>
  <si>
    <t>TLATLX0430</t>
  </si>
  <si>
    <t>abr 21, 2025 16:24:26</t>
  </si>
  <si>
    <t>abr 21, 2025 23:35:44</t>
  </si>
  <si>
    <t>NLEMTY0755</t>
  </si>
  <si>
    <t>abr 17, 2025 09:36:03</t>
  </si>
  <si>
    <t>abr 22, 2025 09:55:00</t>
  </si>
  <si>
    <t>abr 24, 2025 15:20:37</t>
  </si>
  <si>
    <t>abr 24, 2025 12:21:01</t>
  </si>
  <si>
    <t>MEXTOL0765</t>
  </si>
  <si>
    <t>abr 24, 2025 16:44:49</t>
  </si>
  <si>
    <t>abr 23, 2025 19:10:27</t>
  </si>
  <si>
    <t>abr 24, 2025 18:24:14</t>
  </si>
  <si>
    <t>VERCSQ0500</t>
  </si>
  <si>
    <t>abr 24, 2025 10:50:15</t>
  </si>
  <si>
    <t>abr 23, 2025 21:44:50</t>
  </si>
  <si>
    <t>abr 23, 2025 21:39:13</t>
  </si>
  <si>
    <t>abr 23, 2025 06:46:52</t>
  </si>
  <si>
    <t>abr 24, 2025 16:39:30</t>
  </si>
  <si>
    <t>TAMMTS1112</t>
  </si>
  <si>
    <t>abr 23, 2025 12:47:39</t>
  </si>
  <si>
    <t>NLEMTY1500</t>
  </si>
  <si>
    <t>abr 15, 2025 17:56:55</t>
  </si>
  <si>
    <t>abr 23, 2025 18:30:32</t>
  </si>
  <si>
    <t>abr 22, 2025 18:43:03</t>
  </si>
  <si>
    <t>JALTQL0930</t>
  </si>
  <si>
    <t>abr 22, 2025 18:44:12</t>
  </si>
  <si>
    <t>abr 22, 2025 18:59:45</t>
  </si>
  <si>
    <t>abr 24, 2025 05:34:35</t>
  </si>
  <si>
    <t>REP049</t>
  </si>
  <si>
    <t>abr 23, 2025 19:27:29</t>
  </si>
  <si>
    <t>abr 07, 2025 12:02:04</t>
  </si>
  <si>
    <t>abr 22, 2025 14:04:23</t>
  </si>
  <si>
    <t>abr 21, 2025 12:44:46</t>
  </si>
  <si>
    <t>TAMTAM8254</t>
  </si>
  <si>
    <t>abr 23, 2025 13:22:42</t>
  </si>
  <si>
    <t>CHHJRZ0249</t>
  </si>
  <si>
    <t>abr 23, 2025 13:54:26</t>
  </si>
  <si>
    <t>abr 21, 2025 14:53:14</t>
  </si>
  <si>
    <t>abr 21, 2025 11:15:24</t>
  </si>
  <si>
    <t>abr 26, 2025 13:14:02</t>
  </si>
  <si>
    <t>abr 26, 2025 11:35:58</t>
  </si>
  <si>
    <t>abr 24, 2025 16:15:02</t>
  </si>
  <si>
    <t>MEXCTT0193</t>
  </si>
  <si>
    <t>abr 26, 2025 12:00:37</t>
  </si>
  <si>
    <t>abr 26, 2025 12:37:51</t>
  </si>
  <si>
    <t>abr 22, 2025 13:25:56</t>
  </si>
  <si>
    <t>NLEGEE1454</t>
  </si>
  <si>
    <t>abr 25, 2025 14:08:50</t>
  </si>
  <si>
    <t>abr 25, 2025 15:55:42</t>
  </si>
  <si>
    <t>abr 24, 2025 12:17:11</t>
  </si>
  <si>
    <t>TABPRS0354</t>
  </si>
  <si>
    <t>abr 25, 2025 21:39:19</t>
  </si>
  <si>
    <t>abr 25, 2025 21:11:40</t>
  </si>
  <si>
    <t>abr 24, 2025 14:17:47</t>
  </si>
  <si>
    <t>abr 25, 2025 15:22:32</t>
  </si>
  <si>
    <t>MEXTOL1788</t>
  </si>
  <si>
    <t>abr 25, 2025 11:40:18</t>
  </si>
  <si>
    <t>abr 25, 2025 11:27:13</t>
  </si>
  <si>
    <t>abr 25, 2025 12:45:57</t>
  </si>
  <si>
    <t>abr 25, 2025 14:03:39</t>
  </si>
  <si>
    <t>JALTNL0906</t>
  </si>
  <si>
    <t>abr 18, 2025 10:56:28</t>
  </si>
  <si>
    <t>abr 25, 2025 11:45:45</t>
  </si>
  <si>
    <t>abr 25, 2025 12:12:37</t>
  </si>
  <si>
    <t>abr 23, 2025 10:45:21</t>
  </si>
  <si>
    <t>PUEPUE0759</t>
  </si>
  <si>
    <t>abr 23, 2025 06:04:41</t>
  </si>
  <si>
    <t>BCNTIJ0298</t>
  </si>
  <si>
    <t>abr 25, 2025 07:30:13</t>
  </si>
  <si>
    <t>abr 24, 2025 09:39:57</t>
  </si>
  <si>
    <t>MORXOC0291</t>
  </si>
  <si>
    <t>abr 24, 2025 11:32:52</t>
  </si>
  <si>
    <t>abr 19, 2025 21:12:17</t>
  </si>
  <si>
    <t>abr 20, 2025 19:38:49</t>
  </si>
  <si>
    <t>abr 20, 2025 12:10:49</t>
  </si>
  <si>
    <t>MEXLRM0376</t>
  </si>
  <si>
    <t>abr 20, 2025 16:38:47</t>
  </si>
  <si>
    <t>TAMREY1267</t>
  </si>
  <si>
    <t>abr 20, 2025 13:20:45</t>
  </si>
  <si>
    <t>abr 20, 2025 07:42:28</t>
  </si>
  <si>
    <t>abr 20, 2025 10:21:14</t>
  </si>
  <si>
    <t>TAMVTR2185</t>
  </si>
  <si>
    <t>abr 20, 2025 12:38:52</t>
  </si>
  <si>
    <t>abr 20, 2025 11:03:59</t>
  </si>
  <si>
    <t>abr 19, 2025 12:36:13</t>
  </si>
  <si>
    <t>TAMVTR1327</t>
  </si>
  <si>
    <t>abr 19, 2025 14:35:01</t>
  </si>
  <si>
    <t>abr 19, 2025 12:49:49</t>
  </si>
  <si>
    <t>abr 19, 2025 14:09:05</t>
  </si>
  <si>
    <t>abr 19, 2025 12:06:43</t>
  </si>
  <si>
    <t>MICURU1219</t>
  </si>
  <si>
    <t>abr 12, 2025 15:20:37</t>
  </si>
  <si>
    <t>Lazaro Cardenas</t>
  </si>
  <si>
    <t>MICLAZ1107</t>
  </si>
  <si>
    <t>abr 15, 2025 13:39:45</t>
  </si>
  <si>
    <t>abr 19, 2025 11:02:07</t>
  </si>
  <si>
    <t>PUETEH0378</t>
  </si>
  <si>
    <t>abr 10, 2025 11:13:25</t>
  </si>
  <si>
    <t>abr 10, 2025 07:02:55</t>
  </si>
  <si>
    <t>abr 18, 2025 08:59:26</t>
  </si>
  <si>
    <t>abr 16, 2025 22:39:37</t>
  </si>
  <si>
    <t>abr 14, 2025 22:45:52</t>
  </si>
  <si>
    <t>NLEJRZ0703</t>
  </si>
  <si>
    <t>abr 16, 2025 17:21:26</t>
  </si>
  <si>
    <t>abr 16, 2025 14:08:46</t>
  </si>
  <si>
    <t>NLECHN0562</t>
  </si>
  <si>
    <t>abr 16, 2025 12:18:05</t>
  </si>
  <si>
    <t>abr 15, 2025 12:34:54</t>
  </si>
  <si>
    <t>abr 15, 2025 10:48:27</t>
  </si>
  <si>
    <t>abr 15, 2025 11:09:14</t>
  </si>
  <si>
    <t>abr 15, 2025 08:25:42</t>
  </si>
  <si>
    <t>abr 15, 2025 08:52:15</t>
  </si>
  <si>
    <t>abr 13, 2025 09:57:25</t>
  </si>
  <si>
    <t>NLECRI0569</t>
  </si>
  <si>
    <t>abr 12, 2025 11:31:57</t>
  </si>
  <si>
    <t>abr 12, 2025 12:56:45</t>
  </si>
  <si>
    <t>abr 14, 2025 12:13:44</t>
  </si>
  <si>
    <t>HIDFIM0013</t>
  </si>
  <si>
    <t>abr 14, 2025 22:26:45</t>
  </si>
  <si>
    <t>abr 14, 2025 21:58:35</t>
  </si>
  <si>
    <t>HIDPAC0043</t>
  </si>
  <si>
    <t>abr 14, 2025 21:51:34</t>
  </si>
  <si>
    <t>JALTQL0929</t>
  </si>
  <si>
    <t>abr 14, 2025 21:29:02</t>
  </si>
  <si>
    <t>abr 14, 2025 21:02:34</t>
  </si>
  <si>
    <t>GUALEO1792</t>
  </si>
  <si>
    <t>abr 14, 2025 15:24:42</t>
  </si>
  <si>
    <t>abr 07, 2025 18:00:01</t>
  </si>
  <si>
    <t>NLEPES2339</t>
  </si>
  <si>
    <t>abr 12, 2025 22:35:28</t>
  </si>
  <si>
    <t>abr 10, 2025 23:00:55</t>
  </si>
  <si>
    <t>abr 12, 2025 10:55:59</t>
  </si>
  <si>
    <t>abr 06, 2025 12:21:42</t>
  </si>
  <si>
    <t>COAGEC0288</t>
  </si>
  <si>
    <t>abr 03, 2025 11:42:39</t>
  </si>
  <si>
    <t>abr 12, 2025 19:28:59</t>
  </si>
  <si>
    <t>abr 14, 2025 13:50:18</t>
  </si>
  <si>
    <t>AGUPBA0060</t>
  </si>
  <si>
    <t>abr 14, 2025 11:16:22</t>
  </si>
  <si>
    <t>DIFCYN0382</t>
  </si>
  <si>
    <t>abr 15, 2025 12:41:31</t>
  </si>
  <si>
    <t>abr 14, 2025 11:57:38</t>
  </si>
  <si>
    <t>abr 16, 2025 15:30:50</t>
  </si>
  <si>
    <t>DIFTLP0855</t>
  </si>
  <si>
    <t>abr 16, 2025 13:56:55</t>
  </si>
  <si>
    <t>abr 15, 2025 21:51:45</t>
  </si>
  <si>
    <t>Moroleon</t>
  </si>
  <si>
    <t>BB-057</t>
  </si>
  <si>
    <t>abr 16, 2025 15:40:01</t>
  </si>
  <si>
    <t>abr 16, 2025 10:54:02</t>
  </si>
  <si>
    <t>abr 16, 2025 11:22:18</t>
  </si>
  <si>
    <t>VERANG0462</t>
  </si>
  <si>
    <t>abr 15, 2025 16:43:51</t>
  </si>
  <si>
    <t>abr 16, 2025 01:48:59</t>
  </si>
  <si>
    <t>CHPSCC0088</t>
  </si>
  <si>
    <t>abr 11, 2025 12:05:51</t>
  </si>
  <si>
    <t>abr 15, 2025 13:04:28</t>
  </si>
  <si>
    <t>abr 14, 2025 16:12:32</t>
  </si>
  <si>
    <t>VERVER0955</t>
  </si>
  <si>
    <t>abr 15, 2025 14:40:54</t>
  </si>
  <si>
    <t>abr 15, 2025 11:31:03</t>
  </si>
  <si>
    <t>abr 14, 2025 10:08:07</t>
  </si>
  <si>
    <t>abr 15, 2025 18:37:00</t>
  </si>
  <si>
    <t>Alvarado</t>
  </si>
  <si>
    <t>VERALV0453</t>
  </si>
  <si>
    <t>abr 15, 2025 16:58:32</t>
  </si>
  <si>
    <t>abr 08, 2025 11:51:16</t>
  </si>
  <si>
    <t>abr 11, 2025 14:36:31</t>
  </si>
  <si>
    <t>abr 15, 2025 12:10:55</t>
  </si>
  <si>
    <t>abr 18, 2025 11:05:51</t>
  </si>
  <si>
    <t>VERCTZ1608</t>
  </si>
  <si>
    <t>abr 18, 2025 11:25:37</t>
  </si>
  <si>
    <t>abr 16, 2025 08:22:18</t>
  </si>
  <si>
    <t>abr 18, 2025 11:00:43</t>
  </si>
  <si>
    <t>abr 18, 2025 15:21:18</t>
  </si>
  <si>
    <t>abr 16, 2025 19:39:14</t>
  </si>
  <si>
    <t>abr 14, 2025 11:29:25</t>
  </si>
  <si>
    <t>CHHJRZ0191</t>
  </si>
  <si>
    <t>abr 18, 2025 10:22:24</t>
  </si>
  <si>
    <t>AGUAGU0045</t>
  </si>
  <si>
    <t>abr 14, 2025 11:11:23</t>
  </si>
  <si>
    <t>abr 18, 2025 07:46:03</t>
  </si>
  <si>
    <t>abr 18, 2025 07:39:30</t>
  </si>
  <si>
    <t>abr 16, 2025 09:38:19</t>
  </si>
  <si>
    <t>DIFALO0062</t>
  </si>
  <si>
    <t>abr 17, 2025 15:30:25</t>
  </si>
  <si>
    <t>abr 15, 2025 21:22:14</t>
  </si>
  <si>
    <t>TABCTR0296</t>
  </si>
  <si>
    <t>abr 16, 2025 17:35:57</t>
  </si>
  <si>
    <t>abr 16, 2025 08:30:45</t>
  </si>
  <si>
    <t>abr 12, 2025 13:20:54</t>
  </si>
  <si>
    <t>MORTXC0286</t>
  </si>
  <si>
    <t>abr 16, 2025 11:48:33</t>
  </si>
  <si>
    <t>MORJIU0262</t>
  </si>
  <si>
    <t>abr 16, 2025 18:13:57</t>
  </si>
  <si>
    <t>DIFTLH0820</t>
  </si>
  <si>
    <t>abr 09, 2025 09:20:48</t>
  </si>
  <si>
    <t>abr 17, 2025 10:21:13</t>
  </si>
  <si>
    <t>QTOQTO1406</t>
  </si>
  <si>
    <t>abr 17, 2025 09:48:16</t>
  </si>
  <si>
    <t>abr 17, 2025 08:22:32</t>
  </si>
  <si>
    <t>abr 12, 2025 12:27:52</t>
  </si>
  <si>
    <t>abr 16, 2025 22:07:47</t>
  </si>
  <si>
    <t>abr 14, 2025 09:34:03</t>
  </si>
  <si>
    <t>CHPTAP0107</t>
  </si>
  <si>
    <t>abr 14, 2025 15:50:10</t>
  </si>
  <si>
    <t>abr 14, 2025 00:19:02</t>
  </si>
  <si>
    <t>abr 07, 2025 10:29:54</t>
  </si>
  <si>
    <t>abr 04, 2025 11:45:19</t>
  </si>
  <si>
    <t>abr 03, 2025 13:07:03</t>
  </si>
  <si>
    <t>abr 12, 2025 21:42:20</t>
  </si>
  <si>
    <t>COASLT0366</t>
  </si>
  <si>
    <t>abr 12, 2025 12:04:17</t>
  </si>
  <si>
    <t>abr 11, 2025 16:18:32</t>
  </si>
  <si>
    <t>abr 10, 2025 11:40:11</t>
  </si>
  <si>
    <t>COASLT8252</t>
  </si>
  <si>
    <t>abr 11, 2025 14:07:20</t>
  </si>
  <si>
    <t>COASLT0380</t>
  </si>
  <si>
    <t>abr 09, 2025 16:10:33</t>
  </si>
  <si>
    <t>abr 05, 2025 11:44:18</t>
  </si>
  <si>
    <t>abr 14, 2025 11:37:21</t>
  </si>
  <si>
    <t>abr 14, 2025 08:12:43</t>
  </si>
  <si>
    <t>BCNMXC0107</t>
  </si>
  <si>
    <t>abr 12, 2025 08:49:55</t>
  </si>
  <si>
    <t>abr 10, 2025 10:42:10</t>
  </si>
  <si>
    <t>abr 10, 2025 11:19:28</t>
  </si>
  <si>
    <t>abr 07, 2025 08:12:33</t>
  </si>
  <si>
    <t>abr 06, 2025 08:26:45</t>
  </si>
  <si>
    <t>abr 03, 2025 11:14:29</t>
  </si>
  <si>
    <t>abr 03, 2025 13:32:32</t>
  </si>
  <si>
    <t>abr 02, 2025 14:46:03</t>
  </si>
  <si>
    <t>BCNMXC0049</t>
  </si>
  <si>
    <t>abr 01, 2025 07:17:34</t>
  </si>
  <si>
    <t>BCNMXC8186</t>
  </si>
  <si>
    <t>San Luis Rio Colorado</t>
  </si>
  <si>
    <t>SONLRC0755</t>
  </si>
  <si>
    <t>BCNMXC0068</t>
  </si>
  <si>
    <t>BCNTIJ0368</t>
  </si>
  <si>
    <t>abr 09, 2025 14:51:43</t>
  </si>
  <si>
    <t>abr 09, 2025 12:43:43</t>
  </si>
  <si>
    <t>abr 06, 2025 12:48:56</t>
  </si>
  <si>
    <t>abr 11, 2025 11:22:44</t>
  </si>
  <si>
    <t>abr 09, 2025 10:35:38</t>
  </si>
  <si>
    <t>JALZAP1054</t>
  </si>
  <si>
    <t>abr 09, 2025 16:24:40</t>
  </si>
  <si>
    <t>abr 07, 2025 13:15:12</t>
  </si>
  <si>
    <t>abr 10, 2025 11:12:58</t>
  </si>
  <si>
    <t>abr 07, 2025 19:21:26</t>
  </si>
  <si>
    <t>abr 08, 2025 17:28:30</t>
  </si>
  <si>
    <t>abr 01, 2025 14:15:52</t>
  </si>
  <si>
    <t>abr 01, 2025 13:17:09</t>
  </si>
  <si>
    <t>CAMCRN0030</t>
  </si>
  <si>
    <t>abr 10, 2025 10:09:44</t>
  </si>
  <si>
    <t>abr 10, 2025 09:14:54</t>
  </si>
  <si>
    <t>abr 10, 2025 08:37:15</t>
  </si>
  <si>
    <t>abr 09, 2025 23:28:49</t>
  </si>
  <si>
    <t>abr 09, 2025 21:59:46</t>
  </si>
  <si>
    <t>NLEGDP1443</t>
  </si>
  <si>
    <t>NLEPES1847</t>
  </si>
  <si>
    <t>NLEAPO0509</t>
  </si>
  <si>
    <t>JALZAP2028</t>
  </si>
  <si>
    <t>abr 09, 2025 21:33:12</t>
  </si>
  <si>
    <t>abr 06, 2025 12:11:18</t>
  </si>
  <si>
    <t>abr 08, 2025 17:57:11</t>
  </si>
  <si>
    <t>abr 08, 2025 16:36:55</t>
  </si>
  <si>
    <t>abr 06, 2025 23:13:34</t>
  </si>
  <si>
    <t>JALGDL0619</t>
  </si>
  <si>
    <t>abr 07, 2025 16:27:57</t>
  </si>
  <si>
    <t>abr 11, 2025 13:37:42</t>
  </si>
  <si>
    <t>abr 10, 2025 17:43:10</t>
  </si>
  <si>
    <t>ZACGDP1568</t>
  </si>
  <si>
    <t>abr 11, 2025 12:20:32</t>
  </si>
  <si>
    <t>abr 10, 2025 14:09:48</t>
  </si>
  <si>
    <t>abr 08, 2025 22:53:29</t>
  </si>
  <si>
    <t>abr 09, 2025 15:39:39</t>
  </si>
  <si>
    <t>abr 11, 2025 11:54:19</t>
  </si>
  <si>
    <t>abr 11, 2025 11:07:15</t>
  </si>
  <si>
    <t>abr 10, 2025 21:02:33</t>
  </si>
  <si>
    <t>abr 01, 2025 11:10:38</t>
  </si>
  <si>
    <t>abr 11, 2025 11:54:34</t>
  </si>
  <si>
    <t>TAMALT1004</t>
  </si>
  <si>
    <t>abr 11, 2025 12:39:25</t>
  </si>
  <si>
    <t>DIFCHT0288</t>
  </si>
  <si>
    <t>abr 10, 2025 12:06:25</t>
  </si>
  <si>
    <t>abr 10, 2025 15:59:17</t>
  </si>
  <si>
    <t>abr 10, 2025 20:03:46</t>
  </si>
  <si>
    <t>ZACRIG2424</t>
  </si>
  <si>
    <t>abr 10, 2025 13:45:17</t>
  </si>
  <si>
    <t>abr 10, 2025 14:24:24</t>
  </si>
  <si>
    <t>abr 10, 2025 15:35:59</t>
  </si>
  <si>
    <t>JALGDL2446</t>
  </si>
  <si>
    <t>abr 08, 2025 19:20:33</t>
  </si>
  <si>
    <t>abr 03, 2025 16:38:06</t>
  </si>
  <si>
    <t>abr 03, 2025 17:49:38</t>
  </si>
  <si>
    <t>abr 08, 2025 19:02:11</t>
  </si>
  <si>
    <t>JALGDL0601</t>
  </si>
  <si>
    <t>abr 09, 2025 16:27:25</t>
  </si>
  <si>
    <t>abr 07, 2025 15:21:27</t>
  </si>
  <si>
    <t>abr 05, 2025 18:40:17</t>
  </si>
  <si>
    <t>abr 03, 2025 16:41:41</t>
  </si>
  <si>
    <t>abr 03, 2025 12:07:00</t>
  </si>
  <si>
    <t>abr 03, 2025 10:16:51</t>
  </si>
  <si>
    <t>abr 01, 2025 15:21:06</t>
  </si>
  <si>
    <t>ALM005</t>
  </si>
  <si>
    <t>abr 07, 2025 13:40:06</t>
  </si>
  <si>
    <t>abr 07, 2025 13:04:33</t>
  </si>
  <si>
    <t>abr 01, 2025 11:55:13</t>
  </si>
  <si>
    <t>abr 07, 2025 15:01:01</t>
  </si>
  <si>
    <t>abr 07, 2025 14:36:16</t>
  </si>
  <si>
    <t>abr 07, 2025 14:07:44</t>
  </si>
  <si>
    <t>abr 07, 2025 17:28:23</t>
  </si>
  <si>
    <t>abr 07, 2025 17:05:46</t>
  </si>
  <si>
    <t>abr 07, 2025 16:41:11</t>
  </si>
  <si>
    <t>NLECRI1420</t>
  </si>
  <si>
    <t>YUCKNS0692</t>
  </si>
  <si>
    <t>abr 11, 2025 09:38:22</t>
  </si>
  <si>
    <t>DIFCUJ0354</t>
  </si>
  <si>
    <t>abr 09, 2025 10:46:43</t>
  </si>
  <si>
    <t>abr 09, 2025 11:57:31</t>
  </si>
  <si>
    <t>CHPTXG0564</t>
  </si>
  <si>
    <t>abr 09, 2025 11:32:13</t>
  </si>
  <si>
    <t>abr 11, 2025 16:12:44</t>
  </si>
  <si>
    <t>abr 06, 2025 19:51:18</t>
  </si>
  <si>
    <t>abr 05, 2025 08:32:32</t>
  </si>
  <si>
    <t>abr 04, 2025 12:51:34</t>
  </si>
  <si>
    <t>abr 02, 2025 17:26:19</t>
  </si>
  <si>
    <t>abr 03, 2025 19:45:25</t>
  </si>
  <si>
    <t>ROOFCP0219</t>
  </si>
  <si>
    <t>abr 03, 2025 22:18:54</t>
  </si>
  <si>
    <t>JALGDL0605</t>
  </si>
  <si>
    <t>abr 09, 2025 16:26:25</t>
  </si>
  <si>
    <t>abr 09, 2025 17:32:00</t>
  </si>
  <si>
    <t>MEXNPL0495</t>
  </si>
  <si>
    <t>abr 08, 2025 17:50:10</t>
  </si>
  <si>
    <t>GUA-REP019H</t>
  </si>
  <si>
    <t>abr 09, 2025 09:29:27</t>
  </si>
  <si>
    <t>abr 09, 2025 10:27:52</t>
  </si>
  <si>
    <t>VERMTT0919</t>
  </si>
  <si>
    <t>abr 09, 2025 12:13:14</t>
  </si>
  <si>
    <t>GUAGUA0225</t>
  </si>
  <si>
    <t>abr 08, 2025 23:28:01</t>
  </si>
  <si>
    <t>abr 09, 2025 10:30:35</t>
  </si>
  <si>
    <t>abr 09, 2025 10:30:28</t>
  </si>
  <si>
    <t>abr 07, 2025 16:01:00</t>
  </si>
  <si>
    <t>TAMGRO1059</t>
  </si>
  <si>
    <t>abr 07, 2025 09:17:30</t>
  </si>
  <si>
    <t>abr 03, 2025 18:32:52</t>
  </si>
  <si>
    <t>abr 07, 2025 23:16:22</t>
  </si>
  <si>
    <t>HIDARL1408</t>
  </si>
  <si>
    <t>abr 08, 2025 21:49:27</t>
  </si>
  <si>
    <t>JALESL0593</t>
  </si>
  <si>
    <t>abr 08, 2025 20:30:57</t>
  </si>
  <si>
    <t>VERCOZ2194</t>
  </si>
  <si>
    <t>abr 08, 2025 16:43:52</t>
  </si>
  <si>
    <t>VERAMR0858</t>
  </si>
  <si>
    <t>abr 08, 2025 15:46:42</t>
  </si>
  <si>
    <t>MEXATZ0041</t>
  </si>
  <si>
    <t>abr 07, 2025 16:10:07</t>
  </si>
  <si>
    <t>abr 08, 2025 16:21:16</t>
  </si>
  <si>
    <t>abr 07, 2025 13:28:17</t>
  </si>
  <si>
    <t>abr 08, 2025 11:33:58</t>
  </si>
  <si>
    <t>JALGDL0727</t>
  </si>
  <si>
    <t>abr 07, 2025 12:53:07</t>
  </si>
  <si>
    <t>abr 08, 2025 10:37:25</t>
  </si>
  <si>
    <t>MEXLRM0375</t>
  </si>
  <si>
    <t>abr 07, 2025 16:13:54</t>
  </si>
  <si>
    <t>TABCML0645</t>
  </si>
  <si>
    <t>abr 08, 2025 09:01:15</t>
  </si>
  <si>
    <t>abr 07, 2025 13:26:59</t>
  </si>
  <si>
    <t>abr 07, 2025 16:31:41</t>
  </si>
  <si>
    <t>abr 07, 2025 21:45:25</t>
  </si>
  <si>
    <t>abr 05, 2025 12:54:05</t>
  </si>
  <si>
    <t>abr 04, 2025 06:11:16</t>
  </si>
  <si>
    <t>abr 07, 2025 07:13:59</t>
  </si>
  <si>
    <t>abr 05, 2025 12:00:06</t>
  </si>
  <si>
    <t>abr 07, 2025 04:49:10</t>
  </si>
  <si>
    <t>PUEATX0740</t>
  </si>
  <si>
    <t>abr 07, 2025 08:52:31</t>
  </si>
  <si>
    <t>PUEPEX0201</t>
  </si>
  <si>
    <t>abr 05, 2025 14:17:29</t>
  </si>
  <si>
    <t>abr 07, 2025 15:03:14</t>
  </si>
  <si>
    <t>GUASAL0481</t>
  </si>
  <si>
    <t>abr 04, 2025 14:49:56</t>
  </si>
  <si>
    <t>GUACEL0165</t>
  </si>
  <si>
    <t>abr 07, 2025 13:23:24</t>
  </si>
  <si>
    <t>abr 07, 2025 08:09:36</t>
  </si>
  <si>
    <t>abr 02, 2025 23:15:50</t>
  </si>
  <si>
    <t>abr 05, 2025 00:09:33</t>
  </si>
  <si>
    <t>abr 07, 2025 08:39:07</t>
  </si>
  <si>
    <t>abr 05, 2025 15:25:30</t>
  </si>
  <si>
    <t>abr 07, 2025 00:10:10</t>
  </si>
  <si>
    <t>MORCVA0215</t>
  </si>
  <si>
    <t>abr 05, 2025 18:26:27</t>
  </si>
  <si>
    <t>abr 05, 2025 16:30:21</t>
  </si>
  <si>
    <t>abr 05, 2025 13:51:34</t>
  </si>
  <si>
    <t>MORCVA0216</t>
  </si>
  <si>
    <t>abr 05, 2025 12:12:25</t>
  </si>
  <si>
    <t>Por Definir</t>
  </si>
  <si>
    <t>TAMTAM2288</t>
  </si>
  <si>
    <t>abr 05, 2025 20:47:32</t>
  </si>
  <si>
    <t>NLESNG0964</t>
  </si>
  <si>
    <t>abr 05, 2025 16:35:16</t>
  </si>
  <si>
    <t>abr 05, 2025 16:24:16</t>
  </si>
  <si>
    <t>abr 05, 2025 16:03:34</t>
  </si>
  <si>
    <t>TAMMTS2344</t>
  </si>
  <si>
    <t>abr 05, 2025 13:37:25</t>
  </si>
  <si>
    <t>SINNVT0601</t>
  </si>
  <si>
    <t>abr 05, 2025 14:48:34</t>
  </si>
  <si>
    <t>abr 05, 2025 10:56:58</t>
  </si>
  <si>
    <t>abr 03, 2025 11:09:47</t>
  </si>
  <si>
    <t>abr 01, 2025 15:40:16</t>
  </si>
  <si>
    <t>abr 04, 2025 11:24:13</t>
  </si>
  <si>
    <t>abr 02, 2025 23:55:19</t>
  </si>
  <si>
    <t>abr 04, 2025 12:06:30</t>
  </si>
  <si>
    <t>abr 04, 2025 09:54:27</t>
  </si>
  <si>
    <t>TAMMNT1074</t>
  </si>
  <si>
    <t>abr 04, 2025 07:21:47</t>
  </si>
  <si>
    <t>QTOSJR1439</t>
  </si>
  <si>
    <t>abr 02, 2025 07:50:03</t>
  </si>
  <si>
    <t>DIFGAM0486</t>
  </si>
  <si>
    <t>abr 03, 2025 23:02:01</t>
  </si>
  <si>
    <t>DIFBEJ0201</t>
  </si>
  <si>
    <t>abr 03, 2025 21:34:46</t>
  </si>
  <si>
    <t>abr 03, 2025 21:27:44</t>
  </si>
  <si>
    <t>MEXTOL0806</t>
  </si>
  <si>
    <t>abr 03, 2025 11:02:21</t>
  </si>
  <si>
    <t>MICMRL1114</t>
  </si>
  <si>
    <t>abr 01, 2025 11:33:25</t>
  </si>
  <si>
    <t>MSOSLP01</t>
  </si>
  <si>
    <t>abr 03, 2025 16:25:16</t>
  </si>
  <si>
    <t>abr 03, 2025 11:39:26</t>
  </si>
  <si>
    <t>abr 03, 2025 12:18:46</t>
  </si>
  <si>
    <t>abr 02, 2025 08:18:41</t>
  </si>
  <si>
    <t>DIFAZC0107</t>
  </si>
  <si>
    <t>abr 02, 2025 14:55:19</t>
  </si>
  <si>
    <t>JALTAL0861</t>
  </si>
  <si>
    <t>abr 02, 2025 00:34:05</t>
  </si>
  <si>
    <t>abr 02, 2025 00:05:34</t>
  </si>
  <si>
    <t>JALZAP1015</t>
  </si>
  <si>
    <t>abr 02, 2025 16:44:45</t>
  </si>
  <si>
    <t>MEXATL0024</t>
  </si>
  <si>
    <t>abr 02, 2025 17:39:54</t>
  </si>
  <si>
    <t>abr 02, 2025 12:17:22</t>
  </si>
  <si>
    <t>abr 02, 2025 11:22:28</t>
  </si>
  <si>
    <t>abr 02, 2025 17:31:02</t>
  </si>
  <si>
    <t>Salvatierra Guanajuato</t>
  </si>
  <si>
    <t>GUASVT0534</t>
  </si>
  <si>
    <t>abr 02, 2025 08:17:17</t>
  </si>
  <si>
    <t>JALZAP1026</t>
  </si>
  <si>
    <t>Pedro Escobedo</t>
  </si>
  <si>
    <t>QTOPDE1326</t>
  </si>
  <si>
    <t>abr 02, 2025 07:38:49</t>
  </si>
  <si>
    <t>abr 02, 2025 16:10:16</t>
  </si>
  <si>
    <t>Tequisquiapan</t>
  </si>
  <si>
    <t>QTOTQQ1448</t>
  </si>
  <si>
    <t>JALPTL1991</t>
  </si>
  <si>
    <t>MEXTTT0862</t>
  </si>
  <si>
    <t>abr 02, 2025 15:35:37</t>
  </si>
  <si>
    <t>abr 02, 2025 12:13:35</t>
  </si>
  <si>
    <t>abr 02, 2025 12:49:37</t>
  </si>
  <si>
    <t>abr 02, 2025 14:13:34</t>
  </si>
  <si>
    <t>PUEPUE0221</t>
  </si>
  <si>
    <t>abr 02, 2025 13:17:26</t>
  </si>
  <si>
    <t>MEXCTI0166</t>
  </si>
  <si>
    <t>abr 02, 2025 12:45:13</t>
  </si>
  <si>
    <t>abr 01, 2025 12:05:37</t>
  </si>
  <si>
    <t>abr 02, 2025 11:28:32</t>
  </si>
  <si>
    <t>NLEGEZ2324</t>
  </si>
  <si>
    <t>NLECDJ0554</t>
  </si>
  <si>
    <t>abr 01, 2025 15:57:51</t>
  </si>
  <si>
    <t>TAMCMG1038</t>
  </si>
  <si>
    <t>TAMREY1592</t>
  </si>
  <si>
    <t>abr 01, 2025 09:26:40</t>
  </si>
  <si>
    <t>YUCMER0697</t>
  </si>
  <si>
    <t>YUCTMX0499</t>
  </si>
  <si>
    <t>ROOBEJ0164</t>
  </si>
  <si>
    <t>SINGVE0524</t>
  </si>
  <si>
    <t>ROOBEJ0945</t>
  </si>
  <si>
    <t>ROOBEJ0601</t>
  </si>
  <si>
    <t>Perote</t>
  </si>
  <si>
    <t>VERPER1743</t>
  </si>
  <si>
    <t>NLECDJ0556</t>
  </si>
  <si>
    <t>NLEPES2378</t>
  </si>
  <si>
    <t>YUCKNS0377</t>
  </si>
  <si>
    <t>TABHMG0339</t>
  </si>
  <si>
    <t>PUEPUE0256</t>
  </si>
  <si>
    <t>CHPTAP0105</t>
  </si>
  <si>
    <t>JALZAP1017</t>
  </si>
  <si>
    <t>NLESNG0989</t>
  </si>
  <si>
    <t>ROOSOL0254</t>
  </si>
  <si>
    <t>VERJLG0549</t>
  </si>
  <si>
    <t>NLECRI0581</t>
  </si>
  <si>
    <t>NLEPGG0890</t>
  </si>
  <si>
    <t>VERPOZ0925</t>
  </si>
  <si>
    <t>SONHRS0721</t>
  </si>
  <si>
    <t>BCNTIJ0362</t>
  </si>
  <si>
    <t>OAXOAX0120</t>
  </si>
  <si>
    <t>NLESNG1576</t>
  </si>
  <si>
    <t>NLEJRZ1492</t>
  </si>
  <si>
    <t>VERMTT0567</t>
  </si>
  <si>
    <t>MEXNPL0544</t>
  </si>
  <si>
    <t>MOREMZ1505</t>
  </si>
  <si>
    <t>BCNTIJ0163</t>
  </si>
  <si>
    <t>YUCUMA1339</t>
  </si>
  <si>
    <t>GROACA1060</t>
  </si>
  <si>
    <t>NLEAPO1397</t>
  </si>
  <si>
    <t>VERCTZ0898</t>
  </si>
  <si>
    <t>CAMCAM6000</t>
  </si>
  <si>
    <t>JALPTL0797</t>
  </si>
  <si>
    <t>BCNTIJ0203</t>
  </si>
  <si>
    <t>NLECRI0584</t>
  </si>
  <si>
    <t>VERBOR0862</t>
  </si>
  <si>
    <t>JALTLZ2923</t>
  </si>
  <si>
    <t>TAMGMZ1045</t>
  </si>
  <si>
    <t>CHPPIJ1147</t>
  </si>
  <si>
    <t>BCNTIJ0237</t>
  </si>
  <si>
    <t>DIFCHT0227</t>
  </si>
  <si>
    <t>NLEAPO0516</t>
  </si>
  <si>
    <t>NLEGEE1452</t>
  </si>
  <si>
    <t>GUASMA0526</t>
  </si>
  <si>
    <t>TAMMAI1066</t>
  </si>
  <si>
    <t>MICZIT3106</t>
  </si>
  <si>
    <t>MORCUA0177</t>
  </si>
  <si>
    <t>MORYAU0302</t>
  </si>
  <si>
    <t>NLEAPO0527</t>
  </si>
  <si>
    <t>NAYBAH2097</t>
  </si>
  <si>
    <t>BCNMXC0099</t>
  </si>
  <si>
    <t>CHHCHH2159</t>
  </si>
  <si>
    <t>TABCML0288</t>
  </si>
  <si>
    <t>COAMCV2199</t>
  </si>
  <si>
    <t>VERCTH0505</t>
  </si>
  <si>
    <t>MICMRL1163</t>
  </si>
  <si>
    <t>MEXHHC1084</t>
  </si>
  <si>
    <t>NLEGEE0678</t>
  </si>
  <si>
    <t>NLEGEE0670</t>
  </si>
  <si>
    <t>NLECRI1416</t>
  </si>
  <si>
    <t>TAMNLD2276</t>
  </si>
  <si>
    <t>CHPTXG0138</t>
  </si>
  <si>
    <t>SLPSLP1476</t>
  </si>
  <si>
    <t>TAMMTS1094</t>
  </si>
  <si>
    <t>ZACAUZ1544</t>
  </si>
  <si>
    <t>MICZAM2571</t>
  </si>
  <si>
    <t>PUEIZU0192</t>
  </si>
  <si>
    <t>CHPTAP0890</t>
  </si>
  <si>
    <t>TABTEA0357</t>
  </si>
  <si>
    <t>NLEAPO0510</t>
  </si>
  <si>
    <t>DURLRD0495</t>
  </si>
  <si>
    <t>TABCTR0298</t>
  </si>
  <si>
    <t>HIDTRO0138</t>
  </si>
  <si>
    <t>NLESGO0945</t>
  </si>
  <si>
    <t>COLCOL0079</t>
  </si>
  <si>
    <t>MEXHUA0298</t>
  </si>
  <si>
    <t>COASLT0338</t>
  </si>
  <si>
    <t>NLEMTY1524</t>
  </si>
  <si>
    <t>SLPVAR1537</t>
  </si>
  <si>
    <t>TAMNLD1144</t>
  </si>
  <si>
    <t>TABCET0284</t>
  </si>
  <si>
    <t>ZACJUA1574</t>
  </si>
  <si>
    <t>PUECUG1391</t>
  </si>
  <si>
    <t>NLESNG0962</t>
  </si>
  <si>
    <t>HIDZRZ0166</t>
  </si>
  <si>
    <t>NAYIXC1257</t>
  </si>
  <si>
    <t>TAMVTR2160</t>
  </si>
  <si>
    <t>MEXZNP1656</t>
  </si>
  <si>
    <t>NAYBAH1249</t>
  </si>
  <si>
    <t>VERJRC0555</t>
  </si>
  <si>
    <t>MICCHU1093</t>
  </si>
  <si>
    <t>PUEACJ0142</t>
  </si>
  <si>
    <t>NLEGEZ1695</t>
  </si>
  <si>
    <t>VERCTZ0899</t>
  </si>
  <si>
    <t>NLEPES2249</t>
  </si>
  <si>
    <t>COLCHT0069</t>
  </si>
  <si>
    <t>ROOBEJ0157</t>
  </si>
  <si>
    <t>NAYTPI1272</t>
  </si>
  <si>
    <t>MEXMET0407</t>
  </si>
  <si>
    <t>TAMMTS1114</t>
  </si>
  <si>
    <t>AGUAGU0046</t>
  </si>
  <si>
    <t>TABCDS0279</t>
  </si>
  <si>
    <t>JALZAP1035</t>
  </si>
  <si>
    <t>GUALEO0341</t>
  </si>
  <si>
    <t>SONNVJ0794</t>
  </si>
  <si>
    <t>SINMAZ0940</t>
  </si>
  <si>
    <t>ene 19, 2025 18:59:08</t>
  </si>
  <si>
    <t>ROOSOL0629</t>
  </si>
  <si>
    <t>Huixtla Oaxaca</t>
  </si>
  <si>
    <t>CHPHXT0076</t>
  </si>
  <si>
    <t>MICZIT1237</t>
  </si>
  <si>
    <t>TAMNLD1181</t>
  </si>
  <si>
    <t>TAMGRO1054</t>
  </si>
  <si>
    <t>VERVER0943</t>
  </si>
  <si>
    <t>MSOAGS01</t>
  </si>
  <si>
    <t>MEXZUM8148</t>
  </si>
  <si>
    <t>PUECUG0178</t>
  </si>
  <si>
    <t>BCNTIJ0185</t>
  </si>
  <si>
    <t>CHPTAP0883</t>
  </si>
  <si>
    <t>BCNTIJ0179</t>
  </si>
  <si>
    <t>JALGDL0635</t>
  </si>
  <si>
    <t>MEXHUA1526</t>
  </si>
  <si>
    <t>JALGDL0642</t>
  </si>
  <si>
    <t>MEXVCA0903</t>
  </si>
  <si>
    <t>MEXTTT0855</t>
  </si>
  <si>
    <t>PUEPUE0281</t>
  </si>
  <si>
    <t>BCNMXC0104</t>
  </si>
  <si>
    <t>VERORI0592</t>
  </si>
  <si>
    <t>JALTNL0923</t>
  </si>
  <si>
    <t>TAMVTR1316</t>
  </si>
  <si>
    <t>MICSAE1190</t>
  </si>
  <si>
    <t>MICPTZ1182</t>
  </si>
  <si>
    <t>MEXATN0035</t>
  </si>
  <si>
    <t>ene 14, 2025 12:55:44</t>
  </si>
  <si>
    <t>Francisco I Madero</t>
  </si>
  <si>
    <t>COAFIM1976</t>
  </si>
  <si>
    <t>NAYTPI2104</t>
  </si>
  <si>
    <t>GUALEO0355</t>
  </si>
  <si>
    <t>BCNTIJ1404</t>
  </si>
  <si>
    <t>AGUAGU1608</t>
  </si>
  <si>
    <t>ROOSOL0259</t>
  </si>
  <si>
    <t>NLEAPO1387</t>
  </si>
  <si>
    <t>NLEAPO0511</t>
  </si>
  <si>
    <t>JALENC0584</t>
  </si>
  <si>
    <t>ene 28, 2025 13:13:56</t>
  </si>
  <si>
    <t>ene 28, 2025 15:52:36</t>
  </si>
  <si>
    <t>ene 29, 2025 21:03:55</t>
  </si>
  <si>
    <t>YUCMER0461</t>
  </si>
  <si>
    <t>MEXTOL0822</t>
  </si>
  <si>
    <t>BCNMXC0071</t>
  </si>
  <si>
    <t>BCNMXC0109</t>
  </si>
  <si>
    <t>MICMRL1147</t>
  </si>
  <si>
    <t>ene 30, 2025 12:13:46</t>
  </si>
  <si>
    <t>Barra de Navidad</t>
  </si>
  <si>
    <t>JALCIH0579</t>
  </si>
  <si>
    <t>MEXIXP0346</t>
  </si>
  <si>
    <t>MICMRL1125</t>
  </si>
  <si>
    <t>GUASFE0494</t>
  </si>
  <si>
    <t>REP021</t>
  </si>
  <si>
    <t>ene 31, 2025 19:39:29</t>
  </si>
  <si>
    <t>MEXAXA1507</t>
  </si>
  <si>
    <t>MEXTEZ0661</t>
  </si>
  <si>
    <t>ZACTRA1583</t>
  </si>
  <si>
    <t>COLCOL0072</t>
  </si>
  <si>
    <t>BCNENS0010</t>
  </si>
  <si>
    <t>MICURU1218</t>
  </si>
  <si>
    <t>VEREMZ0535</t>
  </si>
  <si>
    <t>ene 30, 2025 09:58:20</t>
  </si>
  <si>
    <t>NLEAPO0546</t>
  </si>
  <si>
    <t>ene 30, 2025 15:55:02</t>
  </si>
  <si>
    <t>ene 29, 2025 11:51:02</t>
  </si>
  <si>
    <t>JALGDL0752</t>
  </si>
  <si>
    <t>ene 31, 2025 13:48:39</t>
  </si>
  <si>
    <t>ene 30, 2025 19:00:59</t>
  </si>
  <si>
    <t>MEXNIC0488</t>
  </si>
  <si>
    <t>MEXALJ0013</t>
  </si>
  <si>
    <t>MEXAXA0081</t>
  </si>
  <si>
    <t>MEXECA0225</t>
  </si>
  <si>
    <t>COATOR0418</t>
  </si>
  <si>
    <t>MICALO1086</t>
  </si>
  <si>
    <t>TABCTR0649</t>
  </si>
  <si>
    <t>CAMCAM0018</t>
  </si>
  <si>
    <t>ene 31, 2025 21:17:04</t>
  </si>
  <si>
    <t>ene 31, 2025 14:30:41</t>
  </si>
  <si>
    <t>ene 27, 2025 16:49:39</t>
  </si>
  <si>
    <t>ene 30, 2025 14:41:00</t>
  </si>
  <si>
    <t>ene 27, 2025 12:57:41</t>
  </si>
  <si>
    <t>CHPTNL1151</t>
  </si>
  <si>
    <t>ene 29, 2025 12:57:50</t>
  </si>
  <si>
    <t>ene 30, 2025 14:06:47</t>
  </si>
  <si>
    <t>GUASMA1895</t>
  </si>
  <si>
    <t>ene 30, 2025 13:50:19</t>
  </si>
  <si>
    <t>NLEGDP0619</t>
  </si>
  <si>
    <t>ene 24, 2025 16:12:42</t>
  </si>
  <si>
    <t>ene 25, 2025 12:28:33</t>
  </si>
  <si>
    <t>BCNTIJ0301</t>
  </si>
  <si>
    <t>ene 30, 2025 11:21:10</t>
  </si>
  <si>
    <t>ene 30, 2025 10:58:47</t>
  </si>
  <si>
    <t>ene 28, 2025 17:43:28</t>
  </si>
  <si>
    <t>ene 30, 2025 10:26:47</t>
  </si>
  <si>
    <t>ene 30, 2025 10:23:16</t>
  </si>
  <si>
    <t>ene 29, 2025 09:02:19</t>
  </si>
  <si>
    <t>ene 30, 2025 10:05:03</t>
  </si>
  <si>
    <t>ene 26, 2025 10:14:52</t>
  </si>
  <si>
    <t>ene 30, 2025 09:45:02</t>
  </si>
  <si>
    <t>ene 24, 2025 18:46:53</t>
  </si>
  <si>
    <t>ene 24, 2025 11:17:42</t>
  </si>
  <si>
    <t>ene 25, 2025 22:30:04</t>
  </si>
  <si>
    <t>ene 26, 2025 09:50:03</t>
  </si>
  <si>
    <t>ene 29, 2025 12:51:45</t>
  </si>
  <si>
    <t>ene 29, 2025 12:40:26</t>
  </si>
  <si>
    <t>NLEGEZ0679</t>
  </si>
  <si>
    <t>ene 24, 2025 12:11:45</t>
  </si>
  <si>
    <t>ene 20, 2025 09:58:20</t>
  </si>
  <si>
    <t>ene 23, 2025 11:34:49</t>
  </si>
  <si>
    <t>ene 31, 2025 12:23:01</t>
  </si>
  <si>
    <t>ene 31, 2025 13:16:54</t>
  </si>
  <si>
    <t>ene 31, 2025 10:54:03</t>
  </si>
  <si>
    <t>ene 31, 2025 11:43:51</t>
  </si>
  <si>
    <t>VERVER0671</t>
  </si>
  <si>
    <t>ene 25, 2025 15:27:23</t>
  </si>
  <si>
    <t>ene 31, 2025 21:06:15</t>
  </si>
  <si>
    <t>ene 26, 2025 14:14:16</t>
  </si>
  <si>
    <t>ene 29, 2025 18:17:10</t>
  </si>
  <si>
    <t>VERVER0684</t>
  </si>
  <si>
    <t>ene 31, 2025 15:19:38</t>
  </si>
  <si>
    <t>NLEAPO0542</t>
  </si>
  <si>
    <t>ene 16, 2025 13:17:23</t>
  </si>
  <si>
    <t>ene 31, 2025 11:32:40</t>
  </si>
  <si>
    <t>ene 23, 2025 17:40:17</t>
  </si>
  <si>
    <t>NLEGDP1441</t>
  </si>
  <si>
    <t>ene 24, 2025 17:02:52</t>
  </si>
  <si>
    <t>ene 23, 2025 15:55:15</t>
  </si>
  <si>
    <t>ene 22, 2025 10:59:13</t>
  </si>
  <si>
    <t>ene 21, 2025 11:46:19</t>
  </si>
  <si>
    <t>ene 20, 2025 08:03:29</t>
  </si>
  <si>
    <t>ene 25, 2025 10:42:58</t>
  </si>
  <si>
    <t>ene 23, 2025 14:18:23</t>
  </si>
  <si>
    <t>ene 17, 2025 13:34:17</t>
  </si>
  <si>
    <t>ene 14, 2025 13:19:26</t>
  </si>
  <si>
    <t>ene 29, 2025 13:49:28</t>
  </si>
  <si>
    <t>ene 29, 2025 16:28:15</t>
  </si>
  <si>
    <t>ene 29, 2025 10:24:44</t>
  </si>
  <si>
    <t>ene 29, 2025 11:35:19</t>
  </si>
  <si>
    <t>ene 29, 2025 14:43:22</t>
  </si>
  <si>
    <t>SINCUL0934</t>
  </si>
  <si>
    <t>ene 29, 2025 12:58:18</t>
  </si>
  <si>
    <t>ene 29, 2025 13:48:04</t>
  </si>
  <si>
    <t>TAMGNZ1049</t>
  </si>
  <si>
    <t>ene 29, 2025 11:22:00</t>
  </si>
  <si>
    <t>Ciudad Acuña</t>
  </si>
  <si>
    <t>COACAN0281</t>
  </si>
  <si>
    <t>ene 28, 2025 16:56:02</t>
  </si>
  <si>
    <t>ene 29, 2025 11:34:50</t>
  </si>
  <si>
    <t>ene 25, 2025 14:30:05</t>
  </si>
  <si>
    <t>ene 27, 2025 14:38:45</t>
  </si>
  <si>
    <t>ene 29, 2025 08:43:54</t>
  </si>
  <si>
    <t>ene 29, 2025 11:26:26</t>
  </si>
  <si>
    <t>NLEMTY0781</t>
  </si>
  <si>
    <t>ene 17, 2025 13:53:18</t>
  </si>
  <si>
    <t>ene 29, 2025 10:30:45</t>
  </si>
  <si>
    <t>BCNTCT0151</t>
  </si>
  <si>
    <t>ene 29, 2025 09:31:07</t>
  </si>
  <si>
    <t>SINMAZ0939</t>
  </si>
  <si>
    <t>ene 25, 2025 13:41:16</t>
  </si>
  <si>
    <t>SINMAZ0563</t>
  </si>
  <si>
    <t>ene 25, 2025 14:51:47</t>
  </si>
  <si>
    <t>ene 02, 2025 10:30:07</t>
  </si>
  <si>
    <t>NLEMTY0820</t>
  </si>
  <si>
    <t>ene 18, 2025 12:24:13</t>
  </si>
  <si>
    <t>ene 21, 2025 18:02:42</t>
  </si>
  <si>
    <t>VERACJ0442</t>
  </si>
  <si>
    <t>ene 27, 2025 15:34:25</t>
  </si>
  <si>
    <t>ene 24, 2025 23:15:11</t>
  </si>
  <si>
    <t>ene 23, 2025 09:43:07</t>
  </si>
  <si>
    <t>JALTUX0931</t>
  </si>
  <si>
    <t>ene 28, 2025 11:45:52</t>
  </si>
  <si>
    <t>ene 27, 2025 13:01:54</t>
  </si>
  <si>
    <t>ene 28, 2025 11:16:16</t>
  </si>
  <si>
    <t>YUCMER0436</t>
  </si>
  <si>
    <t>ene 28, 2025 13:54:56</t>
  </si>
  <si>
    <t>CHHJRZ0242</t>
  </si>
  <si>
    <t>ene 28, 2025 13:59:12</t>
  </si>
  <si>
    <t>ene 27, 2025 12:02:44</t>
  </si>
  <si>
    <t>ene 18, 2025 16:33:09</t>
  </si>
  <si>
    <t>ene 18, 2025 18:58:02</t>
  </si>
  <si>
    <t>ene 20, 2025 10:10:52</t>
  </si>
  <si>
    <t>ene 27, 2025 09:18:43</t>
  </si>
  <si>
    <t>ene 28, 2025 11:30:34</t>
  </si>
  <si>
    <t>BCNTIJ1192</t>
  </si>
  <si>
    <t>ene 28, 2025 09:19:09</t>
  </si>
  <si>
    <t>ene 26, 2025 18:04:00</t>
  </si>
  <si>
    <t>PUEOYN0200</t>
  </si>
  <si>
    <t>ene 27, 2025 11:23:08</t>
  </si>
  <si>
    <t>ene 27, 2025 06:15:17</t>
  </si>
  <si>
    <t>ene 25, 2025 09:23:23</t>
  </si>
  <si>
    <t>ene 23, 2025 08:22:04</t>
  </si>
  <si>
    <t>ene 26, 2025 19:26:47</t>
  </si>
  <si>
    <t>AGUAGU0037</t>
  </si>
  <si>
    <t>ene 26, 2025 11:05:52</t>
  </si>
  <si>
    <t>ene 26, 2025 12:56:24</t>
  </si>
  <si>
    <t>ene 26, 2025 10:53:04</t>
  </si>
  <si>
    <t>ene 26, 2025 11:54:09</t>
  </si>
  <si>
    <t>ene 25, 2025 22:14:07</t>
  </si>
  <si>
    <t>ene 25, 2025 03:45:47</t>
  </si>
  <si>
    <t>ene 25, 2025 18:59:44</t>
  </si>
  <si>
    <t>VERGUZ0542</t>
  </si>
  <si>
    <t>ene 25, 2025 12:15:53</t>
  </si>
  <si>
    <t>ene 24, 2025 12:36:32</t>
  </si>
  <si>
    <t>ene 23, 2025 08:32:57</t>
  </si>
  <si>
    <t>Gas</t>
  </si>
  <si>
    <t>NLEMTY0752</t>
  </si>
  <si>
    <t>ene 17, 2025 16:49:25</t>
  </si>
  <si>
    <t>ene 25, 2025 11:24:13</t>
  </si>
  <si>
    <t>ene 24, 2025 11:45:49</t>
  </si>
  <si>
    <t>ene 15, 2025 10:31:02</t>
  </si>
  <si>
    <t>NLEGDP0632</t>
  </si>
  <si>
    <t>ene 21, 2025 12:17:39</t>
  </si>
  <si>
    <t>NLEGDP0640</t>
  </si>
  <si>
    <t>ene 21, 2025 14:34:40</t>
  </si>
  <si>
    <t>NLEGDP0603</t>
  </si>
  <si>
    <t>ene 21, 2025 16:20:27</t>
  </si>
  <si>
    <t>ene 25, 2025 09:34:21</t>
  </si>
  <si>
    <t>ene 25, 2025 09:17:08</t>
  </si>
  <si>
    <t>ene 22, 2025 08:33:17</t>
  </si>
  <si>
    <t>ene 24, 2025 19:50:52</t>
  </si>
  <si>
    <t>Tepatitlan</t>
  </si>
  <si>
    <t>JALTEM0869</t>
  </si>
  <si>
    <t>ene 24, 2025 15:08:19</t>
  </si>
  <si>
    <t>ene 03, 2025 07:26:50</t>
  </si>
  <si>
    <t>ene 31, 2025 09:30:06</t>
  </si>
  <si>
    <t>MEXSFP0596</t>
  </si>
  <si>
    <t>ene 31, 2025 13:21:07</t>
  </si>
  <si>
    <t>ene 31, 2025 17:30:58</t>
  </si>
  <si>
    <t>ene 30, 2025 08:58:49</t>
  </si>
  <si>
    <t>ene 30, 2025 20:18:29</t>
  </si>
  <si>
    <t>ROOBEJ0185</t>
  </si>
  <si>
    <t>ene 29, 2025 18:53:26</t>
  </si>
  <si>
    <t>ene 31, 2025 13:05:38</t>
  </si>
  <si>
    <t>ene 31, 2025 12:11:47</t>
  </si>
  <si>
    <t>ene 31, 2025 10:04:08</t>
  </si>
  <si>
    <t>ene 31, 2025 09:09:02</t>
  </si>
  <si>
    <t>GUACEL0175</t>
  </si>
  <si>
    <t>ene 31, 2025 10:16:09</t>
  </si>
  <si>
    <t>TAMNLD1151</t>
  </si>
  <si>
    <t>ene 31, 2025 08:40:49</t>
  </si>
  <si>
    <t>ene 29, 2025 17:39:07</t>
  </si>
  <si>
    <t>TAMHID1060</t>
  </si>
  <si>
    <t>ene 31, 2025 08:12:03</t>
  </si>
  <si>
    <t>VERIXZ1623</t>
  </si>
  <si>
    <t>ene 30, 2025 20:38:17</t>
  </si>
  <si>
    <t>ene 30, 2025 09:36:36</t>
  </si>
  <si>
    <t>ene 28, 2025 16:24:55</t>
  </si>
  <si>
    <t>ene 27, 2025 11:58:17</t>
  </si>
  <si>
    <t>ene 30, 2025 19:37:57</t>
  </si>
  <si>
    <t>ene 30, 2025 11:25:13</t>
  </si>
  <si>
    <t>ene 30, 2025 16:55:59</t>
  </si>
  <si>
    <t>MEXATZ0057</t>
  </si>
  <si>
    <t>ene 30, 2025 16:17:21</t>
  </si>
  <si>
    <t>ene 30, 2025 10:51:44</t>
  </si>
  <si>
    <t>ene 30, 2025 11:59:09</t>
  </si>
  <si>
    <t>ROOBEJ0175</t>
  </si>
  <si>
    <t>ene 25, 2025 10:54:41</t>
  </si>
  <si>
    <t>ene 27, 2025 14:20:22</t>
  </si>
  <si>
    <t>ene 27, 2025 12:55:46</t>
  </si>
  <si>
    <t>ene 27, 2025 11:32:22</t>
  </si>
  <si>
    <t>JALZAP1016</t>
  </si>
  <si>
    <t>ene 24, 2025 14:23:04</t>
  </si>
  <si>
    <t>BCSCAB0410</t>
  </si>
  <si>
    <t>ene 27, 2025 13:47:46</t>
  </si>
  <si>
    <t>ene 24, 2025 15:11:11</t>
  </si>
  <si>
    <t>ene 24, 2025 11:45:57</t>
  </si>
  <si>
    <t>ene 24, 2025 09:41:41</t>
  </si>
  <si>
    <t>CAMCRN0032</t>
  </si>
  <si>
    <t>ene 27, 2025 16:05:29</t>
  </si>
  <si>
    <t>ene 27, 2025 10:20:20</t>
  </si>
  <si>
    <t>ene 27, 2025 15:18:36</t>
  </si>
  <si>
    <t>ene 26, 2025 13:04:35</t>
  </si>
  <si>
    <t>ene 27, 2025 14:24:55</t>
  </si>
  <si>
    <t>ene 23, 2025 16:44:43</t>
  </si>
  <si>
    <t>ene 22, 2025 11:38:19</t>
  </si>
  <si>
    <t>ene 27, 2025 13:02:09</t>
  </si>
  <si>
    <t>ene 25, 2025 08:04:22</t>
  </si>
  <si>
    <t>ene 27, 2025 12:36:43</t>
  </si>
  <si>
    <t>MICTZI1205</t>
  </si>
  <si>
    <t>ene 27, 2025 12:18:18</t>
  </si>
  <si>
    <t>ene 27, 2025 10:02:43</t>
  </si>
  <si>
    <t>ene 27, 2025 11:07:49</t>
  </si>
  <si>
    <t>ene 27, 2025 08:48:07</t>
  </si>
  <si>
    <t>ene 25, 2025 22:32:08</t>
  </si>
  <si>
    <t>ene 25, 2025 13:58:51</t>
  </si>
  <si>
    <t>BCNTIJ1406</t>
  </si>
  <si>
    <t>ene 24, 2025 19:32:26</t>
  </si>
  <si>
    <t>ene 24, 2025 19:14:50</t>
  </si>
  <si>
    <t>ene 24, 2025 18:53:33</t>
  </si>
  <si>
    <t>ene 24, 2025 18:41:44</t>
  </si>
  <si>
    <t>ene 23, 2025 17:40:53</t>
  </si>
  <si>
    <t>ene 22, 2025 11:59:49</t>
  </si>
  <si>
    <t>TABCTR0320</t>
  </si>
  <si>
    <t>ene 19, 2025 17:35:04</t>
  </si>
  <si>
    <t>ene 22, 2025 17:53:56</t>
  </si>
  <si>
    <t>ene 24, 2025 17:45:59</t>
  </si>
  <si>
    <t>ene 24, 2025 10:25:41</t>
  </si>
  <si>
    <t>ene 22, 2025 09:18:38</t>
  </si>
  <si>
    <t>ene 24, 2025 07:19:39</t>
  </si>
  <si>
    <t>GUAAPG0134</t>
  </si>
  <si>
    <t>ene 24, 2025 16:10:20</t>
  </si>
  <si>
    <t>ene 16, 2025 12:40:35</t>
  </si>
  <si>
    <t>ene 24, 2025 15:11:10</t>
  </si>
  <si>
    <t>ene 24, 2025 15:11:38</t>
  </si>
  <si>
    <t>ene 11, 2025 12:41:36</t>
  </si>
  <si>
    <t>ene 24, 2025 13:56:35</t>
  </si>
  <si>
    <t>ene 24, 2025 13:39:55</t>
  </si>
  <si>
    <t>TAMCIM1034</t>
  </si>
  <si>
    <t>ene 24, 2025 12:29:23</t>
  </si>
  <si>
    <t>ene 24, 2025 10:45:02</t>
  </si>
  <si>
    <t>ene 22, 2025 17:57:09</t>
  </si>
  <si>
    <t>ene 22, 2025 17:55:08</t>
  </si>
  <si>
    <t>ene 24, 2025 09:52:41</t>
  </si>
  <si>
    <t>ene 24, 2025 07:26:07</t>
  </si>
  <si>
    <t>ene 24, 2025 09:04:18</t>
  </si>
  <si>
    <t>ene 20, 2025 16:30:43</t>
  </si>
  <si>
    <t>NLEPGG0916</t>
  </si>
  <si>
    <t>ene 22, 2025 18:11:08</t>
  </si>
  <si>
    <t>ene 22, 2025 17:13:29</t>
  </si>
  <si>
    <t>ene 24, 2025 07:02:59</t>
  </si>
  <si>
    <t>ene 22, 2025 14:37:11</t>
  </si>
  <si>
    <t>ene 23, 2025 22:32:26</t>
  </si>
  <si>
    <t>ene 22, 2025 22:39:38</t>
  </si>
  <si>
    <t>ene 21, 2025 03:17:06</t>
  </si>
  <si>
    <t>ene 22, 2025 13:55:17</t>
  </si>
  <si>
    <t>ene 23, 2025 07:07:53</t>
  </si>
  <si>
    <t>CHHCHH0054</t>
  </si>
  <si>
    <t>ene 23, 2025 18:29:56</t>
  </si>
  <si>
    <t>ene 23, 2025 16:03:01</t>
  </si>
  <si>
    <t>ene 22, 2025 18:33:55</t>
  </si>
  <si>
    <t>VERVER0687</t>
  </si>
  <si>
    <t>ene 17, 2025 15:46:09</t>
  </si>
  <si>
    <t>ene 22, 2025 08:52:49</t>
  </si>
  <si>
    <t>NLESNG0990</t>
  </si>
  <si>
    <t>ene 21, 2025 16:24:32</t>
  </si>
  <si>
    <t>ene 23, 2025 12:20:50</t>
  </si>
  <si>
    <t>ROOSOL0628</t>
  </si>
  <si>
    <t>ene 20, 2025 07:38:59</t>
  </si>
  <si>
    <t>ene 23, 2025 15:36:13</t>
  </si>
  <si>
    <t>ene 23, 2025 11:46:16</t>
  </si>
  <si>
    <t>BCNTIJ0287</t>
  </si>
  <si>
    <t>ene 23, 2025 14:39:41</t>
  </si>
  <si>
    <t>NLEAPO0513</t>
  </si>
  <si>
    <t>ene 20, 2025 14:44:32</t>
  </si>
  <si>
    <t>NLESNG0987</t>
  </si>
  <si>
    <t>ene 20, 2025 11:55:38</t>
  </si>
  <si>
    <t>ene 20, 2025 16:07:24</t>
  </si>
  <si>
    <t>QTOQTO1405</t>
  </si>
  <si>
    <t>ene 20, 2025 09:21:30</t>
  </si>
  <si>
    <t>ene 19, 2025 20:59:09</t>
  </si>
  <si>
    <t>ene 20, 2025 14:17:06</t>
  </si>
  <si>
    <t>ene 20, 2025 21:13:09</t>
  </si>
  <si>
    <t>ene 20, 2025 12:44:56</t>
  </si>
  <si>
    <t>ene 20, 2025 11:42:44</t>
  </si>
  <si>
    <t>ene 20, 2025 10:30:20</t>
  </si>
  <si>
    <t>ene 19, 2025 11:31:34</t>
  </si>
  <si>
    <t>ene 02, 2025 12:51:11</t>
  </si>
  <si>
    <t>ene 18, 2025 11:26:39</t>
  </si>
  <si>
    <t>ene 18, 2025 15:25:30</t>
  </si>
  <si>
    <t>ene 20, 2025 12:29:28</t>
  </si>
  <si>
    <t>SINHOM0542</t>
  </si>
  <si>
    <t>ene 20, 2025 10:35:10</t>
  </si>
  <si>
    <t>ene 17, 2025 10:44:47</t>
  </si>
  <si>
    <t>NLEMTY0873</t>
  </si>
  <si>
    <t>ene 17, 2025 12:42:42</t>
  </si>
  <si>
    <t>NLEMTY0831</t>
  </si>
  <si>
    <t>ene 17, 2025 15:26:54</t>
  </si>
  <si>
    <t>DIFCYN0378</t>
  </si>
  <si>
    <t>ene 19, 2025 20:42:27</t>
  </si>
  <si>
    <t>ene 20, 2025 12:56:31</t>
  </si>
  <si>
    <t>ene 20, 2025 10:42:16</t>
  </si>
  <si>
    <t>ene 19, 2025 15:28:16</t>
  </si>
  <si>
    <t>BCNTIJ0178</t>
  </si>
  <si>
    <t>ene 20, 2025 11:37:52</t>
  </si>
  <si>
    <t>ene 20, 2025 09:45:24</t>
  </si>
  <si>
    <t>ene 20, 2025 09:33:40</t>
  </si>
  <si>
    <t>NLEDCR0590</t>
  </si>
  <si>
    <t>ene 18, 2025 11:19:57</t>
  </si>
  <si>
    <t>NLEGAL0599</t>
  </si>
  <si>
    <t>ene 18, 2025 11:27:09</t>
  </si>
  <si>
    <t>ene 23, 2025 14:18:14</t>
  </si>
  <si>
    <t>ene 23, 2025 13:48:32</t>
  </si>
  <si>
    <t>BCNTIJ0289</t>
  </si>
  <si>
    <t>ene 23, 2025 12:57:19</t>
  </si>
  <si>
    <t>TAMNLD1155</t>
  </si>
  <si>
    <t>ene 23, 2025 12:12:37</t>
  </si>
  <si>
    <t>ene 23, 2025 12:36:03</t>
  </si>
  <si>
    <t>NLEAPO0540</t>
  </si>
  <si>
    <t>ene 20, 2025 17:28:09</t>
  </si>
  <si>
    <t>ene 23, 2025 11:15:21</t>
  </si>
  <si>
    <t>ene 22, 2025 14:44:08</t>
  </si>
  <si>
    <t>BCNTCT0159</t>
  </si>
  <si>
    <t>ene 23, 2025 09:38:58</t>
  </si>
  <si>
    <t>ene 22, 2025 13:46:54</t>
  </si>
  <si>
    <t>ene 22, 2025 09:05:55</t>
  </si>
  <si>
    <t>ene 22, 2025 13:55:04</t>
  </si>
  <si>
    <t>VERVER0936</t>
  </si>
  <si>
    <t>ene 22, 2025 18:36:03</t>
  </si>
  <si>
    <t>CHPPIJ0083</t>
  </si>
  <si>
    <t>ene 22, 2025 13:48:36</t>
  </si>
  <si>
    <t>ene 22, 2025 14:50:54</t>
  </si>
  <si>
    <t>ene 22, 2025 19:28:20</t>
  </si>
  <si>
    <t>ene 22, 2025 16:56:12</t>
  </si>
  <si>
    <t>ene 21, 2025 20:46:21</t>
  </si>
  <si>
    <t>GUALEO0313</t>
  </si>
  <si>
    <t>ene 22, 2025 16:08:50</t>
  </si>
  <si>
    <t>ene 22, 2025 14:40:40</t>
  </si>
  <si>
    <t>VERVER0952</t>
  </si>
  <si>
    <t>ene 22, 2025 09:49:56</t>
  </si>
  <si>
    <t>ene 22, 2025 13:16:41</t>
  </si>
  <si>
    <t>ene 22, 2025 05:54:08</t>
  </si>
  <si>
    <t>ene 21, 2025 15:45:00</t>
  </si>
  <si>
    <t>ene 21, 2025 13:39:12</t>
  </si>
  <si>
    <t>DIFCUJ0352</t>
  </si>
  <si>
    <t>ene 22, 2025 09:29:01</t>
  </si>
  <si>
    <t>ene 16, 2025 11:36:25</t>
  </si>
  <si>
    <t>ene 20, 2025 11:44:21</t>
  </si>
  <si>
    <t>ene 18, 2025 10:53:35</t>
  </si>
  <si>
    <t>ene 22, 2025 07:45:44</t>
  </si>
  <si>
    <t>NLEJRZ0701</t>
  </si>
  <si>
    <t>ene 21, 2025 13:14:35</t>
  </si>
  <si>
    <t>ene 21, 2025 23:36:16</t>
  </si>
  <si>
    <t>ene 21, 2025 23:20:40</t>
  </si>
  <si>
    <t>ene 21, 2025 16:46:31</t>
  </si>
  <si>
    <t>ene 21, 2025 17:05:53</t>
  </si>
  <si>
    <t>ene 21, 2025 18:50:56</t>
  </si>
  <si>
    <t>SINMAZ0577</t>
  </si>
  <si>
    <t>ene 20, 2025 15:13:52</t>
  </si>
  <si>
    <t>SINMAZ0576</t>
  </si>
  <si>
    <t>ene 20, 2025 12:49:18</t>
  </si>
  <si>
    <t>ene 20, 2025 10:39:58</t>
  </si>
  <si>
    <t>ene 21, 2025 15:41:00</t>
  </si>
  <si>
    <t>ene 17, 2025 13:33:47</t>
  </si>
  <si>
    <t>ene 18, 2025 14:48:32</t>
  </si>
  <si>
    <t>ene 10, 2025 13:57:31</t>
  </si>
  <si>
    <t>ene 12, 2025 08:50:48</t>
  </si>
  <si>
    <t>ene 21, 2025 07:50:36</t>
  </si>
  <si>
    <t>ene 21, 2025 11:09:29</t>
  </si>
  <si>
    <t>ene 17, 2025 08:32:06</t>
  </si>
  <si>
    <t>ene 18, 2025 11:51:47</t>
  </si>
  <si>
    <t>ene 18, 2025 08:55:34</t>
  </si>
  <si>
    <t>ene 18, 2025 07:52:25</t>
  </si>
  <si>
    <t>ene 20, 2025 09:25:06</t>
  </si>
  <si>
    <t>SINCUL0448</t>
  </si>
  <si>
    <t>ene 18, 2025 17:21:48</t>
  </si>
  <si>
    <t>SINMAZ1475</t>
  </si>
  <si>
    <t>ene 19, 2025 09:06:14</t>
  </si>
  <si>
    <t>ene 16, 2025 06:48:18</t>
  </si>
  <si>
    <t>BCNTIJ0187</t>
  </si>
  <si>
    <t>ene 19, 2025 15:07:03</t>
  </si>
  <si>
    <t>ene 19, 2025 08:38:19</t>
  </si>
  <si>
    <t>BCNTIJ0262</t>
  </si>
  <si>
    <t>ene 19, 2025 13:27:21</t>
  </si>
  <si>
    <t>ene 19, 2025 08:06:21</t>
  </si>
  <si>
    <t>ene 19, 2025 12:01:14</t>
  </si>
  <si>
    <t>ene 17, 2025 11:28:46</t>
  </si>
  <si>
    <t>MORCVA0219</t>
  </si>
  <si>
    <t>ene 18, 2025 10:56:12</t>
  </si>
  <si>
    <t>SINCUL0470</t>
  </si>
  <si>
    <t>ene 18, 2025 17:31:05</t>
  </si>
  <si>
    <t>ene 18, 2025 18:55:02</t>
  </si>
  <si>
    <t>ene 18, 2025 10:31:19</t>
  </si>
  <si>
    <t>SINFRT0511</t>
  </si>
  <si>
    <t>ene 18, 2025 10:29:21</t>
  </si>
  <si>
    <t>ene 18, 2025 17:05:23</t>
  </si>
  <si>
    <t>ene 18, 2025 15:07:56</t>
  </si>
  <si>
    <t>SINMOC0599</t>
  </si>
  <si>
    <t>ene 18, 2025 11:36:26</t>
  </si>
  <si>
    <t>ene 18, 2025 14:42:30</t>
  </si>
  <si>
    <t>CHHJRZ0187</t>
  </si>
  <si>
    <t>ene 18, 2025 14:29:02</t>
  </si>
  <si>
    <t>ene 18, 2025 14:04:48</t>
  </si>
  <si>
    <t>ene 18, 2025 13:09:42</t>
  </si>
  <si>
    <t>ene 18, 2025 11:30:14</t>
  </si>
  <si>
    <t>ene 18, 2025 11:47:51</t>
  </si>
  <si>
    <t>ene 18, 2025 10:35:49</t>
  </si>
  <si>
    <t>ene 18, 2025 09:15:44</t>
  </si>
  <si>
    <t>ene 17, 2025 09:16:36</t>
  </si>
  <si>
    <t>TAMNLD1135</t>
  </si>
  <si>
    <t>ene 18, 2025 10:27:59</t>
  </si>
  <si>
    <t>HIDMIX0019</t>
  </si>
  <si>
    <t>ene 18, 2025 10:29:32</t>
  </si>
  <si>
    <t>ene 09, 2025 14:58:18</t>
  </si>
  <si>
    <t>ene 06, 2025 16:40:32</t>
  </si>
  <si>
    <t>ene 04, 2025 13:02:48</t>
  </si>
  <si>
    <t>TAMNLD1134</t>
  </si>
  <si>
    <t>ene 17, 2025 15:58:14</t>
  </si>
  <si>
    <t>ene 11, 2025 13:57:58</t>
  </si>
  <si>
    <t>ene 09, 2025 17:07:36</t>
  </si>
  <si>
    <t>ene 06, 2025 17:02:14</t>
  </si>
  <si>
    <t>ene 04, 2025 13:27:44</t>
  </si>
  <si>
    <t>AGUAGU0010</t>
  </si>
  <si>
    <t>ene 16, 2025 16:41:15</t>
  </si>
  <si>
    <t>ene 17, 2025 18:43:19</t>
  </si>
  <si>
    <t>ene 17, 2025 14:39:58</t>
  </si>
  <si>
    <t>ene 16, 2025 15:00:35</t>
  </si>
  <si>
    <t>ene 17, 2025 18:10:28</t>
  </si>
  <si>
    <t>BCNENS0022</t>
  </si>
  <si>
    <t>ene 17, 2025 16:43:54</t>
  </si>
  <si>
    <t>ene 17, 2025 16:54:05</t>
  </si>
  <si>
    <t>BCNENS0027</t>
  </si>
  <si>
    <t>ene 17, 2025 15:53:17</t>
  </si>
  <si>
    <t>ene 17, 2025 14:41:08</t>
  </si>
  <si>
    <t>DURGDV0470</t>
  </si>
  <si>
    <t>ene 17, 2025 13:11:23</t>
  </si>
  <si>
    <t>ene 17, 2025 14:38:59</t>
  </si>
  <si>
    <t>ene 17, 2025 14:13:59</t>
  </si>
  <si>
    <t>ene 17, 2025 14:35:48</t>
  </si>
  <si>
    <t>NLEAPO0551</t>
  </si>
  <si>
    <t>ene 10, 2025 12:25:17</t>
  </si>
  <si>
    <t>ene 11, 2025 13:44:46</t>
  </si>
  <si>
    <t>ene 15, 2025 18:08:05</t>
  </si>
  <si>
    <t>ene 16, 2025 09:58:00</t>
  </si>
  <si>
    <t>ene 16, 2025 10:03:27</t>
  </si>
  <si>
    <t>TAMREY1255</t>
  </si>
  <si>
    <t>ene 14, 2025 19:32:36</t>
  </si>
  <si>
    <t>TAMREY1285</t>
  </si>
  <si>
    <t>ene 15, 2025 13:14:21</t>
  </si>
  <si>
    <t>ene 15, 2025 15:06:10</t>
  </si>
  <si>
    <t>ene 15, 2025 21:15:21</t>
  </si>
  <si>
    <t>ene 14, 2025 12:02:55</t>
  </si>
  <si>
    <t>ene 03, 2025 14:35:06</t>
  </si>
  <si>
    <t>TABCTR0336</t>
  </si>
  <si>
    <t>ene 15, 2025 09:51:18</t>
  </si>
  <si>
    <t>ene 15, 2025 22:18:59</t>
  </si>
  <si>
    <t>ene 15, 2025 14:14:38</t>
  </si>
  <si>
    <t>ene 15, 2025 15:04:44</t>
  </si>
  <si>
    <t>ene 15, 2025 08:27:33</t>
  </si>
  <si>
    <t>ene 15, 2025 19:04:15</t>
  </si>
  <si>
    <t>ene 12, 2025 15:25:36</t>
  </si>
  <si>
    <t>ene 11, 2025 01:07:48</t>
  </si>
  <si>
    <t>AGUAGU0039</t>
  </si>
  <si>
    <t>ene 15, 2025 14:56:56</t>
  </si>
  <si>
    <t>ene 06, 2025 10:41:27</t>
  </si>
  <si>
    <t>ene 11, 2025 10:02:48</t>
  </si>
  <si>
    <t>VERBOR0470</t>
  </si>
  <si>
    <t>ene 13, 2025 22:43:48</t>
  </si>
  <si>
    <t>NLEGDP1442</t>
  </si>
  <si>
    <t>ene 15, 2025 16:48:10</t>
  </si>
  <si>
    <t>ene 06, 2025 10:20:23</t>
  </si>
  <si>
    <t>ene 17, 2025 10:55:51</t>
  </si>
  <si>
    <t>ene 17, 2025 10:23:08</t>
  </si>
  <si>
    <t>ene 17, 2025 13:13:21</t>
  </si>
  <si>
    <t>ene 17, 2025 09:08:17</t>
  </si>
  <si>
    <t>ene 17, 2025 12:07:23</t>
  </si>
  <si>
    <t>ene 17, 2025 13:21:58</t>
  </si>
  <si>
    <t>ene 17, 2025 12:15:55</t>
  </si>
  <si>
    <t>ene 17, 2025 08:50:51</t>
  </si>
  <si>
    <t>ene 17, 2025 08:58:47</t>
  </si>
  <si>
    <t>ene 16, 2025 11:36:43</t>
  </si>
  <si>
    <t>NLEAPO0526</t>
  </si>
  <si>
    <t>ene 15, 2025 12:05:37</t>
  </si>
  <si>
    <t>ene 15, 2025 11:53:48</t>
  </si>
  <si>
    <t>ene 16, 2025 17:48:03</t>
  </si>
  <si>
    <t>ene 16, 2025 12:09:31</t>
  </si>
  <si>
    <t>ene 16, 2025 17:51:38</t>
  </si>
  <si>
    <t>ene 16, 2025 15:09:19</t>
  </si>
  <si>
    <t>ene 16, 2025 13:52:04</t>
  </si>
  <si>
    <t>ene 16, 2025 13:19:11</t>
  </si>
  <si>
    <t>MEXVAB0893</t>
  </si>
  <si>
    <t>ene 16, 2025 11:07:13</t>
  </si>
  <si>
    <t>ene 16, 2025 10:28:49</t>
  </si>
  <si>
    <t>ene 16, 2025 18:37:31</t>
  </si>
  <si>
    <t>ene 16, 2025 12:04:09</t>
  </si>
  <si>
    <t>ene 16, 2025 15:58:30</t>
  </si>
  <si>
    <t>ene 16, 2025 13:49:54</t>
  </si>
  <si>
    <t>ene 10, 2025 11:33:26</t>
  </si>
  <si>
    <t>ene 13, 2025 13:12:28</t>
  </si>
  <si>
    <t>ene 15, 2025 09:30:49</t>
  </si>
  <si>
    <t>ene 08, 2025 10:35:38</t>
  </si>
  <si>
    <t>ene 15, 2025 15:24:31</t>
  </si>
  <si>
    <t>ene 15, 2025 13:02:27</t>
  </si>
  <si>
    <t>ene 15, 2025 10:44:02</t>
  </si>
  <si>
    <t>ene 15, 2025 10:30:39</t>
  </si>
  <si>
    <t>ene 15, 2025 09:59:09</t>
  </si>
  <si>
    <t>JALHOS0754</t>
  </si>
  <si>
    <t>ene 13, 2025 22:37:10</t>
  </si>
  <si>
    <t>ene 02, 2025 15:06:59</t>
  </si>
  <si>
    <t>ene 02, 2025 16:32:26</t>
  </si>
  <si>
    <t>ene 14, 2025 11:31:14</t>
  </si>
  <si>
    <t>ene 14, 2025 17:49:13</t>
  </si>
  <si>
    <t>NFO-016</t>
  </si>
  <si>
    <t>ene 14, 2025 16:32:48</t>
  </si>
  <si>
    <t>JALTEM8328</t>
  </si>
  <si>
    <t>ene 14, 2025 15:11:27</t>
  </si>
  <si>
    <t>GROACA0060</t>
  </si>
  <si>
    <t>ene 13, 2025 19:49:44</t>
  </si>
  <si>
    <t>ene 14, 2025 10:20:58</t>
  </si>
  <si>
    <t>ene 13, 2025 19:50:50</t>
  </si>
  <si>
    <t>ene 14, 2025 20:26:11</t>
  </si>
  <si>
    <t>ene 07, 2025 15:12:11</t>
  </si>
  <si>
    <t>ene 14, 2025 11:06:46</t>
  </si>
  <si>
    <t>NLEMTY0804</t>
  </si>
  <si>
    <t>ene 09, 2025 10:13:34</t>
  </si>
  <si>
    <t>ene 09, 2025 10:34:59</t>
  </si>
  <si>
    <t>ene 06, 2025 17:19:42</t>
  </si>
  <si>
    <t>NLEGAL0594</t>
  </si>
  <si>
    <t>ene 14, 2025 17:56:48</t>
  </si>
  <si>
    <t>ene 14, 2025 16:45:12</t>
  </si>
  <si>
    <t>ene 10, 2025 09:48:01</t>
  </si>
  <si>
    <t>ene 13, 2025 10:10:07</t>
  </si>
  <si>
    <t>TAMMNT1069</t>
  </si>
  <si>
    <t>ene 07, 2025 16:41:07</t>
  </si>
  <si>
    <t>ene 09, 2025 10:47:06</t>
  </si>
  <si>
    <t>ene 11, 2025 08:32:08</t>
  </si>
  <si>
    <t>ene 14, 2025 08:36:44</t>
  </si>
  <si>
    <t>ene 14, 2025 09:36:17</t>
  </si>
  <si>
    <t>ene 14, 2025 10:44:04</t>
  </si>
  <si>
    <t>ene 06, 2025 13:59:52</t>
  </si>
  <si>
    <t>ene 06, 2025 11:46:11</t>
  </si>
  <si>
    <t>ene 04, 2025 10:19:04</t>
  </si>
  <si>
    <t>ene 04, 2025 08:31:32</t>
  </si>
  <si>
    <t>ene 09, 2025 11:24:50</t>
  </si>
  <si>
    <t>ene 09, 2025 12:40:48</t>
  </si>
  <si>
    <t>NLECRI0568</t>
  </si>
  <si>
    <t>ene 09, 2025 14:39:17</t>
  </si>
  <si>
    <t>NLEMTY0734</t>
  </si>
  <si>
    <t>ene 09, 2025 15:52:11</t>
  </si>
  <si>
    <t>ene 14, 2025 11:38:42</t>
  </si>
  <si>
    <t>ene 14, 2025 12:04:24</t>
  </si>
  <si>
    <t>ene 14, 2025 09:07:28</t>
  </si>
  <si>
    <t>ene 13, 2025 14:56:05</t>
  </si>
  <si>
    <t>ene 13, 2025 13:34:12</t>
  </si>
  <si>
    <t>ene 13, 2025 12:24:17</t>
  </si>
  <si>
    <t>ene 07, 2025 21:11:57</t>
  </si>
  <si>
    <t>ene 03, 2025 19:11:30</t>
  </si>
  <si>
    <t>COATOR0399</t>
  </si>
  <si>
    <t>ene 13, 2025 15:33:54</t>
  </si>
  <si>
    <t>ene 12, 2025 19:42:18</t>
  </si>
  <si>
    <t>ene 09, 2025 10:15:17</t>
  </si>
  <si>
    <t>ene 13, 2025 12:50:53</t>
  </si>
  <si>
    <t>PUEPUE0219</t>
  </si>
  <si>
    <t>ene 13, 2025 06:47:16</t>
  </si>
  <si>
    <t>ene 12, 2025 17:39:55</t>
  </si>
  <si>
    <t>ene 12, 2025 20:23:16</t>
  </si>
  <si>
    <t>ene 12, 2025 20:22:39</t>
  </si>
  <si>
    <t>ene 04, 2025 14:36:09</t>
  </si>
  <si>
    <t>VERORI0595</t>
  </si>
  <si>
    <t>ene 12, 2025 15:06:42</t>
  </si>
  <si>
    <t>ene 12, 2025 13:37:23</t>
  </si>
  <si>
    <t>ene 12, 2025 12:21:30</t>
  </si>
  <si>
    <t>ene 12, 2025 16:20:47</t>
  </si>
  <si>
    <t>ene 11, 2025 15:31:57</t>
  </si>
  <si>
    <t>ene 11, 2025 12:20:17</t>
  </si>
  <si>
    <t>ene 11, 2025 10:43:53</t>
  </si>
  <si>
    <t>ene 11, 2025 01:50:35</t>
  </si>
  <si>
    <t>ene 11, 2025 13:49:34</t>
  </si>
  <si>
    <t>ene 10, 2025 15:22:00</t>
  </si>
  <si>
    <t>ene 11, 2025 10:50:55</t>
  </si>
  <si>
    <t>ene 11, 2025 12:17:03</t>
  </si>
  <si>
    <t>ene 11, 2025 10:02:37</t>
  </si>
  <si>
    <t>ene 11, 2025 09:43:44</t>
  </si>
  <si>
    <t>NAYTPI1281</t>
  </si>
  <si>
    <t>ene 10, 2025 14:49:26</t>
  </si>
  <si>
    <t>NAYTPI1279</t>
  </si>
  <si>
    <t>ene 10, 2025 12:13:53</t>
  </si>
  <si>
    <t>ene 08, 2025 18:09:24</t>
  </si>
  <si>
    <t>ene 06, 2025 08:10:04</t>
  </si>
  <si>
    <t>ene 05, 2025 20:23:51</t>
  </si>
  <si>
    <t>ene 07, 2025 20:30:09</t>
  </si>
  <si>
    <t>JALPTL0811</t>
  </si>
  <si>
    <t>ene 07, 2025 20:41:22</t>
  </si>
  <si>
    <t>ene 07, 2025 22:51:35</t>
  </si>
  <si>
    <t>ene 07, 2025 22:23:15</t>
  </si>
  <si>
    <t>ene 07, 2025 21:38:47</t>
  </si>
  <si>
    <t>ene 07, 2025 09:58:18</t>
  </si>
  <si>
    <t>ene 07, 2025 14:15:23</t>
  </si>
  <si>
    <t>MEXNEZ0434</t>
  </si>
  <si>
    <t>ene 06, 2025 22:45:59</t>
  </si>
  <si>
    <t>ene 06, 2025 09:39:12</t>
  </si>
  <si>
    <t>ene 07, 2025 10:18:14</t>
  </si>
  <si>
    <t>ene 06, 2025 14:22:39</t>
  </si>
  <si>
    <t>ene 06, 2025 19:41:35</t>
  </si>
  <si>
    <t>ene 06, 2025 13:01:59</t>
  </si>
  <si>
    <t>ene 06, 2025 11:47:07</t>
  </si>
  <si>
    <t>ene 06, 2025 18:46:47</t>
  </si>
  <si>
    <t>ene 04, 2025 09:43:24</t>
  </si>
  <si>
    <t>ene 06, 2025 11:45:02</t>
  </si>
  <si>
    <t>ene 06, 2025 11:04:45</t>
  </si>
  <si>
    <t>ene 02, 2025 09:06:22</t>
  </si>
  <si>
    <t>ene 05, 2025 15:49:52</t>
  </si>
  <si>
    <t>ene 03, 2025 11:58:27</t>
  </si>
  <si>
    <t>San Andrés Tuxtla</t>
  </si>
  <si>
    <t>VERSAT1682</t>
  </si>
  <si>
    <t>ene 02, 2025 19:04:51</t>
  </si>
  <si>
    <t>ene 10, 2025 20:39:00</t>
  </si>
  <si>
    <t>ene 10, 2025 14:00:51</t>
  </si>
  <si>
    <t>ene 10, 2025 10:01:21</t>
  </si>
  <si>
    <t>ene 10, 2025 11:57:16</t>
  </si>
  <si>
    <t>ene 09, 2025 18:38:08</t>
  </si>
  <si>
    <t>ene 10, 2025 16:43:15</t>
  </si>
  <si>
    <t>AGUAGU1639</t>
  </si>
  <si>
    <t>ene 09, 2025 10:47:17</t>
  </si>
  <si>
    <t>COASLT0351</t>
  </si>
  <si>
    <t>ene 10, 2025 15:19:08</t>
  </si>
  <si>
    <t>MEXATZ0047</t>
  </si>
  <si>
    <t>ene 10, 2025 16:00:31</t>
  </si>
  <si>
    <t>ene 09, 2025 14:41:28</t>
  </si>
  <si>
    <t>ene 10, 2025 14:28:41</t>
  </si>
  <si>
    <t>ene 07, 2025 16:53:12</t>
  </si>
  <si>
    <t>ene 09, 2025 12:28:08</t>
  </si>
  <si>
    <t>MEXMLO0418</t>
  </si>
  <si>
    <t>ene 09, 2025 21:54:06</t>
  </si>
  <si>
    <t>ene 08, 2025 14:46:36</t>
  </si>
  <si>
    <t>ene 08, 2025 11:18:36</t>
  </si>
  <si>
    <t>CHHJRZ0207</t>
  </si>
  <si>
    <t>ene 09, 2025 18:07:50</t>
  </si>
  <si>
    <t>ene 08, 2025 13:15:34</t>
  </si>
  <si>
    <t>ene 05, 2025 23:24:47</t>
  </si>
  <si>
    <t>BCNTIJ1445</t>
  </si>
  <si>
    <t>ene 09, 2025 15:44:47</t>
  </si>
  <si>
    <t>ene 09, 2025 15:10:35</t>
  </si>
  <si>
    <t>ene 09, 2025 13:18:33</t>
  </si>
  <si>
    <t>ene 09, 2025 11:11:06</t>
  </si>
  <si>
    <t>ene 09, 2025 07:49:31</t>
  </si>
  <si>
    <t>ene 08, 2025 16:50:05</t>
  </si>
  <si>
    <t>ene 04, 2025 13:13:15</t>
  </si>
  <si>
    <t>CHPFRH0071</t>
  </si>
  <si>
    <t>ene 04, 2025 09:44:50</t>
  </si>
  <si>
    <t>ene 04, 2025 11:58:38</t>
  </si>
  <si>
    <t>ene 03, 2025 21:12:20</t>
  </si>
  <si>
    <t>ene 04, 2025 03:40:42</t>
  </si>
  <si>
    <t>ene 04, 2025 08:14:43</t>
  </si>
  <si>
    <t>ene 04, 2025 01:44:31</t>
  </si>
  <si>
    <t>ene 03, 2025 23:11:00</t>
  </si>
  <si>
    <t>ene 03, 2025 13:03:37</t>
  </si>
  <si>
    <t>ene 03, 2025 11:57:18</t>
  </si>
  <si>
    <t>ene 03, 2025 10:37:39</t>
  </si>
  <si>
    <t>ene 03, 2025 20:01:47</t>
  </si>
  <si>
    <t>TAMREY1263</t>
  </si>
  <si>
    <t>ene 03, 2025 18:09:02</t>
  </si>
  <si>
    <t>ene 03, 2025 18:26:33</t>
  </si>
  <si>
    <t>ene 02, 2025 07:27:34</t>
  </si>
  <si>
    <t>ene 03, 2025 14:35:46</t>
  </si>
  <si>
    <t>ene 03, 2025 13:15:14</t>
  </si>
  <si>
    <t>ene 03, 2025 14:04:46</t>
  </si>
  <si>
    <t>QTOQTO1369</t>
  </si>
  <si>
    <t>ene 03, 2025 12:56:56</t>
  </si>
  <si>
    <t>ene 01, 2025 14:45:53</t>
  </si>
  <si>
    <t>ene 01, 2025 14:11:23</t>
  </si>
  <si>
    <t>ene 03, 2025 07:52:57</t>
  </si>
  <si>
    <t>ene 03, 2025 10:29:09</t>
  </si>
  <si>
    <t>ene 03, 2025 09:37:09</t>
  </si>
  <si>
    <t>ene 02, 2025 16:29:02</t>
  </si>
  <si>
    <t>ene 02, 2025 13:24:47</t>
  </si>
  <si>
    <t>BCNTIJ0821</t>
  </si>
  <si>
    <t>ene 02, 2025 10:58:52</t>
  </si>
  <si>
    <t>ene 02, 2025 08:15:29</t>
  </si>
  <si>
    <t>ene 02, 2025 07:54:25</t>
  </si>
  <si>
    <t>BCNENS0013</t>
  </si>
  <si>
    <t>ene 01, 2025 14:54:30</t>
  </si>
  <si>
    <t>HW Saltillo Monterrey</t>
  </si>
  <si>
    <t>NLEGRS1672</t>
  </si>
  <si>
    <t>ago 23, 2025 14:45:10</t>
  </si>
  <si>
    <t>ago 26, 2025 10:21:21</t>
  </si>
  <si>
    <t>ago 08, 2025 16:01:27</t>
  </si>
  <si>
    <t>TABCTR0994</t>
  </si>
  <si>
    <t>QTOQTO1395</t>
  </si>
  <si>
    <t>GUALEO0444</t>
  </si>
  <si>
    <t>GUASAC2411</t>
  </si>
  <si>
    <t>SONSAN0811</t>
  </si>
  <si>
    <t>VERBOR0868</t>
  </si>
  <si>
    <t>VERPOZ0606</t>
  </si>
  <si>
    <t>VERVER1716</t>
  </si>
  <si>
    <t>GUAAPG0137</t>
  </si>
  <si>
    <t>NLEMTY0768</t>
  </si>
  <si>
    <t>NLEGRS1478</t>
  </si>
  <si>
    <t>TAMMTS2268</t>
  </si>
  <si>
    <t>TAMMTS1119</t>
  </si>
  <si>
    <t>TAMREY2347</t>
  </si>
  <si>
    <t>TAMREY1245</t>
  </si>
  <si>
    <t>GUACEL0143</t>
  </si>
  <si>
    <t>QTOAPA1294</t>
  </si>
  <si>
    <t>GROACA0002</t>
  </si>
  <si>
    <t>OAXSLC1336</t>
  </si>
  <si>
    <t>GROACA0001</t>
  </si>
  <si>
    <t>GROCHB0068</t>
  </si>
  <si>
    <t>GROACA0027</t>
  </si>
  <si>
    <t>GROCHB0074</t>
  </si>
  <si>
    <t>GROSMR1201</t>
  </si>
  <si>
    <t>SLPGDZ1455</t>
  </si>
  <si>
    <t>NLEDCR0589</t>
  </si>
  <si>
    <t>NLEMTY0814</t>
  </si>
  <si>
    <t>GUACEL0144</t>
  </si>
  <si>
    <t>GUALEO0454</t>
  </si>
  <si>
    <t>CHPTAP0098</t>
  </si>
  <si>
    <t>CHPTAP0886</t>
  </si>
  <si>
    <t>CHHJRZ2360</t>
  </si>
  <si>
    <t>CHHJRZ0264</t>
  </si>
  <si>
    <t>CHHJRZ2312</t>
  </si>
  <si>
    <t>CHHJRZ0224</t>
  </si>
  <si>
    <t>abr 05, 2025 17:07:04</t>
  </si>
  <si>
    <t>TAMNLD1173</t>
  </si>
  <si>
    <t>NLEMTY1499</t>
  </si>
  <si>
    <t>CUADRILLAS_CONTINGENCIA C4I</t>
  </si>
  <si>
    <t>BCNMXC0093</t>
  </si>
  <si>
    <t>ago 05, 2025 13:29:00</t>
  </si>
  <si>
    <t>ago 14, 2025 14:05:36</t>
  </si>
  <si>
    <t>ago 22, 2025 13:25:14</t>
  </si>
  <si>
    <t xml:space="preserve"> 0100 Reporte de corrección de daños (rob</t>
  </si>
  <si>
    <t>AC POWER &amp; SUBSTATION_ROBO</t>
  </si>
  <si>
    <t>ene 26, 2025 10:00:40</t>
  </si>
  <si>
    <t>La Barca Jalisco</t>
  </si>
  <si>
    <t>JALICG0756</t>
  </si>
  <si>
    <t>MEXCTT0185</t>
  </si>
  <si>
    <t>TAMVTR1332</t>
  </si>
  <si>
    <t>DIFIZC0545</t>
  </si>
  <si>
    <t>VERPPT0615</t>
  </si>
  <si>
    <t>GUACEL0148</t>
  </si>
  <si>
    <t>JALTLZ0896</t>
  </si>
  <si>
    <t>DIFIZC0540</t>
  </si>
  <si>
    <t>CHHJRZ0202</t>
  </si>
  <si>
    <t>ROOSOL1335</t>
  </si>
  <si>
    <t>GUALEO0374</t>
  </si>
  <si>
    <t>BCNENS0015</t>
  </si>
  <si>
    <t>JALTLZ2012</t>
  </si>
  <si>
    <t>NLECIE0563</t>
  </si>
  <si>
    <t>JALTNL0921</t>
  </si>
  <si>
    <t>Hidalgo del Parral</t>
  </si>
  <si>
    <t>CHHHDP1733</t>
  </si>
  <si>
    <t>MORZCP0307</t>
  </si>
  <si>
    <t>Tehuantepec</t>
  </si>
  <si>
    <t>OAXSDT0135</t>
  </si>
  <si>
    <t>OAXSDT1327</t>
  </si>
  <si>
    <t>SLPVIR1541</t>
  </si>
  <si>
    <t>BCNTIJ0272</t>
  </si>
  <si>
    <t>ZACLUM1575</t>
  </si>
  <si>
    <t>1010 FS Suministro de fluidos</t>
  </si>
  <si>
    <t>NLEGEZ2324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</si>
</sst>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nda.att.com.mx/Panda/app/site/siteInfo.do?p_idSite=20149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47"/>
  <sheetViews>
    <sheetView tabSelected="1" workbookViewId="0">
      <selection activeCell="N5140" sqref="N5140"/>
    </sheetView>
  </sheetViews>
  <sheetFormatPr baseColWidth="10" defaultColWidth="8.88671875" defaultRowHeight="14.4" x14ac:dyDescent="0.3"/>
  <cols>
    <col min="1" max="1" width="9" customWidth="1"/>
    <col min="2" max="2" width="43" customWidth="1"/>
    <col min="3" max="3" width="14" customWidth="1"/>
    <col min="4" max="4" width="29" customWidth="1"/>
    <col min="5" max="5" width="13" customWidth="1"/>
    <col min="6" max="6" width="27" customWidth="1"/>
    <col min="7" max="7" width="46" customWidth="1"/>
    <col min="8" max="8" width="39" customWidth="1"/>
    <col min="9" max="9" width="11" customWidth="1"/>
    <col min="10" max="10" width="23" customWidth="1"/>
    <col min="11" max="12" width="5" customWidth="1"/>
    <col min="13" max="13" width="6" customWidth="1"/>
    <col min="14" max="14" width="21" customWidth="1"/>
    <col min="15" max="15" width="34" customWidth="1"/>
    <col min="16" max="17" width="49" customWidth="1"/>
    <col min="18" max="18" width="50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1614210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22</v>
      </c>
      <c r="L2">
        <v>8</v>
      </c>
      <c r="M2">
        <v>2025</v>
      </c>
      <c r="N2" t="s">
        <v>27</v>
      </c>
      <c r="O2">
        <v>200</v>
      </c>
      <c r="P2">
        <v>200</v>
      </c>
      <c r="R2" s="3" t="str">
        <f>HYPERLINK("https://panda.att.com.mx/ODKServer/view/binaryData?blobKey=FSSuministroFluidosv3%5B%40version%3Dnull+and+%40uiVersion%3Dnull%5D%2Fdata%5B%40key%3Duuid%3A7952b6ef-325e-447f-a515-14ef2bbfa447%5D%2FgroupInfoFuel%5B%40ordinal%3D1%5D%2FpicFuelRecibeInterno","Descargar")</f>
        <v>Descargar</v>
      </c>
    </row>
    <row r="3" spans="1:18" x14ac:dyDescent="0.3">
      <c r="A3">
        <v>1614083</v>
      </c>
      <c r="B3" t="s">
        <v>18</v>
      </c>
      <c r="C3" t="s">
        <v>28</v>
      </c>
      <c r="D3" t="s">
        <v>29</v>
      </c>
      <c r="E3" t="s">
        <v>30</v>
      </c>
      <c r="F3" t="s">
        <v>22</v>
      </c>
      <c r="G3" t="s">
        <v>23</v>
      </c>
      <c r="H3" t="s">
        <v>24</v>
      </c>
      <c r="I3" t="s">
        <v>25</v>
      </c>
      <c r="J3" s="2">
        <v>45835.51185185185</v>
      </c>
      <c r="K3">
        <v>27</v>
      </c>
      <c r="L3">
        <v>6</v>
      </c>
      <c r="M3">
        <v>2025</v>
      </c>
      <c r="N3" t="s">
        <v>27</v>
      </c>
      <c r="O3">
        <v>250</v>
      </c>
      <c r="P3">
        <v>250</v>
      </c>
      <c r="R3" s="3" t="str">
        <f>HYPERLINK("https://panda.att.com.mx/ODKServer/view/binaryData?blobKey=FSSuministroFluidosv3%5B%40version%3Dnull+and+%40uiVersion%3Dnull%5D%2Fdata%5B%40key%3Duuid%3A3781de3b-a77a-4e85-84b7-150977fbd209%5D%2FgroupInfoFuel%5B%40ordinal%3D1%5D%2FpicFuelRecibeInterno","Descargar")</f>
        <v>Descargar</v>
      </c>
    </row>
    <row r="4" spans="1:18" x14ac:dyDescent="0.3">
      <c r="A4">
        <v>1614031</v>
      </c>
      <c r="B4" t="s">
        <v>18</v>
      </c>
      <c r="C4" t="s">
        <v>28</v>
      </c>
      <c r="D4" t="s">
        <v>31</v>
      </c>
      <c r="E4" t="s">
        <v>32</v>
      </c>
      <c r="F4" t="s">
        <v>33</v>
      </c>
      <c r="G4" t="s">
        <v>23</v>
      </c>
      <c r="H4" t="s">
        <v>24</v>
      </c>
      <c r="I4" t="s">
        <v>25</v>
      </c>
      <c r="J4" s="2">
        <v>45909.278854166667</v>
      </c>
      <c r="K4">
        <v>9</v>
      </c>
      <c r="L4">
        <v>9</v>
      </c>
      <c r="M4">
        <v>2025</v>
      </c>
      <c r="N4" t="s">
        <v>27</v>
      </c>
      <c r="O4">
        <v>200</v>
      </c>
      <c r="P4">
        <v>200</v>
      </c>
      <c r="R4" s="3" t="str">
        <f>HYPERLINK("https://panda.att.com.mx/ODKServer/view/binaryData?blobKey=FSSuministroFluidosv3%5B%40version%3Dnull+and+%40uiVersion%3Dnull%5D%2Fdata%5B%40key%3Duuid%3Ac70ac746-d49a-41ab-878e-6e01f4beb1b8%5D%2FgroupInfoFuel%5B%40ordinal%3D1%5D%2FpicFuelRecibeInterno","Descargar")</f>
        <v>Descargar</v>
      </c>
    </row>
    <row r="5" spans="1:18" x14ac:dyDescent="0.3">
      <c r="A5">
        <v>1613854</v>
      </c>
      <c r="B5" t="s">
        <v>18</v>
      </c>
      <c r="C5" t="s">
        <v>34</v>
      </c>
      <c r="D5" t="s">
        <v>35</v>
      </c>
      <c r="E5" t="s">
        <v>36</v>
      </c>
      <c r="F5" t="s">
        <v>22</v>
      </c>
      <c r="G5" t="s">
        <v>23</v>
      </c>
      <c r="H5" t="s">
        <v>37</v>
      </c>
      <c r="I5" t="s">
        <v>25</v>
      </c>
      <c r="J5" s="2">
        <v>45909.269884259258</v>
      </c>
      <c r="K5">
        <v>9</v>
      </c>
      <c r="L5">
        <v>9</v>
      </c>
      <c r="M5">
        <v>2025</v>
      </c>
      <c r="N5" t="s">
        <v>27</v>
      </c>
      <c r="O5">
        <v>80</v>
      </c>
      <c r="P5">
        <v>80</v>
      </c>
      <c r="R5" s="3" t="str">
        <f>HYPERLINK("https://panda.att.com.mx/ODKServer/view/binaryData?blobKey=FSSuministroFluidosv3%5B%40version%3Dnull+and+%40uiVersion%3Dnull%5D%2Fdata%5B%40key%3Duuid%3A13230e7a-2802-4e20-b4e5-eb7f14dedb3a%5D%2FgroupInfoFuel%5B%40ordinal%3D1%5D%2FpicFuelRecibeInterno","Descargar")</f>
        <v>Descargar</v>
      </c>
    </row>
    <row r="6" spans="1:18" x14ac:dyDescent="0.3">
      <c r="A6">
        <v>1613853</v>
      </c>
      <c r="B6" t="s">
        <v>18</v>
      </c>
      <c r="C6" t="s">
        <v>34</v>
      </c>
      <c r="D6" t="s">
        <v>38</v>
      </c>
      <c r="E6" t="s">
        <v>39</v>
      </c>
      <c r="F6" t="s">
        <v>22</v>
      </c>
      <c r="G6" t="s">
        <v>23</v>
      </c>
      <c r="H6" t="s">
        <v>37</v>
      </c>
      <c r="I6" t="s">
        <v>25</v>
      </c>
      <c r="J6" s="2">
        <v>45909.261400462958</v>
      </c>
      <c r="K6">
        <v>9</v>
      </c>
      <c r="L6">
        <v>9</v>
      </c>
      <c r="M6">
        <v>2025</v>
      </c>
      <c r="N6" t="s">
        <v>27</v>
      </c>
      <c r="O6">
        <v>150</v>
      </c>
      <c r="P6">
        <v>150</v>
      </c>
      <c r="R6" s="3" t="str">
        <f>HYPERLINK("https://panda.att.com.mx/ODKServer/view/binaryData?blobKey=FSSuministroFluidosv3%5B%40version%3Dnull+and+%40uiVersion%3Dnull%5D%2Fdata%5B%40key%3Duuid%3A86cec804-d3c6-4065-afcb-76f649abac9d%5D%2FgroupInfoFuel%5B%40ordinal%3D1%5D%2FpicFuelRecibeInterno","Descargar")</f>
        <v>Descargar</v>
      </c>
    </row>
    <row r="7" spans="1:18" x14ac:dyDescent="0.3">
      <c r="A7">
        <v>1613852</v>
      </c>
      <c r="B7" t="s">
        <v>18</v>
      </c>
      <c r="C7" t="s">
        <v>34</v>
      </c>
      <c r="D7" t="s">
        <v>38</v>
      </c>
      <c r="E7" t="s">
        <v>39</v>
      </c>
      <c r="F7" t="s">
        <v>22</v>
      </c>
      <c r="G7" t="s">
        <v>23</v>
      </c>
      <c r="H7" t="s">
        <v>37</v>
      </c>
      <c r="I7" t="s">
        <v>25</v>
      </c>
      <c r="J7" s="2">
        <v>45909.248993055553</v>
      </c>
      <c r="K7">
        <v>9</v>
      </c>
      <c r="L7">
        <v>9</v>
      </c>
      <c r="M7">
        <v>2025</v>
      </c>
      <c r="N7" t="s">
        <v>27</v>
      </c>
      <c r="O7">
        <v>280</v>
      </c>
      <c r="P7">
        <v>280</v>
      </c>
      <c r="R7" s="3" t="str">
        <f>HYPERLINK("https://panda.att.com.mx/ODKServer/view/binaryData?blobKey=FSSuministroFluidosv3%5B%40version%3Dnull+and+%40uiVersion%3Dnull%5D%2Fdata%5B%40key%3Duuid%3Ab2f78155-bc65-40da-8848-06284220c93c%5D%2FgroupInfoFuel%5B%40ordinal%3D1%5D%2FpicFuelRecibeInterno","Descargar")</f>
        <v>Descargar</v>
      </c>
    </row>
    <row r="8" spans="1:18" x14ac:dyDescent="0.3">
      <c r="A8">
        <v>1613845</v>
      </c>
      <c r="B8" t="s">
        <v>18</v>
      </c>
      <c r="C8" t="s">
        <v>19</v>
      </c>
      <c r="D8" t="s">
        <v>40</v>
      </c>
      <c r="E8" t="s">
        <v>41</v>
      </c>
      <c r="F8" t="s">
        <v>22</v>
      </c>
      <c r="G8" t="s">
        <v>23</v>
      </c>
      <c r="H8" t="s">
        <v>24</v>
      </c>
      <c r="I8" t="s">
        <v>25</v>
      </c>
      <c r="J8" s="2">
        <v>45908.613958333342</v>
      </c>
      <c r="K8">
        <v>8</v>
      </c>
      <c r="L8">
        <v>9</v>
      </c>
      <c r="M8">
        <v>2025</v>
      </c>
      <c r="N8" t="s">
        <v>27</v>
      </c>
      <c r="O8">
        <v>350</v>
      </c>
      <c r="P8">
        <v>350</v>
      </c>
      <c r="R8" s="3" t="str">
        <f>HYPERLINK("https://panda.att.com.mx/ODKServer/view/binaryData?blobKey=FSSuministroFluidosv3%5B%40version%3Dnull+and+%40uiVersion%3Dnull%5D%2Fdata%5B%40key%3Duuid%3Afceac595-0855-4d0a-80dc-c803a50467df%5D%2FgroupInfoFuel%5B%40ordinal%3D1%5D%2FpicFuelRecibeInterno","Descargar")</f>
        <v>Descargar</v>
      </c>
    </row>
    <row r="9" spans="1:18" x14ac:dyDescent="0.3">
      <c r="A9">
        <v>1613844</v>
      </c>
      <c r="B9" t="s">
        <v>18</v>
      </c>
      <c r="C9" t="s">
        <v>19</v>
      </c>
      <c r="D9" t="s">
        <v>42</v>
      </c>
      <c r="E9" t="s">
        <v>43</v>
      </c>
      <c r="F9" t="s">
        <v>22</v>
      </c>
      <c r="G9" t="s">
        <v>23</v>
      </c>
      <c r="H9" t="s">
        <v>24</v>
      </c>
      <c r="I9" t="s">
        <v>25</v>
      </c>
      <c r="J9" s="2">
        <v>45908.491273148153</v>
      </c>
      <c r="K9">
        <v>8</v>
      </c>
      <c r="L9">
        <v>9</v>
      </c>
      <c r="M9">
        <v>2025</v>
      </c>
      <c r="N9" t="s">
        <v>27</v>
      </c>
      <c r="O9">
        <v>200</v>
      </c>
      <c r="P9">
        <v>200</v>
      </c>
      <c r="R9" s="3" t="str">
        <f>HYPERLINK("https://panda.att.com.mx/ODKServer/view/binaryData?blobKey=FSSuministroFluidosv3%5B%40version%3Dnull+and+%40uiVersion%3Dnull%5D%2Fdata%5B%40key%3Duuid%3A987270e4-cf7c-4296-bb8c-5a86d4b022eb%5D%2FgroupInfoFuel%5B%40ordinal%3D1%5D%2FpicFuelRecibeInterno","Descargar")</f>
        <v>Descargar</v>
      </c>
    </row>
    <row r="10" spans="1:18" x14ac:dyDescent="0.3">
      <c r="A10">
        <v>1613842</v>
      </c>
      <c r="B10" t="s">
        <v>18</v>
      </c>
      <c r="C10" t="s">
        <v>19</v>
      </c>
      <c r="D10" t="s">
        <v>40</v>
      </c>
      <c r="E10" t="s">
        <v>41</v>
      </c>
      <c r="F10" t="s">
        <v>22</v>
      </c>
      <c r="G10" t="s">
        <v>23</v>
      </c>
      <c r="H10" t="s">
        <v>24</v>
      </c>
      <c r="I10" t="s">
        <v>25</v>
      </c>
      <c r="J10" s="2">
        <v>45908.301261574074</v>
      </c>
      <c r="K10">
        <v>8</v>
      </c>
      <c r="L10">
        <v>9</v>
      </c>
      <c r="M10">
        <v>2025</v>
      </c>
      <c r="N10" t="s">
        <v>44</v>
      </c>
      <c r="O10">
        <v>55</v>
      </c>
      <c r="P10">
        <v>55</v>
      </c>
      <c r="R10" s="3" t="str">
        <f>HYPERLINK("https://panda.att.com.mx/ODKServer/view/binaryData?blobKey=FSSuministroFluidosv3%5B%40version%3Dnull+and+%40uiVersion%3Dnull%5D%2Fdata%5B%40key%3Duuid%3A91228da5-b19e-40d1-b0bb-e4f65f991258%5D%2FgroupInfoFuel%5B%40ordinal%3D1%5D%2FpicFuelRecibeInterno","Descargar")</f>
        <v>Descargar</v>
      </c>
    </row>
    <row r="11" spans="1:18" x14ac:dyDescent="0.3">
      <c r="A11">
        <v>1613774</v>
      </c>
      <c r="B11" t="s">
        <v>18</v>
      </c>
      <c r="C11" t="s">
        <v>19</v>
      </c>
      <c r="D11" t="s">
        <v>45</v>
      </c>
      <c r="E11" t="s">
        <v>46</v>
      </c>
      <c r="F11" t="s">
        <v>22</v>
      </c>
      <c r="G11" t="s">
        <v>47</v>
      </c>
      <c r="H11" t="s">
        <v>24</v>
      </c>
      <c r="I11" t="s">
        <v>25</v>
      </c>
      <c r="J11" s="2">
        <v>45905.394305555557</v>
      </c>
      <c r="K11">
        <v>5</v>
      </c>
      <c r="L11">
        <v>9</v>
      </c>
      <c r="M11">
        <v>2025</v>
      </c>
      <c r="N11" t="s">
        <v>44</v>
      </c>
      <c r="O11">
        <v>25</v>
      </c>
      <c r="P11">
        <v>25</v>
      </c>
      <c r="R11" s="3" t="str">
        <f>HYPERLINK("https://panda.att.com.mx/ODKServer/view/binaryData?blobKey=FSSuministroFluidosv3%5B%40version%3Dnull+and+%40uiVersion%3Dnull%5D%2Fdata%5B%40key%3Duuid%3A9dd41270-3c8d-4266-8cca-8437b7389fe7%5D%2FgroupInfoFuel%5B%40ordinal%3D1%5D%2FpicFuelRecibeInterno","Descargar")</f>
        <v>Descargar</v>
      </c>
    </row>
    <row r="12" spans="1:18" x14ac:dyDescent="0.3">
      <c r="A12">
        <v>1613757</v>
      </c>
      <c r="B12" t="s">
        <v>18</v>
      </c>
      <c r="C12" t="s">
        <v>19</v>
      </c>
      <c r="D12" t="s">
        <v>45</v>
      </c>
      <c r="E12" t="s">
        <v>48</v>
      </c>
      <c r="F12" t="s">
        <v>22</v>
      </c>
      <c r="G12" t="s">
        <v>23</v>
      </c>
      <c r="H12" t="s">
        <v>24</v>
      </c>
      <c r="I12" t="s">
        <v>25</v>
      </c>
      <c r="J12" t="s">
        <v>49</v>
      </c>
      <c r="K12">
        <v>13</v>
      </c>
      <c r="L12">
        <v>8</v>
      </c>
      <c r="M12">
        <v>2025</v>
      </c>
      <c r="N12" t="s">
        <v>27</v>
      </c>
      <c r="O12">
        <v>200</v>
      </c>
      <c r="P12">
        <v>200</v>
      </c>
      <c r="R12" s="3" t="str">
        <f>HYPERLINK("https://panda.att.com.mx/ODKServer/view/binaryData?blobKey=FSSuministroFluidosv3%5B%40version%3Dnull+and+%40uiVersion%3Dnull%5D%2Fdata%5B%40key%3Duuid%3A1a7dd894-c507-4183-815e-bccc2c7dbab7%5D%2FgroupInfoFuel%5B%40ordinal%3D1%5D%2FpicFuelRecibeInterno","Descargar")</f>
        <v>Descargar</v>
      </c>
    </row>
    <row r="13" spans="1:18" x14ac:dyDescent="0.3">
      <c r="A13">
        <v>1613741</v>
      </c>
      <c r="B13" t="s">
        <v>18</v>
      </c>
      <c r="C13" t="s">
        <v>19</v>
      </c>
      <c r="D13" t="s">
        <v>45</v>
      </c>
      <c r="E13" t="s">
        <v>50</v>
      </c>
      <c r="F13" t="s">
        <v>22</v>
      </c>
      <c r="G13" t="s">
        <v>23</v>
      </c>
      <c r="H13" t="s">
        <v>24</v>
      </c>
      <c r="I13" t="s">
        <v>25</v>
      </c>
      <c r="J13" s="2">
        <v>45903.751574074071</v>
      </c>
      <c r="K13">
        <v>3</v>
      </c>
      <c r="L13">
        <v>9</v>
      </c>
      <c r="M13">
        <v>2025</v>
      </c>
      <c r="N13" t="s">
        <v>27</v>
      </c>
      <c r="O13">
        <v>300</v>
      </c>
      <c r="P13">
        <v>300</v>
      </c>
      <c r="R13" s="3" t="str">
        <f>HYPERLINK("https://panda.att.com.mx/ODKServer/view/binaryData?blobKey=FSSuministroFluidosv3%5B%40version%3Dnull+and+%40uiVersion%3Dnull%5D%2Fdata%5B%40key%3Duuid%3Aaa404a77-7043-405f-a6e5-706732fbac36%5D%2FgroupInfoFuel%5B%40ordinal%3D1%5D%2FpicFuelRecibeInterno","Descargar")</f>
        <v>Descargar</v>
      </c>
    </row>
    <row r="14" spans="1:18" x14ac:dyDescent="0.3">
      <c r="A14">
        <v>1613726</v>
      </c>
      <c r="B14" t="s">
        <v>18</v>
      </c>
      <c r="C14" t="s">
        <v>34</v>
      </c>
      <c r="D14" t="s">
        <v>51</v>
      </c>
      <c r="E14" t="s">
        <v>52</v>
      </c>
      <c r="F14" t="s">
        <v>22</v>
      </c>
      <c r="G14" t="s">
        <v>23</v>
      </c>
      <c r="H14" t="s">
        <v>24</v>
      </c>
      <c r="I14" t="s">
        <v>25</v>
      </c>
      <c r="J14" s="2">
        <v>45908.541574074072</v>
      </c>
      <c r="K14">
        <v>8</v>
      </c>
      <c r="L14">
        <v>9</v>
      </c>
      <c r="M14">
        <v>2025</v>
      </c>
      <c r="N14" t="s">
        <v>27</v>
      </c>
      <c r="O14">
        <v>130</v>
      </c>
      <c r="P14">
        <v>130</v>
      </c>
      <c r="R14" s="3" t="str">
        <f>HYPERLINK("https://panda.att.com.mx/ODKServer/view/binaryData?blobKey=FSSuministroFluidosv3%5B%40version%3Dnull+and+%40uiVersion%3Dnull%5D%2Fdata%5B%40key%3Duuid%3A476e2c08-c9ce-4a27-9099-9d414058d65d%5D%2FgroupInfoFuel%5B%40ordinal%3D1%5D%2FpicFuelRecibeInterno","Descargar")</f>
        <v>Descargar</v>
      </c>
    </row>
    <row r="15" spans="1:18" x14ac:dyDescent="0.3">
      <c r="A15">
        <v>1613699</v>
      </c>
      <c r="B15" t="s">
        <v>18</v>
      </c>
      <c r="C15" t="s">
        <v>34</v>
      </c>
      <c r="D15" t="s">
        <v>53</v>
      </c>
      <c r="E15" t="s">
        <v>54</v>
      </c>
      <c r="F15" t="s">
        <v>22</v>
      </c>
      <c r="G15" t="s">
        <v>23</v>
      </c>
      <c r="H15" t="s">
        <v>37</v>
      </c>
      <c r="I15" t="s">
        <v>25</v>
      </c>
      <c r="J15" s="2">
        <v>45908.77988425926</v>
      </c>
      <c r="K15">
        <v>8</v>
      </c>
      <c r="L15">
        <v>9</v>
      </c>
      <c r="M15">
        <v>2025</v>
      </c>
      <c r="N15" t="s">
        <v>27</v>
      </c>
      <c r="O15">
        <v>400</v>
      </c>
      <c r="Q15">
        <v>400</v>
      </c>
      <c r="R15" s="3" t="str">
        <f>HYPERLINK("https://panda.att.com.mx/ODKServer/view/binaryData?blobKey=FSSuministroFluidosv3%5B%40version%3Dnull+and+%40uiVersion%3Dnull%5D%2Fdata%5B%40key%3Duuid%3Afd6cbfd8-9140-4dfa-b875-f88e82716d59%5D%2FgroupInfoFuel%5B%40ordinal%3D1%5D%2FpicFuelRecibeInterno","Descargar")</f>
        <v>Descargar</v>
      </c>
    </row>
    <row r="16" spans="1:18" x14ac:dyDescent="0.3">
      <c r="A16">
        <v>1613693</v>
      </c>
      <c r="B16" t="s">
        <v>18</v>
      </c>
      <c r="C16" t="s">
        <v>55</v>
      </c>
      <c r="D16" t="s">
        <v>56</v>
      </c>
      <c r="E16" t="s">
        <v>57</v>
      </c>
      <c r="F16" t="s">
        <v>22</v>
      </c>
      <c r="G16" t="s">
        <v>23</v>
      </c>
      <c r="H16" t="s">
        <v>58</v>
      </c>
      <c r="I16" t="s">
        <v>25</v>
      </c>
      <c r="J16" s="2">
        <v>45908.442893518521</v>
      </c>
      <c r="K16">
        <v>8</v>
      </c>
      <c r="L16">
        <v>9</v>
      </c>
      <c r="M16">
        <v>2025</v>
      </c>
      <c r="N16" t="s">
        <v>27</v>
      </c>
      <c r="O16">
        <v>50</v>
      </c>
      <c r="P16">
        <v>50</v>
      </c>
      <c r="R16" s="3" t="str">
        <f>HYPERLINK("https://panda.att.com.mx/ODKServer/view/binaryData?blobKey=FSSuministroFluidosv3%5B%40version%3Dnull+and+%40uiVersion%3Dnull%5D%2Fdata%5B%40key%3Duuid%3A487f8d39-cc01-49ca-a8ea-4e8d0a2ea545%5D%2FgroupInfoFuel%5B%40ordinal%3D1%5D%2FpicFuelRecibeInterno","Descargar")</f>
        <v>Descargar</v>
      </c>
    </row>
    <row r="17" spans="1:18" x14ac:dyDescent="0.3">
      <c r="A17">
        <v>1613683</v>
      </c>
      <c r="B17" t="s">
        <v>18</v>
      </c>
      <c r="C17" t="s">
        <v>59</v>
      </c>
      <c r="D17" t="s">
        <v>60</v>
      </c>
      <c r="E17" t="s">
        <v>61</v>
      </c>
      <c r="F17" t="s">
        <v>22</v>
      </c>
      <c r="G17" t="s">
        <v>23</v>
      </c>
      <c r="H17" t="s">
        <v>37</v>
      </c>
      <c r="I17" t="s">
        <v>25</v>
      </c>
      <c r="J17" s="2">
        <v>45908.795555555553</v>
      </c>
      <c r="K17">
        <v>8</v>
      </c>
      <c r="L17">
        <v>9</v>
      </c>
      <c r="M17">
        <v>2025</v>
      </c>
      <c r="N17" t="s">
        <v>27</v>
      </c>
      <c r="O17">
        <v>86</v>
      </c>
      <c r="P17">
        <v>86</v>
      </c>
      <c r="R17" s="3" t="str">
        <f>HYPERLINK("https://panda.att.com.mx/ODKServer/view/binaryData?blobKey=FSSuministroFluidosv3%5B%40version%3Dnull+and+%40uiVersion%3Dnull%5D%2Fdata%5B%40key%3Duuid%3Ab1c090a6-b2b4-4d47-a2df-229c8c072768%5D%2FgroupInfoFuel%5B%40ordinal%3D1%5D%2FpicFuelRecibeInterno","Descargar")</f>
        <v>Descargar</v>
      </c>
    </row>
    <row r="18" spans="1:18" x14ac:dyDescent="0.3">
      <c r="A18">
        <v>1613672</v>
      </c>
      <c r="B18" t="s">
        <v>18</v>
      </c>
      <c r="C18" t="s">
        <v>19</v>
      </c>
      <c r="D18" t="s">
        <v>62</v>
      </c>
      <c r="E18" t="s">
        <v>63</v>
      </c>
      <c r="F18" t="s">
        <v>22</v>
      </c>
      <c r="G18" t="s">
        <v>23</v>
      </c>
      <c r="H18" t="s">
        <v>24</v>
      </c>
      <c r="I18" t="s">
        <v>25</v>
      </c>
      <c r="J18" s="2">
        <v>45908.695231481477</v>
      </c>
      <c r="K18">
        <v>8</v>
      </c>
      <c r="L18">
        <v>9</v>
      </c>
      <c r="M18">
        <v>2025</v>
      </c>
      <c r="N18" t="s">
        <v>44</v>
      </c>
      <c r="O18">
        <v>15</v>
      </c>
      <c r="P18">
        <v>15</v>
      </c>
      <c r="R18" s="3" t="str">
        <f>HYPERLINK("https://panda.att.com.mx/ODKServer/view/binaryData?blobKey=FSSuministroFluidosv3%5B%40version%3Dnull+and+%40uiVersion%3Dnull%5D%2Fdata%5B%40key%3Duuid%3Afb4bfa91-aaaa-43e4-a807-5752c28f1c97%5D%2FgroupInfoFuel%5B%40ordinal%3D1%5D%2FpicFuelRecibeInterno","Descargar")</f>
        <v>Descargar</v>
      </c>
    </row>
    <row r="19" spans="1:18" x14ac:dyDescent="0.3">
      <c r="A19">
        <v>1613671</v>
      </c>
      <c r="B19" t="s">
        <v>18</v>
      </c>
      <c r="C19" t="s">
        <v>55</v>
      </c>
      <c r="D19" t="s">
        <v>64</v>
      </c>
      <c r="E19" t="s">
        <v>65</v>
      </c>
      <c r="F19" t="s">
        <v>22</v>
      </c>
      <c r="G19" t="s">
        <v>23</v>
      </c>
      <c r="H19" t="s">
        <v>58</v>
      </c>
      <c r="I19" t="s">
        <v>25</v>
      </c>
      <c r="J19" s="2">
        <v>45908.651423611111</v>
      </c>
      <c r="K19">
        <v>8</v>
      </c>
      <c r="L19">
        <v>9</v>
      </c>
      <c r="M19">
        <v>2025</v>
      </c>
      <c r="N19" t="s">
        <v>27</v>
      </c>
      <c r="O19">
        <v>300</v>
      </c>
      <c r="P19">
        <v>300</v>
      </c>
      <c r="R19" s="3" t="str">
        <f>HYPERLINK("https://panda.att.com.mx/ODKServer/view/binaryData?blobKey=FSSuministroFluidosv3%5B%40version%3Dnull+and+%40uiVersion%3Dnull%5D%2Fdata%5B%40key%3Duuid%3Acc1adcf0-963a-4c80-91ec-280bfa28a5e8%5D%2FgroupInfoFuel%5B%40ordinal%3D1%5D%2FpicFuelRecibeInterno","Descargar")</f>
        <v>Descargar</v>
      </c>
    </row>
    <row r="20" spans="1:18" x14ac:dyDescent="0.3">
      <c r="A20">
        <v>1613556</v>
      </c>
      <c r="B20" t="s">
        <v>18</v>
      </c>
      <c r="C20" t="s">
        <v>28</v>
      </c>
      <c r="D20" t="s">
        <v>66</v>
      </c>
      <c r="E20" t="s">
        <v>67</v>
      </c>
      <c r="F20" t="s">
        <v>22</v>
      </c>
      <c r="G20" t="s">
        <v>23</v>
      </c>
      <c r="H20" t="s">
        <v>24</v>
      </c>
      <c r="I20" t="s">
        <v>25</v>
      </c>
      <c r="J20" s="2">
        <v>45906.447465277779</v>
      </c>
      <c r="K20">
        <v>6</v>
      </c>
      <c r="L20">
        <v>9</v>
      </c>
      <c r="M20">
        <v>2025</v>
      </c>
      <c r="N20" t="s">
        <v>44</v>
      </c>
      <c r="O20">
        <v>40</v>
      </c>
      <c r="P20">
        <v>40</v>
      </c>
      <c r="R20" s="3" t="str">
        <f>HYPERLINK("https://panda.att.com.mx/ODKServer/view/binaryData?blobKey=FSSuministroFluidosv3%5B%40version%3Dnull+and+%40uiVersion%3Dnull%5D%2Fdata%5B%40key%3Duuid%3A6cc98afd-f57a-4c28-b6fc-2950dc199c57%5D%2FgroupInfoFuel%5B%40ordinal%3D1%5D%2FpicFuelRecibeInterno","Descargar")</f>
        <v>Descargar</v>
      </c>
    </row>
    <row r="21" spans="1:18" x14ac:dyDescent="0.3">
      <c r="A21">
        <v>1613555</v>
      </c>
      <c r="B21" t="s">
        <v>18</v>
      </c>
      <c r="C21" t="s">
        <v>68</v>
      </c>
      <c r="D21" t="s">
        <v>69</v>
      </c>
      <c r="E21" t="s">
        <v>70</v>
      </c>
      <c r="F21" t="s">
        <v>22</v>
      </c>
      <c r="G21" t="s">
        <v>23</v>
      </c>
      <c r="H21" t="s">
        <v>37</v>
      </c>
      <c r="I21" t="s">
        <v>25</v>
      </c>
      <c r="J21" s="2">
        <v>45908.539953703701</v>
      </c>
      <c r="K21">
        <v>8</v>
      </c>
      <c r="L21">
        <v>9</v>
      </c>
      <c r="M21">
        <v>2025</v>
      </c>
      <c r="N21" t="s">
        <v>27</v>
      </c>
      <c r="O21">
        <v>180</v>
      </c>
      <c r="P21">
        <v>180</v>
      </c>
      <c r="R21" s="3" t="str">
        <f>HYPERLINK("https://panda.att.com.mx/ODKServer/view/binaryData?blobKey=FSSuministroFluidosv3%5B%40version%3Dnull+and+%40uiVersion%3Dnull%5D%2Fdata%5B%40key%3Duuid%3A73eef57d-3e6e-4a6b-b54c-0b262893b8e4%5D%2FgroupInfoFuel%5B%40ordinal%3D1%5D%2FpicFuelRecibeInterno","Descargar")</f>
        <v>Descargar</v>
      </c>
    </row>
    <row r="22" spans="1:18" x14ac:dyDescent="0.3">
      <c r="A22">
        <v>1613551</v>
      </c>
      <c r="B22" t="s">
        <v>18</v>
      </c>
      <c r="C22" t="s">
        <v>34</v>
      </c>
      <c r="D22" t="s">
        <v>71</v>
      </c>
      <c r="E22" t="s">
        <v>72</v>
      </c>
      <c r="F22" t="s">
        <v>22</v>
      </c>
      <c r="G22" t="s">
        <v>23</v>
      </c>
      <c r="H22" t="s">
        <v>37</v>
      </c>
      <c r="I22" t="s">
        <v>25</v>
      </c>
      <c r="J22" s="2">
        <v>45908.556388888886</v>
      </c>
      <c r="K22">
        <v>8</v>
      </c>
      <c r="L22">
        <v>9</v>
      </c>
      <c r="M22">
        <v>2025</v>
      </c>
      <c r="N22" t="s">
        <v>27</v>
      </c>
      <c r="O22">
        <v>250</v>
      </c>
      <c r="P22">
        <v>250</v>
      </c>
      <c r="R22" s="3" t="str">
        <f>HYPERLINK("https://panda.att.com.mx/ODKServer/view/binaryData?blobKey=FSSuministroFluidosv3%5B%40version%3Dnull+and+%40uiVersion%3Dnull%5D%2Fdata%5B%40key%3Duuid%3Ad1f43980-0d40-46ca-9227-82f11a62e56a%5D%2FgroupInfoFuel%5B%40ordinal%3D1%5D%2FpicFuelRecibeInterno","Descargar")</f>
        <v>Descargar</v>
      </c>
    </row>
    <row r="23" spans="1:18" x14ac:dyDescent="0.3">
      <c r="A23">
        <v>1613540</v>
      </c>
      <c r="B23" t="s">
        <v>18</v>
      </c>
      <c r="C23" t="s">
        <v>34</v>
      </c>
      <c r="D23" t="s">
        <v>73</v>
      </c>
      <c r="E23" t="s">
        <v>74</v>
      </c>
      <c r="F23" t="s">
        <v>22</v>
      </c>
      <c r="G23" t="s">
        <v>23</v>
      </c>
      <c r="H23" t="s">
        <v>37</v>
      </c>
      <c r="I23" t="s">
        <v>25</v>
      </c>
      <c r="J23" s="2">
        <v>45908.488530092603</v>
      </c>
      <c r="K23">
        <v>8</v>
      </c>
      <c r="L23">
        <v>9</v>
      </c>
      <c r="M23">
        <v>2025</v>
      </c>
      <c r="N23" t="s">
        <v>27</v>
      </c>
      <c r="O23">
        <v>450</v>
      </c>
      <c r="P23">
        <v>450</v>
      </c>
      <c r="R23" s="3" t="str">
        <f>HYPERLINK("https://panda.att.com.mx/ODKServer/view/binaryData?blobKey=FSSuministroFluidosv3%5B%40version%3Dnull+and+%40uiVersion%3Dnull%5D%2Fdata%5B%40key%3Duuid%3Aa5bf1e3a-5510-4ca7-99b4-46cd87549905%5D%2FgroupInfoFuel%5B%40ordinal%3D1%5D%2FpicFuelRecibeInterno","Descargar")</f>
        <v>Descargar</v>
      </c>
    </row>
    <row r="24" spans="1:18" x14ac:dyDescent="0.3">
      <c r="A24">
        <v>1613539</v>
      </c>
      <c r="B24" t="s">
        <v>18</v>
      </c>
      <c r="C24" t="s">
        <v>55</v>
      </c>
      <c r="D24" t="s">
        <v>56</v>
      </c>
      <c r="E24" t="s">
        <v>75</v>
      </c>
      <c r="F24" t="s">
        <v>22</v>
      </c>
      <c r="G24" t="s">
        <v>23</v>
      </c>
      <c r="H24" t="s">
        <v>58</v>
      </c>
      <c r="I24" t="s">
        <v>25</v>
      </c>
      <c r="J24" s="2">
        <v>45902.680185185192</v>
      </c>
      <c r="K24">
        <v>2</v>
      </c>
      <c r="L24">
        <v>9</v>
      </c>
      <c r="M24">
        <v>2025</v>
      </c>
      <c r="N24" t="s">
        <v>27</v>
      </c>
      <c r="O24">
        <v>300</v>
      </c>
      <c r="P24">
        <v>300</v>
      </c>
      <c r="R24" s="3" t="str">
        <f>HYPERLINK("https://panda.att.com.mx/ODKServer/view/binaryData?blobKey=FSSuministroFluidosv3%5B%40version%3Dnull+and+%40uiVersion%3Dnull%5D%2Fdata%5B%40key%3Duuid%3Aaf32624e-8dfc-4e7b-bfb3-be7174e0e4cc%5D%2FgroupInfoFuel%5B%40ordinal%3D1%5D%2FpicFuelRecibeInterno","Descargar")</f>
        <v>Descargar</v>
      </c>
    </row>
    <row r="25" spans="1:18" x14ac:dyDescent="0.3">
      <c r="A25">
        <v>1613538</v>
      </c>
      <c r="B25" t="s">
        <v>18</v>
      </c>
      <c r="C25" t="s">
        <v>55</v>
      </c>
      <c r="D25" t="s">
        <v>56</v>
      </c>
      <c r="E25" t="s">
        <v>76</v>
      </c>
      <c r="F25" t="s">
        <v>22</v>
      </c>
      <c r="G25" t="s">
        <v>23</v>
      </c>
      <c r="H25" t="s">
        <v>58</v>
      </c>
      <c r="I25" t="s">
        <v>25</v>
      </c>
      <c r="J25" s="2">
        <v>45902.79105324074</v>
      </c>
      <c r="K25">
        <v>2</v>
      </c>
      <c r="L25">
        <v>9</v>
      </c>
      <c r="M25">
        <v>2025</v>
      </c>
      <c r="N25" t="s">
        <v>27</v>
      </c>
      <c r="O25">
        <v>100</v>
      </c>
      <c r="P25">
        <v>100</v>
      </c>
      <c r="R25" s="3" t="str">
        <f>HYPERLINK("https://panda.att.com.mx/ODKServer/view/binaryData?blobKey=FSSuministroFluidosv3%5B%40version%3Dnull+and+%40uiVersion%3Dnull%5D%2Fdata%5B%40key%3Duuid%3A3a668504-6196-4e6e-b762-88147fa34ccb%5D%2FgroupInfoFuel%5B%40ordinal%3D1%5D%2FpicFuelRecibeInterno","Descargar")</f>
        <v>Descargar</v>
      </c>
    </row>
    <row r="26" spans="1:18" x14ac:dyDescent="0.3">
      <c r="A26">
        <v>1613531</v>
      </c>
      <c r="B26" t="s">
        <v>18</v>
      </c>
      <c r="C26" t="s">
        <v>55</v>
      </c>
      <c r="D26" t="s">
        <v>56</v>
      </c>
      <c r="E26" t="s">
        <v>77</v>
      </c>
      <c r="F26" t="s">
        <v>22</v>
      </c>
      <c r="G26" t="s">
        <v>23</v>
      </c>
      <c r="H26" t="s">
        <v>58</v>
      </c>
      <c r="I26" t="s">
        <v>25</v>
      </c>
      <c r="J26" s="2">
        <v>45904.61613425926</v>
      </c>
      <c r="K26">
        <v>4</v>
      </c>
      <c r="L26">
        <v>9</v>
      </c>
      <c r="M26">
        <v>2025</v>
      </c>
      <c r="N26" t="s">
        <v>27</v>
      </c>
      <c r="O26">
        <v>300</v>
      </c>
      <c r="P26">
        <v>300</v>
      </c>
      <c r="R26" s="3" t="str">
        <f>HYPERLINK("https://panda.att.com.mx/ODKServer/view/binaryData?blobKey=FSSuministroFluidosv3%5B%40version%3Dnull+and+%40uiVersion%3Dnull%5D%2Fdata%5B%40key%3Duuid%3Af6f477c4-ad98-4793-bfa8-57ad5695263a%5D%2FgroupInfoFuel%5B%40ordinal%3D1%5D%2FpicFuelRecibeInterno","Descargar")</f>
        <v>Descargar</v>
      </c>
    </row>
    <row r="27" spans="1:18" x14ac:dyDescent="0.3">
      <c r="A27">
        <v>1614818</v>
      </c>
      <c r="B27" t="s">
        <v>18</v>
      </c>
      <c r="C27" t="s">
        <v>68</v>
      </c>
      <c r="D27" t="s">
        <v>78</v>
      </c>
      <c r="E27" t="s">
        <v>79</v>
      </c>
      <c r="F27" t="s">
        <v>22</v>
      </c>
      <c r="G27" t="s">
        <v>23</v>
      </c>
      <c r="H27" t="s">
        <v>37</v>
      </c>
      <c r="I27" t="s">
        <v>25</v>
      </c>
      <c r="J27" s="2">
        <v>45909.938391203701</v>
      </c>
      <c r="K27">
        <v>9</v>
      </c>
      <c r="L27">
        <v>9</v>
      </c>
      <c r="M27">
        <v>2025</v>
      </c>
      <c r="N27" t="s">
        <v>44</v>
      </c>
      <c r="O27">
        <v>50</v>
      </c>
      <c r="P27">
        <v>50</v>
      </c>
      <c r="R27" s="3" t="str">
        <f>HYPERLINK("https://panda.att.com.mx/ODKServer/view/binaryData?blobKey=FSSuministroFluidosv3%5B%40version%3Dnull+and+%40uiVersion%3Dnull%5D%2Fdata%5B%40key%3Duuid%3A94fc8003-4f40-4b97-8fc6-b3d6b5b5141d%5D%2FgroupInfoFuel%5B%40ordinal%3D1%5D%2FpicFuelRecibeInterno","Descargar")</f>
        <v>Descargar</v>
      </c>
    </row>
    <row r="28" spans="1:18" x14ac:dyDescent="0.3">
      <c r="A28">
        <v>1614795</v>
      </c>
      <c r="B28" t="s">
        <v>18</v>
      </c>
      <c r="C28" t="s">
        <v>55</v>
      </c>
      <c r="D28" t="s">
        <v>56</v>
      </c>
      <c r="E28" t="s">
        <v>80</v>
      </c>
      <c r="F28" t="s">
        <v>22</v>
      </c>
      <c r="G28" t="s">
        <v>23</v>
      </c>
      <c r="H28" t="s">
        <v>58</v>
      </c>
      <c r="I28" t="s">
        <v>25</v>
      </c>
      <c r="J28" s="2">
        <v>45907.883217592593</v>
      </c>
      <c r="K28">
        <v>7</v>
      </c>
      <c r="L28">
        <v>9</v>
      </c>
      <c r="M28">
        <v>2025</v>
      </c>
      <c r="N28" t="s">
        <v>27</v>
      </c>
      <c r="O28">
        <v>150</v>
      </c>
      <c r="P28">
        <v>150</v>
      </c>
      <c r="R28" s="3" t="str">
        <f>HYPERLINK("https://panda.att.com.mx/ODKServer/view/binaryData?blobKey=FSSuministroFluidosv3%5B%40version%3Dnull+and+%40uiVersion%3Dnull%5D%2Fdata%5B%40key%3Duuid%3Af641706f-a4ab-4812-9f86-4fc5fc866215%5D%2FgroupInfoFuel%5B%40ordinal%3D1%5D%2FpicFuelRecibeInterno","Descargar")</f>
        <v>Descargar</v>
      </c>
    </row>
    <row r="29" spans="1:18" x14ac:dyDescent="0.3">
      <c r="A29">
        <v>1614781</v>
      </c>
      <c r="B29" t="s">
        <v>18</v>
      </c>
      <c r="C29" t="s">
        <v>55</v>
      </c>
      <c r="D29" t="s">
        <v>56</v>
      </c>
      <c r="E29" t="s">
        <v>81</v>
      </c>
      <c r="F29" t="s">
        <v>22</v>
      </c>
      <c r="G29" t="s">
        <v>23</v>
      </c>
      <c r="H29" t="s">
        <v>58</v>
      </c>
      <c r="I29" t="s">
        <v>25</v>
      </c>
      <c r="J29" s="2">
        <v>45907.455335648148</v>
      </c>
      <c r="K29">
        <v>7</v>
      </c>
      <c r="L29">
        <v>9</v>
      </c>
      <c r="M29">
        <v>2025</v>
      </c>
      <c r="N29" t="s">
        <v>27</v>
      </c>
      <c r="O29">
        <v>100</v>
      </c>
      <c r="P29">
        <v>100</v>
      </c>
      <c r="R29" s="3" t="str">
        <f>HYPERLINK("https://panda.att.com.mx/ODKServer/view/binaryData?blobKey=FSSuministroFluidosv3%5B%40version%3Dnull+and+%40uiVersion%3Dnull%5D%2Fdata%5B%40key%3Duuid%3A175ce7d2-dffe-4c0d-824f-fff9edab7cf0%5D%2FgroupInfoFuel%5B%40ordinal%3D1%5D%2FpicFuelRecibeInterno","Descargar")</f>
        <v>Descargar</v>
      </c>
    </row>
    <row r="30" spans="1:18" x14ac:dyDescent="0.3">
      <c r="A30">
        <v>1614765</v>
      </c>
      <c r="B30" t="s">
        <v>18</v>
      </c>
      <c r="C30" t="s">
        <v>55</v>
      </c>
      <c r="D30" t="s">
        <v>56</v>
      </c>
      <c r="E30" t="s">
        <v>57</v>
      </c>
      <c r="F30" t="s">
        <v>22</v>
      </c>
      <c r="G30" t="s">
        <v>23</v>
      </c>
      <c r="H30" t="s">
        <v>58</v>
      </c>
      <c r="I30" t="s">
        <v>25</v>
      </c>
      <c r="J30" s="2">
        <v>45908.457881944443</v>
      </c>
      <c r="K30">
        <v>8</v>
      </c>
      <c r="L30">
        <v>9</v>
      </c>
      <c r="M30">
        <v>2025</v>
      </c>
      <c r="N30" t="s">
        <v>27</v>
      </c>
      <c r="O30">
        <v>150</v>
      </c>
      <c r="P30">
        <v>150</v>
      </c>
      <c r="R30" s="3" t="str">
        <f>HYPERLINK("https://panda.att.com.mx/ODKServer/view/binaryData?blobKey=FSSuministroFluidosv3%5B%40version%3Dnull+and+%40uiVersion%3Dnull%5D%2Fdata%5B%40key%3Duuid%3Aa44d86c0-2241-485b-9105-98fe03de784f%5D%2FgroupInfoFuel%5B%40ordinal%3D1%5D%2FpicFuelRecibeInterno","Descargar")</f>
        <v>Descargar</v>
      </c>
    </row>
    <row r="31" spans="1:18" x14ac:dyDescent="0.3">
      <c r="A31">
        <v>1614764</v>
      </c>
      <c r="B31" t="s">
        <v>18</v>
      </c>
      <c r="C31" t="s">
        <v>55</v>
      </c>
      <c r="D31" t="s">
        <v>56</v>
      </c>
      <c r="E31" t="s">
        <v>81</v>
      </c>
      <c r="F31" t="s">
        <v>22</v>
      </c>
      <c r="G31" t="s">
        <v>23</v>
      </c>
      <c r="H31" t="s">
        <v>58</v>
      </c>
      <c r="I31" t="s">
        <v>25</v>
      </c>
      <c r="J31" s="2">
        <v>45908.657164351847</v>
      </c>
      <c r="K31">
        <v>8</v>
      </c>
      <c r="L31">
        <v>9</v>
      </c>
      <c r="M31">
        <v>2025</v>
      </c>
      <c r="N31" t="s">
        <v>27</v>
      </c>
      <c r="O31">
        <v>100</v>
      </c>
      <c r="P31">
        <v>100</v>
      </c>
      <c r="R31" s="3" t="str">
        <f>HYPERLINK("https://panda.att.com.mx/ODKServer/view/binaryData?blobKey=FSSuministroFluidosv3%5B%40version%3Dnull+and+%40uiVersion%3Dnull%5D%2Fdata%5B%40key%3Duuid%3A6a70f6d9-04ed-4fe2-b61b-f50352f31c74%5D%2FgroupInfoFuel%5B%40ordinal%3D1%5D%2FpicFuelRecibeInterno","Descargar")</f>
        <v>Descargar</v>
      </c>
    </row>
    <row r="32" spans="1:18" x14ac:dyDescent="0.3">
      <c r="A32">
        <v>1614753</v>
      </c>
      <c r="B32" t="s">
        <v>18</v>
      </c>
      <c r="C32" t="s">
        <v>59</v>
      </c>
      <c r="D32" t="s">
        <v>60</v>
      </c>
      <c r="E32" t="s">
        <v>82</v>
      </c>
      <c r="F32" t="s">
        <v>22</v>
      </c>
      <c r="G32" t="s">
        <v>83</v>
      </c>
      <c r="H32" t="s">
        <v>37</v>
      </c>
      <c r="I32" t="s">
        <v>84</v>
      </c>
      <c r="J32" s="2">
        <v>45906.401180555556</v>
      </c>
      <c r="K32">
        <v>6</v>
      </c>
      <c r="L32">
        <v>9</v>
      </c>
      <c r="M32">
        <v>2025</v>
      </c>
      <c r="N32" t="s">
        <v>27</v>
      </c>
      <c r="O32">
        <v>100</v>
      </c>
      <c r="P32">
        <v>100</v>
      </c>
      <c r="R32" s="3" t="str">
        <f>HYPERLINK("https://panda.att.com.mx/ODKServer/view/binaryData?blobKey=FSSuministroFluidosv3%5B%40version%3Dnull+and+%40uiVersion%3Dnull%5D%2Fdata%5B%40key%3Duuid%3A8402683e-ec59-4848-9474-dbfbfcc5359b%5D%2FgroupInfoFuel%5B%40ordinal%3D1%5D%2FpicFuelRecibeInterno","Descargar")</f>
        <v>Descargar</v>
      </c>
    </row>
    <row r="33" spans="1:18" x14ac:dyDescent="0.3">
      <c r="A33">
        <v>1614740</v>
      </c>
      <c r="B33" t="s">
        <v>18</v>
      </c>
      <c r="C33" t="s">
        <v>59</v>
      </c>
      <c r="D33" t="s">
        <v>60</v>
      </c>
      <c r="E33" t="s">
        <v>85</v>
      </c>
      <c r="F33" t="s">
        <v>22</v>
      </c>
      <c r="G33" t="s">
        <v>23</v>
      </c>
      <c r="H33" t="s">
        <v>37</v>
      </c>
      <c r="I33" t="s">
        <v>84</v>
      </c>
      <c r="J33" s="2">
        <v>45908.461643518523</v>
      </c>
      <c r="K33">
        <v>8</v>
      </c>
      <c r="L33">
        <v>9</v>
      </c>
      <c r="M33">
        <v>2025</v>
      </c>
      <c r="N33" t="s">
        <v>27</v>
      </c>
      <c r="O33">
        <v>52</v>
      </c>
      <c r="P33">
        <v>52</v>
      </c>
      <c r="R33" s="3" t="str">
        <f>HYPERLINK("https://panda.att.com.mx/ODKServer/view/binaryData?blobKey=FSSuministroFluidosv3%5B%40version%3Dnull+and+%40uiVersion%3Dnull%5D%2Fdata%5B%40key%3Duuid%3Afdf2cf91-9c9a-4583-9824-c5a9c804b83e%5D%2FgroupInfoFuel%5B%40ordinal%3D1%5D%2FpicFuelRecibeInterno","Descargar")</f>
        <v>Descargar</v>
      </c>
    </row>
    <row r="34" spans="1:18" x14ac:dyDescent="0.3">
      <c r="A34">
        <v>1614720</v>
      </c>
      <c r="B34" t="s">
        <v>18</v>
      </c>
      <c r="C34" t="s">
        <v>55</v>
      </c>
      <c r="D34" t="s">
        <v>56</v>
      </c>
      <c r="E34" t="s">
        <v>86</v>
      </c>
      <c r="F34" t="s">
        <v>22</v>
      </c>
      <c r="G34" t="s">
        <v>23</v>
      </c>
      <c r="H34" t="s">
        <v>58</v>
      </c>
      <c r="I34" t="s">
        <v>25</v>
      </c>
      <c r="J34" s="2">
        <v>45908.539629629631</v>
      </c>
      <c r="K34">
        <v>8</v>
      </c>
      <c r="L34">
        <v>9</v>
      </c>
      <c r="M34">
        <v>2025</v>
      </c>
      <c r="N34" t="s">
        <v>27</v>
      </c>
      <c r="O34">
        <v>100</v>
      </c>
      <c r="P34">
        <v>100</v>
      </c>
      <c r="R34" s="3" t="str">
        <f>HYPERLINK("https://panda.att.com.mx/ODKServer/view/binaryData?blobKey=FSSuministroFluidosv3%5B%40version%3Dnull+and+%40uiVersion%3Dnull%5D%2Fdata%5B%40key%3Duuid%3A2fbac0fb-e516-40d7-b573-fc43fc7ee38e%5D%2FgroupInfoFuel%5B%40ordinal%3D1%5D%2FpicFuelRecibeInterno","Descargar")</f>
        <v>Descargar</v>
      </c>
    </row>
    <row r="35" spans="1:18" x14ac:dyDescent="0.3">
      <c r="A35">
        <v>1614713</v>
      </c>
      <c r="B35" t="s">
        <v>18</v>
      </c>
      <c r="C35" t="s">
        <v>68</v>
      </c>
      <c r="D35" t="s">
        <v>87</v>
      </c>
      <c r="E35" t="s">
        <v>88</v>
      </c>
      <c r="F35" t="s">
        <v>22</v>
      </c>
      <c r="G35" t="s">
        <v>23</v>
      </c>
      <c r="H35" t="s">
        <v>37</v>
      </c>
      <c r="I35" t="s">
        <v>25</v>
      </c>
      <c r="J35" s="2">
        <v>45906.460324074083</v>
      </c>
      <c r="K35">
        <v>6</v>
      </c>
      <c r="L35">
        <v>9</v>
      </c>
      <c r="M35">
        <v>2025</v>
      </c>
      <c r="N35" t="s">
        <v>27</v>
      </c>
      <c r="O35">
        <v>200</v>
      </c>
      <c r="P35">
        <v>200</v>
      </c>
      <c r="R35" s="3" t="str">
        <f>HYPERLINK("https://panda.att.com.mx/ODKServer/view/binaryData?blobKey=FSSuministroFluidosv3%5B%40version%3Dnull+and+%40uiVersion%3Dnull%5D%2Fdata%5B%40key%3Duuid%3A304900a2-89ff-4c79-9886-1075a1eb8925%5D%2FgroupInfoFuel%5B%40ordinal%3D1%5D%2FpicFuelRecibeInterno","Descargar")</f>
        <v>Descargar</v>
      </c>
    </row>
    <row r="36" spans="1:18" x14ac:dyDescent="0.3">
      <c r="A36">
        <v>1614707</v>
      </c>
      <c r="B36" t="s">
        <v>18</v>
      </c>
      <c r="C36" t="s">
        <v>55</v>
      </c>
      <c r="D36" t="s">
        <v>89</v>
      </c>
      <c r="E36" t="s">
        <v>90</v>
      </c>
      <c r="F36" t="s">
        <v>22</v>
      </c>
      <c r="G36" t="s">
        <v>23</v>
      </c>
      <c r="H36" t="s">
        <v>58</v>
      </c>
      <c r="I36" t="s">
        <v>25</v>
      </c>
      <c r="J36" s="2">
        <v>45909.516967592594</v>
      </c>
      <c r="K36">
        <v>9</v>
      </c>
      <c r="L36">
        <v>9</v>
      </c>
      <c r="M36">
        <v>2025</v>
      </c>
      <c r="N36" t="s">
        <v>27</v>
      </c>
      <c r="O36">
        <v>200</v>
      </c>
      <c r="P36">
        <v>200</v>
      </c>
      <c r="R36" s="3" t="str">
        <f>HYPERLINK("https://panda.att.com.mx/ODKServer/view/binaryData?blobKey=FSSuministroFluidosv3%5B%40version%3Dnull+and+%40uiVersion%3Dnull%5D%2Fdata%5B%40key%3Duuid%3A0c324262-d07a-4221-b52d-332dd36abc23%5D%2FgroupInfoFuel%5B%40ordinal%3D1%5D%2FpicFuelRecibeInterno","Descargar")</f>
        <v>Descargar</v>
      </c>
    </row>
    <row r="37" spans="1:18" x14ac:dyDescent="0.3">
      <c r="A37">
        <v>1614706</v>
      </c>
      <c r="B37" t="s">
        <v>18</v>
      </c>
      <c r="C37" t="s">
        <v>55</v>
      </c>
      <c r="D37" t="s">
        <v>56</v>
      </c>
      <c r="E37" t="s">
        <v>86</v>
      </c>
      <c r="F37" t="s">
        <v>22</v>
      </c>
      <c r="G37" t="s">
        <v>23</v>
      </c>
      <c r="H37" t="s">
        <v>58</v>
      </c>
      <c r="I37" t="s">
        <v>25</v>
      </c>
      <c r="J37" s="2">
        <v>45909.630185185182</v>
      </c>
      <c r="K37">
        <v>9</v>
      </c>
      <c r="L37">
        <v>9</v>
      </c>
      <c r="M37">
        <v>2025</v>
      </c>
      <c r="N37" t="s">
        <v>27</v>
      </c>
      <c r="O37">
        <v>100</v>
      </c>
      <c r="P37">
        <v>100</v>
      </c>
      <c r="R37" s="3" t="str">
        <f>HYPERLINK("https://panda.att.com.mx/ODKServer/view/binaryData?blobKey=FSSuministroFluidosv3%5B%40version%3Dnull+and+%40uiVersion%3Dnull%5D%2Fdata%5B%40key%3Duuid%3A54a1f25f-80e3-4974-8ac1-03dca4e05c5a%5D%2FgroupInfoFuel%5B%40ordinal%3D1%5D%2FpicFuelRecibeInterno","Descargar")</f>
        <v>Descargar</v>
      </c>
    </row>
    <row r="38" spans="1:18" x14ac:dyDescent="0.3">
      <c r="A38">
        <v>1614689</v>
      </c>
      <c r="B38" t="s">
        <v>18</v>
      </c>
      <c r="C38" t="s">
        <v>68</v>
      </c>
      <c r="D38" t="s">
        <v>91</v>
      </c>
      <c r="E38" t="s">
        <v>92</v>
      </c>
      <c r="F38" t="s">
        <v>22</v>
      </c>
      <c r="G38" t="s">
        <v>23</v>
      </c>
      <c r="H38" t="s">
        <v>37</v>
      </c>
      <c r="I38" t="s">
        <v>25</v>
      </c>
      <c r="J38" s="2">
        <v>45909.647280092591</v>
      </c>
      <c r="K38">
        <v>9</v>
      </c>
      <c r="L38">
        <v>9</v>
      </c>
      <c r="M38">
        <v>2025</v>
      </c>
      <c r="N38" t="s">
        <v>27</v>
      </c>
      <c r="O38">
        <v>200</v>
      </c>
      <c r="P38">
        <v>200</v>
      </c>
      <c r="R38" s="3" t="str">
        <f>HYPERLINK("https://panda.att.com.mx/ODKServer/view/binaryData?blobKey=FSSuministroFluidosv3%5B%40version%3Dnull+and+%40uiVersion%3Dnull%5D%2Fdata%5B%40key%3Duuid%3A37859410-b63a-4cee-94e2-8eae71fa3382%5D%2FgroupInfoFuel%5B%40ordinal%3D1%5D%2FpicFuelRecibeInterno","Descargar")</f>
        <v>Descargar</v>
      </c>
    </row>
    <row r="39" spans="1:18" x14ac:dyDescent="0.3">
      <c r="A39">
        <v>1614688</v>
      </c>
      <c r="B39" t="s">
        <v>18</v>
      </c>
      <c r="C39" t="s">
        <v>68</v>
      </c>
      <c r="D39" t="s">
        <v>91</v>
      </c>
      <c r="E39" t="s">
        <v>93</v>
      </c>
      <c r="F39" t="s">
        <v>22</v>
      </c>
      <c r="G39" t="s">
        <v>23</v>
      </c>
      <c r="H39" t="s">
        <v>37</v>
      </c>
      <c r="I39" t="s">
        <v>25</v>
      </c>
      <c r="J39" s="2">
        <v>45909.708472222221</v>
      </c>
      <c r="K39">
        <v>9</v>
      </c>
      <c r="L39">
        <v>9</v>
      </c>
      <c r="M39">
        <v>2025</v>
      </c>
      <c r="N39" t="s">
        <v>27</v>
      </c>
      <c r="O39">
        <v>150</v>
      </c>
      <c r="P39">
        <v>150</v>
      </c>
      <c r="R39" s="3" t="str">
        <f>HYPERLINK("https://panda.att.com.mx/ODKServer/view/binaryData?blobKey=FSSuministroFluidosv3%5B%40version%3Dnull+and+%40uiVersion%3Dnull%5D%2Fdata%5B%40key%3Duuid%3Aa7b1db29-f322-4af9-843c-d92468b40ff5%5D%2FgroupInfoFuel%5B%40ordinal%3D1%5D%2FpicFuelRecibeInterno","Descargar")</f>
        <v>Descargar</v>
      </c>
    </row>
    <row r="40" spans="1:18" x14ac:dyDescent="0.3">
      <c r="A40">
        <v>1614680</v>
      </c>
      <c r="B40" t="s">
        <v>18</v>
      </c>
      <c r="C40" t="s">
        <v>59</v>
      </c>
      <c r="D40" t="s">
        <v>60</v>
      </c>
      <c r="E40" t="s">
        <v>94</v>
      </c>
      <c r="F40" t="s">
        <v>22</v>
      </c>
      <c r="G40" t="s">
        <v>95</v>
      </c>
      <c r="H40" t="s">
        <v>37</v>
      </c>
      <c r="I40" t="s">
        <v>25</v>
      </c>
      <c r="J40" s="2">
        <v>45909.817407407398</v>
      </c>
      <c r="K40">
        <v>9</v>
      </c>
      <c r="L40">
        <v>9</v>
      </c>
      <c r="M40">
        <v>2025</v>
      </c>
      <c r="N40" t="s">
        <v>27</v>
      </c>
      <c r="O40">
        <v>220</v>
      </c>
      <c r="Q40">
        <v>220</v>
      </c>
      <c r="R40" s="3" t="str">
        <f>HYPERLINK("https://panda.att.com.mx/ODKServer/view/binaryData?blobKey=FSSuministroFluidosv3%5B%40version%3Dnull+and+%40uiVersion%3Dnull%5D%2Fdata%5B%40key%3Duuid%3A5461d139-af35-4499-ad71-2d5b0c013695%5D%2FgroupInfoFuel%5B%40ordinal%3D1%5D%2FpicFuelRecibeInterno","Descargar")</f>
        <v>Descargar</v>
      </c>
    </row>
    <row r="41" spans="1:18" x14ac:dyDescent="0.3">
      <c r="A41">
        <v>1614666</v>
      </c>
      <c r="B41" t="s">
        <v>18</v>
      </c>
      <c r="C41" t="s">
        <v>28</v>
      </c>
      <c r="D41" t="s">
        <v>66</v>
      </c>
      <c r="E41" t="s">
        <v>96</v>
      </c>
      <c r="F41" t="s">
        <v>22</v>
      </c>
      <c r="G41" t="s">
        <v>23</v>
      </c>
      <c r="H41" t="s">
        <v>24</v>
      </c>
      <c r="I41" t="s">
        <v>25</v>
      </c>
      <c r="J41" s="2">
        <v>45908.296574074076</v>
      </c>
      <c r="K41">
        <v>8</v>
      </c>
      <c r="L41">
        <v>9</v>
      </c>
      <c r="M41">
        <v>2025</v>
      </c>
      <c r="N41" t="s">
        <v>27</v>
      </c>
      <c r="O41">
        <v>250</v>
      </c>
      <c r="P41">
        <v>250</v>
      </c>
      <c r="R41" s="3" t="str">
        <f>HYPERLINK("https://panda.att.com.mx/ODKServer/view/binaryData?blobKey=FSSuministroFluidosv3%5B%40version%3Dnull+and+%40uiVersion%3Dnull%5D%2Fdata%5B%40key%3Duuid%3A6bdd17ce-f240-490f-900b-12616d3b2da8%5D%2FgroupInfoFuel%5B%40ordinal%3D1%5D%2FpicFuelRecibeInterno","Descargar")</f>
        <v>Descargar</v>
      </c>
    </row>
    <row r="42" spans="1:18" x14ac:dyDescent="0.3">
      <c r="A42">
        <v>1614601</v>
      </c>
      <c r="B42" t="s">
        <v>18</v>
      </c>
      <c r="C42" t="s">
        <v>34</v>
      </c>
      <c r="D42" t="s">
        <v>51</v>
      </c>
      <c r="E42" t="s">
        <v>97</v>
      </c>
      <c r="F42" t="s">
        <v>22</v>
      </c>
      <c r="G42" t="s">
        <v>23</v>
      </c>
      <c r="H42" t="s">
        <v>24</v>
      </c>
      <c r="I42" t="s">
        <v>25</v>
      </c>
      <c r="J42" s="2">
        <v>45909.444097222222</v>
      </c>
      <c r="K42">
        <v>9</v>
      </c>
      <c r="L42">
        <v>9</v>
      </c>
      <c r="M42">
        <v>2025</v>
      </c>
      <c r="N42" t="s">
        <v>27</v>
      </c>
      <c r="O42">
        <v>170</v>
      </c>
      <c r="P42">
        <v>170</v>
      </c>
      <c r="R42" s="3" t="str">
        <f>HYPERLINK("https://panda.att.com.mx/ODKServer/view/binaryData?blobKey=FSSuministroFluidosv3%5B%40version%3Dnull+and+%40uiVersion%3Dnull%5D%2Fdata%5B%40key%3Duuid%3A8453a8cf-a3cd-4190-9f3d-d71c0ce6de21%5D%2FgroupInfoFuel%5B%40ordinal%3D1%5D%2FpicFuelRecibeInterno","Descargar")</f>
        <v>Descargar</v>
      </c>
    </row>
    <row r="43" spans="1:18" x14ac:dyDescent="0.3">
      <c r="A43">
        <v>1614600</v>
      </c>
      <c r="B43" t="s">
        <v>18</v>
      </c>
      <c r="C43" t="s">
        <v>34</v>
      </c>
      <c r="D43" t="s">
        <v>51</v>
      </c>
      <c r="E43" t="s">
        <v>98</v>
      </c>
      <c r="F43" t="s">
        <v>22</v>
      </c>
      <c r="G43" t="s">
        <v>23</v>
      </c>
      <c r="H43" t="s">
        <v>24</v>
      </c>
      <c r="I43" t="s">
        <v>25</v>
      </c>
      <c r="J43" s="2">
        <v>45909.412372685183</v>
      </c>
      <c r="K43">
        <v>9</v>
      </c>
      <c r="L43">
        <v>9</v>
      </c>
      <c r="M43">
        <v>2025</v>
      </c>
      <c r="N43" t="s">
        <v>27</v>
      </c>
      <c r="O43">
        <v>180</v>
      </c>
      <c r="P43">
        <v>180</v>
      </c>
      <c r="R43" s="3" t="str">
        <f>HYPERLINK("https://panda.att.com.mx/ODKServer/view/binaryData?blobKey=FSSuministroFluidosv3%5B%40version%3Dnull+and+%40uiVersion%3Dnull%5D%2Fdata%5B%40key%3Duuid%3A08ae9365-1fe2-43f4-b56d-9d3ec76adfc1%5D%2FgroupInfoFuel%5B%40ordinal%3D1%5D%2FpicFuelRecibeInterno","Descargar")</f>
        <v>Descargar</v>
      </c>
    </row>
    <row r="44" spans="1:18" x14ac:dyDescent="0.3">
      <c r="A44">
        <v>1614591</v>
      </c>
      <c r="B44" t="s">
        <v>18</v>
      </c>
      <c r="C44" t="s">
        <v>55</v>
      </c>
      <c r="D44" t="s">
        <v>56</v>
      </c>
      <c r="E44" t="s">
        <v>77</v>
      </c>
      <c r="F44" t="s">
        <v>22</v>
      </c>
      <c r="G44" t="s">
        <v>23</v>
      </c>
      <c r="H44" t="s">
        <v>58</v>
      </c>
      <c r="I44" t="s">
        <v>25</v>
      </c>
      <c r="J44" s="2">
        <v>45908.503159722219</v>
      </c>
      <c r="K44">
        <v>8</v>
      </c>
      <c r="L44">
        <v>9</v>
      </c>
      <c r="M44">
        <v>2025</v>
      </c>
      <c r="N44" t="s">
        <v>27</v>
      </c>
      <c r="O44">
        <v>100</v>
      </c>
      <c r="P44">
        <v>100</v>
      </c>
      <c r="R44" s="3" t="str">
        <f>HYPERLINK("https://panda.att.com.mx/ODKServer/view/binaryData?blobKey=FSSuministroFluidosv3%5B%40version%3Dnull+and+%40uiVersion%3Dnull%5D%2Fdata%5B%40key%3Duuid%3A8b6409bf-5e7f-4faa-aa9b-cb2c8c2fad66%5D%2FgroupInfoFuel%5B%40ordinal%3D1%5D%2FpicFuelRecibeInterno","Descargar")</f>
        <v>Descargar</v>
      </c>
    </row>
    <row r="45" spans="1:18" x14ac:dyDescent="0.3">
      <c r="A45">
        <v>1614535</v>
      </c>
      <c r="B45" t="s">
        <v>18</v>
      </c>
      <c r="C45" t="s">
        <v>55</v>
      </c>
      <c r="D45" t="s">
        <v>56</v>
      </c>
      <c r="E45" t="s">
        <v>99</v>
      </c>
      <c r="F45" t="s">
        <v>22</v>
      </c>
      <c r="G45" t="s">
        <v>23</v>
      </c>
      <c r="H45" t="s">
        <v>58</v>
      </c>
      <c r="I45" t="s">
        <v>25</v>
      </c>
      <c r="J45" s="2">
        <v>45908.420451388891</v>
      </c>
      <c r="K45">
        <v>8</v>
      </c>
      <c r="L45">
        <v>9</v>
      </c>
      <c r="M45">
        <v>2025</v>
      </c>
      <c r="N45" t="s">
        <v>27</v>
      </c>
      <c r="O45">
        <v>100</v>
      </c>
      <c r="P45">
        <v>100</v>
      </c>
      <c r="R45" s="3" t="str">
        <f>HYPERLINK("https://panda.att.com.mx/ODKServer/view/binaryData?blobKey=FSSuministroFluidosv3%5B%40version%3Dnull+and+%40uiVersion%3Dnull%5D%2Fdata%5B%40key%3Duuid%3A0f007dd6-72a7-48fe-87eb-b967d24bc1ae%5D%2FgroupInfoFuel%5B%40ordinal%3D1%5D%2FpicFuelRecibeInterno","Descargar")</f>
        <v>Descargar</v>
      </c>
    </row>
    <row r="46" spans="1:18" x14ac:dyDescent="0.3">
      <c r="A46">
        <v>1614480</v>
      </c>
      <c r="B46" t="s">
        <v>18</v>
      </c>
      <c r="C46" t="s">
        <v>100</v>
      </c>
      <c r="D46" t="s">
        <v>101</v>
      </c>
      <c r="E46" t="s">
        <v>102</v>
      </c>
      <c r="F46" t="s">
        <v>22</v>
      </c>
      <c r="G46" t="s">
        <v>83</v>
      </c>
      <c r="H46" t="s">
        <v>58</v>
      </c>
      <c r="I46" t="s">
        <v>25</v>
      </c>
      <c r="J46" s="2">
        <v>45909.704629629632</v>
      </c>
      <c r="K46">
        <v>9</v>
      </c>
      <c r="L46">
        <v>9</v>
      </c>
      <c r="M46">
        <v>2025</v>
      </c>
      <c r="N46" t="s">
        <v>44</v>
      </c>
      <c r="O46">
        <v>40</v>
      </c>
      <c r="P46">
        <v>40</v>
      </c>
      <c r="R46" s="3" t="str">
        <f>HYPERLINK("https://panda.att.com.mx/ODKServer/view/binaryData?blobKey=FSSuministroFluidosv3%5B%40version%3Dnull+and+%40uiVersion%3Dnull%5D%2Fdata%5B%40key%3Duuid%3Ab44c18ab-d009-46c3-9fc2-e01becc0c4d7%5D%2FgroupInfoFuel%5B%40ordinal%3D1%5D%2FpicFuelRecibeInterno","Descargar")</f>
        <v>Descargar</v>
      </c>
    </row>
    <row r="47" spans="1:18" x14ac:dyDescent="0.3">
      <c r="A47">
        <v>1614479</v>
      </c>
      <c r="B47" t="s">
        <v>18</v>
      </c>
      <c r="C47" t="s">
        <v>68</v>
      </c>
      <c r="D47" t="s">
        <v>91</v>
      </c>
      <c r="E47" t="s">
        <v>103</v>
      </c>
      <c r="F47" t="s">
        <v>22</v>
      </c>
      <c r="G47" t="s">
        <v>23</v>
      </c>
      <c r="H47" t="s">
        <v>37</v>
      </c>
      <c r="I47" t="s">
        <v>25</v>
      </c>
      <c r="J47" s="2">
        <v>45909.654942129629</v>
      </c>
      <c r="K47">
        <v>9</v>
      </c>
      <c r="L47">
        <v>9</v>
      </c>
      <c r="M47">
        <v>2025</v>
      </c>
      <c r="N47" t="s">
        <v>27</v>
      </c>
      <c r="O47">
        <v>80</v>
      </c>
      <c r="P47">
        <v>80</v>
      </c>
      <c r="R47" s="3" t="str">
        <f>HYPERLINK("https://panda.att.com.mx/ODKServer/view/binaryData?blobKey=FSSuministroFluidosv3%5B%40version%3Dnull+and+%40uiVersion%3Dnull%5D%2Fdata%5B%40key%3Duuid%3Aab0d3ab8-0ba9-4ce1-94b7-2bab82c2536e%5D%2FgroupInfoFuel%5B%40ordinal%3D1%5D%2FpicFuelRecibeInterno","Descargar")</f>
        <v>Descargar</v>
      </c>
    </row>
    <row r="48" spans="1:18" x14ac:dyDescent="0.3">
      <c r="A48">
        <v>1614403</v>
      </c>
      <c r="B48" t="s">
        <v>18</v>
      </c>
      <c r="C48" t="s">
        <v>28</v>
      </c>
      <c r="D48" t="s">
        <v>66</v>
      </c>
      <c r="E48" t="s">
        <v>104</v>
      </c>
      <c r="F48" t="s">
        <v>22</v>
      </c>
      <c r="G48" t="s">
        <v>23</v>
      </c>
      <c r="H48" t="s">
        <v>24</v>
      </c>
      <c r="I48" t="s">
        <v>25</v>
      </c>
      <c r="J48" s="2">
        <v>45908.674907407411</v>
      </c>
      <c r="K48">
        <v>8</v>
      </c>
      <c r="L48">
        <v>9</v>
      </c>
      <c r="M48">
        <v>2025</v>
      </c>
      <c r="N48" t="s">
        <v>27</v>
      </c>
      <c r="O48">
        <v>250</v>
      </c>
      <c r="P48">
        <v>250</v>
      </c>
      <c r="R48" s="3" t="str">
        <f>HYPERLINK("https://panda.att.com.mx/ODKServer/view/binaryData?blobKey=FSSuministroFluidosv3%5B%40version%3Dnull+and+%40uiVersion%3Dnull%5D%2Fdata%5B%40key%3Duuid%3Adec180e7-eff7-45c8-acdf-f22dd883554a%5D%2FgroupInfoFuel%5B%40ordinal%3D1%5D%2FpicFuelRecibeInterno","Descargar")</f>
        <v>Descargar</v>
      </c>
    </row>
    <row r="49" spans="1:18" x14ac:dyDescent="0.3">
      <c r="A49">
        <v>1614324</v>
      </c>
      <c r="B49" t="s">
        <v>18</v>
      </c>
      <c r="C49" t="s">
        <v>55</v>
      </c>
      <c r="D49" t="s">
        <v>56</v>
      </c>
      <c r="E49" t="s">
        <v>105</v>
      </c>
      <c r="F49" t="s">
        <v>22</v>
      </c>
      <c r="G49" t="s">
        <v>23</v>
      </c>
      <c r="H49" t="s">
        <v>58</v>
      </c>
      <c r="I49" t="s">
        <v>25</v>
      </c>
      <c r="J49" s="2">
        <v>45908.717951388891</v>
      </c>
      <c r="K49">
        <v>8</v>
      </c>
      <c r="L49">
        <v>9</v>
      </c>
      <c r="M49">
        <v>2025</v>
      </c>
      <c r="N49" t="s">
        <v>27</v>
      </c>
      <c r="O49">
        <v>300</v>
      </c>
      <c r="P49">
        <v>300</v>
      </c>
      <c r="R49" s="3" t="str">
        <f>HYPERLINK("https://panda.att.com.mx/ODKServer/view/binaryData?blobKey=FSSuministroFluidosv3%5B%40version%3Dnull+and+%40uiVersion%3Dnull%5D%2Fdata%5B%40key%3Duuid%3A7380dca7-f734-4c3a-99ad-bcbb26053d65%5D%2FgroupInfoFuel%5B%40ordinal%3D1%5D%2FpicFuelRecibeInterno","Descargar")</f>
        <v>Descargar</v>
      </c>
    </row>
    <row r="50" spans="1:18" x14ac:dyDescent="0.3">
      <c r="A50">
        <v>1614323</v>
      </c>
      <c r="B50" t="s">
        <v>18</v>
      </c>
      <c r="C50" t="s">
        <v>55</v>
      </c>
      <c r="D50" t="s">
        <v>56</v>
      </c>
      <c r="E50" t="s">
        <v>106</v>
      </c>
      <c r="F50" t="s">
        <v>22</v>
      </c>
      <c r="G50" t="s">
        <v>23</v>
      </c>
      <c r="H50" t="s">
        <v>58</v>
      </c>
      <c r="I50" t="s">
        <v>25</v>
      </c>
      <c r="J50" s="2">
        <v>45909.470567129632</v>
      </c>
      <c r="K50">
        <v>9</v>
      </c>
      <c r="L50">
        <v>9</v>
      </c>
      <c r="M50">
        <v>2025</v>
      </c>
      <c r="N50" t="s">
        <v>27</v>
      </c>
      <c r="O50">
        <v>200</v>
      </c>
      <c r="P50">
        <v>200</v>
      </c>
      <c r="R50" s="3" t="str">
        <f>HYPERLINK("https://panda.att.com.mx/ODKServer/view/binaryData?blobKey=FSSuministroFluidosv3%5B%40version%3Dnull+and+%40uiVersion%3Dnull%5D%2Fdata%5B%40key%3Duuid%3Aff5f615b-0351-4864-8e36-fef7be981960%5D%2FgroupInfoFuel%5B%40ordinal%3D1%5D%2FpicFuelRecibeInterno","Descargar")</f>
        <v>Descargar</v>
      </c>
    </row>
    <row r="51" spans="1:18" x14ac:dyDescent="0.3">
      <c r="A51">
        <v>1614225</v>
      </c>
      <c r="B51" t="s">
        <v>18</v>
      </c>
      <c r="C51" t="s">
        <v>55</v>
      </c>
      <c r="D51" t="s">
        <v>107</v>
      </c>
      <c r="E51" t="s">
        <v>108</v>
      </c>
      <c r="F51" t="s">
        <v>22</v>
      </c>
      <c r="G51" t="s">
        <v>23</v>
      </c>
      <c r="H51" t="s">
        <v>58</v>
      </c>
      <c r="I51" t="s">
        <v>25</v>
      </c>
      <c r="J51" s="2">
        <v>45908.418819444443</v>
      </c>
      <c r="K51">
        <v>8</v>
      </c>
      <c r="L51">
        <v>9</v>
      </c>
      <c r="M51">
        <v>2025</v>
      </c>
      <c r="N51" t="s">
        <v>27</v>
      </c>
      <c r="O51">
        <v>200</v>
      </c>
      <c r="P51">
        <v>200</v>
      </c>
      <c r="R51" s="3" t="str">
        <f>HYPERLINK("https://panda.att.com.mx/ODKServer/view/binaryData?blobKey=FSSuministroFluidosv3%5B%40version%3Dnull+and+%40uiVersion%3Dnull%5D%2Fdata%5B%40key%3Duuid%3A408976e3-27a6-4b7f-829b-5cc923abe31a%5D%2FgroupInfoFuel%5B%40ordinal%3D1%5D%2FpicFuelRecibeInterno","Descargar")</f>
        <v>Descargar</v>
      </c>
    </row>
    <row r="52" spans="1:18" x14ac:dyDescent="0.3">
      <c r="A52">
        <v>1615845</v>
      </c>
      <c r="B52" t="s">
        <v>18</v>
      </c>
      <c r="C52" t="s">
        <v>19</v>
      </c>
      <c r="D52" t="s">
        <v>109</v>
      </c>
      <c r="E52" t="s">
        <v>110</v>
      </c>
      <c r="F52" t="s">
        <v>22</v>
      </c>
      <c r="G52" t="s">
        <v>23</v>
      </c>
      <c r="H52" t="s">
        <v>24</v>
      </c>
      <c r="I52" t="s">
        <v>25</v>
      </c>
      <c r="J52" s="2">
        <v>45910.470358796287</v>
      </c>
      <c r="K52">
        <v>10</v>
      </c>
      <c r="L52">
        <v>9</v>
      </c>
      <c r="M52">
        <v>2025</v>
      </c>
      <c r="N52" t="s">
        <v>44</v>
      </c>
      <c r="O52">
        <v>45</v>
      </c>
      <c r="P52">
        <v>45</v>
      </c>
      <c r="R52" s="3" t="str">
        <f>HYPERLINK("https://panda.att.com.mx/ODKServer/view/binaryData?blobKey=FSSuministroFluidosv3%5B%40version%3Dnull+and+%40uiVersion%3Dnull%5D%2Fdata%5B%40key%3Duuid%3A9f7082b5-b157-4a6b-aac7-97e61173fc86%5D%2FgroupInfoFuel%5B%40ordinal%3D1%5D%2FpicFuelRecibeInterno","Descargar")</f>
        <v>Descargar</v>
      </c>
    </row>
    <row r="53" spans="1:18" x14ac:dyDescent="0.3">
      <c r="A53">
        <v>1615777</v>
      </c>
      <c r="B53" t="s">
        <v>18</v>
      </c>
      <c r="C53" t="s">
        <v>28</v>
      </c>
      <c r="D53" t="s">
        <v>111</v>
      </c>
      <c r="E53" t="s">
        <v>112</v>
      </c>
      <c r="F53" t="s">
        <v>22</v>
      </c>
      <c r="G53" t="s">
        <v>23</v>
      </c>
      <c r="H53" t="s">
        <v>24</v>
      </c>
      <c r="I53" t="s">
        <v>25</v>
      </c>
      <c r="J53" s="2">
        <v>45910.666030092587</v>
      </c>
      <c r="K53">
        <v>10</v>
      </c>
      <c r="L53">
        <v>9</v>
      </c>
      <c r="M53">
        <v>2025</v>
      </c>
      <c r="N53" t="s">
        <v>27</v>
      </c>
      <c r="O53">
        <v>300</v>
      </c>
      <c r="P53">
        <v>300</v>
      </c>
      <c r="R53" s="3" t="str">
        <f>HYPERLINK("https://panda.att.com.mx/ODKServer/view/binaryData?blobKey=FSSuministroFluidosv3%5B%40version%3Dnull+and+%40uiVersion%3Dnull%5D%2Fdata%5B%40key%3Duuid%3Aa86ea5d7-987b-42e9-8f97-3881e7e22dc2%5D%2FgroupInfoFuel%5B%40ordinal%3D1%5D%2FpicFuelRecibeInterno","Descargar")</f>
        <v>Descargar</v>
      </c>
    </row>
    <row r="54" spans="1:18" x14ac:dyDescent="0.3">
      <c r="A54">
        <v>1615766</v>
      </c>
      <c r="B54" t="s">
        <v>18</v>
      </c>
      <c r="C54" t="s">
        <v>68</v>
      </c>
      <c r="D54" t="s">
        <v>113</v>
      </c>
      <c r="E54" t="s">
        <v>114</v>
      </c>
      <c r="F54" t="s">
        <v>22</v>
      </c>
      <c r="G54" t="s">
        <v>23</v>
      </c>
      <c r="H54" t="s">
        <v>37</v>
      </c>
      <c r="I54" t="s">
        <v>25</v>
      </c>
      <c r="J54" s="2">
        <v>45909.655960648153</v>
      </c>
      <c r="K54">
        <v>9</v>
      </c>
      <c r="L54">
        <v>9</v>
      </c>
      <c r="M54">
        <v>2025</v>
      </c>
      <c r="N54" t="s">
        <v>27</v>
      </c>
      <c r="O54">
        <v>300</v>
      </c>
      <c r="P54">
        <v>300</v>
      </c>
      <c r="R54" s="3" t="str">
        <f>HYPERLINK("https://panda.att.com.mx/ODKServer/view/binaryData?blobKey=FSSuministroFluidosv3%5B%40version%3Dnull+and+%40uiVersion%3Dnull%5D%2Fdata%5B%40key%3Duuid%3Ae3ca8bd3-f964-463b-b0ec-acf4887c2166%5D%2FgroupInfoFuel%5B%40ordinal%3D1%5D%2FpicFuelRecibeInterno","Descargar")</f>
        <v>Descargar</v>
      </c>
    </row>
    <row r="55" spans="1:18" x14ac:dyDescent="0.3">
      <c r="A55">
        <v>1615736</v>
      </c>
      <c r="B55" t="s">
        <v>18</v>
      </c>
      <c r="C55" t="s">
        <v>34</v>
      </c>
      <c r="D55" t="s">
        <v>53</v>
      </c>
      <c r="E55" t="s">
        <v>115</v>
      </c>
      <c r="F55" t="s">
        <v>22</v>
      </c>
      <c r="G55" t="s">
        <v>23</v>
      </c>
      <c r="H55" t="s">
        <v>37</v>
      </c>
      <c r="I55" t="s">
        <v>25</v>
      </c>
      <c r="J55" s="2">
        <v>45910.649398148147</v>
      </c>
      <c r="K55">
        <v>10</v>
      </c>
      <c r="L55">
        <v>9</v>
      </c>
      <c r="M55">
        <v>2025</v>
      </c>
      <c r="N55" t="s">
        <v>27</v>
      </c>
      <c r="O55">
        <v>250</v>
      </c>
      <c r="P55">
        <v>250</v>
      </c>
      <c r="R55" s="3" t="str">
        <f>HYPERLINK("https://panda.att.com.mx/ODKServer/view/binaryData?blobKey=FSSuministroFluidosv3%5B%40version%3Dnull+and+%40uiVersion%3Dnull%5D%2Fdata%5B%40key%3Duuid%3A60d444a8-5212-422f-89d5-9f030d34f865%5D%2FgroupInfoFuel%5B%40ordinal%3D1%5D%2FpicFuelRecibeInterno","Descargar")</f>
        <v>Descargar</v>
      </c>
    </row>
    <row r="56" spans="1:18" x14ac:dyDescent="0.3">
      <c r="A56">
        <v>1615731</v>
      </c>
      <c r="B56" t="s">
        <v>18</v>
      </c>
      <c r="C56" t="s">
        <v>68</v>
      </c>
      <c r="D56" t="s">
        <v>116</v>
      </c>
      <c r="E56" t="s">
        <v>117</v>
      </c>
      <c r="F56" t="s">
        <v>22</v>
      </c>
      <c r="G56" t="s">
        <v>23</v>
      </c>
      <c r="H56" t="s">
        <v>37</v>
      </c>
      <c r="I56" t="s">
        <v>25</v>
      </c>
      <c r="J56" s="2">
        <v>45910.572800925933</v>
      </c>
      <c r="K56">
        <v>10</v>
      </c>
      <c r="L56">
        <v>9</v>
      </c>
      <c r="M56">
        <v>2025</v>
      </c>
      <c r="N56" t="s">
        <v>27</v>
      </c>
      <c r="O56">
        <v>100</v>
      </c>
      <c r="P56">
        <v>100</v>
      </c>
      <c r="R56" s="3" t="str">
        <f>HYPERLINK("https://panda.att.com.mx/ODKServer/view/binaryData?blobKey=FSSuministroFluidosv3%5B%40version%3Dnull+and+%40uiVersion%3Dnull%5D%2Fdata%5B%40key%3Duuid%3Af3d58cac-1650-4f12-9098-e80b6e857d9f%5D%2FgroupInfoFuel%5B%40ordinal%3D1%5D%2FpicFuelRecibeInterno","Descargar")</f>
        <v>Descargar</v>
      </c>
    </row>
    <row r="57" spans="1:18" x14ac:dyDescent="0.3">
      <c r="A57">
        <v>1615699</v>
      </c>
      <c r="B57" t="s">
        <v>18</v>
      </c>
      <c r="C57" t="s">
        <v>28</v>
      </c>
      <c r="D57" t="s">
        <v>118</v>
      </c>
      <c r="E57" t="s">
        <v>119</v>
      </c>
      <c r="F57" t="s">
        <v>22</v>
      </c>
      <c r="G57" t="s">
        <v>23</v>
      </c>
      <c r="H57" t="s">
        <v>24</v>
      </c>
      <c r="I57" t="s">
        <v>25</v>
      </c>
      <c r="J57" s="2">
        <v>45910.688078703701</v>
      </c>
      <c r="K57">
        <v>10</v>
      </c>
      <c r="L57">
        <v>9</v>
      </c>
      <c r="M57">
        <v>2025</v>
      </c>
      <c r="N57" t="s">
        <v>44</v>
      </c>
      <c r="O57">
        <v>40</v>
      </c>
      <c r="P57">
        <v>40</v>
      </c>
      <c r="R57" s="3" t="str">
        <f>HYPERLINK("https://panda.att.com.mx/ODKServer/view/binaryData?blobKey=FSSuministroFluidosv3%5B%40version%3Dnull+and+%40uiVersion%3Dnull%5D%2Fdata%5B%40key%3Duuid%3A1cb0a65c-ccad-4403-a21f-ea2eda5e1bbb%5D%2FgroupInfoFuel%5B%40ordinal%3D1%5D%2FpicFuelRecibeInterno","Descargar")</f>
        <v>Descargar</v>
      </c>
    </row>
    <row r="58" spans="1:18" x14ac:dyDescent="0.3">
      <c r="A58">
        <v>1615698</v>
      </c>
      <c r="B58" t="s">
        <v>18</v>
      </c>
      <c r="C58" t="s">
        <v>28</v>
      </c>
      <c r="D58" t="s">
        <v>118</v>
      </c>
      <c r="E58" t="s">
        <v>120</v>
      </c>
      <c r="F58" t="s">
        <v>22</v>
      </c>
      <c r="G58" t="s">
        <v>23</v>
      </c>
      <c r="H58" t="s">
        <v>24</v>
      </c>
      <c r="I58" t="s">
        <v>25</v>
      </c>
      <c r="J58" s="2">
        <v>45910.406087962961</v>
      </c>
      <c r="K58">
        <v>10</v>
      </c>
      <c r="L58">
        <v>9</v>
      </c>
      <c r="M58">
        <v>2025</v>
      </c>
      <c r="N58" t="s">
        <v>44</v>
      </c>
      <c r="O58">
        <v>40</v>
      </c>
      <c r="P58">
        <v>40</v>
      </c>
      <c r="R58" s="3" t="str">
        <f>HYPERLINK("https://panda.att.com.mx/ODKServer/view/binaryData?blobKey=FSSuministroFluidosv3%5B%40version%3Dnull+and+%40uiVersion%3Dnull%5D%2Fdata%5B%40key%3Duuid%3A6a6e2144-1d20-4d09-9732-4e4515e06868%5D%2FgroupInfoFuel%5B%40ordinal%3D1%5D%2FpicFuelRecibeInterno","Descargar")</f>
        <v>Descargar</v>
      </c>
    </row>
    <row r="59" spans="1:18" x14ac:dyDescent="0.3">
      <c r="A59">
        <v>1615625</v>
      </c>
      <c r="B59" t="s">
        <v>18</v>
      </c>
      <c r="C59" t="s">
        <v>55</v>
      </c>
      <c r="D59" t="s">
        <v>56</v>
      </c>
      <c r="E59" t="s">
        <v>81</v>
      </c>
      <c r="F59" t="s">
        <v>22</v>
      </c>
      <c r="G59" t="s">
        <v>23</v>
      </c>
      <c r="H59" t="s">
        <v>58</v>
      </c>
      <c r="I59" t="s">
        <v>25</v>
      </c>
      <c r="J59" s="2">
        <v>45906.391481481478</v>
      </c>
      <c r="K59">
        <v>6</v>
      </c>
      <c r="L59">
        <v>9</v>
      </c>
      <c r="M59">
        <v>2025</v>
      </c>
      <c r="N59" t="s">
        <v>27</v>
      </c>
      <c r="O59">
        <v>150</v>
      </c>
      <c r="P59">
        <v>150</v>
      </c>
      <c r="R59" s="3" t="str">
        <f>HYPERLINK("https://panda.att.com.mx/ODKServer/view/binaryData?blobKey=FSSuministroFluidosv3%5B%40version%3Dnull+and+%40uiVersion%3Dnull%5D%2Fdata%5B%40key%3Duuid%3A41ee47d4-519e-4287-b32e-377f9ad799aa%5D%2FgroupInfoFuel%5B%40ordinal%3D1%5D%2FpicFuelRecibeInterno","Descargar")</f>
        <v>Descargar</v>
      </c>
    </row>
    <row r="60" spans="1:18" x14ac:dyDescent="0.3">
      <c r="A60">
        <v>1615624</v>
      </c>
      <c r="B60" t="s">
        <v>18</v>
      </c>
      <c r="C60" t="s">
        <v>55</v>
      </c>
      <c r="D60" t="s">
        <v>56</v>
      </c>
      <c r="E60" t="s">
        <v>81</v>
      </c>
      <c r="F60" t="s">
        <v>22</v>
      </c>
      <c r="G60" t="s">
        <v>23</v>
      </c>
      <c r="H60" t="s">
        <v>58</v>
      </c>
      <c r="I60" t="s">
        <v>25</v>
      </c>
      <c r="J60" s="2">
        <v>45909.614351851851</v>
      </c>
      <c r="K60">
        <v>9</v>
      </c>
      <c r="L60">
        <v>9</v>
      </c>
      <c r="M60">
        <v>2025</v>
      </c>
      <c r="N60" t="s">
        <v>27</v>
      </c>
      <c r="O60">
        <v>100</v>
      </c>
      <c r="P60">
        <v>100</v>
      </c>
      <c r="R60" s="3" t="str">
        <f>HYPERLINK("https://panda.att.com.mx/ODKServer/view/binaryData?blobKey=FSSuministroFluidosv3%5B%40version%3Dnull+and+%40uiVersion%3Dnull%5D%2Fdata%5B%40key%3Duuid%3A6ea725ac-b817-482f-a5e6-90efd03effb7%5D%2FgroupInfoFuel%5B%40ordinal%3D1%5D%2FpicFuelRecibeInterno","Descargar")</f>
        <v>Descargar</v>
      </c>
    </row>
    <row r="61" spans="1:18" x14ac:dyDescent="0.3">
      <c r="A61">
        <v>1615576</v>
      </c>
      <c r="B61" t="s">
        <v>18</v>
      </c>
      <c r="C61" t="s">
        <v>34</v>
      </c>
      <c r="D61" t="s">
        <v>121</v>
      </c>
      <c r="E61" t="s">
        <v>122</v>
      </c>
      <c r="F61" t="s">
        <v>22</v>
      </c>
      <c r="G61" t="s">
        <v>23</v>
      </c>
      <c r="H61" t="s">
        <v>37</v>
      </c>
      <c r="I61" t="s">
        <v>25</v>
      </c>
      <c r="J61" s="2">
        <v>45910.465567129628</v>
      </c>
      <c r="K61">
        <v>10</v>
      </c>
      <c r="L61">
        <v>9</v>
      </c>
      <c r="M61">
        <v>2025</v>
      </c>
      <c r="N61" t="s">
        <v>27</v>
      </c>
      <c r="O61">
        <v>250</v>
      </c>
      <c r="P61">
        <v>250</v>
      </c>
      <c r="R61" s="3" t="str">
        <f>HYPERLINK("https://panda.att.com.mx/ODKServer/view/binaryData?blobKey=FSSuministroFluidosv3%5B%40version%3Dnull+and+%40uiVersion%3Dnull%5D%2Fdata%5B%40key%3Duuid%3A7ae952b5-78e3-47b5-8253-ad49b89652eb%5D%2FgroupInfoFuel%5B%40ordinal%3D1%5D%2FpicFuelRecibeInterno","Descargar")</f>
        <v>Descargar</v>
      </c>
    </row>
    <row r="62" spans="1:18" x14ac:dyDescent="0.3">
      <c r="A62">
        <v>1615555</v>
      </c>
      <c r="B62" t="s">
        <v>18</v>
      </c>
      <c r="C62" t="s">
        <v>55</v>
      </c>
      <c r="D62" t="s">
        <v>56</v>
      </c>
      <c r="E62" t="s">
        <v>105</v>
      </c>
      <c r="F62" t="s">
        <v>22</v>
      </c>
      <c r="G62" t="s">
        <v>23</v>
      </c>
      <c r="H62" t="s">
        <v>58</v>
      </c>
      <c r="I62" t="s">
        <v>25</v>
      </c>
      <c r="J62" s="2">
        <v>45909.655740740738</v>
      </c>
      <c r="K62">
        <v>9</v>
      </c>
      <c r="L62">
        <v>9</v>
      </c>
      <c r="M62">
        <v>2025</v>
      </c>
      <c r="N62" t="s">
        <v>27</v>
      </c>
      <c r="O62">
        <v>200</v>
      </c>
      <c r="P62">
        <v>200</v>
      </c>
      <c r="R62" s="3" t="str">
        <f>HYPERLINK("https://panda.att.com.mx/ODKServer/view/binaryData?blobKey=FSSuministroFluidosv3%5B%40version%3Dnull+and+%40uiVersion%3Dnull%5D%2Fdata%5B%40key%3Duuid%3Acaa8ac8c-f5ff-4c81-bbc8-e3e69cefe8d5%5D%2FgroupInfoFuel%5B%40ordinal%3D1%5D%2FpicFuelRecibeInterno","Descargar")</f>
        <v>Descargar</v>
      </c>
    </row>
    <row r="63" spans="1:18" x14ac:dyDescent="0.3">
      <c r="A63">
        <v>1615539</v>
      </c>
      <c r="B63" t="s">
        <v>18</v>
      </c>
      <c r="C63" t="s">
        <v>34</v>
      </c>
      <c r="D63" t="s">
        <v>123</v>
      </c>
      <c r="E63" t="s">
        <v>124</v>
      </c>
      <c r="F63" t="s">
        <v>22</v>
      </c>
      <c r="G63" t="s">
        <v>23</v>
      </c>
      <c r="H63" t="s">
        <v>37</v>
      </c>
      <c r="I63" t="s">
        <v>25</v>
      </c>
      <c r="J63" s="2">
        <v>45910.6328587963</v>
      </c>
      <c r="K63">
        <v>10</v>
      </c>
      <c r="L63">
        <v>9</v>
      </c>
      <c r="M63">
        <v>2025</v>
      </c>
      <c r="N63" t="s">
        <v>27</v>
      </c>
      <c r="O63">
        <v>250</v>
      </c>
      <c r="Q63">
        <v>250</v>
      </c>
      <c r="R63" s="3" t="str">
        <f>HYPERLINK("https://panda.att.com.mx/ODKServer/view/binaryData?blobKey=FSSuministroFluidosv3%5B%40version%3Dnull+and+%40uiVersion%3Dnull%5D%2Fdata%5B%40key%3Duuid%3A6559b025-1a21-451d-92f6-62b06bcb22cd%5D%2FgroupInfoFuel%5B%40ordinal%3D1%5D%2FpicFuelRecibeInterno","Descargar")</f>
        <v>Descargar</v>
      </c>
    </row>
    <row r="64" spans="1:18" x14ac:dyDescent="0.3">
      <c r="A64">
        <v>1615531</v>
      </c>
      <c r="B64" t="s">
        <v>18</v>
      </c>
      <c r="C64" t="s">
        <v>59</v>
      </c>
      <c r="D64" t="s">
        <v>60</v>
      </c>
      <c r="E64" t="s">
        <v>125</v>
      </c>
      <c r="F64" t="s">
        <v>22</v>
      </c>
      <c r="G64" t="s">
        <v>23</v>
      </c>
      <c r="H64" t="s">
        <v>37</v>
      </c>
      <c r="I64" t="s">
        <v>25</v>
      </c>
      <c r="J64" s="2">
        <v>45908.66134259259</v>
      </c>
      <c r="K64">
        <v>8</v>
      </c>
      <c r="L64">
        <v>9</v>
      </c>
      <c r="M64">
        <v>2025</v>
      </c>
      <c r="N64" t="s">
        <v>27</v>
      </c>
      <c r="O64">
        <v>500</v>
      </c>
      <c r="P64">
        <v>500</v>
      </c>
      <c r="R64" s="3" t="str">
        <f>HYPERLINK("https://panda.att.com.mx/ODKServer/view/binaryData?blobKey=FSSuministroFluidosv3%5B%40version%3Dnull+and+%40uiVersion%3Dnull%5D%2Fdata%5B%40key%3Duuid%3A796314ea-c962-48b9-88f5-cf41cb7c9dbd%5D%2FgroupInfoFuel%5B%40ordinal%3D1%5D%2FpicFuelRecibeInterno","Descargar")</f>
        <v>Descargar</v>
      </c>
    </row>
    <row r="65" spans="1:18" x14ac:dyDescent="0.3">
      <c r="A65">
        <v>1615470</v>
      </c>
      <c r="B65" t="s">
        <v>18</v>
      </c>
      <c r="C65" t="s">
        <v>100</v>
      </c>
      <c r="D65" t="s">
        <v>101</v>
      </c>
      <c r="E65" t="s">
        <v>126</v>
      </c>
      <c r="F65" t="s">
        <v>22</v>
      </c>
      <c r="G65" t="s">
        <v>83</v>
      </c>
      <c r="H65" t="s">
        <v>58</v>
      </c>
      <c r="I65" t="s">
        <v>25</v>
      </c>
      <c r="J65" s="2">
        <v>45910.633194444446</v>
      </c>
      <c r="K65">
        <v>10</v>
      </c>
      <c r="L65">
        <v>9</v>
      </c>
      <c r="M65">
        <v>2025</v>
      </c>
      <c r="N65" t="s">
        <v>27</v>
      </c>
      <c r="O65">
        <v>300</v>
      </c>
      <c r="P65">
        <v>300</v>
      </c>
      <c r="R65" s="3" t="str">
        <f>HYPERLINK("https://panda.att.com.mx/ODKServer/view/binaryData?blobKey=FSSuministroFluidosv3%5B%40version%3Dnull+and+%40uiVersion%3Dnull%5D%2Fdata%5B%40key%3Duuid%3Aa6822ff5-f160-44b6-b5f1-d08959b8fbcf%5D%2FgroupInfoFuel%5B%40ordinal%3D1%5D%2FpicFuelRecibeInterno","Descargar")</f>
        <v>Descargar</v>
      </c>
    </row>
    <row r="66" spans="1:18" x14ac:dyDescent="0.3">
      <c r="A66">
        <v>1615428</v>
      </c>
      <c r="B66" t="s">
        <v>18</v>
      </c>
      <c r="C66" t="s">
        <v>68</v>
      </c>
      <c r="D66" t="s">
        <v>91</v>
      </c>
      <c r="E66" t="s">
        <v>127</v>
      </c>
      <c r="F66" t="s">
        <v>22</v>
      </c>
      <c r="G66" t="s">
        <v>23</v>
      </c>
      <c r="H66" t="s">
        <v>37</v>
      </c>
      <c r="I66" t="s">
        <v>25</v>
      </c>
      <c r="J66" s="2">
        <v>45910.611446759263</v>
      </c>
      <c r="K66">
        <v>10</v>
      </c>
      <c r="L66">
        <v>9</v>
      </c>
      <c r="M66">
        <v>2025</v>
      </c>
      <c r="N66" t="s">
        <v>27</v>
      </c>
      <c r="O66">
        <v>20</v>
      </c>
      <c r="Q66">
        <v>20</v>
      </c>
      <c r="R66" s="3" t="str">
        <f>HYPERLINK("https://panda.att.com.mx/ODKServer/view/binaryData?blobKey=FSSuministroFluidosv3%5B%40version%3Dnull+and+%40uiVersion%3Dnull%5D%2Fdata%5B%40key%3Duuid%3A56b86d4f-81a7-404f-977d-fc852af266c4%5D%2FgroupInfoFuel%5B%40ordinal%3D1%5D%2FpicFuelRecibeInterno","Descargar")</f>
        <v>Descargar</v>
      </c>
    </row>
    <row r="67" spans="1:18" x14ac:dyDescent="0.3">
      <c r="A67">
        <v>1615352</v>
      </c>
      <c r="B67" t="s">
        <v>18</v>
      </c>
      <c r="C67" t="s">
        <v>55</v>
      </c>
      <c r="D67" t="s">
        <v>128</v>
      </c>
      <c r="E67" t="s">
        <v>129</v>
      </c>
      <c r="F67" t="s">
        <v>22</v>
      </c>
      <c r="G67" t="s">
        <v>23</v>
      </c>
      <c r="H67" t="s">
        <v>58</v>
      </c>
      <c r="I67" t="s">
        <v>25</v>
      </c>
      <c r="J67" s="2">
        <v>45910.538217592592</v>
      </c>
      <c r="K67">
        <v>10</v>
      </c>
      <c r="L67">
        <v>9</v>
      </c>
      <c r="M67">
        <v>2025</v>
      </c>
      <c r="N67" t="s">
        <v>27</v>
      </c>
      <c r="O67">
        <v>350</v>
      </c>
      <c r="P67">
        <v>350</v>
      </c>
      <c r="R67" s="3" t="str">
        <f>HYPERLINK("https://panda.att.com.mx/ODKServer/view/binaryData?blobKey=FSSuministroFluidosv3%5B%40version%3Dnull+and+%40uiVersion%3Dnull%5D%2Fdata%5B%40key%3Duuid%3A3a233e74-e523-4cbc-ba6e-6bd66610b485%5D%2FgroupInfoFuel%5B%40ordinal%3D1%5D%2FpicFuelRecibeInterno","Descargar")</f>
        <v>Descargar</v>
      </c>
    </row>
    <row r="68" spans="1:18" x14ac:dyDescent="0.3">
      <c r="A68">
        <v>1615091</v>
      </c>
      <c r="B68" t="s">
        <v>18</v>
      </c>
      <c r="C68" t="s">
        <v>55</v>
      </c>
      <c r="D68" t="s">
        <v>56</v>
      </c>
      <c r="E68" t="s">
        <v>57</v>
      </c>
      <c r="F68" t="s">
        <v>22</v>
      </c>
      <c r="G68" t="s">
        <v>23</v>
      </c>
      <c r="H68" t="s">
        <v>58</v>
      </c>
      <c r="I68" t="s">
        <v>25</v>
      </c>
      <c r="J68" s="2">
        <v>45909.52138888889</v>
      </c>
      <c r="K68">
        <v>9</v>
      </c>
      <c r="L68">
        <v>9</v>
      </c>
      <c r="M68">
        <v>2025</v>
      </c>
      <c r="N68" t="s">
        <v>27</v>
      </c>
      <c r="O68">
        <v>100</v>
      </c>
      <c r="P68">
        <v>100</v>
      </c>
      <c r="R68" s="3" t="str">
        <f>HYPERLINK("https://panda.att.com.mx/ODKServer/view/binaryData?blobKey=FSSuministroFluidosv3%5B%40version%3Dnull+and+%40uiVersion%3Dnull%5D%2Fdata%5B%40key%3Duuid%3Aa897049f-b7c0-4a1d-af76-dc841ae34263%5D%2FgroupInfoFuel%5B%40ordinal%3D1%5D%2FpicFuelRecibeInterno","Descargar")</f>
        <v>Descargar</v>
      </c>
    </row>
    <row r="69" spans="1:18" x14ac:dyDescent="0.3">
      <c r="A69">
        <v>1615083</v>
      </c>
      <c r="B69" t="s">
        <v>18</v>
      </c>
      <c r="C69" t="s">
        <v>55</v>
      </c>
      <c r="D69" t="s">
        <v>56</v>
      </c>
      <c r="E69" t="s">
        <v>77</v>
      </c>
      <c r="F69" t="s">
        <v>22</v>
      </c>
      <c r="G69" t="s">
        <v>23</v>
      </c>
      <c r="H69" t="s">
        <v>58</v>
      </c>
      <c r="I69" t="s">
        <v>25</v>
      </c>
      <c r="J69" s="2">
        <v>45909.457650462973</v>
      </c>
      <c r="K69">
        <v>9</v>
      </c>
      <c r="L69">
        <v>9</v>
      </c>
      <c r="M69">
        <v>2025</v>
      </c>
      <c r="N69" t="s">
        <v>27</v>
      </c>
      <c r="O69">
        <v>200</v>
      </c>
      <c r="P69">
        <v>200</v>
      </c>
      <c r="R69" s="3" t="str">
        <f>HYPERLINK("https://panda.att.com.mx/ODKServer/view/binaryData?blobKey=FSSuministroFluidosv3%5B%40version%3Dnull+and+%40uiVersion%3Dnull%5D%2Fdata%5B%40key%3Duuid%3A2a6a6bf2-bb1e-4f0e-b052-67f1d5f7147c%5D%2FgroupInfoFuel%5B%40ordinal%3D1%5D%2FpicFuelRecibeInterno","Descargar")</f>
        <v>Descargar</v>
      </c>
    </row>
    <row r="70" spans="1:18" x14ac:dyDescent="0.3">
      <c r="A70">
        <v>1615064</v>
      </c>
      <c r="B70" t="s">
        <v>18</v>
      </c>
      <c r="C70" t="s">
        <v>19</v>
      </c>
      <c r="D70" t="s">
        <v>45</v>
      </c>
      <c r="E70" t="s">
        <v>130</v>
      </c>
      <c r="F70" t="s">
        <v>22</v>
      </c>
      <c r="G70" t="s">
        <v>23</v>
      </c>
      <c r="H70" t="s">
        <v>24</v>
      </c>
      <c r="I70" t="s">
        <v>25</v>
      </c>
      <c r="J70" t="s">
        <v>131</v>
      </c>
      <c r="K70">
        <v>29</v>
      </c>
      <c r="L70">
        <v>8</v>
      </c>
      <c r="M70">
        <v>2025</v>
      </c>
      <c r="N70" t="s">
        <v>27</v>
      </c>
      <c r="O70">
        <v>300</v>
      </c>
      <c r="P70">
        <v>300</v>
      </c>
      <c r="R70" s="3" t="str">
        <f>HYPERLINK("https://panda.att.com.mx/ODKServer/view/binaryData?blobKey=FSSuministroFluidosv3%5B%40version%3Dnull+and+%40uiVersion%3Dnull%5D%2Fdata%5B%40key%3Duuid%3A376bac16-efce-4c1f-a705-f7c1e5ec4468%5D%2FgroupInfoFuel%5B%40ordinal%3D1%5D%2FpicFuelRecibeInterno","Descargar")</f>
        <v>Descargar</v>
      </c>
    </row>
    <row r="71" spans="1:18" x14ac:dyDescent="0.3">
      <c r="A71">
        <v>1614898</v>
      </c>
      <c r="B71" t="s">
        <v>18</v>
      </c>
      <c r="C71" t="s">
        <v>68</v>
      </c>
      <c r="D71" t="s">
        <v>132</v>
      </c>
      <c r="E71" t="s">
        <v>133</v>
      </c>
      <c r="F71" t="s">
        <v>22</v>
      </c>
      <c r="G71" t="s">
        <v>23</v>
      </c>
      <c r="H71" t="s">
        <v>37</v>
      </c>
      <c r="I71" t="s">
        <v>25</v>
      </c>
      <c r="J71" s="2">
        <v>45910.338888888888</v>
      </c>
      <c r="K71">
        <v>10</v>
      </c>
      <c r="L71">
        <v>9</v>
      </c>
      <c r="M71">
        <v>2025</v>
      </c>
      <c r="N71" t="s">
        <v>27</v>
      </c>
      <c r="O71">
        <v>55</v>
      </c>
      <c r="Q71">
        <v>55</v>
      </c>
      <c r="R71" s="3" t="str">
        <f>HYPERLINK("https://panda.att.com.mx/ODKServer/view/binaryData?blobKey=FSSuministroFluidosv3%5B%40version%3Dnull+and+%40uiVersion%3Dnull%5D%2Fdata%5B%40key%3Duuid%3A84aaccea-14bc-48f6-bdb1-ad943489c6a6%5D%2FgroupInfoFuel%5B%40ordinal%3D1%5D%2FpicFuelRecibeInterno","Descargar")</f>
        <v>Descargar</v>
      </c>
    </row>
    <row r="72" spans="1:18" x14ac:dyDescent="0.3">
      <c r="A72">
        <v>1614891</v>
      </c>
      <c r="B72" t="s">
        <v>18</v>
      </c>
      <c r="C72" t="s">
        <v>34</v>
      </c>
      <c r="D72" t="s">
        <v>51</v>
      </c>
      <c r="E72" t="s">
        <v>134</v>
      </c>
      <c r="F72" t="s">
        <v>22</v>
      </c>
      <c r="G72" t="s">
        <v>23</v>
      </c>
      <c r="H72" t="s">
        <v>24</v>
      </c>
      <c r="I72" t="s">
        <v>25</v>
      </c>
      <c r="J72" s="2">
        <v>45909.444745370369</v>
      </c>
      <c r="K72">
        <v>9</v>
      </c>
      <c r="L72">
        <v>9</v>
      </c>
      <c r="M72">
        <v>2025</v>
      </c>
      <c r="N72" t="s">
        <v>27</v>
      </c>
      <c r="O72">
        <v>170</v>
      </c>
      <c r="Q72">
        <v>170</v>
      </c>
      <c r="R72" s="3" t="str">
        <f>HYPERLINK("https://panda.att.com.mx/ODKServer/view/binaryData?blobKey=FSSuministroFluidosv3%5B%40version%3Dnull+and+%40uiVersion%3Dnull%5D%2Fdata%5B%40key%3Duuid%3A87fcf474-303d-4981-9a66-8964c35920e4%5D%2FgroupInfoFuel%5B%40ordinal%3D1%5D%2FpicFuelRecibeInterno","Descargar")</f>
        <v>Descargar</v>
      </c>
    </row>
    <row r="73" spans="1:18" x14ac:dyDescent="0.3">
      <c r="A73">
        <v>1614881</v>
      </c>
      <c r="B73" t="s">
        <v>18</v>
      </c>
      <c r="C73" t="s">
        <v>68</v>
      </c>
      <c r="D73" t="s">
        <v>69</v>
      </c>
      <c r="E73" t="s">
        <v>135</v>
      </c>
      <c r="F73" t="s">
        <v>22</v>
      </c>
      <c r="G73" t="s">
        <v>23</v>
      </c>
      <c r="H73" t="s">
        <v>37</v>
      </c>
      <c r="I73" t="s">
        <v>25</v>
      </c>
      <c r="J73" s="2">
        <v>45909.560532407413</v>
      </c>
      <c r="K73">
        <v>9</v>
      </c>
      <c r="L73">
        <v>9</v>
      </c>
      <c r="M73">
        <v>2025</v>
      </c>
      <c r="N73" t="s">
        <v>27</v>
      </c>
      <c r="O73">
        <v>400</v>
      </c>
      <c r="P73">
        <v>400</v>
      </c>
      <c r="R73" s="3" t="str">
        <f>HYPERLINK("https://panda.att.com.mx/ODKServer/view/binaryData?blobKey=FSSuministroFluidosv3%5B%40version%3Dnull+and+%40uiVersion%3Dnull%5D%2Fdata%5B%40key%3Duuid%3Ab1691b4e-1a68-4dd4-9fb2-ae1acdd5a125%5D%2FgroupInfoFuel%5B%40ordinal%3D1%5D%2FpicFuelRecibeInterno","Descargar")</f>
        <v>Descargar</v>
      </c>
    </row>
    <row r="74" spans="1:18" x14ac:dyDescent="0.3">
      <c r="A74">
        <v>1614858</v>
      </c>
      <c r="B74" t="s">
        <v>18</v>
      </c>
      <c r="C74" t="s">
        <v>28</v>
      </c>
      <c r="D74" t="s">
        <v>66</v>
      </c>
      <c r="E74" t="s">
        <v>136</v>
      </c>
      <c r="F74" t="s">
        <v>22</v>
      </c>
      <c r="G74" t="s">
        <v>23</v>
      </c>
      <c r="H74" t="s">
        <v>24</v>
      </c>
      <c r="I74" t="s">
        <v>25</v>
      </c>
      <c r="J74" s="2">
        <v>45905.8830787037</v>
      </c>
      <c r="K74">
        <v>5</v>
      </c>
      <c r="L74">
        <v>9</v>
      </c>
      <c r="M74">
        <v>2025</v>
      </c>
      <c r="N74" t="s">
        <v>27</v>
      </c>
      <c r="O74">
        <v>100</v>
      </c>
      <c r="P74">
        <v>100</v>
      </c>
      <c r="R74" s="3" t="str">
        <f>HYPERLINK("https://panda.att.com.mx/ODKServer/view/binaryData?blobKey=FSSuministroFluidosv3%5B%40version%3Dnull+and+%40uiVersion%3Dnull%5D%2Fdata%5B%40key%3Duuid%3Ad52af057-ddeb-462c-997a-b12c6e01fc4c%5D%2FgroupInfoFuel%5B%40ordinal%3D1%5D%2FpicFuelRecibeInterno","Descargar")</f>
        <v>Descargar</v>
      </c>
    </row>
    <row r="75" spans="1:18" x14ac:dyDescent="0.3">
      <c r="A75">
        <v>1614857</v>
      </c>
      <c r="B75" t="s">
        <v>18</v>
      </c>
      <c r="C75" t="s">
        <v>28</v>
      </c>
      <c r="D75" t="s">
        <v>66</v>
      </c>
      <c r="E75" t="s">
        <v>136</v>
      </c>
      <c r="F75" t="s">
        <v>22</v>
      </c>
      <c r="G75" t="s">
        <v>23</v>
      </c>
      <c r="H75" t="s">
        <v>24</v>
      </c>
      <c r="I75" t="s">
        <v>25</v>
      </c>
      <c r="J75" t="s">
        <v>137</v>
      </c>
      <c r="K75">
        <v>31</v>
      </c>
      <c r="L75">
        <v>8</v>
      </c>
      <c r="M75">
        <v>2025</v>
      </c>
      <c r="N75" t="s">
        <v>27</v>
      </c>
      <c r="O75">
        <v>50</v>
      </c>
      <c r="P75">
        <v>50</v>
      </c>
      <c r="R75" s="3" t="str">
        <f>HYPERLINK("https://panda.att.com.mx/ODKServer/view/binaryData?blobKey=FSSuministroFluidosv3%5B%40version%3Dnull+and+%40uiVersion%3Dnull%5D%2Fdata%5B%40key%3Duuid%3A73b5ca98-4a55-4388-a488-6c72d888a22e%5D%2FgroupInfoFuel%5B%40ordinal%3D1%5D%2FpicFuelRecibeInterno","Descargar")</f>
        <v>Descargar</v>
      </c>
    </row>
    <row r="76" spans="1:18" x14ac:dyDescent="0.3">
      <c r="A76">
        <v>1614833</v>
      </c>
      <c r="B76" t="s">
        <v>18</v>
      </c>
      <c r="C76" t="s">
        <v>68</v>
      </c>
      <c r="D76" t="s">
        <v>78</v>
      </c>
      <c r="E76" t="s">
        <v>79</v>
      </c>
      <c r="F76" t="s">
        <v>22</v>
      </c>
      <c r="G76" t="s">
        <v>23</v>
      </c>
      <c r="H76" t="s">
        <v>37</v>
      </c>
      <c r="I76" t="s">
        <v>84</v>
      </c>
      <c r="J76" s="2">
        <v>45909.963703703703</v>
      </c>
      <c r="K76">
        <v>9</v>
      </c>
      <c r="L76">
        <v>9</v>
      </c>
      <c r="M76">
        <v>2025</v>
      </c>
      <c r="N76" t="s">
        <v>44</v>
      </c>
      <c r="O76">
        <v>55</v>
      </c>
      <c r="P76">
        <v>55</v>
      </c>
      <c r="R76" s="3" t="str">
        <f>HYPERLINK("https://panda.att.com.mx/ODKServer/view/binaryData?blobKey=FSSuministroFluidosv3%5B%40version%3Dnull+and+%40uiVersion%3Dnull%5D%2Fdata%5B%40key%3Duuid%3A5240dd99-5d0f-4568-9b2b-d71c4610d49d%5D%2FgroupInfoFuel%5B%40ordinal%3D1%5D%2FpicFuelRecibeInterno","Descargar")</f>
        <v>Descargar</v>
      </c>
    </row>
    <row r="77" spans="1:18" x14ac:dyDescent="0.3">
      <c r="A77">
        <v>1617889</v>
      </c>
      <c r="B77" t="s">
        <v>18</v>
      </c>
      <c r="C77" t="s">
        <v>28</v>
      </c>
      <c r="D77" t="s">
        <v>138</v>
      </c>
      <c r="E77" t="s">
        <v>139</v>
      </c>
      <c r="F77" t="s">
        <v>22</v>
      </c>
      <c r="G77" t="s">
        <v>23</v>
      </c>
      <c r="H77" t="s">
        <v>24</v>
      </c>
      <c r="I77" t="s">
        <v>25</v>
      </c>
      <c r="J77" s="2">
        <v>45912.654317129629</v>
      </c>
      <c r="K77">
        <v>12</v>
      </c>
      <c r="L77">
        <v>9</v>
      </c>
      <c r="M77">
        <v>2025</v>
      </c>
      <c r="N77" t="s">
        <v>44</v>
      </c>
      <c r="O77">
        <v>60</v>
      </c>
      <c r="P77">
        <v>60</v>
      </c>
      <c r="R77" s="3" t="str">
        <f>HYPERLINK("https://panda.att.com.mx/ODKServer/view/binaryData?blobKey=FSSuministroFluidosv3%5B%40version%3Dnull+and+%40uiVersion%3Dnull%5D%2Fdata%5B%40key%3Duuid%3A5aa62feb-819d-4e3b-aada-f856c87756a5%5D%2FgroupInfoFuel%5B%40ordinal%3D1%5D%2FpicFuelRecibeInterno","Descargar")</f>
        <v>Descargar</v>
      </c>
    </row>
    <row r="78" spans="1:18" x14ac:dyDescent="0.3">
      <c r="A78">
        <v>1617849</v>
      </c>
      <c r="B78" t="s">
        <v>18</v>
      </c>
      <c r="C78" t="s">
        <v>28</v>
      </c>
      <c r="D78" t="s">
        <v>66</v>
      </c>
      <c r="E78" t="s">
        <v>136</v>
      </c>
      <c r="F78" t="s">
        <v>22</v>
      </c>
      <c r="G78" t="s">
        <v>23</v>
      </c>
      <c r="H78" t="s">
        <v>24</v>
      </c>
      <c r="I78" t="s">
        <v>25</v>
      </c>
      <c r="J78" s="2">
        <v>45906.844027777777</v>
      </c>
      <c r="K78">
        <v>6</v>
      </c>
      <c r="L78">
        <v>9</v>
      </c>
      <c r="M78">
        <v>2025</v>
      </c>
      <c r="N78" t="s">
        <v>27</v>
      </c>
      <c r="O78">
        <v>100</v>
      </c>
      <c r="P78">
        <v>100</v>
      </c>
      <c r="R78" s="3" t="str">
        <f>HYPERLINK("https://panda.att.com.mx/ODKServer/view/binaryData?blobKey=FSSuministroFluidosv3%5B%40version%3Dnull+and+%40uiVersion%3Dnull%5D%2Fdata%5B%40key%3Duuid%3A20d28aeb-99e8-4848-a7e4-3d3aee28f3bb%5D%2FgroupInfoFuel%5B%40ordinal%3D1%5D%2FpicFuelRecibeInterno","Descargar")</f>
        <v>Descargar</v>
      </c>
    </row>
    <row r="79" spans="1:18" x14ac:dyDescent="0.3">
      <c r="A79">
        <v>1617848</v>
      </c>
      <c r="B79" t="s">
        <v>18</v>
      </c>
      <c r="C79" t="s">
        <v>19</v>
      </c>
      <c r="D79" t="s">
        <v>140</v>
      </c>
      <c r="E79" t="s">
        <v>141</v>
      </c>
      <c r="F79" t="s">
        <v>22</v>
      </c>
      <c r="G79" t="s">
        <v>23</v>
      </c>
      <c r="H79" t="s">
        <v>24</v>
      </c>
      <c r="I79" t="s">
        <v>25</v>
      </c>
      <c r="J79" s="2">
        <v>45912.632349537038</v>
      </c>
      <c r="K79">
        <v>12</v>
      </c>
      <c r="L79">
        <v>9</v>
      </c>
      <c r="M79">
        <v>2025</v>
      </c>
      <c r="N79" t="s">
        <v>27</v>
      </c>
      <c r="O79">
        <v>200</v>
      </c>
      <c r="P79">
        <v>200</v>
      </c>
      <c r="R79" s="3" t="str">
        <f>HYPERLINK("https://panda.att.com.mx/ODKServer/view/binaryData?blobKey=FSSuministroFluidosv3%5B%40version%3Dnull+and+%40uiVersion%3Dnull%5D%2Fdata%5B%40key%3Duuid%3A4b9b50fd-024a-4ed4-adf5-0276020560f6%5D%2FgroupInfoFuel%5B%40ordinal%3D1%5D%2FpicFuelRecibeInterno","Descargar")</f>
        <v>Descargar</v>
      </c>
    </row>
    <row r="80" spans="1:18" x14ac:dyDescent="0.3">
      <c r="A80">
        <v>1617795</v>
      </c>
      <c r="B80" t="s">
        <v>18</v>
      </c>
      <c r="C80" t="s">
        <v>68</v>
      </c>
      <c r="D80" t="s">
        <v>91</v>
      </c>
      <c r="E80" t="s">
        <v>142</v>
      </c>
      <c r="F80" t="s">
        <v>22</v>
      </c>
      <c r="G80" t="s">
        <v>23</v>
      </c>
      <c r="H80" t="s">
        <v>37</v>
      </c>
      <c r="I80" t="s">
        <v>25</v>
      </c>
      <c r="J80" s="2">
        <v>45912.643587962957</v>
      </c>
      <c r="K80">
        <v>12</v>
      </c>
      <c r="L80">
        <v>9</v>
      </c>
      <c r="M80">
        <v>2025</v>
      </c>
      <c r="N80" t="s">
        <v>27</v>
      </c>
      <c r="O80">
        <v>150</v>
      </c>
      <c r="P80">
        <v>150</v>
      </c>
      <c r="R80" s="3" t="str">
        <f>HYPERLINK("https://panda.att.com.mx/ODKServer/view/binaryData?blobKey=FSSuministroFluidosv3%5B%40version%3Dnull+and+%40uiVersion%3Dnull%5D%2Fdata%5B%40key%3Duuid%3A0667e092-e602-4f1a-992e-1628d8548910%5D%2FgroupInfoFuel%5B%40ordinal%3D1%5D%2FpicFuelRecibeInterno","Descargar")</f>
        <v>Descargar</v>
      </c>
    </row>
    <row r="81" spans="1:18" x14ac:dyDescent="0.3">
      <c r="A81">
        <v>1617768</v>
      </c>
      <c r="B81" t="s">
        <v>18</v>
      </c>
      <c r="C81" t="s">
        <v>19</v>
      </c>
      <c r="D81" t="s">
        <v>20</v>
      </c>
      <c r="E81" t="s">
        <v>143</v>
      </c>
      <c r="F81" t="s">
        <v>22</v>
      </c>
      <c r="G81" t="s">
        <v>23</v>
      </c>
      <c r="H81" t="s">
        <v>24</v>
      </c>
      <c r="I81" t="s">
        <v>25</v>
      </c>
      <c r="J81" s="2">
        <v>45911.353483796287</v>
      </c>
      <c r="K81">
        <v>11</v>
      </c>
      <c r="L81">
        <v>9</v>
      </c>
      <c r="M81">
        <v>2025</v>
      </c>
      <c r="N81" t="s">
        <v>27</v>
      </c>
      <c r="O81">
        <v>300</v>
      </c>
      <c r="P81">
        <v>300</v>
      </c>
      <c r="R81" s="3" t="str">
        <f>HYPERLINK("https://panda.att.com.mx/ODKServer/view/binaryData?blobKey=FSSuministroFluidosv3%5B%40version%3Dnull+and+%40uiVersion%3Dnull%5D%2Fdata%5B%40key%3Duuid%3Adc82b223-1a0a-4c3e-a21a-213b15a6d8ae%5D%2FgroupInfoFuel%5B%40ordinal%3D1%5D%2FpicFuelRecibeInterno","Descargar")</f>
        <v>Descargar</v>
      </c>
    </row>
    <row r="82" spans="1:18" x14ac:dyDescent="0.3">
      <c r="A82">
        <v>1617756</v>
      </c>
      <c r="B82" t="s">
        <v>18</v>
      </c>
      <c r="C82" t="s">
        <v>34</v>
      </c>
      <c r="D82" t="s">
        <v>53</v>
      </c>
      <c r="E82" t="s">
        <v>144</v>
      </c>
      <c r="F82" t="s">
        <v>22</v>
      </c>
      <c r="G82" t="s">
        <v>23</v>
      </c>
      <c r="H82" t="s">
        <v>37</v>
      </c>
      <c r="I82" t="s">
        <v>25</v>
      </c>
      <c r="J82" s="2">
        <v>45912.590173611112</v>
      </c>
      <c r="K82">
        <v>12</v>
      </c>
      <c r="L82">
        <v>9</v>
      </c>
      <c r="M82">
        <v>2025</v>
      </c>
      <c r="N82" t="s">
        <v>27</v>
      </c>
      <c r="O82">
        <v>300</v>
      </c>
      <c r="P82">
        <v>300</v>
      </c>
      <c r="R82" s="3" t="str">
        <f>HYPERLINK("https://panda.att.com.mx/ODKServer/view/binaryData?blobKey=FSSuministroFluidosv3%5B%40version%3Dnull+and+%40uiVersion%3Dnull%5D%2Fdata%5B%40key%3Duuid%3Af1f15dd5-bf7c-4f24-b27f-2289fc454d21%5D%2FgroupInfoFuel%5B%40ordinal%3D1%5D%2FpicFuelRecibeInterno","Descargar")</f>
        <v>Descargar</v>
      </c>
    </row>
    <row r="83" spans="1:18" x14ac:dyDescent="0.3">
      <c r="A83">
        <v>1617718</v>
      </c>
      <c r="B83" t="s">
        <v>18</v>
      </c>
      <c r="C83" t="s">
        <v>28</v>
      </c>
      <c r="D83" t="s">
        <v>118</v>
      </c>
      <c r="E83" t="s">
        <v>145</v>
      </c>
      <c r="F83" t="s">
        <v>22</v>
      </c>
      <c r="G83" t="s">
        <v>23</v>
      </c>
      <c r="H83" t="s">
        <v>24</v>
      </c>
      <c r="I83" t="s">
        <v>25</v>
      </c>
      <c r="J83" s="2">
        <v>45912.530775462961</v>
      </c>
      <c r="K83">
        <v>12</v>
      </c>
      <c r="L83">
        <v>9</v>
      </c>
      <c r="M83">
        <v>2025</v>
      </c>
      <c r="N83" t="s">
        <v>27</v>
      </c>
      <c r="O83">
        <v>80</v>
      </c>
      <c r="P83">
        <v>80</v>
      </c>
      <c r="R83" s="3" t="str">
        <f>HYPERLINK("https://panda.att.com.mx/ODKServer/view/binaryData?blobKey=FSSuministroFluidosv3%5B%40version%3Dnull+and+%40uiVersion%3Dnull%5D%2Fdata%5B%40key%3Duuid%3A0871618d-d715-4874-91ec-2b7fe3cddd7f%5D%2FgroupInfoFuel%5B%40ordinal%3D1%5D%2FpicFuelRecibeInterno","Descargar")</f>
        <v>Descargar</v>
      </c>
    </row>
    <row r="84" spans="1:18" x14ac:dyDescent="0.3">
      <c r="A84">
        <v>1617673</v>
      </c>
      <c r="B84" t="s">
        <v>18</v>
      </c>
      <c r="C84" t="s">
        <v>28</v>
      </c>
      <c r="D84" t="s">
        <v>66</v>
      </c>
      <c r="E84" t="s">
        <v>146</v>
      </c>
      <c r="F84" t="s">
        <v>22</v>
      </c>
      <c r="G84" t="s">
        <v>23</v>
      </c>
      <c r="H84" t="s">
        <v>24</v>
      </c>
      <c r="I84" t="s">
        <v>25</v>
      </c>
      <c r="J84" s="2">
        <v>45910.477349537039</v>
      </c>
      <c r="K84">
        <v>10</v>
      </c>
      <c r="L84">
        <v>9</v>
      </c>
      <c r="M84">
        <v>2025</v>
      </c>
      <c r="N84" t="s">
        <v>44</v>
      </c>
      <c r="O84">
        <v>40</v>
      </c>
      <c r="Q84">
        <v>40</v>
      </c>
      <c r="R84" s="3" t="str">
        <f>HYPERLINK("https://panda.att.com.mx/ODKServer/view/binaryData?blobKey=FSSuministroFluidosv3%5B%40version%3Dnull+and+%40uiVersion%3Dnull%5D%2Fdata%5B%40key%3Duuid%3A1653ab83-e7a8-458c-bd65-3394cf330856%5D%2FgroupInfoFuel%5B%40ordinal%3D1%5D%2FpicFuelRecibeInterno","Descargar")</f>
        <v>Descargar</v>
      </c>
    </row>
    <row r="85" spans="1:18" x14ac:dyDescent="0.3">
      <c r="A85">
        <v>1617620</v>
      </c>
      <c r="B85" t="s">
        <v>18</v>
      </c>
      <c r="C85" t="s">
        <v>68</v>
      </c>
      <c r="D85" t="s">
        <v>91</v>
      </c>
      <c r="E85" t="s">
        <v>147</v>
      </c>
      <c r="F85" t="s">
        <v>22</v>
      </c>
      <c r="G85" t="s">
        <v>23</v>
      </c>
      <c r="H85" t="s">
        <v>37</v>
      </c>
      <c r="I85" t="s">
        <v>25</v>
      </c>
      <c r="J85" s="2">
        <v>45912.557164351849</v>
      </c>
      <c r="K85">
        <v>12</v>
      </c>
      <c r="L85">
        <v>9</v>
      </c>
      <c r="M85">
        <v>2025</v>
      </c>
      <c r="N85" t="s">
        <v>27</v>
      </c>
      <c r="O85">
        <v>60</v>
      </c>
      <c r="P85">
        <v>60</v>
      </c>
      <c r="R85" s="3" t="str">
        <f>HYPERLINK("https://panda.att.com.mx/ODKServer/view/binaryData?blobKey=FSSuministroFluidosv3%5B%40version%3Dnull+and+%40uiVersion%3Dnull%5D%2Fdata%5B%40key%3Duuid%3A2f73765d-db64-4fb3-befd-640e966ca03d%5D%2FgroupInfoFuel%5B%40ordinal%3D1%5D%2FpicFuelRecibeInterno","Descargar")</f>
        <v>Descargar</v>
      </c>
    </row>
    <row r="86" spans="1:18" x14ac:dyDescent="0.3">
      <c r="A86">
        <v>1617398</v>
      </c>
      <c r="B86" t="s">
        <v>18</v>
      </c>
      <c r="C86" t="s">
        <v>28</v>
      </c>
      <c r="D86" t="s">
        <v>148</v>
      </c>
      <c r="E86" t="s">
        <v>149</v>
      </c>
      <c r="F86" t="s">
        <v>22</v>
      </c>
      <c r="G86" t="s">
        <v>23</v>
      </c>
      <c r="H86" t="s">
        <v>24</v>
      </c>
      <c r="I86" t="s">
        <v>25</v>
      </c>
      <c r="J86" s="2">
        <v>45911.75037037037</v>
      </c>
      <c r="K86">
        <v>11</v>
      </c>
      <c r="L86">
        <v>9</v>
      </c>
      <c r="M86">
        <v>2025</v>
      </c>
      <c r="N86" t="s">
        <v>44</v>
      </c>
      <c r="O86">
        <v>50</v>
      </c>
      <c r="P86">
        <v>50</v>
      </c>
      <c r="R86" s="3" t="str">
        <f>HYPERLINK("https://panda.att.com.mx/ODKServer/view/binaryData?blobKey=FSSuministroFluidosv3%5B%40version%3Dnull+and+%40uiVersion%3Dnull%5D%2Fdata%5B%40key%3Duuid%3A1fd272f0-ceae-421d-8c4d-31a4cb427407%5D%2FgroupInfoFuel%5B%40ordinal%3D1%5D%2FpicFuelRecibeInterno","Descargar")</f>
        <v>Descargar</v>
      </c>
    </row>
    <row r="87" spans="1:18" x14ac:dyDescent="0.3">
      <c r="A87">
        <v>1617374</v>
      </c>
      <c r="B87" t="s">
        <v>18</v>
      </c>
      <c r="C87" t="s">
        <v>150</v>
      </c>
      <c r="D87" t="s">
        <v>151</v>
      </c>
      <c r="E87" t="s">
        <v>152</v>
      </c>
      <c r="F87" t="s">
        <v>22</v>
      </c>
      <c r="G87" t="s">
        <v>23</v>
      </c>
      <c r="H87" t="s">
        <v>58</v>
      </c>
      <c r="I87" t="s">
        <v>25</v>
      </c>
      <c r="J87" s="2">
        <v>45912.458553240736</v>
      </c>
      <c r="K87">
        <v>12</v>
      </c>
      <c r="L87">
        <v>9</v>
      </c>
      <c r="M87">
        <v>2025</v>
      </c>
      <c r="N87" t="s">
        <v>27</v>
      </c>
      <c r="O87">
        <v>100</v>
      </c>
      <c r="P87">
        <v>100</v>
      </c>
      <c r="R87" s="3" t="str">
        <f>HYPERLINK("https://panda.att.com.mx/ODKServer/view/binaryData?blobKey=FSSuministroFluidosv3%5B%40version%3Dnull+and+%40uiVersion%3Dnull%5D%2Fdata%5B%40key%3Duuid%3A77b89ad3-e88c-4d2f-86f4-a5234d42196a%5D%2FgroupInfoFuel%5B%40ordinal%3D1%5D%2FpicFuelRecibeInterno","Descargar")</f>
        <v>Descargar</v>
      </c>
    </row>
    <row r="88" spans="1:18" x14ac:dyDescent="0.3">
      <c r="A88">
        <v>1617261</v>
      </c>
      <c r="B88" t="s">
        <v>18</v>
      </c>
      <c r="C88" t="s">
        <v>68</v>
      </c>
      <c r="D88" t="s">
        <v>69</v>
      </c>
      <c r="E88" t="s">
        <v>153</v>
      </c>
      <c r="F88" t="s">
        <v>22</v>
      </c>
      <c r="G88" t="s">
        <v>23</v>
      </c>
      <c r="H88" t="s">
        <v>37</v>
      </c>
      <c r="I88" t="s">
        <v>25</v>
      </c>
      <c r="J88" s="2">
        <v>45911.391030092593</v>
      </c>
      <c r="K88">
        <v>11</v>
      </c>
      <c r="L88">
        <v>9</v>
      </c>
      <c r="M88">
        <v>2025</v>
      </c>
      <c r="N88" t="s">
        <v>27</v>
      </c>
      <c r="O88">
        <v>250</v>
      </c>
      <c r="P88">
        <v>250</v>
      </c>
      <c r="R88" s="3" t="str">
        <f>HYPERLINK("https://panda.att.com.mx/ODKServer/view/binaryData?blobKey=FSSuministroFluidosv3%5B%40version%3Dnull+and+%40uiVersion%3Dnull%5D%2Fdata%5B%40key%3Duuid%3Ae1edd33d-0745-44d9-9b52-326b83c88c1a%5D%2FgroupInfoFuel%5B%40ordinal%3D1%5D%2FpicFuelRecibeInterno","Descargar")</f>
        <v>Descargar</v>
      </c>
    </row>
    <row r="89" spans="1:18" x14ac:dyDescent="0.3">
      <c r="A89">
        <v>1617224</v>
      </c>
      <c r="B89" t="s">
        <v>18</v>
      </c>
      <c r="C89" t="s">
        <v>150</v>
      </c>
      <c r="D89" t="s">
        <v>154</v>
      </c>
      <c r="E89" t="s">
        <v>155</v>
      </c>
      <c r="F89" t="s">
        <v>22</v>
      </c>
      <c r="G89" t="s">
        <v>47</v>
      </c>
      <c r="H89" t="s">
        <v>58</v>
      </c>
      <c r="I89" t="s">
        <v>25</v>
      </c>
      <c r="J89" s="2">
        <v>45912.384166666663</v>
      </c>
      <c r="K89">
        <v>12</v>
      </c>
      <c r="L89">
        <v>9</v>
      </c>
      <c r="M89">
        <v>2025</v>
      </c>
      <c r="N89" t="s">
        <v>27</v>
      </c>
      <c r="O89">
        <v>300</v>
      </c>
      <c r="P89">
        <v>300</v>
      </c>
      <c r="R89" s="3" t="str">
        <f>HYPERLINK("https://panda.att.com.mx/ODKServer/view/binaryData?blobKey=FSSuministroFluidosv3%5B%40version%3Dnull+and+%40uiVersion%3Dnull%5D%2Fdata%5B%40key%3Duuid%3Aed3fa86b-9a70-472b-adfa-96f3bfc45eca%5D%2FgroupInfoFuel%5B%40ordinal%3D1%5D%2FpicFuelRecibeInterno","Descargar")</f>
        <v>Descargar</v>
      </c>
    </row>
    <row r="90" spans="1:18" x14ac:dyDescent="0.3">
      <c r="A90">
        <v>1617166</v>
      </c>
      <c r="B90" t="s">
        <v>18</v>
      </c>
      <c r="C90" t="s">
        <v>19</v>
      </c>
      <c r="D90" t="s">
        <v>156</v>
      </c>
      <c r="E90" t="s">
        <v>157</v>
      </c>
      <c r="F90" t="s">
        <v>22</v>
      </c>
      <c r="G90" t="s">
        <v>23</v>
      </c>
      <c r="H90" t="s">
        <v>24</v>
      </c>
      <c r="I90" t="s">
        <v>25</v>
      </c>
      <c r="J90" s="2">
        <v>45907.960613425923</v>
      </c>
      <c r="K90">
        <v>7</v>
      </c>
      <c r="L90">
        <v>9</v>
      </c>
      <c r="M90">
        <v>2025</v>
      </c>
      <c r="N90" t="s">
        <v>44</v>
      </c>
      <c r="O90">
        <v>21</v>
      </c>
      <c r="P90">
        <v>21</v>
      </c>
      <c r="R90" s="3" t="str">
        <f>HYPERLINK("https://panda.att.com.mx/ODKServer/view/binaryData?blobKey=FSSuministroFluidosv3%5B%40version%3Dnull+and+%40uiVersion%3Dnull%5D%2Fdata%5B%40key%3Duuid%3A5514d3b3-0114-4bb6-b2b9-eb10f13484ca%5D%2FgroupInfoFuel%5B%40ordinal%3D1%5D%2FpicFuelRecibeInterno","Descargar")</f>
        <v>Descargar</v>
      </c>
    </row>
    <row r="91" spans="1:18" x14ac:dyDescent="0.3">
      <c r="A91">
        <v>1617132</v>
      </c>
      <c r="B91" t="s">
        <v>18</v>
      </c>
      <c r="C91" t="s">
        <v>19</v>
      </c>
      <c r="D91" t="s">
        <v>109</v>
      </c>
      <c r="E91" t="s">
        <v>110</v>
      </c>
      <c r="F91" t="s">
        <v>22</v>
      </c>
      <c r="G91" t="s">
        <v>23</v>
      </c>
      <c r="H91" t="s">
        <v>24</v>
      </c>
      <c r="I91" t="s">
        <v>25</v>
      </c>
      <c r="J91" s="2">
        <v>45911.438333333332</v>
      </c>
      <c r="K91">
        <v>11</v>
      </c>
      <c r="L91">
        <v>9</v>
      </c>
      <c r="M91">
        <v>2025</v>
      </c>
      <c r="N91" t="s">
        <v>27</v>
      </c>
      <c r="O91">
        <v>150</v>
      </c>
      <c r="P91">
        <v>150</v>
      </c>
      <c r="R91" s="3" t="str">
        <f>HYPERLINK("https://panda.att.com.mx/ODKServer/view/binaryData?blobKey=FSSuministroFluidosv3%5B%40version%3Dnull+and+%40uiVersion%3Dnull%5D%2Fdata%5B%40key%3Duuid%3Aa33b97e5-b8fb-4ec3-9cda-c7e99b1789ad%5D%2FgroupInfoFuel%5B%40ordinal%3D1%5D%2FpicFuelRecibeInterno","Descargar")</f>
        <v>Descargar</v>
      </c>
    </row>
    <row r="92" spans="1:18" x14ac:dyDescent="0.3">
      <c r="A92">
        <v>1617032</v>
      </c>
      <c r="B92" t="s">
        <v>18</v>
      </c>
      <c r="C92" t="s">
        <v>68</v>
      </c>
      <c r="D92" t="s">
        <v>91</v>
      </c>
      <c r="E92" t="s">
        <v>158</v>
      </c>
      <c r="F92" t="s">
        <v>22</v>
      </c>
      <c r="G92" t="s">
        <v>23</v>
      </c>
      <c r="H92" t="s">
        <v>37</v>
      </c>
      <c r="I92" t="s">
        <v>25</v>
      </c>
      <c r="J92" s="2">
        <v>45911.836377314823</v>
      </c>
      <c r="K92">
        <v>11</v>
      </c>
      <c r="L92">
        <v>9</v>
      </c>
      <c r="M92">
        <v>2025</v>
      </c>
      <c r="N92" t="s">
        <v>27</v>
      </c>
      <c r="O92">
        <v>550</v>
      </c>
      <c r="P92">
        <v>550</v>
      </c>
      <c r="R92" s="3" t="str">
        <f>HYPERLINK("https://panda.att.com.mx/ODKServer/view/binaryData?blobKey=FSSuministroFluidosv3%5B%40version%3Dnull+and+%40uiVersion%3Dnull%5D%2Fdata%5B%40key%3Duuid%3Af7524106-54a3-48bc-9f2a-d77ae695c93f%5D%2FgroupInfoFuel%5B%40ordinal%3D1%5D%2FpicFuelRecibeInterno","Descargar")</f>
        <v>Descargar</v>
      </c>
    </row>
    <row r="93" spans="1:18" x14ac:dyDescent="0.3">
      <c r="A93">
        <v>1616995</v>
      </c>
      <c r="B93" t="s">
        <v>18</v>
      </c>
      <c r="C93" t="s">
        <v>19</v>
      </c>
      <c r="D93" t="s">
        <v>45</v>
      </c>
      <c r="E93" t="s">
        <v>159</v>
      </c>
      <c r="F93" t="s">
        <v>22</v>
      </c>
      <c r="G93" t="s">
        <v>23</v>
      </c>
      <c r="H93" t="s">
        <v>37</v>
      </c>
      <c r="I93" t="s">
        <v>25</v>
      </c>
      <c r="J93" s="2">
        <v>45911.801724537043</v>
      </c>
      <c r="K93">
        <v>11</v>
      </c>
      <c r="L93">
        <v>9</v>
      </c>
      <c r="M93">
        <v>2025</v>
      </c>
      <c r="N93" t="s">
        <v>27</v>
      </c>
      <c r="O93">
        <v>300</v>
      </c>
      <c r="P93">
        <v>300</v>
      </c>
      <c r="R93" s="3" t="str">
        <f>HYPERLINK("https://panda.att.com.mx/ODKServer/view/binaryData?blobKey=FSSuministroFluidosv3%5B%40version%3Dnull+and+%40uiVersion%3Dnull%5D%2Fdata%5B%40key%3Duuid%3Af96c6160-e8bb-4704-951d-506e63d1bbca%5D%2FgroupInfoFuel%5B%40ordinal%3D1%5D%2FpicFuelRecibeInterno","Descargar")</f>
        <v>Descargar</v>
      </c>
    </row>
    <row r="94" spans="1:18" x14ac:dyDescent="0.3">
      <c r="A94">
        <v>1616909</v>
      </c>
      <c r="B94" t="s">
        <v>18</v>
      </c>
      <c r="C94" t="s">
        <v>34</v>
      </c>
      <c r="D94" t="s">
        <v>53</v>
      </c>
      <c r="E94" t="s">
        <v>160</v>
      </c>
      <c r="F94" t="s">
        <v>22</v>
      </c>
      <c r="G94" t="s">
        <v>23</v>
      </c>
      <c r="H94" t="s">
        <v>37</v>
      </c>
      <c r="I94" t="s">
        <v>25</v>
      </c>
      <c r="J94" s="2">
        <v>45911.827696759261</v>
      </c>
      <c r="K94">
        <v>11</v>
      </c>
      <c r="L94">
        <v>9</v>
      </c>
      <c r="M94">
        <v>2025</v>
      </c>
      <c r="N94" t="s">
        <v>44</v>
      </c>
      <c r="O94">
        <v>60</v>
      </c>
      <c r="P94">
        <v>60</v>
      </c>
      <c r="R94" s="3" t="str">
        <f>HYPERLINK("https://panda.att.com.mx/ODKServer/view/binaryData?blobKey=FSSuministroFluidosv3%5B%40version%3Dnull+and+%40uiVersion%3Dnull%5D%2Fdata%5B%40key%3Duuid%3A54cac3db-4654-4f98-84d0-4fa398a7559d%5D%2FgroupInfoFuel%5B%40ordinal%3D1%5D%2FpicFuelRecibeInterno","Descargar")</f>
        <v>Descargar</v>
      </c>
    </row>
    <row r="95" spans="1:18" x14ac:dyDescent="0.3">
      <c r="A95">
        <v>1616894</v>
      </c>
      <c r="B95" t="s">
        <v>18</v>
      </c>
      <c r="C95" t="s">
        <v>28</v>
      </c>
      <c r="D95" t="s">
        <v>161</v>
      </c>
      <c r="E95" t="s">
        <v>162</v>
      </c>
      <c r="F95" t="s">
        <v>22</v>
      </c>
      <c r="G95" t="s">
        <v>23</v>
      </c>
      <c r="H95" t="s">
        <v>24</v>
      </c>
      <c r="I95" t="s">
        <v>25</v>
      </c>
      <c r="J95" s="2">
        <v>45911.40483796296</v>
      </c>
      <c r="K95">
        <v>11</v>
      </c>
      <c r="L95">
        <v>9</v>
      </c>
      <c r="M95">
        <v>2025</v>
      </c>
      <c r="N95" t="s">
        <v>27</v>
      </c>
      <c r="O95">
        <v>150</v>
      </c>
      <c r="P95">
        <v>150</v>
      </c>
      <c r="R95" s="3" t="str">
        <f>HYPERLINK("https://panda.att.com.mx/ODKServer/view/binaryData?blobKey=FSSuministroFluidosv3%5B%40version%3Dnull+and+%40uiVersion%3Dnull%5D%2Fdata%5B%40key%3Duuid%3A62fc628f-9b72-482c-94ba-67b88afd21d8%5D%2FgroupInfoFuel%5B%40ordinal%3D1%5D%2FpicFuelRecibeInterno","Descargar")</f>
        <v>Descargar</v>
      </c>
    </row>
    <row r="96" spans="1:18" x14ac:dyDescent="0.3">
      <c r="A96">
        <v>1616725</v>
      </c>
      <c r="B96" t="s">
        <v>18</v>
      </c>
      <c r="C96" t="s">
        <v>34</v>
      </c>
      <c r="D96" t="s">
        <v>53</v>
      </c>
      <c r="E96" t="s">
        <v>163</v>
      </c>
      <c r="F96" t="s">
        <v>22</v>
      </c>
      <c r="G96" t="s">
        <v>23</v>
      </c>
      <c r="H96" t="s">
        <v>37</v>
      </c>
      <c r="I96" t="s">
        <v>25</v>
      </c>
      <c r="J96" s="2">
        <v>45911.536944444437</v>
      </c>
      <c r="K96">
        <v>11</v>
      </c>
      <c r="L96">
        <v>9</v>
      </c>
      <c r="M96">
        <v>2025</v>
      </c>
      <c r="N96" t="s">
        <v>27</v>
      </c>
      <c r="O96">
        <v>250</v>
      </c>
      <c r="P96">
        <v>250</v>
      </c>
      <c r="R96" s="3" t="str">
        <f>HYPERLINK("https://panda.att.com.mx/ODKServer/view/binaryData?blobKey=FSSuministroFluidosv3%5B%40version%3Dnull+and+%40uiVersion%3Dnull%5D%2Fdata%5B%40key%3Duuid%3A28cf1ecc-84a3-4a23-8734-a2b9be03e667%5D%2FgroupInfoFuel%5B%40ordinal%3D1%5D%2FpicFuelRecibeInterno","Descargar")</f>
        <v>Descargar</v>
      </c>
    </row>
    <row r="97" spans="1:18" x14ac:dyDescent="0.3">
      <c r="A97">
        <v>1616682</v>
      </c>
      <c r="B97" t="s">
        <v>18</v>
      </c>
      <c r="C97" t="s">
        <v>150</v>
      </c>
      <c r="D97" t="s">
        <v>164</v>
      </c>
      <c r="E97" t="s">
        <v>165</v>
      </c>
      <c r="F97" t="s">
        <v>22</v>
      </c>
      <c r="G97" t="s">
        <v>23</v>
      </c>
      <c r="H97" t="s">
        <v>58</v>
      </c>
      <c r="I97" t="s">
        <v>25</v>
      </c>
      <c r="J97" s="2">
        <v>45911.728622685187</v>
      </c>
      <c r="K97">
        <v>11</v>
      </c>
      <c r="L97">
        <v>9</v>
      </c>
      <c r="M97">
        <v>2025</v>
      </c>
      <c r="N97" t="s">
        <v>27</v>
      </c>
      <c r="O97">
        <v>400</v>
      </c>
      <c r="P97">
        <v>400</v>
      </c>
      <c r="R97" s="3" t="str">
        <f>HYPERLINK("https://panda.att.com.mx/ODKServer/view/binaryData?blobKey=FSSuministroFluidosv3%5B%40version%3Dnull+and+%40uiVersion%3Dnull%5D%2Fdata%5B%40key%3Duuid%3Ae6365cae-26ea-4447-a957-dee3031e2953%5D%2FgroupInfoFuel%5B%40ordinal%3D1%5D%2FpicFuelRecibeInterno","Descargar")</f>
        <v>Descargar</v>
      </c>
    </row>
    <row r="98" spans="1:18" x14ac:dyDescent="0.3">
      <c r="A98">
        <v>1616624</v>
      </c>
      <c r="B98" t="s">
        <v>18</v>
      </c>
      <c r="C98" t="s">
        <v>19</v>
      </c>
      <c r="D98" t="s">
        <v>20</v>
      </c>
      <c r="E98" t="s">
        <v>166</v>
      </c>
      <c r="F98" t="s">
        <v>22</v>
      </c>
      <c r="G98" t="s">
        <v>23</v>
      </c>
      <c r="H98" t="s">
        <v>24</v>
      </c>
      <c r="I98" t="s">
        <v>25</v>
      </c>
      <c r="J98" s="2">
        <v>45906.640439814822</v>
      </c>
      <c r="K98">
        <v>6</v>
      </c>
      <c r="L98">
        <v>9</v>
      </c>
      <c r="M98">
        <v>2025</v>
      </c>
      <c r="N98" t="s">
        <v>27</v>
      </c>
      <c r="O98">
        <v>150</v>
      </c>
      <c r="P98">
        <v>150</v>
      </c>
      <c r="R98" s="3" t="str">
        <f>HYPERLINK("https://panda.att.com.mx/ODKServer/view/binaryData?blobKey=FSSuministroFluidosv3%5B%40version%3Dnull+and+%40uiVersion%3Dnull%5D%2Fdata%5B%40key%3Duuid%3Aa592df89-2e21-4bb7-b1c7-adfcc0403a4b%5D%2FgroupInfoFuel%5B%40ordinal%3D1%5D%2FpicFuelRecibeInterno","Descargar")</f>
        <v>Descargar</v>
      </c>
    </row>
    <row r="99" spans="1:18" x14ac:dyDescent="0.3">
      <c r="A99">
        <v>1616157</v>
      </c>
      <c r="B99" t="s">
        <v>18</v>
      </c>
      <c r="C99" t="s">
        <v>167</v>
      </c>
      <c r="D99" t="s">
        <v>168</v>
      </c>
      <c r="E99" t="s">
        <v>169</v>
      </c>
      <c r="F99" t="s">
        <v>22</v>
      </c>
      <c r="G99" t="s">
        <v>83</v>
      </c>
      <c r="H99" t="s">
        <v>58</v>
      </c>
      <c r="I99" t="s">
        <v>25</v>
      </c>
      <c r="J99" s="2">
        <v>45911.548101851848</v>
      </c>
      <c r="K99">
        <v>11</v>
      </c>
      <c r="L99">
        <v>9</v>
      </c>
      <c r="M99">
        <v>2025</v>
      </c>
      <c r="N99" t="s">
        <v>27</v>
      </c>
      <c r="O99">
        <v>450</v>
      </c>
      <c r="P99">
        <v>450</v>
      </c>
      <c r="R99" s="3" t="str">
        <f>HYPERLINK("https://panda.att.com.mx/ODKServer/view/binaryData?blobKey=FSSuministroFluidosv3%5B%40version%3Dnull+and+%40uiVersion%3Dnull%5D%2Fdata%5B%40key%3Duuid%3A73110a39-3a09-4411-b779-273c6a20fbd5%5D%2FgroupInfoFuel%5B%40ordinal%3D1%5D%2FpicFuelRecibeInterno","Descargar")</f>
        <v>Descargar</v>
      </c>
    </row>
    <row r="100" spans="1:18" x14ac:dyDescent="0.3">
      <c r="A100">
        <v>1615950</v>
      </c>
      <c r="B100" t="s">
        <v>18</v>
      </c>
      <c r="C100" t="s">
        <v>19</v>
      </c>
      <c r="D100" t="s">
        <v>170</v>
      </c>
      <c r="E100" t="s">
        <v>171</v>
      </c>
      <c r="F100" t="s">
        <v>22</v>
      </c>
      <c r="G100" t="s">
        <v>23</v>
      </c>
      <c r="H100" t="s">
        <v>24</v>
      </c>
      <c r="I100" t="s">
        <v>25</v>
      </c>
      <c r="J100" s="2">
        <v>45905.708784722221</v>
      </c>
      <c r="K100">
        <v>5</v>
      </c>
      <c r="L100">
        <v>9</v>
      </c>
      <c r="M100">
        <v>2025</v>
      </c>
      <c r="N100" t="s">
        <v>27</v>
      </c>
      <c r="O100">
        <v>400</v>
      </c>
      <c r="P100">
        <v>400</v>
      </c>
      <c r="R100" s="3" t="str">
        <f>HYPERLINK("https://panda.att.com.mx/ODKServer/view/binaryData?blobKey=FSSuministroFluidosv3%5B%40version%3Dnull+and+%40uiVersion%3Dnull%5D%2Fdata%5B%40key%3Duuid%3A9a03ca72-22f2-484f-9081-8702d9bd197a%5D%2FgroupInfoFuel%5B%40ordinal%3D1%5D%2FpicFuelRecibeInterno","Descargar")</f>
        <v>Descargar</v>
      </c>
    </row>
    <row r="101" spans="1:18" x14ac:dyDescent="0.3">
      <c r="A101">
        <v>1615940</v>
      </c>
      <c r="B101" t="s">
        <v>18</v>
      </c>
      <c r="C101" t="s">
        <v>59</v>
      </c>
      <c r="D101" t="s">
        <v>60</v>
      </c>
      <c r="E101" t="s">
        <v>172</v>
      </c>
      <c r="F101" t="s">
        <v>22</v>
      </c>
      <c r="G101" t="s">
        <v>23</v>
      </c>
      <c r="H101" t="s">
        <v>37</v>
      </c>
      <c r="I101" t="s">
        <v>25</v>
      </c>
      <c r="J101" s="2">
        <v>45908.583333333343</v>
      </c>
      <c r="K101">
        <v>8</v>
      </c>
      <c r="L101">
        <v>9</v>
      </c>
      <c r="M101">
        <v>2025</v>
      </c>
      <c r="N101" t="s">
        <v>27</v>
      </c>
      <c r="O101">
        <v>400</v>
      </c>
      <c r="P101">
        <v>400</v>
      </c>
      <c r="R101" s="3" t="str">
        <f>HYPERLINK("https://panda.att.com.mx/ODKServer/view/binaryData?blobKey=FSSuministroFluidosv3%5B%40version%3Dnull+and+%40uiVersion%3Dnull%5D%2Fdata%5B%40key%3Duuid%3A8b7050bc-d246-4041-b61f-bd68023fab43%5D%2FgroupInfoFuel%5B%40ordinal%3D1%5D%2FpicFuelRecibeInterno","Descargar")</f>
        <v>Descargar</v>
      </c>
    </row>
    <row r="102" spans="1:18" x14ac:dyDescent="0.3">
      <c r="A102">
        <v>1618724</v>
      </c>
      <c r="B102" t="s">
        <v>18</v>
      </c>
      <c r="C102" t="s">
        <v>19</v>
      </c>
      <c r="D102" t="s">
        <v>45</v>
      </c>
      <c r="E102" t="s">
        <v>173</v>
      </c>
      <c r="F102" t="s">
        <v>22</v>
      </c>
      <c r="G102" t="s">
        <v>23</v>
      </c>
      <c r="H102" t="s">
        <v>24</v>
      </c>
      <c r="I102" t="s">
        <v>25</v>
      </c>
      <c r="J102" s="2">
        <v>45913.393379629633</v>
      </c>
      <c r="K102">
        <v>13</v>
      </c>
      <c r="L102">
        <v>9</v>
      </c>
      <c r="M102">
        <v>2025</v>
      </c>
      <c r="N102" t="s">
        <v>27</v>
      </c>
      <c r="O102">
        <v>200</v>
      </c>
      <c r="P102">
        <v>200</v>
      </c>
      <c r="R102" s="3" t="str">
        <f>HYPERLINK("https://panda.att.com.mx/ODKServer/view/binaryData?blobKey=FSSuministroFluidosv3%5B%40version%3Dnull+and+%40uiVersion%3Dnull%5D%2Fdata%5B%40key%3Duuid%3Afdddb7ee-df52-49d3-b6e2-947eb7c41d27%5D%2FgroupInfoFuel%5B%40ordinal%3D1%5D%2FpicFuelRecibeInterno","Descargar")</f>
        <v>Descargar</v>
      </c>
    </row>
    <row r="103" spans="1:18" x14ac:dyDescent="0.3">
      <c r="A103">
        <v>1618656</v>
      </c>
      <c r="B103" t="s">
        <v>18</v>
      </c>
      <c r="C103" t="s">
        <v>150</v>
      </c>
      <c r="D103" t="s">
        <v>151</v>
      </c>
      <c r="E103" t="s">
        <v>174</v>
      </c>
      <c r="F103" t="s">
        <v>22</v>
      </c>
      <c r="G103" t="s">
        <v>23</v>
      </c>
      <c r="H103" t="s">
        <v>58</v>
      </c>
      <c r="I103" t="s">
        <v>25</v>
      </c>
      <c r="J103" s="2">
        <v>45914.375578703701</v>
      </c>
      <c r="K103">
        <v>14</v>
      </c>
      <c r="L103">
        <v>9</v>
      </c>
      <c r="M103">
        <v>2025</v>
      </c>
      <c r="N103" t="s">
        <v>27</v>
      </c>
      <c r="O103">
        <v>200</v>
      </c>
      <c r="P103">
        <v>200</v>
      </c>
      <c r="R103" s="3" t="str">
        <f>HYPERLINK("https://panda.att.com.mx/ODKServer/view/binaryData?blobKey=FSSuministroFluidosv3%5B%40version%3Dnull+and+%40uiVersion%3Dnull%5D%2Fdata%5B%40key%3Duuid%3Abd45413d-e132-4b2a-aeaa-2dc4f27b591b%5D%2FgroupInfoFuel%5B%40ordinal%3D1%5D%2FpicFuelRecibeInterno","Descargar")</f>
        <v>Descargar</v>
      </c>
    </row>
    <row r="104" spans="1:18" x14ac:dyDescent="0.3">
      <c r="A104">
        <v>1618643</v>
      </c>
      <c r="B104" t="s">
        <v>18</v>
      </c>
      <c r="C104" t="s">
        <v>19</v>
      </c>
      <c r="D104" t="s">
        <v>175</v>
      </c>
      <c r="E104" t="s">
        <v>176</v>
      </c>
      <c r="F104" t="s">
        <v>22</v>
      </c>
      <c r="G104" t="s">
        <v>23</v>
      </c>
      <c r="H104" t="s">
        <v>24</v>
      </c>
      <c r="I104" t="s">
        <v>25</v>
      </c>
      <c r="J104" s="2">
        <v>45906.691608796304</v>
      </c>
      <c r="K104">
        <v>6</v>
      </c>
      <c r="L104">
        <v>9</v>
      </c>
      <c r="M104">
        <v>2025</v>
      </c>
      <c r="N104" t="s">
        <v>44</v>
      </c>
      <c r="O104">
        <v>25</v>
      </c>
      <c r="P104">
        <v>25</v>
      </c>
      <c r="R104" s="3" t="str">
        <f>HYPERLINK("https://panda.att.com.mx/ODKServer/view/binaryData?blobKey=FSSuministroFluidosv3%5B%40version%3Dnull+and+%40uiVersion%3Dnull%5D%2Fdata%5B%40key%3Duuid%3A937ba963-3d72-41a3-8453-c5a7ca0f3886%5D%2FgroupInfoFuel%5B%40ordinal%3D1%5D%2FpicFuelRecibeInterno","Descargar")</f>
        <v>Descargar</v>
      </c>
    </row>
    <row r="105" spans="1:18" x14ac:dyDescent="0.3">
      <c r="A105">
        <v>1618631</v>
      </c>
      <c r="B105" t="s">
        <v>18</v>
      </c>
      <c r="C105" t="s">
        <v>28</v>
      </c>
      <c r="D105" t="s">
        <v>177</v>
      </c>
      <c r="E105" t="s">
        <v>178</v>
      </c>
      <c r="F105" t="s">
        <v>22</v>
      </c>
      <c r="G105" t="s">
        <v>23</v>
      </c>
      <c r="H105" t="s">
        <v>24</v>
      </c>
      <c r="I105" t="s">
        <v>25</v>
      </c>
      <c r="J105" s="2">
        <v>45910.64707175926</v>
      </c>
      <c r="K105">
        <v>10</v>
      </c>
      <c r="L105">
        <v>9</v>
      </c>
      <c r="M105">
        <v>2025</v>
      </c>
      <c r="N105" t="s">
        <v>27</v>
      </c>
      <c r="O105">
        <v>400</v>
      </c>
      <c r="Q105">
        <v>400</v>
      </c>
      <c r="R105" s="3" t="str">
        <f>HYPERLINK("https://panda.att.com.mx/ODKServer/view/binaryData?blobKey=FSSuministroFluidosv3%5B%40version%3Dnull+and+%40uiVersion%3Dnull%5D%2Fdata%5B%40key%3Duuid%3Ae06bbe24-de80-4d44-bd8c-fef6ddda2360%5D%2FgroupInfoFuel%5B%40ordinal%3D1%5D%2FpicFuelRecibeInterno","Descargar")</f>
        <v>Descargar</v>
      </c>
    </row>
    <row r="106" spans="1:18" x14ac:dyDescent="0.3">
      <c r="A106">
        <v>1618630</v>
      </c>
      <c r="B106" t="s">
        <v>18</v>
      </c>
      <c r="C106" t="s">
        <v>28</v>
      </c>
      <c r="D106" t="s">
        <v>29</v>
      </c>
      <c r="E106" t="s">
        <v>179</v>
      </c>
      <c r="F106" t="s">
        <v>22</v>
      </c>
      <c r="G106" t="s">
        <v>23</v>
      </c>
      <c r="H106" t="s">
        <v>24</v>
      </c>
      <c r="I106" t="s">
        <v>25</v>
      </c>
      <c r="J106" s="2">
        <v>45909.758668981478</v>
      </c>
      <c r="K106">
        <v>9</v>
      </c>
      <c r="L106">
        <v>9</v>
      </c>
      <c r="M106">
        <v>2025</v>
      </c>
      <c r="N106" t="s">
        <v>27</v>
      </c>
      <c r="O106">
        <v>200</v>
      </c>
      <c r="P106">
        <v>200</v>
      </c>
      <c r="R106" s="3" t="str">
        <f>HYPERLINK("https://panda.att.com.mx/ODKServer/view/binaryData?blobKey=FSSuministroFluidosv3%5B%40version%3Dnull+and+%40uiVersion%3Dnull%5D%2Fdata%5B%40key%3Duuid%3A7687c88e-1351-40d6-8f0a-11975408b1aa%5D%2FgroupInfoFuel%5B%40ordinal%3D1%5D%2FpicFuelRecibeInterno","Descargar")</f>
        <v>Descargar</v>
      </c>
    </row>
    <row r="107" spans="1:18" x14ac:dyDescent="0.3">
      <c r="A107">
        <v>1618613</v>
      </c>
      <c r="B107" t="s">
        <v>18</v>
      </c>
      <c r="C107" t="s">
        <v>150</v>
      </c>
      <c r="D107" t="s">
        <v>151</v>
      </c>
      <c r="E107" t="s">
        <v>180</v>
      </c>
      <c r="F107" t="s">
        <v>22</v>
      </c>
      <c r="G107" t="s">
        <v>23</v>
      </c>
      <c r="H107" t="s">
        <v>58</v>
      </c>
      <c r="I107" t="s">
        <v>25</v>
      </c>
      <c r="J107" s="2">
        <v>45913.791932870372</v>
      </c>
      <c r="K107">
        <v>13</v>
      </c>
      <c r="L107">
        <v>9</v>
      </c>
      <c r="M107">
        <v>2025</v>
      </c>
      <c r="N107" t="s">
        <v>27</v>
      </c>
      <c r="O107">
        <v>100</v>
      </c>
      <c r="P107">
        <v>100</v>
      </c>
      <c r="R107" s="3" t="str">
        <f>HYPERLINK("https://panda.att.com.mx/ODKServer/view/binaryData?blobKey=FSSuministroFluidosv3%5B%40version%3Dnull+and+%40uiVersion%3Dnull%5D%2Fdata%5B%40key%3Duuid%3A511f8a22-173d-4b12-b3cf-34064c9fb514%5D%2FgroupInfoFuel%5B%40ordinal%3D1%5D%2FpicFuelRecibeInterno","Descargar")</f>
        <v>Descargar</v>
      </c>
    </row>
    <row r="108" spans="1:18" x14ac:dyDescent="0.3">
      <c r="A108">
        <v>1618593</v>
      </c>
      <c r="B108" t="s">
        <v>18</v>
      </c>
      <c r="C108" t="s">
        <v>150</v>
      </c>
      <c r="D108" t="s">
        <v>151</v>
      </c>
      <c r="E108" t="s">
        <v>152</v>
      </c>
      <c r="F108" t="s">
        <v>22</v>
      </c>
      <c r="G108" t="s">
        <v>23</v>
      </c>
      <c r="H108" t="s">
        <v>58</v>
      </c>
      <c r="I108" t="s">
        <v>25</v>
      </c>
      <c r="J108" s="2">
        <v>45913.71802083333</v>
      </c>
      <c r="K108">
        <v>13</v>
      </c>
      <c r="L108">
        <v>9</v>
      </c>
      <c r="M108">
        <v>2025</v>
      </c>
      <c r="N108" t="s">
        <v>27</v>
      </c>
      <c r="O108">
        <v>75</v>
      </c>
      <c r="P108">
        <v>75</v>
      </c>
      <c r="R108" s="3" t="str">
        <f>HYPERLINK("https://panda.att.com.mx/ODKServer/view/binaryData?blobKey=FSSuministroFluidosv3%5B%40version%3Dnull+and+%40uiVersion%3Dnull%5D%2Fdata%5B%40key%3Duuid%3A98068d09-44dc-413a-9255-531d3b61e530%5D%2FgroupInfoFuel%5B%40ordinal%3D1%5D%2FpicFuelRecibeInterno","Descargar")</f>
        <v>Descargar</v>
      </c>
    </row>
    <row r="109" spans="1:18" x14ac:dyDescent="0.3">
      <c r="A109">
        <v>1618585</v>
      </c>
      <c r="B109" t="s">
        <v>18</v>
      </c>
      <c r="C109" t="s">
        <v>28</v>
      </c>
      <c r="D109" t="s">
        <v>181</v>
      </c>
      <c r="E109" t="s">
        <v>182</v>
      </c>
      <c r="F109" t="s">
        <v>22</v>
      </c>
      <c r="G109" t="s">
        <v>23</v>
      </c>
      <c r="H109" t="s">
        <v>24</v>
      </c>
      <c r="I109" t="s">
        <v>25</v>
      </c>
      <c r="J109" s="2">
        <v>45911.741643518522</v>
      </c>
      <c r="K109">
        <v>11</v>
      </c>
      <c r="L109">
        <v>9</v>
      </c>
      <c r="M109">
        <v>2025</v>
      </c>
      <c r="N109" t="s">
        <v>44</v>
      </c>
      <c r="O109">
        <v>45</v>
      </c>
      <c r="Q109">
        <v>45</v>
      </c>
      <c r="R109" s="3" t="str">
        <f>HYPERLINK("https://panda.att.com.mx/ODKServer/view/binaryData?blobKey=FSSuministroFluidosv3%5B%40version%3Dnull+and+%40uiVersion%3Dnull%5D%2Fdata%5B%40key%3Duuid%3Ae1b79c42-c24c-4be2-b2d4-0ac5853b37f0%5D%2FgroupInfoFuel%5B%40ordinal%3D1%5D%2FpicFuelRecibeInterno","Descargar")</f>
        <v>Descargar</v>
      </c>
    </row>
    <row r="110" spans="1:18" x14ac:dyDescent="0.3">
      <c r="A110">
        <v>1618543</v>
      </c>
      <c r="B110" t="s">
        <v>18</v>
      </c>
      <c r="C110" t="s">
        <v>183</v>
      </c>
      <c r="D110" t="s">
        <v>184</v>
      </c>
      <c r="E110" t="s">
        <v>185</v>
      </c>
      <c r="F110" t="s">
        <v>22</v>
      </c>
      <c r="G110" t="s">
        <v>23</v>
      </c>
      <c r="H110" t="s">
        <v>24</v>
      </c>
      <c r="I110" t="s">
        <v>25</v>
      </c>
      <c r="J110" s="2">
        <v>45912.466377314813</v>
      </c>
      <c r="K110">
        <v>12</v>
      </c>
      <c r="L110">
        <v>9</v>
      </c>
      <c r="M110">
        <v>2025</v>
      </c>
      <c r="N110" t="s">
        <v>27</v>
      </c>
      <c r="O110">
        <v>150</v>
      </c>
      <c r="P110">
        <v>150</v>
      </c>
      <c r="R110" s="3" t="str">
        <f>HYPERLINK("https://panda.att.com.mx/ODKServer/view/binaryData?blobKey=FSSuministroFluidosv3%5B%40version%3Dnull+and+%40uiVersion%3Dnull%5D%2Fdata%5B%40key%3Duuid%3A62efa02b-8d50-48a2-ad45-0c594dc6a1a3%5D%2FgroupInfoFuel%5B%40ordinal%3D1%5D%2FpicFuelRecibeInterno","Descargar")</f>
        <v>Descargar</v>
      </c>
    </row>
    <row r="111" spans="1:18" x14ac:dyDescent="0.3">
      <c r="A111">
        <v>1618479</v>
      </c>
      <c r="B111" t="s">
        <v>18</v>
      </c>
      <c r="C111" t="s">
        <v>19</v>
      </c>
      <c r="D111" t="s">
        <v>45</v>
      </c>
      <c r="E111" t="s">
        <v>186</v>
      </c>
      <c r="F111" t="s">
        <v>22</v>
      </c>
      <c r="G111" t="s">
        <v>23</v>
      </c>
      <c r="H111" t="s">
        <v>24</v>
      </c>
      <c r="I111" t="s">
        <v>25</v>
      </c>
      <c r="J111" s="2">
        <v>45908.543726851851</v>
      </c>
      <c r="K111">
        <v>8</v>
      </c>
      <c r="L111">
        <v>9</v>
      </c>
      <c r="M111">
        <v>2025</v>
      </c>
      <c r="N111" t="s">
        <v>27</v>
      </c>
      <c r="O111">
        <v>300</v>
      </c>
      <c r="P111">
        <v>300</v>
      </c>
      <c r="R111" s="3" t="str">
        <f>HYPERLINK("https://panda.att.com.mx/ODKServer/view/binaryData?blobKey=FSSuministroFluidosv3%5B%40version%3Dnull+and+%40uiVersion%3Dnull%5D%2Fdata%5B%40key%3Duuid%3Ae6c6a11f-523f-4553-b69d-88d0cd8048b4%5D%2FgroupInfoFuel%5B%40ordinal%3D1%5D%2FpicFuelRecibeInterno","Descargar")</f>
        <v>Descargar</v>
      </c>
    </row>
    <row r="112" spans="1:18" x14ac:dyDescent="0.3">
      <c r="A112">
        <v>1618438</v>
      </c>
      <c r="B112" t="s">
        <v>18</v>
      </c>
      <c r="C112" t="s">
        <v>34</v>
      </c>
      <c r="D112" t="s">
        <v>187</v>
      </c>
      <c r="E112" t="s">
        <v>188</v>
      </c>
      <c r="F112" t="s">
        <v>22</v>
      </c>
      <c r="G112" t="s">
        <v>23</v>
      </c>
      <c r="H112" t="s">
        <v>24</v>
      </c>
      <c r="I112" t="s">
        <v>25</v>
      </c>
      <c r="J112" s="2">
        <v>45911.775312500002</v>
      </c>
      <c r="K112">
        <v>11</v>
      </c>
      <c r="L112">
        <v>9</v>
      </c>
      <c r="M112">
        <v>2025</v>
      </c>
      <c r="N112" t="s">
        <v>27</v>
      </c>
      <c r="O112">
        <v>450</v>
      </c>
      <c r="P112">
        <v>450</v>
      </c>
      <c r="R112" s="3" t="str">
        <f>HYPERLINK("https://panda.att.com.mx/ODKServer/view/binaryData?blobKey=FSSuministroFluidosv3%5B%40version%3Dnull+and+%40uiVersion%3Dnull%5D%2Fdata%5B%40key%3Duuid%3A32b57b96-bbf1-41f5-9d13-5e24ca6511ed%5D%2FgroupInfoFuel%5B%40ordinal%3D1%5D%2FpicFuelRecibeInterno","Descargar")</f>
        <v>Descargar</v>
      </c>
    </row>
    <row r="113" spans="1:18" x14ac:dyDescent="0.3">
      <c r="A113">
        <v>1618415</v>
      </c>
      <c r="B113" t="s">
        <v>18</v>
      </c>
      <c r="C113" t="s">
        <v>19</v>
      </c>
      <c r="D113" t="s">
        <v>45</v>
      </c>
      <c r="E113" t="s">
        <v>186</v>
      </c>
      <c r="F113" t="s">
        <v>22</v>
      </c>
      <c r="G113" t="s">
        <v>23</v>
      </c>
      <c r="H113" t="s">
        <v>24</v>
      </c>
      <c r="I113" t="s">
        <v>25</v>
      </c>
      <c r="J113" s="2">
        <v>45908.545451388891</v>
      </c>
      <c r="K113">
        <v>8</v>
      </c>
      <c r="L113">
        <v>9</v>
      </c>
      <c r="M113">
        <v>2025</v>
      </c>
      <c r="N113" t="s">
        <v>27</v>
      </c>
      <c r="O113">
        <v>300</v>
      </c>
      <c r="P113">
        <v>300</v>
      </c>
      <c r="R113" s="3" t="str">
        <f>HYPERLINK("https://panda.att.com.mx/ODKServer/view/binaryData?blobKey=FSSuministroFluidosv3%5B%40version%3Dnull+and+%40uiVersion%3Dnull%5D%2Fdata%5B%40key%3Duuid%3A7e4c9248-bdbf-41d8-afed-4afc97ddcab7%5D%2FgroupInfoFuel%5B%40ordinal%3D1%5D%2FpicFuelRecibeInterno","Descargar")</f>
        <v>Descargar</v>
      </c>
    </row>
    <row r="114" spans="1:18" x14ac:dyDescent="0.3">
      <c r="A114">
        <v>1618406</v>
      </c>
      <c r="B114" t="s">
        <v>18</v>
      </c>
      <c r="C114" t="s">
        <v>19</v>
      </c>
      <c r="D114" t="s">
        <v>189</v>
      </c>
      <c r="E114" t="s">
        <v>190</v>
      </c>
      <c r="F114" t="s">
        <v>22</v>
      </c>
      <c r="G114" t="s">
        <v>23</v>
      </c>
      <c r="H114" t="s">
        <v>24</v>
      </c>
      <c r="I114" t="s">
        <v>25</v>
      </c>
      <c r="J114" s="2">
        <v>45911.503761574073</v>
      </c>
      <c r="K114">
        <v>11</v>
      </c>
      <c r="L114">
        <v>9</v>
      </c>
      <c r="M114">
        <v>2025</v>
      </c>
      <c r="N114" t="s">
        <v>27</v>
      </c>
      <c r="O114">
        <v>30</v>
      </c>
      <c r="P114">
        <v>30</v>
      </c>
      <c r="R114" s="3" t="str">
        <f>HYPERLINK("https://panda.att.com.mx/ODKServer/view/binaryData?blobKey=FSSuministroFluidosv3%5B%40version%3Dnull+and+%40uiVersion%3Dnull%5D%2Fdata%5B%40key%3Duuid%3A57f13103-4f8e-4a3d-a464-6da449598f81%5D%2FgroupInfoFuel%5B%40ordinal%3D1%5D%2FpicFuelRecibeInterno","Descargar")</f>
        <v>Descargar</v>
      </c>
    </row>
    <row r="115" spans="1:18" x14ac:dyDescent="0.3">
      <c r="A115">
        <v>1618405</v>
      </c>
      <c r="B115" t="s">
        <v>18</v>
      </c>
      <c r="C115" t="s">
        <v>19</v>
      </c>
      <c r="D115" t="s">
        <v>189</v>
      </c>
      <c r="E115" t="s">
        <v>191</v>
      </c>
      <c r="F115" t="s">
        <v>22</v>
      </c>
      <c r="G115" t="s">
        <v>23</v>
      </c>
      <c r="H115" t="s">
        <v>24</v>
      </c>
      <c r="I115" t="s">
        <v>25</v>
      </c>
      <c r="J115" s="2">
        <v>45911.423576388886</v>
      </c>
      <c r="K115">
        <v>11</v>
      </c>
      <c r="L115">
        <v>9</v>
      </c>
      <c r="M115">
        <v>2025</v>
      </c>
      <c r="N115" t="s">
        <v>27</v>
      </c>
      <c r="O115">
        <v>100</v>
      </c>
      <c r="P115">
        <v>100</v>
      </c>
      <c r="R115" s="3" t="str">
        <f>HYPERLINK("https://panda.att.com.mx/ODKServer/view/binaryData?blobKey=FSSuministroFluidosv3%5B%40version%3Dnull+and+%40uiVersion%3Dnull%5D%2Fdata%5B%40key%3Duuid%3Ad0bc30bf-5d06-4819-a7a7-9ab40be53843%5D%2FgroupInfoFuel%5B%40ordinal%3D1%5D%2FpicFuelRecibeInterno","Descargar")</f>
        <v>Descargar</v>
      </c>
    </row>
    <row r="116" spans="1:18" x14ac:dyDescent="0.3">
      <c r="A116">
        <v>1618390</v>
      </c>
      <c r="B116" t="s">
        <v>18</v>
      </c>
      <c r="C116" t="s">
        <v>28</v>
      </c>
      <c r="D116" t="s">
        <v>148</v>
      </c>
      <c r="E116" t="s">
        <v>149</v>
      </c>
      <c r="F116" t="s">
        <v>22</v>
      </c>
      <c r="G116" t="s">
        <v>23</v>
      </c>
      <c r="H116" t="s">
        <v>24</v>
      </c>
      <c r="I116" t="s">
        <v>25</v>
      </c>
      <c r="J116" s="2">
        <v>45912.989201388889</v>
      </c>
      <c r="K116">
        <v>12</v>
      </c>
      <c r="L116">
        <v>9</v>
      </c>
      <c r="M116">
        <v>2025</v>
      </c>
      <c r="N116" t="s">
        <v>44</v>
      </c>
      <c r="O116">
        <v>60</v>
      </c>
      <c r="P116">
        <v>60</v>
      </c>
      <c r="R116" s="3" t="str">
        <f>HYPERLINK("https://panda.att.com.mx/ODKServer/view/binaryData?blobKey=FSSuministroFluidosv3%5B%40version%3Dnull+and+%40uiVersion%3Dnull%5D%2Fdata%5B%40key%3Duuid%3A8c8052b2-cb2b-4bc4-8498-b7701755a920%5D%2FgroupInfoFuel%5B%40ordinal%3D1%5D%2FpicFuelRecibeInterno","Descargar")</f>
        <v>Descargar</v>
      </c>
    </row>
    <row r="117" spans="1:18" x14ac:dyDescent="0.3">
      <c r="A117">
        <v>1618315</v>
      </c>
      <c r="B117" t="s">
        <v>18</v>
      </c>
      <c r="C117" t="s">
        <v>19</v>
      </c>
      <c r="D117" t="s">
        <v>62</v>
      </c>
      <c r="E117" t="s">
        <v>63</v>
      </c>
      <c r="F117" t="s">
        <v>22</v>
      </c>
      <c r="G117" t="s">
        <v>23</v>
      </c>
      <c r="H117" t="s">
        <v>24</v>
      </c>
      <c r="I117" t="s">
        <v>25</v>
      </c>
      <c r="J117" s="2">
        <v>45912.785902777781</v>
      </c>
      <c r="K117">
        <v>12</v>
      </c>
      <c r="L117">
        <v>9</v>
      </c>
      <c r="M117">
        <v>2025</v>
      </c>
      <c r="N117" t="s">
        <v>44</v>
      </c>
      <c r="O117">
        <v>40</v>
      </c>
      <c r="P117">
        <v>40</v>
      </c>
      <c r="R117" s="3" t="str">
        <f>HYPERLINK("https://panda.att.com.mx/ODKServer/view/binaryData?blobKey=FSSuministroFluidosv3%5B%40version%3Dnull+and+%40uiVersion%3Dnull%5D%2Fdata%5B%40key%3Duuid%3A23bdd208-79a0-4930-ad8a-a99605cef3d3%5D%2FgroupInfoFuel%5B%40ordinal%3D1%5D%2FpicFuelRecibeInterno","Descargar")</f>
        <v>Descargar</v>
      </c>
    </row>
    <row r="118" spans="1:18" x14ac:dyDescent="0.3">
      <c r="A118">
        <v>1618300</v>
      </c>
      <c r="B118" t="s">
        <v>18</v>
      </c>
      <c r="C118" t="s">
        <v>28</v>
      </c>
      <c r="D118" t="s">
        <v>192</v>
      </c>
      <c r="E118" t="s">
        <v>193</v>
      </c>
      <c r="F118" t="s">
        <v>22</v>
      </c>
      <c r="G118" t="s">
        <v>23</v>
      </c>
      <c r="H118" t="s">
        <v>24</v>
      </c>
      <c r="I118" t="s">
        <v>25</v>
      </c>
      <c r="J118" s="2">
        <v>45911.925717592603</v>
      </c>
      <c r="K118">
        <v>11</v>
      </c>
      <c r="L118">
        <v>9</v>
      </c>
      <c r="M118">
        <v>2025</v>
      </c>
      <c r="N118" t="s">
        <v>44</v>
      </c>
      <c r="O118">
        <v>60</v>
      </c>
      <c r="P118">
        <v>60</v>
      </c>
      <c r="R118" s="3" t="str">
        <f>HYPERLINK("https://panda.att.com.mx/ODKServer/view/binaryData?blobKey=FSSuministroFluidosv3%5B%40version%3Dnull+and+%40uiVersion%3Dnull%5D%2Fdata%5B%40key%3Duuid%3Afe703fea-c122-4417-8d32-caf8a52f80ce%5D%2FgroupInfoFuel%5B%40ordinal%3D1%5D%2FpicFuelRecibeInterno","Descargar")</f>
        <v>Descargar</v>
      </c>
    </row>
    <row r="119" spans="1:18" x14ac:dyDescent="0.3">
      <c r="A119">
        <v>1618288</v>
      </c>
      <c r="B119" t="s">
        <v>18</v>
      </c>
      <c r="C119" t="s">
        <v>28</v>
      </c>
      <c r="D119" t="s">
        <v>29</v>
      </c>
      <c r="E119" t="s">
        <v>194</v>
      </c>
      <c r="F119" t="s">
        <v>22</v>
      </c>
      <c r="G119" t="s">
        <v>23</v>
      </c>
      <c r="H119" t="s">
        <v>24</v>
      </c>
      <c r="I119" t="s">
        <v>25</v>
      </c>
      <c r="J119" s="2">
        <v>45908.659467592603</v>
      </c>
      <c r="K119">
        <v>8</v>
      </c>
      <c r="L119">
        <v>9</v>
      </c>
      <c r="M119">
        <v>2025</v>
      </c>
      <c r="N119" t="s">
        <v>27</v>
      </c>
      <c r="O119">
        <v>200</v>
      </c>
      <c r="Q119">
        <v>200</v>
      </c>
      <c r="R119" s="3" t="str">
        <f>HYPERLINK("https://panda.att.com.mx/ODKServer/view/binaryData?blobKey=FSSuministroFluidosv3%5B%40version%3Dnull+and+%40uiVersion%3Dnull%5D%2Fdata%5B%40key%3Duuid%3A0c43e71d-2b1a-496d-b7ca-b6629de41d47%5D%2FgroupInfoFuel%5B%40ordinal%3D1%5D%2FpicFuelRecibeInterno","Descargar")</f>
        <v>Descargar</v>
      </c>
    </row>
    <row r="120" spans="1:18" x14ac:dyDescent="0.3">
      <c r="A120">
        <v>1618287</v>
      </c>
      <c r="B120" t="s">
        <v>18</v>
      </c>
      <c r="C120" t="s">
        <v>28</v>
      </c>
      <c r="D120" t="s">
        <v>118</v>
      </c>
      <c r="E120" t="s">
        <v>195</v>
      </c>
      <c r="F120" t="s">
        <v>22</v>
      </c>
      <c r="G120" t="s">
        <v>23</v>
      </c>
      <c r="H120" t="s">
        <v>24</v>
      </c>
      <c r="I120" t="s">
        <v>25</v>
      </c>
      <c r="J120" s="2">
        <v>45908.559120370373</v>
      </c>
      <c r="K120">
        <v>8</v>
      </c>
      <c r="L120">
        <v>9</v>
      </c>
      <c r="M120">
        <v>2025</v>
      </c>
      <c r="N120" t="s">
        <v>27</v>
      </c>
      <c r="O120">
        <v>300</v>
      </c>
      <c r="P120">
        <v>300</v>
      </c>
      <c r="R120" s="3" t="str">
        <f>HYPERLINK("https://panda.att.com.mx/ODKServer/view/binaryData?blobKey=FSSuministroFluidosv3%5B%40version%3Dnull+and+%40uiVersion%3Dnull%5D%2Fdata%5B%40key%3Duuid%3A1ce3b096-dc21-428c-a6c2-1e990a0d5b4e%5D%2FgroupInfoFuel%5B%40ordinal%3D1%5D%2FpicFuelRecibeInterno","Descargar")</f>
        <v>Descargar</v>
      </c>
    </row>
    <row r="121" spans="1:18" x14ac:dyDescent="0.3">
      <c r="A121">
        <v>1618284</v>
      </c>
      <c r="B121" t="s">
        <v>18</v>
      </c>
      <c r="C121" t="s">
        <v>19</v>
      </c>
      <c r="D121" t="s">
        <v>45</v>
      </c>
      <c r="E121" t="s">
        <v>50</v>
      </c>
      <c r="F121" t="s">
        <v>22</v>
      </c>
      <c r="G121" t="s">
        <v>23</v>
      </c>
      <c r="H121" t="s">
        <v>24</v>
      </c>
      <c r="I121" t="s">
        <v>25</v>
      </c>
      <c r="J121" s="2">
        <v>45911.679363425923</v>
      </c>
      <c r="K121">
        <v>11</v>
      </c>
      <c r="L121">
        <v>9</v>
      </c>
      <c r="M121">
        <v>2025</v>
      </c>
      <c r="N121" t="s">
        <v>27</v>
      </c>
      <c r="O121">
        <v>200</v>
      </c>
      <c r="P121">
        <v>200</v>
      </c>
      <c r="R121" s="3" t="str">
        <f>HYPERLINK("https://panda.att.com.mx/ODKServer/view/binaryData?blobKey=FSSuministroFluidosv3%5B%40version%3Dnull+and+%40uiVersion%3Dnull%5D%2Fdata%5B%40key%3Duuid%3Aa1a0c2e4-064e-4e59-8906-834432d33d7a%5D%2FgroupInfoFuel%5B%40ordinal%3D1%5D%2FpicFuelRecibeInterno","Descargar")</f>
        <v>Descargar</v>
      </c>
    </row>
    <row r="122" spans="1:18" x14ac:dyDescent="0.3">
      <c r="A122">
        <v>1618274</v>
      </c>
      <c r="B122" t="s">
        <v>18</v>
      </c>
      <c r="C122" t="s">
        <v>34</v>
      </c>
      <c r="D122" t="s">
        <v>51</v>
      </c>
      <c r="E122" t="s">
        <v>134</v>
      </c>
      <c r="F122" t="s">
        <v>22</v>
      </c>
      <c r="G122" t="s">
        <v>23</v>
      </c>
      <c r="H122" t="s">
        <v>24</v>
      </c>
      <c r="I122" t="s">
        <v>25</v>
      </c>
      <c r="J122" s="2">
        <v>45912.500138888892</v>
      </c>
      <c r="K122">
        <v>12</v>
      </c>
      <c r="L122">
        <v>9</v>
      </c>
      <c r="M122">
        <v>2025</v>
      </c>
      <c r="N122" t="s">
        <v>27</v>
      </c>
      <c r="O122">
        <v>200</v>
      </c>
      <c r="Q122">
        <v>200</v>
      </c>
      <c r="R122" s="3" t="str">
        <f>HYPERLINK("https://panda.att.com.mx/ODKServer/view/binaryData?blobKey=FSSuministroFluidosv3%5B%40version%3Dnull+and+%40uiVersion%3Dnull%5D%2Fdata%5B%40key%3Duuid%3A493e26c7-8929-4153-910a-fde27861db1d%5D%2FgroupInfoFuel%5B%40ordinal%3D1%5D%2FpicFuelRecibeInterno","Descargar")</f>
        <v>Descargar</v>
      </c>
    </row>
    <row r="123" spans="1:18" x14ac:dyDescent="0.3">
      <c r="A123">
        <v>1618273</v>
      </c>
      <c r="B123" t="s">
        <v>18</v>
      </c>
      <c r="C123" t="s">
        <v>34</v>
      </c>
      <c r="D123" t="s">
        <v>51</v>
      </c>
      <c r="E123" t="s">
        <v>196</v>
      </c>
      <c r="F123" t="s">
        <v>22</v>
      </c>
      <c r="G123" t="s">
        <v>23</v>
      </c>
      <c r="H123" t="s">
        <v>24</v>
      </c>
      <c r="I123" t="s">
        <v>25</v>
      </c>
      <c r="J123" s="2">
        <v>45912.532939814817</v>
      </c>
      <c r="K123">
        <v>12</v>
      </c>
      <c r="L123">
        <v>9</v>
      </c>
      <c r="M123">
        <v>2025</v>
      </c>
      <c r="N123" t="s">
        <v>27</v>
      </c>
      <c r="O123">
        <v>80</v>
      </c>
      <c r="P123">
        <v>80</v>
      </c>
      <c r="R123" s="3" t="str">
        <f>HYPERLINK("https://panda.att.com.mx/ODKServer/view/binaryData?blobKey=FSSuministroFluidosv3%5B%40version%3Dnull+and+%40uiVersion%3Dnull%5D%2Fdata%5B%40key%3Duuid%3Ac00a481e-8f4c-47ba-933c-7878c0beb770%5D%2FgroupInfoFuel%5B%40ordinal%3D1%5D%2FpicFuelRecibeInterno","Descargar")</f>
        <v>Descargar</v>
      </c>
    </row>
    <row r="124" spans="1:18" x14ac:dyDescent="0.3">
      <c r="A124">
        <v>1618268</v>
      </c>
      <c r="B124" t="s">
        <v>18</v>
      </c>
      <c r="C124" t="s">
        <v>34</v>
      </c>
      <c r="D124" t="s">
        <v>51</v>
      </c>
      <c r="E124" t="s">
        <v>197</v>
      </c>
      <c r="F124" t="s">
        <v>22</v>
      </c>
      <c r="G124" t="s">
        <v>23</v>
      </c>
      <c r="H124" t="s">
        <v>24</v>
      </c>
      <c r="I124" t="s">
        <v>25</v>
      </c>
      <c r="J124" s="2">
        <v>45912.456655092603</v>
      </c>
      <c r="K124">
        <v>12</v>
      </c>
      <c r="L124">
        <v>9</v>
      </c>
      <c r="M124">
        <v>2025</v>
      </c>
      <c r="N124" t="s">
        <v>27</v>
      </c>
      <c r="O124">
        <v>100</v>
      </c>
      <c r="P124">
        <v>100</v>
      </c>
      <c r="R124" s="3" t="str">
        <f>HYPERLINK("https://panda.att.com.mx/ODKServer/view/binaryData?blobKey=FSSuministroFluidosv3%5B%40version%3Dnull+and+%40uiVersion%3Dnull%5D%2Fdata%5B%40key%3Duuid%3A58685cd8-2800-4d61-a73d-9b7ab2d04e8a%5D%2FgroupInfoFuel%5B%40ordinal%3D1%5D%2FpicFuelRecibeInterno","Descargar")</f>
        <v>Descargar</v>
      </c>
    </row>
    <row r="125" spans="1:18" x14ac:dyDescent="0.3">
      <c r="A125">
        <v>1618169</v>
      </c>
      <c r="B125" t="s">
        <v>18</v>
      </c>
      <c r="C125" t="s">
        <v>19</v>
      </c>
      <c r="D125" t="s">
        <v>198</v>
      </c>
      <c r="E125" t="s">
        <v>199</v>
      </c>
      <c r="F125" t="s">
        <v>22</v>
      </c>
      <c r="G125" t="s">
        <v>23</v>
      </c>
      <c r="H125" t="s">
        <v>24</v>
      </c>
      <c r="I125" t="s">
        <v>25</v>
      </c>
      <c r="J125" s="2">
        <v>45912.436805555553</v>
      </c>
      <c r="K125">
        <v>12</v>
      </c>
      <c r="L125">
        <v>9</v>
      </c>
      <c r="M125">
        <v>2025</v>
      </c>
      <c r="N125" t="s">
        <v>44</v>
      </c>
      <c r="O125">
        <v>14</v>
      </c>
      <c r="P125">
        <v>14</v>
      </c>
      <c r="R125" s="3" t="str">
        <f>HYPERLINK("https://panda.att.com.mx/ODKServer/view/binaryData?blobKey=FSSuministroFluidosv3%5B%40version%3Dnull+and+%40uiVersion%3Dnull%5D%2Fdata%5B%40key%3Duuid%3A9e319b39-57b6-4ca6-aaee-aae58b25d738%5D%2FgroupInfoFuel%5B%40ordinal%3D1%5D%2FpicFuelRecibeInterno","Descargar")</f>
        <v>Descargar</v>
      </c>
    </row>
    <row r="126" spans="1:18" x14ac:dyDescent="0.3">
      <c r="A126">
        <v>1617931</v>
      </c>
      <c r="B126" t="s">
        <v>18</v>
      </c>
      <c r="C126" t="s">
        <v>19</v>
      </c>
      <c r="D126" t="s">
        <v>200</v>
      </c>
      <c r="E126" t="s">
        <v>201</v>
      </c>
      <c r="F126" t="s">
        <v>22</v>
      </c>
      <c r="G126" t="s">
        <v>23</v>
      </c>
      <c r="H126" t="s">
        <v>24</v>
      </c>
      <c r="I126" t="s">
        <v>25</v>
      </c>
      <c r="J126" t="s">
        <v>202</v>
      </c>
      <c r="K126">
        <v>31</v>
      </c>
      <c r="L126">
        <v>8</v>
      </c>
      <c r="M126">
        <v>2025</v>
      </c>
      <c r="N126" t="s">
        <v>44</v>
      </c>
      <c r="O126">
        <v>45</v>
      </c>
      <c r="P126">
        <v>45</v>
      </c>
      <c r="R126" s="3" t="str">
        <f>HYPERLINK("https://panda.att.com.mx/ODKServer/view/binaryData?blobKey=FSSuministroFluidosv3%5B%40version%3Dnull+and+%40uiVersion%3Dnull%5D%2Fdata%5B%40key%3Duuid%3A23c81cca-3c88-4b42-a837-eede49249a2e%5D%2FgroupInfoFuel%5B%40ordinal%3D1%5D%2FpicFuelRecibeInterno","Descargar")</f>
        <v>Descargar</v>
      </c>
    </row>
    <row r="127" spans="1:18" x14ac:dyDescent="0.3">
      <c r="A127">
        <v>1611632</v>
      </c>
      <c r="B127" t="s">
        <v>18</v>
      </c>
      <c r="C127" t="s">
        <v>55</v>
      </c>
      <c r="D127" t="s">
        <v>56</v>
      </c>
      <c r="E127" t="s">
        <v>203</v>
      </c>
      <c r="F127" t="s">
        <v>22</v>
      </c>
      <c r="G127" t="s">
        <v>23</v>
      </c>
      <c r="H127" t="s">
        <v>58</v>
      </c>
      <c r="I127" t="s">
        <v>25</v>
      </c>
      <c r="J127" t="s">
        <v>204</v>
      </c>
      <c r="K127">
        <v>23</v>
      </c>
      <c r="L127">
        <v>8</v>
      </c>
      <c r="M127">
        <v>2025</v>
      </c>
      <c r="N127" t="s">
        <v>27</v>
      </c>
      <c r="O127">
        <v>150</v>
      </c>
      <c r="P127">
        <v>150</v>
      </c>
      <c r="R127" s="3" t="str">
        <f>HYPERLINK("https://panda.att.com.mx/ODKServer/view/binaryData?blobKey=FSSuministroFluidosv3%5B%40version%3Dnull+and+%40uiVersion%3Dnull%5D%2Fdata%5B%40key%3Duuid%3A63cdd8b1-c23f-4e08-b26f-992a889067c7%5D%2FgroupInfoFuel%5B%40ordinal%3D1%5D%2FpicFuelRecibeInterno","Descargar")</f>
        <v>Descargar</v>
      </c>
    </row>
    <row r="128" spans="1:18" x14ac:dyDescent="0.3">
      <c r="A128">
        <v>1611508</v>
      </c>
      <c r="B128" t="s">
        <v>18</v>
      </c>
      <c r="C128" t="s">
        <v>100</v>
      </c>
      <c r="D128" t="s">
        <v>101</v>
      </c>
      <c r="E128" t="s">
        <v>126</v>
      </c>
      <c r="F128" t="s">
        <v>22</v>
      </c>
      <c r="G128" t="s">
        <v>83</v>
      </c>
      <c r="H128" t="s">
        <v>58</v>
      </c>
      <c r="I128" t="s">
        <v>25</v>
      </c>
      <c r="J128" s="2">
        <v>45904.520474537043</v>
      </c>
      <c r="K128">
        <v>4</v>
      </c>
      <c r="L128">
        <v>9</v>
      </c>
      <c r="M128">
        <v>2025</v>
      </c>
      <c r="N128" t="s">
        <v>27</v>
      </c>
      <c r="O128">
        <v>300</v>
      </c>
      <c r="P128">
        <v>300</v>
      </c>
      <c r="R128" s="3" t="str">
        <f>HYPERLINK("https://panda.att.com.mx/ODKServer/view/binaryData?blobKey=FSSuministroFluidosv3%5B%40version%3Dnull+and+%40uiVersion%3Dnull%5D%2Fdata%5B%40key%3Duuid%3A150d0344-03c4-4b0c-a206-416a20e35945%5D%2FgroupInfoFuel%5B%40ordinal%3D1%5D%2FpicFuelRecibeInterno","Descargar")</f>
        <v>Descargar</v>
      </c>
    </row>
    <row r="129" spans="1:18" x14ac:dyDescent="0.3">
      <c r="A129">
        <v>1611477</v>
      </c>
      <c r="B129" t="s">
        <v>18</v>
      </c>
      <c r="C129" t="s">
        <v>167</v>
      </c>
      <c r="D129" t="s">
        <v>168</v>
      </c>
      <c r="E129" t="s">
        <v>205</v>
      </c>
      <c r="F129" t="s">
        <v>22</v>
      </c>
      <c r="G129" t="s">
        <v>47</v>
      </c>
      <c r="H129" t="s">
        <v>58</v>
      </c>
      <c r="I129" t="s">
        <v>25</v>
      </c>
      <c r="J129" s="2">
        <v>45904.518993055557</v>
      </c>
      <c r="K129">
        <v>4</v>
      </c>
      <c r="L129">
        <v>9</v>
      </c>
      <c r="M129">
        <v>2025</v>
      </c>
      <c r="N129" t="s">
        <v>27</v>
      </c>
      <c r="O129">
        <v>250</v>
      </c>
      <c r="P129">
        <v>250</v>
      </c>
      <c r="R129" s="3" t="str">
        <f>HYPERLINK("https://panda.att.com.mx/ODKServer/view/binaryData?blobKey=FSSuministroFluidosv3%5B%40version%3Dnull+and+%40uiVersion%3Dnull%5D%2Fdata%5B%40key%3Duuid%3Ac1242624-b084-4cb2-85c7-d340544cc028%5D%2FgroupInfoFuel%5B%40ordinal%3D1%5D%2FpicFuelRecibeInterno","Descargar")</f>
        <v>Descargar</v>
      </c>
    </row>
    <row r="130" spans="1:18" x14ac:dyDescent="0.3">
      <c r="A130">
        <v>1611443</v>
      </c>
      <c r="B130" t="s">
        <v>18</v>
      </c>
      <c r="C130" t="s">
        <v>150</v>
      </c>
      <c r="D130" t="s">
        <v>154</v>
      </c>
      <c r="E130" t="s">
        <v>155</v>
      </c>
      <c r="F130" t="s">
        <v>22</v>
      </c>
      <c r="G130" t="s">
        <v>47</v>
      </c>
      <c r="H130" t="s">
        <v>58</v>
      </c>
      <c r="I130" t="s">
        <v>25</v>
      </c>
      <c r="J130" s="2">
        <v>45904.478206018517</v>
      </c>
      <c r="K130">
        <v>4</v>
      </c>
      <c r="L130">
        <v>9</v>
      </c>
      <c r="M130">
        <v>2025</v>
      </c>
      <c r="N130" t="s">
        <v>27</v>
      </c>
      <c r="O130">
        <v>273.89999999999998</v>
      </c>
      <c r="P130">
        <v>273.89999999999998</v>
      </c>
      <c r="R130" s="3" t="str">
        <f>HYPERLINK("https://panda.att.com.mx/ODKServer/view/binaryData?blobKey=FSSuministroFluidosv3%5B%40version%3Dnull+and+%40uiVersion%3Dnull%5D%2Fdata%5B%40key%3Duuid%3A53af1756-5fe0-47df-8023-dbb205c2bea5%5D%2FgroupInfoFuel%5B%40ordinal%3D1%5D%2FpicFuelRecibeInterno","Descargar")</f>
        <v>Descargar</v>
      </c>
    </row>
    <row r="131" spans="1:18" x14ac:dyDescent="0.3">
      <c r="A131">
        <v>1611427</v>
      </c>
      <c r="B131" t="s">
        <v>18</v>
      </c>
      <c r="C131" t="s">
        <v>34</v>
      </c>
      <c r="D131" t="s">
        <v>53</v>
      </c>
      <c r="E131" t="s">
        <v>206</v>
      </c>
      <c r="F131" t="s">
        <v>22</v>
      </c>
      <c r="G131" t="s">
        <v>23</v>
      </c>
      <c r="H131" t="s">
        <v>37</v>
      </c>
      <c r="I131" t="s">
        <v>25</v>
      </c>
      <c r="J131" s="2">
        <v>45903.487627314818</v>
      </c>
      <c r="K131">
        <v>3</v>
      </c>
      <c r="L131">
        <v>9</v>
      </c>
      <c r="M131">
        <v>2025</v>
      </c>
      <c r="N131" t="s">
        <v>27</v>
      </c>
      <c r="O131">
        <v>200</v>
      </c>
      <c r="P131">
        <v>200</v>
      </c>
      <c r="R131" s="3" t="str">
        <f>HYPERLINK("https://panda.att.com.mx/ODKServer/view/binaryData?blobKey=FSSuministroFluidosv3%5B%40version%3Dnull+and+%40uiVersion%3Dnull%5D%2Fdata%5B%40key%3Duuid%3A0b6a8b14-4804-481b-9d7b-5a539dac30be%5D%2FgroupInfoFuel%5B%40ordinal%3D1%5D%2FpicFuelRecibeInterno","Descargar")</f>
        <v>Descargar</v>
      </c>
    </row>
    <row r="132" spans="1:18" x14ac:dyDescent="0.3">
      <c r="A132">
        <v>1611422</v>
      </c>
      <c r="B132" t="s">
        <v>18</v>
      </c>
      <c r="C132" t="s">
        <v>150</v>
      </c>
      <c r="D132" t="s">
        <v>151</v>
      </c>
      <c r="E132" t="s">
        <v>207</v>
      </c>
      <c r="F132" t="s">
        <v>22</v>
      </c>
      <c r="G132" t="s">
        <v>208</v>
      </c>
      <c r="H132" t="s">
        <v>58</v>
      </c>
      <c r="I132" t="s">
        <v>209</v>
      </c>
      <c r="J132" s="2">
        <v>45904.444571759261</v>
      </c>
      <c r="K132">
        <v>4</v>
      </c>
      <c r="L132">
        <v>9</v>
      </c>
      <c r="M132">
        <v>2025</v>
      </c>
      <c r="N132" t="s">
        <v>27</v>
      </c>
      <c r="O132">
        <v>200</v>
      </c>
      <c r="P132">
        <v>200</v>
      </c>
      <c r="R132" s="3" t="str">
        <f>HYPERLINK("https://panda.att.com.mx/ODKServer/view/binaryData?blobKey=FSSuministroFluidosv3%5B%40version%3Dnull+and+%40uiVersion%3Dnull%5D%2Fdata%5B%40key%3Duuid%3A4e3fff53-dd8b-42c3-beda-0ca4b6cabb9b%5D%2FgroupInfoFuel%5B%40ordinal%3D1%5D%2FpicFuelRecibeInterno","Descargar")</f>
        <v>Descargar</v>
      </c>
    </row>
    <row r="133" spans="1:18" x14ac:dyDescent="0.3">
      <c r="A133">
        <v>1611377</v>
      </c>
      <c r="B133" t="s">
        <v>18</v>
      </c>
      <c r="C133" t="s">
        <v>55</v>
      </c>
      <c r="D133" t="s">
        <v>210</v>
      </c>
      <c r="E133" t="s">
        <v>211</v>
      </c>
      <c r="F133" t="s">
        <v>22</v>
      </c>
      <c r="G133" t="s">
        <v>23</v>
      </c>
      <c r="H133" t="s">
        <v>58</v>
      </c>
      <c r="I133" t="s">
        <v>25</v>
      </c>
      <c r="J133" s="2">
        <v>45901.365624999999</v>
      </c>
      <c r="K133">
        <v>1</v>
      </c>
      <c r="L133">
        <v>9</v>
      </c>
      <c r="M133">
        <v>2025</v>
      </c>
      <c r="N133" t="s">
        <v>27</v>
      </c>
      <c r="O133">
        <v>100</v>
      </c>
      <c r="P133">
        <v>100</v>
      </c>
      <c r="R133" s="3" t="str">
        <f>HYPERLINK("https://panda.att.com.mx/ODKServer/view/binaryData?blobKey=FSSuministroFluidosv3%5B%40version%3Dnull+and+%40uiVersion%3Dnull%5D%2Fdata%5B%40key%3Duuid%3A4baf3193-8009-40fb-ae9e-806b0f5f7981%5D%2FgroupInfoFuel%5B%40ordinal%3D1%5D%2FpicFuelRecibeInterno","Descargar")</f>
        <v>Descargar</v>
      </c>
    </row>
    <row r="134" spans="1:18" x14ac:dyDescent="0.3">
      <c r="A134">
        <v>1611368</v>
      </c>
      <c r="B134" t="s">
        <v>18</v>
      </c>
      <c r="C134" t="s">
        <v>68</v>
      </c>
      <c r="D134" t="s">
        <v>69</v>
      </c>
      <c r="E134" t="s">
        <v>212</v>
      </c>
      <c r="F134" t="s">
        <v>22</v>
      </c>
      <c r="G134" t="s">
        <v>23</v>
      </c>
      <c r="H134" t="s">
        <v>37</v>
      </c>
      <c r="I134" t="s">
        <v>25</v>
      </c>
      <c r="J134" s="2">
        <v>45903.866053240738</v>
      </c>
      <c r="K134">
        <v>3</v>
      </c>
      <c r="L134">
        <v>9</v>
      </c>
      <c r="M134">
        <v>2025</v>
      </c>
      <c r="N134" t="s">
        <v>27</v>
      </c>
      <c r="O134">
        <v>200</v>
      </c>
      <c r="P134">
        <v>200</v>
      </c>
      <c r="R134" s="3" t="str">
        <f>HYPERLINK("https://panda.att.com.mx/ODKServer/view/binaryData?blobKey=FSSuministroFluidosv3%5B%40version%3Dnull+and+%40uiVersion%3Dnull%5D%2Fdata%5B%40key%3Duuid%3A0491645f-6545-4dca-85ca-ee1c58294e6e%5D%2FgroupInfoFuel%5B%40ordinal%3D1%5D%2FpicFuelRecibeInterno","Descargar")</f>
        <v>Descargar</v>
      </c>
    </row>
    <row r="135" spans="1:18" x14ac:dyDescent="0.3">
      <c r="A135">
        <v>1611327</v>
      </c>
      <c r="B135" t="s">
        <v>18</v>
      </c>
      <c r="C135" t="s">
        <v>183</v>
      </c>
      <c r="D135" t="s">
        <v>213</v>
      </c>
      <c r="E135" t="s">
        <v>214</v>
      </c>
      <c r="F135" t="s">
        <v>22</v>
      </c>
      <c r="G135" t="s">
        <v>47</v>
      </c>
      <c r="H135" t="s">
        <v>58</v>
      </c>
      <c r="I135" t="s">
        <v>25</v>
      </c>
      <c r="J135" s="2">
        <v>45903.524953703702</v>
      </c>
      <c r="K135">
        <v>3</v>
      </c>
      <c r="L135">
        <v>9</v>
      </c>
      <c r="M135">
        <v>2025</v>
      </c>
      <c r="N135" t="s">
        <v>27</v>
      </c>
      <c r="O135">
        <v>250</v>
      </c>
      <c r="P135">
        <v>250</v>
      </c>
      <c r="R135" s="3" t="str">
        <f>HYPERLINK("https://panda.att.com.mx/ODKServer/view/binaryData?blobKey=FSSuministroFluidosv3%5B%40version%3Dnull+and+%40uiVersion%3Dnull%5D%2Fdata%5B%40key%3Duuid%3Ad116716e-4c46-4c5d-b70c-9022c176eaed%5D%2FgroupInfoFuel%5B%40ordinal%3D1%5D%2FpicFuelRecibeInterno","Descargar")</f>
        <v>Descargar</v>
      </c>
    </row>
    <row r="136" spans="1:18" x14ac:dyDescent="0.3">
      <c r="A136">
        <v>1611302</v>
      </c>
      <c r="B136" t="s">
        <v>18</v>
      </c>
      <c r="C136" t="s">
        <v>28</v>
      </c>
      <c r="D136" t="s">
        <v>138</v>
      </c>
      <c r="E136" t="s">
        <v>139</v>
      </c>
      <c r="F136" t="s">
        <v>22</v>
      </c>
      <c r="G136" t="s">
        <v>23</v>
      </c>
      <c r="H136" t="s">
        <v>24</v>
      </c>
      <c r="I136" t="s">
        <v>25</v>
      </c>
      <c r="J136" s="2">
        <v>45903.923333333332</v>
      </c>
      <c r="K136">
        <v>3</v>
      </c>
      <c r="L136">
        <v>9</v>
      </c>
      <c r="M136">
        <v>2025</v>
      </c>
      <c r="N136" t="s">
        <v>44</v>
      </c>
      <c r="O136">
        <v>60</v>
      </c>
      <c r="P136">
        <v>60</v>
      </c>
      <c r="R136" s="3" t="str">
        <f>HYPERLINK("https://panda.att.com.mx/ODKServer/view/binaryData?blobKey=FSSuministroFluidosv3%5B%40version%3Dnull+and+%40uiVersion%3Dnull%5D%2Fdata%5B%40key%3Duuid%3A569b7556-175d-4520-9f01-1510c345ef1b%5D%2FgroupInfoFuel%5B%40ordinal%3D1%5D%2FpicFuelRecibeInterno","Descargar")</f>
        <v>Descargar</v>
      </c>
    </row>
    <row r="137" spans="1:18" x14ac:dyDescent="0.3">
      <c r="A137">
        <v>1611292</v>
      </c>
      <c r="B137" t="s">
        <v>18</v>
      </c>
      <c r="C137" t="s">
        <v>167</v>
      </c>
      <c r="D137" t="s">
        <v>215</v>
      </c>
      <c r="E137" t="s">
        <v>216</v>
      </c>
      <c r="F137" t="s">
        <v>22</v>
      </c>
      <c r="G137" t="s">
        <v>47</v>
      </c>
      <c r="H137" t="s">
        <v>58</v>
      </c>
      <c r="I137" t="s">
        <v>25</v>
      </c>
      <c r="J137" s="2">
        <v>45903.800763888888</v>
      </c>
      <c r="K137">
        <v>3</v>
      </c>
      <c r="L137">
        <v>9</v>
      </c>
      <c r="M137">
        <v>2025</v>
      </c>
      <c r="N137" t="s">
        <v>27</v>
      </c>
      <c r="O137">
        <v>100</v>
      </c>
      <c r="P137">
        <v>100</v>
      </c>
      <c r="R137" s="3" t="str">
        <f>HYPERLINK("https://panda.att.com.mx/ODKServer/view/binaryData?blobKey=FSSuministroFluidosv3%5B%40version%3Dnull+and+%40uiVersion%3Dnull%5D%2Fdata%5B%40key%3Duuid%3A4e8bae8b-76c9-48fb-b556-84bcfa9406cc%5D%2FgroupInfoFuel%5B%40ordinal%3D1%5D%2FpicFuelRecibeInterno","Descargar")</f>
        <v>Descargar</v>
      </c>
    </row>
    <row r="138" spans="1:18" x14ac:dyDescent="0.3">
      <c r="A138">
        <v>1611291</v>
      </c>
      <c r="B138" t="s">
        <v>18</v>
      </c>
      <c r="C138" t="s">
        <v>167</v>
      </c>
      <c r="D138" t="s">
        <v>215</v>
      </c>
      <c r="E138" t="s">
        <v>217</v>
      </c>
      <c r="F138" t="s">
        <v>22</v>
      </c>
      <c r="G138" t="s">
        <v>47</v>
      </c>
      <c r="H138" t="s">
        <v>58</v>
      </c>
      <c r="I138" t="s">
        <v>25</v>
      </c>
      <c r="J138" s="2">
        <v>45903.601111111107</v>
      </c>
      <c r="K138">
        <v>3</v>
      </c>
      <c r="L138">
        <v>9</v>
      </c>
      <c r="M138">
        <v>2025</v>
      </c>
      <c r="N138" t="s">
        <v>27</v>
      </c>
      <c r="O138">
        <v>180</v>
      </c>
      <c r="P138">
        <v>180</v>
      </c>
      <c r="R138" s="3" t="str">
        <f>HYPERLINK("https://panda.att.com.mx/ODKServer/view/binaryData?blobKey=FSSuministroFluidosv3%5B%40version%3Dnull+and+%40uiVersion%3Dnull%5D%2Fdata%5B%40key%3Duuid%3A50bdf85b-8ce0-48ac-8efb-ddcffb1ace75%5D%2FgroupInfoFuel%5B%40ordinal%3D1%5D%2FpicFuelRecibeInterno","Descargar")</f>
        <v>Descargar</v>
      </c>
    </row>
    <row r="139" spans="1:18" x14ac:dyDescent="0.3">
      <c r="A139">
        <v>1611276</v>
      </c>
      <c r="B139" t="s">
        <v>18</v>
      </c>
      <c r="C139" t="s">
        <v>28</v>
      </c>
      <c r="D139" t="s">
        <v>181</v>
      </c>
      <c r="E139" t="s">
        <v>218</v>
      </c>
      <c r="F139" t="s">
        <v>22</v>
      </c>
      <c r="G139" t="s">
        <v>23</v>
      </c>
      <c r="H139" t="s">
        <v>24</v>
      </c>
      <c r="I139" t="s">
        <v>25</v>
      </c>
      <c r="J139" s="2">
        <v>45902.541550925933</v>
      </c>
      <c r="K139">
        <v>2</v>
      </c>
      <c r="L139">
        <v>9</v>
      </c>
      <c r="M139">
        <v>2025</v>
      </c>
      <c r="N139" t="s">
        <v>27</v>
      </c>
      <c r="O139">
        <v>200</v>
      </c>
      <c r="P139">
        <v>200</v>
      </c>
      <c r="R139" s="3" t="str">
        <f>HYPERLINK("https://panda.att.com.mx/ODKServer/view/binaryData?blobKey=FSSuministroFluidosv3%5B%40version%3Dnull+and+%40uiVersion%3Dnull%5D%2Fdata%5B%40key%3Duuid%3A8c530055-f697-4f7c-8228-af9566dc28c7%5D%2FgroupInfoFuel%5B%40ordinal%3D1%5D%2FpicFuelRecibeInterno","Descargar")</f>
        <v>Descargar</v>
      </c>
    </row>
    <row r="140" spans="1:18" x14ac:dyDescent="0.3">
      <c r="A140">
        <v>1611270</v>
      </c>
      <c r="B140" t="s">
        <v>18</v>
      </c>
      <c r="C140" t="s">
        <v>68</v>
      </c>
      <c r="D140" t="s">
        <v>219</v>
      </c>
      <c r="E140" t="s">
        <v>220</v>
      </c>
      <c r="F140" t="s">
        <v>22</v>
      </c>
      <c r="G140" t="s">
        <v>23</v>
      </c>
      <c r="H140" t="s">
        <v>37</v>
      </c>
      <c r="I140" t="s">
        <v>25</v>
      </c>
      <c r="J140" s="2">
        <v>45903.595439814817</v>
      </c>
      <c r="K140">
        <v>3</v>
      </c>
      <c r="L140">
        <v>9</v>
      </c>
      <c r="M140">
        <v>2025</v>
      </c>
      <c r="N140" t="s">
        <v>44</v>
      </c>
      <c r="O140">
        <v>50</v>
      </c>
      <c r="P140">
        <v>50</v>
      </c>
      <c r="R140" s="3" t="str">
        <f>HYPERLINK("https://panda.att.com.mx/ODKServer/view/binaryData?blobKey=FSSuministroFluidosv3%5B%40version%3Dnull+and+%40uiVersion%3Dnull%5D%2Fdata%5B%40key%3Duuid%3A8992f710-c9b3-47c1-8091-970840b23e4b%5D%2FgroupInfoFuel%5B%40ordinal%3D1%5D%2FpicFuelRecibeInterno","Descargar")</f>
        <v>Descargar</v>
      </c>
    </row>
    <row r="141" spans="1:18" x14ac:dyDescent="0.3">
      <c r="A141">
        <v>1611269</v>
      </c>
      <c r="B141" t="s">
        <v>18</v>
      </c>
      <c r="C141" t="s">
        <v>68</v>
      </c>
      <c r="D141" t="s">
        <v>219</v>
      </c>
      <c r="E141" t="s">
        <v>221</v>
      </c>
      <c r="F141" t="s">
        <v>22</v>
      </c>
      <c r="G141" t="s">
        <v>23</v>
      </c>
      <c r="H141" t="s">
        <v>37</v>
      </c>
      <c r="I141" t="s">
        <v>25</v>
      </c>
      <c r="J141" s="2">
        <v>45902.592199074083</v>
      </c>
      <c r="K141">
        <v>2</v>
      </c>
      <c r="L141">
        <v>9</v>
      </c>
      <c r="M141">
        <v>2025</v>
      </c>
      <c r="N141" t="s">
        <v>27</v>
      </c>
      <c r="O141">
        <v>100</v>
      </c>
      <c r="P141">
        <v>100</v>
      </c>
      <c r="R141" s="3" t="str">
        <f>HYPERLINK("https://panda.att.com.mx/ODKServer/view/binaryData?blobKey=FSSuministroFluidosv3%5B%40version%3Dnull+and+%40uiVersion%3Dnull%5D%2Fdata%5B%40key%3Duuid%3A53256046-89bc-4f15-a57f-b1dbda770833%5D%2FgroupInfoFuel%5B%40ordinal%3D1%5D%2FpicFuelRecibeInterno","Descargar")</f>
        <v>Descargar</v>
      </c>
    </row>
    <row r="142" spans="1:18" x14ac:dyDescent="0.3">
      <c r="A142">
        <v>1611249</v>
      </c>
      <c r="B142" t="s">
        <v>18</v>
      </c>
      <c r="C142" t="s">
        <v>28</v>
      </c>
      <c r="D142" t="s">
        <v>222</v>
      </c>
      <c r="E142" t="s">
        <v>223</v>
      </c>
      <c r="F142" t="s">
        <v>22</v>
      </c>
      <c r="G142" t="s">
        <v>23</v>
      </c>
      <c r="H142" t="s">
        <v>24</v>
      </c>
      <c r="I142" t="s">
        <v>224</v>
      </c>
      <c r="J142" t="s">
        <v>225</v>
      </c>
      <c r="K142">
        <v>31</v>
      </c>
      <c r="L142">
        <v>8</v>
      </c>
      <c r="M142">
        <v>2025</v>
      </c>
      <c r="N142" t="s">
        <v>44</v>
      </c>
      <c r="O142">
        <v>20</v>
      </c>
      <c r="Q142">
        <v>20</v>
      </c>
      <c r="R142" s="3" t="str">
        <f>HYPERLINK("https://panda.att.com.mx/ODKServer/view/binaryData?blobKey=FSSuministroFluidosv3%5B%40version%3Dnull+and+%40uiVersion%3Dnull%5D%2Fdata%5B%40key%3Duuid%3Af4d1e336-26b3-4c61-84b4-759c40221f58%5D%2FgroupInfoFuel%5B%40ordinal%3D1%5D%2FpicFuelRecibeInterno","Descargar")</f>
        <v>Descargar</v>
      </c>
    </row>
    <row r="143" spans="1:18" x14ac:dyDescent="0.3">
      <c r="A143">
        <v>1611239</v>
      </c>
      <c r="B143" t="s">
        <v>18</v>
      </c>
      <c r="C143" t="s">
        <v>68</v>
      </c>
      <c r="D143" t="s">
        <v>69</v>
      </c>
      <c r="E143" t="s">
        <v>226</v>
      </c>
      <c r="F143" t="s">
        <v>22</v>
      </c>
      <c r="G143" t="s">
        <v>23</v>
      </c>
      <c r="H143" t="s">
        <v>37</v>
      </c>
      <c r="I143" t="s">
        <v>25</v>
      </c>
      <c r="J143" s="2">
        <v>45903.729432870372</v>
      </c>
      <c r="K143">
        <v>3</v>
      </c>
      <c r="L143">
        <v>9</v>
      </c>
      <c r="M143">
        <v>2025</v>
      </c>
      <c r="N143" t="s">
        <v>27</v>
      </c>
      <c r="O143">
        <v>150</v>
      </c>
      <c r="P143">
        <v>150</v>
      </c>
      <c r="R143" s="3" t="str">
        <f>HYPERLINK("https://panda.att.com.mx/ODKServer/view/binaryData?blobKey=FSSuministroFluidosv3%5B%40version%3Dnull+and+%40uiVersion%3Dnull%5D%2Fdata%5B%40key%3Duuid%3A341d9177-01eb-4071-9547-68bb36f318a5%5D%2FgroupInfoFuel%5B%40ordinal%3D1%5D%2FpicFuelRecibeInterno","Descargar")</f>
        <v>Descargar</v>
      </c>
    </row>
    <row r="144" spans="1:18" x14ac:dyDescent="0.3">
      <c r="A144">
        <v>1611234</v>
      </c>
      <c r="B144" t="s">
        <v>18</v>
      </c>
      <c r="C144" t="s">
        <v>68</v>
      </c>
      <c r="D144" t="s">
        <v>219</v>
      </c>
      <c r="E144" t="s">
        <v>227</v>
      </c>
      <c r="F144" t="s">
        <v>22</v>
      </c>
      <c r="G144" t="s">
        <v>23</v>
      </c>
      <c r="H144" t="s">
        <v>37</v>
      </c>
      <c r="I144" t="s">
        <v>25</v>
      </c>
      <c r="J144" t="s">
        <v>228</v>
      </c>
      <c r="K144">
        <v>29</v>
      </c>
      <c r="L144">
        <v>8</v>
      </c>
      <c r="M144">
        <v>2025</v>
      </c>
      <c r="N144" t="s">
        <v>27</v>
      </c>
      <c r="O144">
        <v>234</v>
      </c>
      <c r="P144">
        <v>234</v>
      </c>
      <c r="R144" s="3" t="str">
        <f>HYPERLINK("https://panda.att.com.mx/ODKServer/view/binaryData?blobKey=FSSuministroFluidosv3%5B%40version%3Dnull+and+%40uiVersion%3Dnull%5D%2Fdata%5B%40key%3Duuid%3A2109a366-78f0-4b4c-986b-d536856c8c92%5D%2FgroupInfoFuel%5B%40ordinal%3D1%5D%2FpicFuelRecibeInterno","Descargar")</f>
        <v>Descargar</v>
      </c>
    </row>
    <row r="145" spans="1:18" x14ac:dyDescent="0.3">
      <c r="A145">
        <v>1611226</v>
      </c>
      <c r="B145" t="s">
        <v>18</v>
      </c>
      <c r="C145" t="s">
        <v>28</v>
      </c>
      <c r="D145" t="s">
        <v>118</v>
      </c>
      <c r="E145" t="s">
        <v>120</v>
      </c>
      <c r="F145" t="s">
        <v>22</v>
      </c>
      <c r="G145" t="s">
        <v>23</v>
      </c>
      <c r="H145" t="s">
        <v>24</v>
      </c>
      <c r="I145" t="s">
        <v>25</v>
      </c>
      <c r="J145" t="s">
        <v>229</v>
      </c>
      <c r="K145">
        <v>30</v>
      </c>
      <c r="L145">
        <v>8</v>
      </c>
      <c r="M145">
        <v>2025</v>
      </c>
      <c r="N145" t="s">
        <v>44</v>
      </c>
      <c r="O145">
        <v>35</v>
      </c>
      <c r="P145">
        <v>35</v>
      </c>
      <c r="R145" s="3" t="str">
        <f>HYPERLINK("https://panda.att.com.mx/ODKServer/view/binaryData?blobKey=FSSuministroFluidosv3%5B%40version%3Dnull+and+%40uiVersion%3Dnull%5D%2Fdata%5B%40key%3Duuid%3A96d031fe-d166-45cf-ac9f-4b1e67d20b7f%5D%2FgroupInfoFuel%5B%40ordinal%3D1%5D%2FpicFuelRecibeInterno","Descargar")</f>
        <v>Descargar</v>
      </c>
    </row>
    <row r="146" spans="1:18" x14ac:dyDescent="0.3">
      <c r="A146">
        <v>1611203</v>
      </c>
      <c r="B146" t="s">
        <v>18</v>
      </c>
      <c r="C146" t="s">
        <v>150</v>
      </c>
      <c r="D146" t="s">
        <v>230</v>
      </c>
      <c r="E146" t="s">
        <v>231</v>
      </c>
      <c r="F146" t="s">
        <v>22</v>
      </c>
      <c r="G146" t="s">
        <v>23</v>
      </c>
      <c r="H146" t="s">
        <v>58</v>
      </c>
      <c r="I146" t="s">
        <v>25</v>
      </c>
      <c r="J146" s="2">
        <v>45903.766886574071</v>
      </c>
      <c r="K146">
        <v>3</v>
      </c>
      <c r="L146">
        <v>9</v>
      </c>
      <c r="M146">
        <v>2025</v>
      </c>
      <c r="N146" t="s">
        <v>27</v>
      </c>
      <c r="O146">
        <v>300</v>
      </c>
      <c r="P146">
        <v>300</v>
      </c>
      <c r="R146" s="3" t="str">
        <f>HYPERLINK("https://panda.att.com.mx/ODKServer/view/binaryData?blobKey=FSSuministroFluidosv3%5B%40version%3Dnull+and+%40uiVersion%3Dnull%5D%2Fdata%5B%40key%3Duuid%3Afe7126cc-ee8f-4b93-b9ca-b6dde4b89817%5D%2FgroupInfoFuel%5B%40ordinal%3D1%5D%2FpicFuelRecibeInterno","Descargar")</f>
        <v>Descargar</v>
      </c>
    </row>
    <row r="147" spans="1:18" x14ac:dyDescent="0.3">
      <c r="A147">
        <v>1611199</v>
      </c>
      <c r="B147" t="s">
        <v>18</v>
      </c>
      <c r="C147" t="s">
        <v>150</v>
      </c>
      <c r="D147" t="s">
        <v>151</v>
      </c>
      <c r="E147" t="s">
        <v>232</v>
      </c>
      <c r="F147" t="s">
        <v>22</v>
      </c>
      <c r="G147" t="s">
        <v>47</v>
      </c>
      <c r="H147" t="s">
        <v>58</v>
      </c>
      <c r="I147" t="s">
        <v>25</v>
      </c>
      <c r="J147" s="2">
        <v>45903.772152777783</v>
      </c>
      <c r="K147">
        <v>3</v>
      </c>
      <c r="L147">
        <v>9</v>
      </c>
      <c r="M147">
        <v>2025</v>
      </c>
      <c r="N147" t="s">
        <v>27</v>
      </c>
      <c r="O147">
        <v>200</v>
      </c>
      <c r="P147">
        <v>200</v>
      </c>
      <c r="R147" s="3" t="str">
        <f>HYPERLINK("https://panda.att.com.mx/ODKServer/view/binaryData?blobKey=FSSuministroFluidosv3%5B%40version%3Dnull+and+%40uiVersion%3Dnull%5D%2Fdata%5B%40key%3Duuid%3A0633b152-c300-41e0-99fa-56f2d6db27a6%5D%2FgroupInfoFuel%5B%40ordinal%3D1%5D%2FpicFuelRecibeInterno","Descargar")</f>
        <v>Descargar</v>
      </c>
    </row>
    <row r="148" spans="1:18" x14ac:dyDescent="0.3">
      <c r="A148">
        <v>1611184</v>
      </c>
      <c r="B148" t="s">
        <v>18</v>
      </c>
      <c r="C148" t="s">
        <v>59</v>
      </c>
      <c r="D148" t="s">
        <v>233</v>
      </c>
      <c r="E148" t="s">
        <v>234</v>
      </c>
      <c r="F148" t="s">
        <v>22</v>
      </c>
      <c r="G148" t="s">
        <v>47</v>
      </c>
      <c r="H148" t="s">
        <v>37</v>
      </c>
      <c r="I148" t="s">
        <v>25</v>
      </c>
      <c r="J148" s="2">
        <v>45903.489895833343</v>
      </c>
      <c r="K148">
        <v>3</v>
      </c>
      <c r="L148">
        <v>9</v>
      </c>
      <c r="M148">
        <v>2025</v>
      </c>
      <c r="N148" t="s">
        <v>27</v>
      </c>
      <c r="O148">
        <v>350</v>
      </c>
      <c r="Q148">
        <v>350</v>
      </c>
      <c r="R148" s="3" t="str">
        <f>HYPERLINK("https://panda.att.com.mx/ODKServer/view/binaryData?blobKey=FSSuministroFluidosv3%5B%40version%3Dnull+and+%40uiVersion%3Dnull%5D%2Fdata%5B%40key%3Duuid%3A4a36d0f9-b2ac-4ceb-861d-0983064faa94%5D%2FgroupInfoFuel%5B%40ordinal%3D1%5D%2FpicFuelRecibeInterno","Descargar")</f>
        <v>Descargar</v>
      </c>
    </row>
    <row r="149" spans="1:18" x14ac:dyDescent="0.3">
      <c r="A149">
        <v>1611115</v>
      </c>
      <c r="B149" t="s">
        <v>18</v>
      </c>
      <c r="C149" t="s">
        <v>68</v>
      </c>
      <c r="D149" t="s">
        <v>69</v>
      </c>
      <c r="E149" t="s">
        <v>235</v>
      </c>
      <c r="F149" t="s">
        <v>22</v>
      </c>
      <c r="G149" t="s">
        <v>23</v>
      </c>
      <c r="H149" t="s">
        <v>37</v>
      </c>
      <c r="I149" t="s">
        <v>25</v>
      </c>
      <c r="J149" s="2">
        <v>45902.711388888893</v>
      </c>
      <c r="K149">
        <v>2</v>
      </c>
      <c r="L149">
        <v>9</v>
      </c>
      <c r="M149">
        <v>2025</v>
      </c>
      <c r="N149" t="s">
        <v>27</v>
      </c>
      <c r="O149">
        <v>250</v>
      </c>
      <c r="P149">
        <v>250</v>
      </c>
      <c r="R149" s="3" t="str">
        <f>HYPERLINK("https://panda.att.com.mx/ODKServer/view/binaryData?blobKey=FSSuministroFluidosv3%5B%40version%3Dnull+and+%40uiVersion%3Dnull%5D%2Fdata%5B%40key%3Duuid%3A27fb2868-4bed-44ef-b7a4-d723b08446e0%5D%2FgroupInfoFuel%5B%40ordinal%3D1%5D%2FpicFuelRecibeInterno","Descargar")</f>
        <v>Descargar</v>
      </c>
    </row>
    <row r="150" spans="1:18" x14ac:dyDescent="0.3">
      <c r="A150">
        <v>1611100</v>
      </c>
      <c r="B150" t="s">
        <v>18</v>
      </c>
      <c r="C150" t="s">
        <v>150</v>
      </c>
      <c r="D150" t="s">
        <v>151</v>
      </c>
      <c r="E150" t="s">
        <v>236</v>
      </c>
      <c r="F150" t="s">
        <v>22</v>
      </c>
      <c r="G150" t="s">
        <v>47</v>
      </c>
      <c r="H150" t="s">
        <v>58</v>
      </c>
      <c r="I150" t="s">
        <v>25</v>
      </c>
      <c r="J150" s="2">
        <v>45903.687337962961</v>
      </c>
      <c r="K150">
        <v>3</v>
      </c>
      <c r="L150">
        <v>9</v>
      </c>
      <c r="M150">
        <v>2025</v>
      </c>
      <c r="N150" t="s">
        <v>27</v>
      </c>
      <c r="O150">
        <v>150</v>
      </c>
      <c r="P150">
        <v>150</v>
      </c>
      <c r="R150" s="3" t="str">
        <f>HYPERLINK("https://panda.att.com.mx/ODKServer/view/binaryData?blobKey=FSSuministroFluidosv3%5B%40version%3Dnull+and+%40uiVersion%3Dnull%5D%2Fdata%5B%40key%3Duuid%3A2627562e-a6f7-497b-8b2a-7602c61fd401%5D%2FgroupInfoFuel%5B%40ordinal%3D1%5D%2FpicFuelRecibeInterno","Descargar")</f>
        <v>Descargar</v>
      </c>
    </row>
    <row r="151" spans="1:18" x14ac:dyDescent="0.3">
      <c r="A151">
        <v>1611088</v>
      </c>
      <c r="B151" t="s">
        <v>18</v>
      </c>
      <c r="C151" t="s">
        <v>55</v>
      </c>
      <c r="D151" t="s">
        <v>128</v>
      </c>
      <c r="E151" t="s">
        <v>129</v>
      </c>
      <c r="F151" t="s">
        <v>22</v>
      </c>
      <c r="G151" t="s">
        <v>23</v>
      </c>
      <c r="H151" t="s">
        <v>58</v>
      </c>
      <c r="I151" t="s">
        <v>25</v>
      </c>
      <c r="J151" s="2">
        <v>45903.619502314818</v>
      </c>
      <c r="K151">
        <v>3</v>
      </c>
      <c r="L151">
        <v>9</v>
      </c>
      <c r="M151">
        <v>2025</v>
      </c>
      <c r="N151" t="s">
        <v>27</v>
      </c>
      <c r="O151">
        <v>300</v>
      </c>
      <c r="P151">
        <v>300</v>
      </c>
      <c r="R151" s="3" t="str">
        <f>HYPERLINK("https://panda.att.com.mx/ODKServer/view/binaryData?blobKey=FSSuministroFluidosv3%5B%40version%3Dnull+and+%40uiVersion%3Dnull%5D%2Fdata%5B%40key%3Duuid%3A05f4a7c0-3139-40cc-aa5c-76a89d077dce%5D%2FgroupInfoFuel%5B%40ordinal%3D1%5D%2FpicFuelRecibeInterno","Descargar")</f>
        <v>Descargar</v>
      </c>
    </row>
    <row r="152" spans="1:18" x14ac:dyDescent="0.3">
      <c r="A152">
        <v>1613409</v>
      </c>
      <c r="B152" t="s">
        <v>18</v>
      </c>
      <c r="C152" t="s">
        <v>150</v>
      </c>
      <c r="D152" t="s">
        <v>154</v>
      </c>
      <c r="E152" t="s">
        <v>155</v>
      </c>
      <c r="F152" t="s">
        <v>22</v>
      </c>
      <c r="G152" t="s">
        <v>47</v>
      </c>
      <c r="H152" t="s">
        <v>58</v>
      </c>
      <c r="I152" t="s">
        <v>25</v>
      </c>
      <c r="J152" s="2">
        <v>45908.561493055553</v>
      </c>
      <c r="K152">
        <v>8</v>
      </c>
      <c r="L152">
        <v>9</v>
      </c>
      <c r="M152">
        <v>2025</v>
      </c>
      <c r="N152" t="s">
        <v>27</v>
      </c>
      <c r="O152">
        <v>300</v>
      </c>
      <c r="P152">
        <v>300</v>
      </c>
      <c r="R152" s="3" t="str">
        <f>HYPERLINK("https://panda.att.com.mx/ODKServer/view/binaryData?blobKey=FSSuministroFluidosv3%5B%40version%3Dnull+and+%40uiVersion%3Dnull%5D%2Fdata%5B%40key%3Duuid%3A85c54a34-bb8a-458c-81bd-00a80d5a7c75%5D%2FgroupInfoFuel%5B%40ordinal%3D1%5D%2FpicFuelRecibeInterno","Descargar")</f>
        <v>Descargar</v>
      </c>
    </row>
    <row r="153" spans="1:18" x14ac:dyDescent="0.3">
      <c r="A153">
        <v>1613387</v>
      </c>
      <c r="B153" t="s">
        <v>18</v>
      </c>
      <c r="C153" t="s">
        <v>167</v>
      </c>
      <c r="D153" t="s">
        <v>168</v>
      </c>
      <c r="E153" t="s">
        <v>205</v>
      </c>
      <c r="F153" t="s">
        <v>22</v>
      </c>
      <c r="G153" t="s">
        <v>23</v>
      </c>
      <c r="H153" t="s">
        <v>58</v>
      </c>
      <c r="I153" t="s">
        <v>25</v>
      </c>
      <c r="J153" s="2">
        <v>45908.583865740737</v>
      </c>
      <c r="K153">
        <v>8</v>
      </c>
      <c r="L153">
        <v>9</v>
      </c>
      <c r="M153">
        <v>2025</v>
      </c>
      <c r="N153" t="s">
        <v>27</v>
      </c>
      <c r="O153">
        <v>400</v>
      </c>
      <c r="P153">
        <v>400</v>
      </c>
      <c r="R153" s="3" t="str">
        <f>HYPERLINK("https://panda.att.com.mx/ODKServer/view/binaryData?blobKey=FSSuministroFluidosv3%5B%40version%3Dnull+and+%40uiVersion%3Dnull%5D%2Fdata%5B%40key%3Duuid%3Aa1086f9a-ffd3-4af4-a824-4a06146bf44b%5D%2FgroupInfoFuel%5B%40ordinal%3D1%5D%2FpicFuelRecibeInterno","Descargar")</f>
        <v>Descargar</v>
      </c>
    </row>
    <row r="154" spans="1:18" x14ac:dyDescent="0.3">
      <c r="A154">
        <v>1613341</v>
      </c>
      <c r="B154" t="s">
        <v>18</v>
      </c>
      <c r="C154" t="s">
        <v>19</v>
      </c>
      <c r="D154" t="s">
        <v>189</v>
      </c>
      <c r="E154" t="s">
        <v>237</v>
      </c>
      <c r="F154" t="s">
        <v>22</v>
      </c>
      <c r="G154" t="s">
        <v>23</v>
      </c>
      <c r="H154" t="s">
        <v>24</v>
      </c>
      <c r="I154" t="s">
        <v>25</v>
      </c>
      <c r="J154" t="s">
        <v>238</v>
      </c>
      <c r="K154">
        <v>30</v>
      </c>
      <c r="L154">
        <v>8</v>
      </c>
      <c r="M154">
        <v>2025</v>
      </c>
      <c r="N154" t="s">
        <v>27</v>
      </c>
      <c r="O154">
        <v>250</v>
      </c>
      <c r="P154">
        <v>250</v>
      </c>
      <c r="R154" s="3" t="str">
        <f>HYPERLINK("https://panda.att.com.mx/ODKServer/view/binaryData?blobKey=FSSuministroFluidosv3%5B%40version%3Dnull+and+%40uiVersion%3Dnull%5D%2Fdata%5B%40key%3Duuid%3A712d78f8-0381-45b7-a711-d801d6ce92b3%5D%2FgroupInfoFuel%5B%40ordinal%3D1%5D%2FpicFuelRecibeInterno","Descargar")</f>
        <v>Descargar</v>
      </c>
    </row>
    <row r="155" spans="1:18" x14ac:dyDescent="0.3">
      <c r="A155">
        <v>1613340</v>
      </c>
      <c r="B155" t="s">
        <v>18</v>
      </c>
      <c r="C155" t="s">
        <v>19</v>
      </c>
      <c r="D155" t="s">
        <v>189</v>
      </c>
      <c r="E155" t="s">
        <v>239</v>
      </c>
      <c r="F155" t="s">
        <v>22</v>
      </c>
      <c r="G155" t="s">
        <v>23</v>
      </c>
      <c r="H155" t="s">
        <v>24</v>
      </c>
      <c r="I155" t="s">
        <v>25</v>
      </c>
      <c r="J155" s="2">
        <v>45901.425451388888</v>
      </c>
      <c r="K155">
        <v>1</v>
      </c>
      <c r="L155">
        <v>9</v>
      </c>
      <c r="M155">
        <v>2025</v>
      </c>
      <c r="N155" t="s">
        <v>27</v>
      </c>
      <c r="O155">
        <v>300</v>
      </c>
      <c r="Q155">
        <v>300</v>
      </c>
      <c r="R155" s="3" t="str">
        <f>HYPERLINK("https://panda.att.com.mx/ODKServer/view/binaryData?blobKey=FSSuministroFluidosv3%5B%40version%3Dnull+and+%40uiVersion%3Dnull%5D%2Fdata%5B%40key%3Duuid%3A28bcb20c-337f-49e3-ad9e-93bd2eb32f67%5D%2FgroupInfoFuel%5B%40ordinal%3D1%5D%2FpicFuelRecibeInterno","Descargar")</f>
        <v>Descargar</v>
      </c>
    </row>
    <row r="156" spans="1:18" x14ac:dyDescent="0.3">
      <c r="A156">
        <v>1613275</v>
      </c>
      <c r="B156" t="s">
        <v>18</v>
      </c>
      <c r="C156" t="s">
        <v>55</v>
      </c>
      <c r="D156" t="s">
        <v>128</v>
      </c>
      <c r="E156" t="s">
        <v>240</v>
      </c>
      <c r="F156" t="s">
        <v>22</v>
      </c>
      <c r="G156" t="s">
        <v>23</v>
      </c>
      <c r="H156" t="s">
        <v>58</v>
      </c>
      <c r="I156" t="s">
        <v>25</v>
      </c>
      <c r="J156" s="2">
        <v>45908.482175925928</v>
      </c>
      <c r="K156">
        <v>8</v>
      </c>
      <c r="L156">
        <v>9</v>
      </c>
      <c r="M156">
        <v>2025</v>
      </c>
      <c r="N156" t="s">
        <v>44</v>
      </c>
      <c r="O156">
        <v>37</v>
      </c>
      <c r="P156">
        <v>37</v>
      </c>
      <c r="R156" s="3" t="str">
        <f>HYPERLINK("https://panda.att.com.mx/ODKServer/view/binaryData?blobKey=FSSuministroFluidosv3%5B%40version%3Dnull+and+%40uiVersion%3Dnull%5D%2Fdata%5B%40key%3Duuid%3A402afe5f-76fc-4159-8a9a-ce251554a656%5D%2FgroupInfoFuel%5B%40ordinal%3D1%5D%2FpicFuelRecibeInterno","Descargar")</f>
        <v>Descargar</v>
      </c>
    </row>
    <row r="157" spans="1:18" x14ac:dyDescent="0.3">
      <c r="A157">
        <v>1613269</v>
      </c>
      <c r="B157" t="s">
        <v>18</v>
      </c>
      <c r="C157" t="s">
        <v>19</v>
      </c>
      <c r="D157" t="s">
        <v>45</v>
      </c>
      <c r="E157" t="s">
        <v>241</v>
      </c>
      <c r="F157" t="s">
        <v>22</v>
      </c>
      <c r="G157" t="s">
        <v>47</v>
      </c>
      <c r="H157" t="s">
        <v>24</v>
      </c>
      <c r="I157" t="s">
        <v>25</v>
      </c>
      <c r="J157" s="2">
        <v>45908.33284722222</v>
      </c>
      <c r="K157">
        <v>8</v>
      </c>
      <c r="L157">
        <v>9</v>
      </c>
      <c r="M157">
        <v>2025</v>
      </c>
      <c r="N157" t="s">
        <v>27</v>
      </c>
      <c r="O157">
        <v>100</v>
      </c>
      <c r="P157">
        <v>100</v>
      </c>
      <c r="R157" s="3" t="str">
        <f>HYPERLINK("https://panda.att.com.mx/ODKServer/view/binaryData?blobKey=FSSuministroFluidosv3%5B%40version%3Dnull+and+%40uiVersion%3Dnull%5D%2Fdata%5B%40key%3Duuid%3Ad253d171-ba96-4714-8a9b-a6d67cde0ef1%5D%2FgroupInfoFuel%5B%40ordinal%3D1%5D%2FpicFuelRecibeInterno","Descargar")</f>
        <v>Descargar</v>
      </c>
    </row>
    <row r="158" spans="1:18" x14ac:dyDescent="0.3">
      <c r="A158">
        <v>1613204</v>
      </c>
      <c r="B158" t="s">
        <v>18</v>
      </c>
      <c r="C158" t="s">
        <v>68</v>
      </c>
      <c r="D158" t="s">
        <v>219</v>
      </c>
      <c r="E158" t="s">
        <v>220</v>
      </c>
      <c r="F158" t="s">
        <v>22</v>
      </c>
      <c r="G158" t="s">
        <v>23</v>
      </c>
      <c r="H158" t="s">
        <v>37</v>
      </c>
      <c r="I158" t="s">
        <v>25</v>
      </c>
      <c r="J158" s="2">
        <v>45904.605543981481</v>
      </c>
      <c r="K158">
        <v>4</v>
      </c>
      <c r="L158">
        <v>9</v>
      </c>
      <c r="M158">
        <v>2025</v>
      </c>
      <c r="N158" t="s">
        <v>44</v>
      </c>
      <c r="O158">
        <v>40</v>
      </c>
      <c r="P158">
        <v>40</v>
      </c>
      <c r="R158" s="3" t="str">
        <f>HYPERLINK("https://panda.att.com.mx/ODKServer/view/binaryData?blobKey=FSSuministroFluidosv3%5B%40version%3Dnull+and+%40uiVersion%3Dnull%5D%2Fdata%5B%40key%3Duuid%3A8ffec4be-86f0-48c7-bf23-6ec2329038b6%5D%2FgroupInfoFuel%5B%40ordinal%3D1%5D%2FpicFuelRecibeInterno","Descargar")</f>
        <v>Descargar</v>
      </c>
    </row>
    <row r="159" spans="1:18" x14ac:dyDescent="0.3">
      <c r="A159">
        <v>1613177</v>
      </c>
      <c r="B159" t="s">
        <v>18</v>
      </c>
      <c r="C159" t="s">
        <v>55</v>
      </c>
      <c r="D159" t="s">
        <v>128</v>
      </c>
      <c r="E159" t="s">
        <v>129</v>
      </c>
      <c r="F159" t="s">
        <v>22</v>
      </c>
      <c r="G159" t="s">
        <v>23</v>
      </c>
      <c r="H159" t="s">
        <v>58</v>
      </c>
      <c r="I159" t="s">
        <v>25</v>
      </c>
      <c r="J159" s="2">
        <v>45908.350763888891</v>
      </c>
      <c r="K159">
        <v>8</v>
      </c>
      <c r="L159">
        <v>9</v>
      </c>
      <c r="M159">
        <v>2025</v>
      </c>
      <c r="N159" t="s">
        <v>27</v>
      </c>
      <c r="O159">
        <v>300</v>
      </c>
      <c r="P159">
        <v>300</v>
      </c>
      <c r="R159" s="3" t="str">
        <f>HYPERLINK("https://panda.att.com.mx/ODKServer/view/binaryData?blobKey=FSSuministroFluidosv3%5B%40version%3Dnull+and+%40uiVersion%3Dnull%5D%2Fdata%5B%40key%3Duuid%3A386e31a6-b20b-4349-b3fc-aaffaa2ca4ba%5D%2FgroupInfoFuel%5B%40ordinal%3D1%5D%2FpicFuelRecibeInterno","Descargar")</f>
        <v>Descargar</v>
      </c>
    </row>
    <row r="160" spans="1:18" x14ac:dyDescent="0.3">
      <c r="A160">
        <v>1613134</v>
      </c>
      <c r="B160" t="s">
        <v>18</v>
      </c>
      <c r="C160" t="s">
        <v>28</v>
      </c>
      <c r="D160" t="s">
        <v>242</v>
      </c>
      <c r="E160" t="s">
        <v>243</v>
      </c>
      <c r="F160" t="s">
        <v>22</v>
      </c>
      <c r="G160" t="s">
        <v>23</v>
      </c>
      <c r="H160" t="s">
        <v>24</v>
      </c>
      <c r="I160" t="s">
        <v>25</v>
      </c>
      <c r="J160" s="2">
        <v>45905.724444444437</v>
      </c>
      <c r="K160">
        <v>5</v>
      </c>
      <c r="L160">
        <v>9</v>
      </c>
      <c r="M160">
        <v>2025</v>
      </c>
      <c r="N160" t="s">
        <v>27</v>
      </c>
      <c r="O160">
        <v>100</v>
      </c>
      <c r="P160">
        <v>100</v>
      </c>
      <c r="R160" s="3" t="str">
        <f>HYPERLINK("https://panda.att.com.mx/ODKServer/view/binaryData?blobKey=FSSuministroFluidosv3%5B%40version%3Dnull+and+%40uiVersion%3Dnull%5D%2Fdata%5B%40key%3Duuid%3A349b32cf-c44e-4e93-8e72-d4c39fca812e%5D%2FgroupInfoFuel%5B%40ordinal%3D1%5D%2FpicFuelRecibeInterno","Descargar")</f>
        <v>Descargar</v>
      </c>
    </row>
    <row r="161" spans="1:18" x14ac:dyDescent="0.3">
      <c r="A161">
        <v>1613102</v>
      </c>
      <c r="B161" t="s">
        <v>18</v>
      </c>
      <c r="C161" t="s">
        <v>28</v>
      </c>
      <c r="D161" t="s">
        <v>181</v>
      </c>
      <c r="E161" t="s">
        <v>244</v>
      </c>
      <c r="F161" t="s">
        <v>22</v>
      </c>
      <c r="G161" t="s">
        <v>23</v>
      </c>
      <c r="H161" t="s">
        <v>24</v>
      </c>
      <c r="I161" t="s">
        <v>25</v>
      </c>
      <c r="J161" s="2">
        <v>45907.353564814817</v>
      </c>
      <c r="K161">
        <v>7</v>
      </c>
      <c r="L161">
        <v>9</v>
      </c>
      <c r="M161">
        <v>2025</v>
      </c>
      <c r="N161" t="s">
        <v>27</v>
      </c>
      <c r="O161">
        <v>200</v>
      </c>
      <c r="P161">
        <v>200</v>
      </c>
      <c r="R161" s="3" t="str">
        <f>HYPERLINK("https://panda.att.com.mx/ODKServer/view/binaryData?blobKey=FSSuministroFluidosv3%5B%40version%3Dnull+and+%40uiVersion%3Dnull%5D%2Fdata%5B%40key%3Duuid%3A0aa981ab-a849-4e76-aecd-896d785ac1d2%5D%2FgroupInfoFuel%5B%40ordinal%3D1%5D%2FpicFuelRecibeInterno","Descargar")</f>
        <v>Descargar</v>
      </c>
    </row>
    <row r="162" spans="1:18" x14ac:dyDescent="0.3">
      <c r="A162">
        <v>1613101</v>
      </c>
      <c r="B162" t="s">
        <v>18</v>
      </c>
      <c r="C162" t="s">
        <v>55</v>
      </c>
      <c r="D162" t="s">
        <v>56</v>
      </c>
      <c r="E162" t="s">
        <v>245</v>
      </c>
      <c r="F162" t="s">
        <v>22</v>
      </c>
      <c r="G162" t="s">
        <v>23</v>
      </c>
      <c r="H162" t="s">
        <v>58</v>
      </c>
      <c r="I162" t="s">
        <v>25</v>
      </c>
      <c r="J162" s="2">
        <v>45904.7421412037</v>
      </c>
      <c r="K162">
        <v>4</v>
      </c>
      <c r="L162">
        <v>9</v>
      </c>
      <c r="M162">
        <v>2025</v>
      </c>
      <c r="N162" t="s">
        <v>27</v>
      </c>
      <c r="O162">
        <v>100</v>
      </c>
      <c r="P162">
        <v>100</v>
      </c>
      <c r="R162" s="3" t="str">
        <f>HYPERLINK("https://panda.att.com.mx/ODKServer/view/binaryData?blobKey=FSSuministroFluidosv3%5B%40version%3Dnull+and+%40uiVersion%3Dnull%5D%2Fdata%5B%40key%3Duuid%3A908c9307-a480-4469-a209-6fd99a59c5ac%5D%2FgroupInfoFuel%5B%40ordinal%3D1%5D%2FpicFuelRecibeInterno","Descargar")</f>
        <v>Descargar</v>
      </c>
    </row>
    <row r="163" spans="1:18" x14ac:dyDescent="0.3">
      <c r="A163">
        <v>1613089</v>
      </c>
      <c r="B163" t="s">
        <v>18</v>
      </c>
      <c r="C163" t="s">
        <v>55</v>
      </c>
      <c r="D163" t="s">
        <v>64</v>
      </c>
      <c r="E163" t="s">
        <v>246</v>
      </c>
      <c r="F163" t="s">
        <v>22</v>
      </c>
      <c r="G163" t="s">
        <v>23</v>
      </c>
      <c r="H163" t="s">
        <v>58</v>
      </c>
      <c r="I163" t="s">
        <v>25</v>
      </c>
      <c r="J163" s="2">
        <v>45908.316006944442</v>
      </c>
      <c r="K163">
        <v>8</v>
      </c>
      <c r="L163">
        <v>9</v>
      </c>
      <c r="M163">
        <v>2025</v>
      </c>
      <c r="N163" t="s">
        <v>27</v>
      </c>
      <c r="O163">
        <v>200</v>
      </c>
      <c r="P163">
        <v>200</v>
      </c>
      <c r="R163" s="3" t="str">
        <f>HYPERLINK("https://panda.att.com.mx/ODKServer/view/binaryData?blobKey=FSSuministroFluidosv3%5B%40version%3Dnull+and+%40uiVersion%3Dnull%5D%2Fdata%5B%40key%3Duuid%3A3bb06569-56fe-41eb-bad6-133b856e0598%5D%2FgroupInfoFuel%5B%40ordinal%3D1%5D%2FpicFuelRecibeInterno","Descargar")</f>
        <v>Descargar</v>
      </c>
    </row>
    <row r="164" spans="1:18" x14ac:dyDescent="0.3">
      <c r="A164">
        <v>1613077</v>
      </c>
      <c r="B164" t="s">
        <v>18</v>
      </c>
      <c r="C164" t="s">
        <v>55</v>
      </c>
      <c r="D164" t="s">
        <v>56</v>
      </c>
      <c r="E164" t="s">
        <v>247</v>
      </c>
      <c r="F164" t="s">
        <v>22</v>
      </c>
      <c r="G164" t="s">
        <v>23</v>
      </c>
      <c r="H164" t="s">
        <v>58</v>
      </c>
      <c r="I164" t="s">
        <v>25</v>
      </c>
      <c r="J164" s="2">
        <v>45904.663483796299</v>
      </c>
      <c r="K164">
        <v>4</v>
      </c>
      <c r="L164">
        <v>9</v>
      </c>
      <c r="M164">
        <v>2025</v>
      </c>
      <c r="N164" t="s">
        <v>27</v>
      </c>
      <c r="O164">
        <v>100</v>
      </c>
      <c r="P164">
        <v>100</v>
      </c>
      <c r="R164" s="3" t="str">
        <f>HYPERLINK("https://panda.att.com.mx/ODKServer/view/binaryData?blobKey=FSSuministroFluidosv3%5B%40version%3Dnull+and+%40uiVersion%3Dnull%5D%2Fdata%5B%40key%3Duuid%3Ac1fd78df-b17f-4fb4-a9ff-0b30ae87b5db%5D%2FgroupInfoFuel%5B%40ordinal%3D1%5D%2FpicFuelRecibeInterno","Descargar")</f>
        <v>Descargar</v>
      </c>
    </row>
    <row r="165" spans="1:18" x14ac:dyDescent="0.3">
      <c r="A165">
        <v>1613005</v>
      </c>
      <c r="B165" t="s">
        <v>18</v>
      </c>
      <c r="C165" t="s">
        <v>68</v>
      </c>
      <c r="D165" t="s">
        <v>91</v>
      </c>
      <c r="E165" t="s">
        <v>248</v>
      </c>
      <c r="F165" t="s">
        <v>22</v>
      </c>
      <c r="G165" t="s">
        <v>23</v>
      </c>
      <c r="H165" t="s">
        <v>37</v>
      </c>
      <c r="I165" t="s">
        <v>25</v>
      </c>
      <c r="J165" s="2">
        <v>45906.409953703696</v>
      </c>
      <c r="K165">
        <v>6</v>
      </c>
      <c r="L165">
        <v>9</v>
      </c>
      <c r="M165">
        <v>2025</v>
      </c>
      <c r="N165" t="s">
        <v>27</v>
      </c>
      <c r="O165">
        <v>100</v>
      </c>
      <c r="P165">
        <v>100</v>
      </c>
      <c r="R165" s="3" t="str">
        <f>HYPERLINK("https://panda.att.com.mx/ODKServer/view/binaryData?blobKey=FSSuministroFluidosv3%5B%40version%3Dnull+and+%40uiVersion%3Dnull%5D%2Fdata%5B%40key%3Duuid%3A5cef90e6-6d81-4f4b-a2de-f006606ff3d6%5D%2FgroupInfoFuel%5B%40ordinal%3D1%5D%2FpicFuelRecibeInterno","Descargar")</f>
        <v>Descargar</v>
      </c>
    </row>
    <row r="166" spans="1:18" x14ac:dyDescent="0.3">
      <c r="A166">
        <v>1612994</v>
      </c>
      <c r="B166" t="s">
        <v>18</v>
      </c>
      <c r="C166" t="s">
        <v>167</v>
      </c>
      <c r="D166" t="s">
        <v>249</v>
      </c>
      <c r="E166" t="s">
        <v>250</v>
      </c>
      <c r="F166" t="s">
        <v>22</v>
      </c>
      <c r="G166" t="s">
        <v>47</v>
      </c>
      <c r="H166" t="s">
        <v>58</v>
      </c>
      <c r="I166" t="s">
        <v>25</v>
      </c>
      <c r="J166" s="2">
        <v>45907.445462962962</v>
      </c>
      <c r="K166">
        <v>7</v>
      </c>
      <c r="L166">
        <v>9</v>
      </c>
      <c r="M166">
        <v>2025</v>
      </c>
      <c r="N166" t="s">
        <v>27</v>
      </c>
      <c r="O166">
        <v>100</v>
      </c>
      <c r="Q166">
        <v>100</v>
      </c>
      <c r="R166" s="3" t="str">
        <f>HYPERLINK("https://panda.att.com.mx/ODKServer/view/binaryData?blobKey=FSSuministroFluidosv3%5B%40version%3Dnull+and+%40uiVersion%3Dnull%5D%2Fdata%5B%40key%3Duuid%3Ac3a3cec9-e08c-440f-a6f0-cee4fc14bda9%5D%2FgroupInfoFuel%5B%40ordinal%3D1%5D%2FpicFuelRecibeInterno","Descargar")</f>
        <v>Descargar</v>
      </c>
    </row>
    <row r="167" spans="1:18" x14ac:dyDescent="0.3">
      <c r="A167">
        <v>1612993</v>
      </c>
      <c r="B167" t="s">
        <v>18</v>
      </c>
      <c r="C167" t="s">
        <v>167</v>
      </c>
      <c r="D167" t="s">
        <v>249</v>
      </c>
      <c r="E167" t="s">
        <v>251</v>
      </c>
      <c r="F167" t="s">
        <v>22</v>
      </c>
      <c r="G167" t="s">
        <v>47</v>
      </c>
      <c r="H167" t="s">
        <v>58</v>
      </c>
      <c r="I167" t="s">
        <v>25</v>
      </c>
      <c r="J167" s="2">
        <v>45907.44427083333</v>
      </c>
      <c r="K167">
        <v>7</v>
      </c>
      <c r="L167">
        <v>9</v>
      </c>
      <c r="M167">
        <v>2025</v>
      </c>
      <c r="N167" t="s">
        <v>27</v>
      </c>
      <c r="O167">
        <v>60</v>
      </c>
      <c r="P167">
        <v>60</v>
      </c>
      <c r="R167" s="3" t="str">
        <f>HYPERLINK("https://panda.att.com.mx/ODKServer/view/binaryData?blobKey=FSSuministroFluidosv3%5B%40version%3Dnull+and+%40uiVersion%3Dnull%5D%2Fdata%5B%40key%3Duuid%3Adaf3929e-e336-4cf9-9ce3-538711a1b987%5D%2FgroupInfoFuel%5B%40ordinal%3D1%5D%2FpicFuelRecibeInterno","Descargar")</f>
        <v>Descargar</v>
      </c>
    </row>
    <row r="168" spans="1:18" x14ac:dyDescent="0.3">
      <c r="A168">
        <v>1612991</v>
      </c>
      <c r="B168" t="s">
        <v>18</v>
      </c>
      <c r="C168" t="s">
        <v>167</v>
      </c>
      <c r="D168" t="s">
        <v>249</v>
      </c>
      <c r="E168" t="s">
        <v>252</v>
      </c>
      <c r="F168" t="s">
        <v>22</v>
      </c>
      <c r="G168" t="s">
        <v>47</v>
      </c>
      <c r="H168" t="s">
        <v>58</v>
      </c>
      <c r="I168" t="s">
        <v>25</v>
      </c>
      <c r="J168" s="2">
        <v>45907.397361111107</v>
      </c>
      <c r="K168">
        <v>7</v>
      </c>
      <c r="L168">
        <v>9</v>
      </c>
      <c r="M168">
        <v>2025</v>
      </c>
      <c r="N168" t="s">
        <v>27</v>
      </c>
      <c r="O168">
        <v>180</v>
      </c>
      <c r="P168">
        <v>180</v>
      </c>
      <c r="R168" s="3" t="str">
        <f>HYPERLINK("https://panda.att.com.mx/ODKServer/view/binaryData?blobKey=FSSuministroFluidosv3%5B%40version%3Dnull+and+%40uiVersion%3Dnull%5D%2Fdata%5B%40key%3Duuid%3Ae84bc26e-782b-4f9a-8911-2d9b3f1e0b2d%5D%2FgroupInfoFuel%5B%40ordinal%3D1%5D%2FpicFuelRecibeInterno","Descargar")</f>
        <v>Descargar</v>
      </c>
    </row>
    <row r="169" spans="1:18" x14ac:dyDescent="0.3">
      <c r="A169">
        <v>1612977</v>
      </c>
      <c r="B169" t="s">
        <v>18</v>
      </c>
      <c r="C169" t="s">
        <v>28</v>
      </c>
      <c r="D169" t="s">
        <v>222</v>
      </c>
      <c r="E169" t="s">
        <v>223</v>
      </c>
      <c r="F169" t="s">
        <v>22</v>
      </c>
      <c r="G169" t="s">
        <v>23</v>
      </c>
      <c r="H169" t="s">
        <v>24</v>
      </c>
      <c r="I169" t="s">
        <v>25</v>
      </c>
      <c r="J169" s="2">
        <v>45905.404965277783</v>
      </c>
      <c r="K169">
        <v>5</v>
      </c>
      <c r="L169">
        <v>9</v>
      </c>
      <c r="M169">
        <v>2025</v>
      </c>
      <c r="N169" t="s">
        <v>44</v>
      </c>
      <c r="O169">
        <v>40</v>
      </c>
      <c r="P169">
        <v>40</v>
      </c>
      <c r="R169" s="3" t="str">
        <f>HYPERLINK("https://panda.att.com.mx/ODKServer/view/binaryData?blobKey=FSSuministroFluidosv3%5B%40version%3Dnull+and+%40uiVersion%3Dnull%5D%2Fdata%5B%40key%3Duuid%3A3fcc622e-1dcb-485e-b819-c8d253674173%5D%2FgroupInfoFuel%5B%40ordinal%3D1%5D%2FpicFuelRecibeInterno","Descargar")</f>
        <v>Descargar</v>
      </c>
    </row>
    <row r="170" spans="1:18" x14ac:dyDescent="0.3">
      <c r="A170">
        <v>1612976</v>
      </c>
      <c r="B170" t="s">
        <v>18</v>
      </c>
      <c r="C170" t="s">
        <v>55</v>
      </c>
      <c r="D170" t="s">
        <v>56</v>
      </c>
      <c r="E170" t="s">
        <v>86</v>
      </c>
      <c r="F170" t="s">
        <v>22</v>
      </c>
      <c r="G170" t="s">
        <v>23</v>
      </c>
      <c r="H170" t="s">
        <v>58</v>
      </c>
      <c r="I170" t="s">
        <v>25</v>
      </c>
      <c r="J170" s="2">
        <v>45907.54283564815</v>
      </c>
      <c r="K170">
        <v>7</v>
      </c>
      <c r="L170">
        <v>9</v>
      </c>
      <c r="M170">
        <v>2025</v>
      </c>
      <c r="N170" t="s">
        <v>27</v>
      </c>
      <c r="O170">
        <v>100</v>
      </c>
      <c r="P170">
        <v>100</v>
      </c>
      <c r="R170" s="3" t="str">
        <f>HYPERLINK("https://panda.att.com.mx/ODKServer/view/binaryData?blobKey=FSSuministroFluidosv3%5B%40version%3Dnull+and+%40uiVersion%3Dnull%5D%2Fdata%5B%40key%3Duuid%3Aff10f36a-a199-45cf-948f-9cd9db58aa5e%5D%2FgroupInfoFuel%5B%40ordinal%3D1%5D%2FpicFuelRecibeInterno","Descargar")</f>
        <v>Descargar</v>
      </c>
    </row>
    <row r="171" spans="1:18" x14ac:dyDescent="0.3">
      <c r="A171">
        <v>1612950</v>
      </c>
      <c r="B171" t="s">
        <v>18</v>
      </c>
      <c r="C171" t="s">
        <v>34</v>
      </c>
      <c r="D171" t="s">
        <v>121</v>
      </c>
      <c r="E171" t="s">
        <v>122</v>
      </c>
      <c r="F171" t="s">
        <v>22</v>
      </c>
      <c r="G171" t="s">
        <v>23</v>
      </c>
      <c r="H171" t="s">
        <v>37</v>
      </c>
      <c r="I171" t="s">
        <v>25</v>
      </c>
      <c r="J171" s="2">
        <v>45907.383587962962</v>
      </c>
      <c r="K171">
        <v>7</v>
      </c>
      <c r="L171">
        <v>9</v>
      </c>
      <c r="M171">
        <v>2025</v>
      </c>
      <c r="N171" t="s">
        <v>27</v>
      </c>
      <c r="O171">
        <v>200</v>
      </c>
      <c r="P171">
        <v>200</v>
      </c>
      <c r="R171" s="3" t="str">
        <f>HYPERLINK("https://panda.att.com.mx/ODKServer/view/binaryData?blobKey=FSSuministroFluidosv3%5B%40version%3Dnull+and+%40uiVersion%3Dnull%5D%2Fdata%5B%40key%3Duuid%3A2078c6a7-b503-40d6-9b41-ed762769fcec%5D%2FgroupInfoFuel%5B%40ordinal%3D1%5D%2FpicFuelRecibeInterno","Descargar")</f>
        <v>Descargar</v>
      </c>
    </row>
    <row r="172" spans="1:18" x14ac:dyDescent="0.3">
      <c r="A172">
        <v>1612931</v>
      </c>
      <c r="B172" t="s">
        <v>18</v>
      </c>
      <c r="C172" t="s">
        <v>150</v>
      </c>
      <c r="D172" t="s">
        <v>164</v>
      </c>
      <c r="E172" t="s">
        <v>165</v>
      </c>
      <c r="F172" t="s">
        <v>22</v>
      </c>
      <c r="G172" t="s">
        <v>23</v>
      </c>
      <c r="H172" t="s">
        <v>58</v>
      </c>
      <c r="I172" t="s">
        <v>25</v>
      </c>
      <c r="J172" s="2">
        <v>45907.404027777768</v>
      </c>
      <c r="K172">
        <v>7</v>
      </c>
      <c r="L172">
        <v>9</v>
      </c>
      <c r="M172">
        <v>2025</v>
      </c>
      <c r="N172" t="s">
        <v>27</v>
      </c>
      <c r="O172">
        <v>400</v>
      </c>
      <c r="P172">
        <v>400</v>
      </c>
      <c r="R172" s="3" t="str">
        <f>HYPERLINK("https://panda.att.com.mx/ODKServer/view/binaryData?blobKey=FSSuministroFluidosv3%5B%40version%3Dnull+and+%40uiVersion%3Dnull%5D%2Fdata%5B%40key%3Duuid%3A14879977-2f4c-4e99-ba4c-f965a2d48ae6%5D%2FgroupInfoFuel%5B%40ordinal%3D1%5D%2FpicFuelRecibeInterno","Descargar")</f>
        <v>Descargar</v>
      </c>
    </row>
    <row r="173" spans="1:18" x14ac:dyDescent="0.3">
      <c r="A173">
        <v>1612894</v>
      </c>
      <c r="B173" t="s">
        <v>18</v>
      </c>
      <c r="C173" t="s">
        <v>167</v>
      </c>
      <c r="D173" t="s">
        <v>253</v>
      </c>
      <c r="E173" t="s">
        <v>254</v>
      </c>
      <c r="F173" t="s">
        <v>33</v>
      </c>
      <c r="G173" t="s">
        <v>47</v>
      </c>
      <c r="H173" t="s">
        <v>58</v>
      </c>
      <c r="I173" t="s">
        <v>25</v>
      </c>
      <c r="J173" s="2">
        <v>45906.563368055547</v>
      </c>
      <c r="K173">
        <v>6</v>
      </c>
      <c r="L173">
        <v>9</v>
      </c>
      <c r="M173">
        <v>2025</v>
      </c>
      <c r="N173" t="s">
        <v>27</v>
      </c>
      <c r="O173">
        <v>80</v>
      </c>
      <c r="P173">
        <v>80</v>
      </c>
      <c r="R173" s="3" t="str">
        <f>HYPERLINK("https://panda.att.com.mx/ODKServer/view/binaryData?blobKey=FSSuministroFluidosv3%5B%40version%3Dnull+and+%40uiVersion%3Dnull%5D%2Fdata%5B%40key%3Duuid%3Ac0c0544e-06c5-4488-b56e-e53b65468230%5D%2FgroupInfoFuel%5B%40ordinal%3D1%5D%2FpicFuelRecibeInterno","Descargar")</f>
        <v>Descargar</v>
      </c>
    </row>
    <row r="174" spans="1:18" x14ac:dyDescent="0.3">
      <c r="A174">
        <v>1612887</v>
      </c>
      <c r="B174" t="s">
        <v>18</v>
      </c>
      <c r="C174" t="s">
        <v>28</v>
      </c>
      <c r="D174" t="s">
        <v>181</v>
      </c>
      <c r="E174" t="s">
        <v>255</v>
      </c>
      <c r="F174" t="s">
        <v>22</v>
      </c>
      <c r="G174" t="s">
        <v>23</v>
      </c>
      <c r="H174" t="s">
        <v>24</v>
      </c>
      <c r="I174" t="s">
        <v>25</v>
      </c>
      <c r="J174" s="2">
        <v>45906.58792824074</v>
      </c>
      <c r="K174">
        <v>6</v>
      </c>
      <c r="L174">
        <v>9</v>
      </c>
      <c r="M174">
        <v>2025</v>
      </c>
      <c r="N174" t="s">
        <v>27</v>
      </c>
      <c r="O174">
        <v>100</v>
      </c>
      <c r="P174">
        <v>100</v>
      </c>
      <c r="R174" s="3" t="str">
        <f>HYPERLINK("https://panda.att.com.mx/ODKServer/view/binaryData?blobKey=FSSuministroFluidosv3%5B%40version%3Dnull+and+%40uiVersion%3Dnull%5D%2Fdata%5B%40key%3Duuid%3Aa73b7523-f464-44ca-b4ad-f6b55aa94bdd%5D%2FgroupInfoFuel%5B%40ordinal%3D1%5D%2FpicFuelRecibeInterno","Descargar")</f>
        <v>Descargar</v>
      </c>
    </row>
    <row r="175" spans="1:18" x14ac:dyDescent="0.3">
      <c r="A175">
        <v>1612871</v>
      </c>
      <c r="B175" t="s">
        <v>18</v>
      </c>
      <c r="C175" t="s">
        <v>19</v>
      </c>
      <c r="D175" t="s">
        <v>140</v>
      </c>
      <c r="E175" t="s">
        <v>256</v>
      </c>
      <c r="F175" t="s">
        <v>22</v>
      </c>
      <c r="G175" t="s">
        <v>23</v>
      </c>
      <c r="H175" t="s">
        <v>24</v>
      </c>
      <c r="I175" t="s">
        <v>25</v>
      </c>
      <c r="J175" s="2">
        <v>45906.901145833333</v>
      </c>
      <c r="K175">
        <v>6</v>
      </c>
      <c r="L175">
        <v>9</v>
      </c>
      <c r="M175">
        <v>2025</v>
      </c>
      <c r="N175" t="s">
        <v>27</v>
      </c>
      <c r="O175">
        <v>135</v>
      </c>
      <c r="P175">
        <v>135</v>
      </c>
      <c r="R175" s="3" t="str">
        <f>HYPERLINK("https://panda.att.com.mx/ODKServer/view/binaryData?blobKey=FSSuministroFluidosv3%5B%40version%3Dnull+and+%40uiVersion%3Dnull%5D%2Fdata%5B%40key%3Duuid%3Ab5a8625e-a81d-4064-8af6-44c1e2618586%5D%2FgroupInfoFuel%5B%40ordinal%3D1%5D%2FpicFuelRecibeInterno","Descargar")</f>
        <v>Descargar</v>
      </c>
    </row>
    <row r="176" spans="1:18" x14ac:dyDescent="0.3">
      <c r="A176">
        <v>1612869</v>
      </c>
      <c r="B176" t="s">
        <v>18</v>
      </c>
      <c r="C176" t="s">
        <v>19</v>
      </c>
      <c r="D176" t="s">
        <v>140</v>
      </c>
      <c r="E176" t="s">
        <v>256</v>
      </c>
      <c r="F176" t="s">
        <v>22</v>
      </c>
      <c r="G176" t="s">
        <v>23</v>
      </c>
      <c r="H176" t="s">
        <v>24</v>
      </c>
      <c r="I176" t="s">
        <v>25</v>
      </c>
      <c r="J176" s="2">
        <v>45906.893055555563</v>
      </c>
      <c r="K176">
        <v>6</v>
      </c>
      <c r="L176">
        <v>9</v>
      </c>
      <c r="M176">
        <v>2025</v>
      </c>
      <c r="N176" t="s">
        <v>44</v>
      </c>
      <c r="O176">
        <v>50</v>
      </c>
      <c r="P176">
        <v>50</v>
      </c>
      <c r="R176" s="3" t="str">
        <f>HYPERLINK("https://panda.att.com.mx/ODKServer/view/binaryData?blobKey=FSSuministroFluidosv3%5B%40version%3Dnull+and+%40uiVersion%3Dnull%5D%2Fdata%5B%40key%3Duuid%3A0a35cb40-533e-4528-bee5-af2d1f2b0e98%5D%2FgroupInfoFuel%5B%40ordinal%3D1%5D%2FpicFuelRecibeInterno","Descargar")</f>
        <v>Descargar</v>
      </c>
    </row>
    <row r="177" spans="1:18" x14ac:dyDescent="0.3">
      <c r="A177">
        <v>1612868</v>
      </c>
      <c r="B177" t="s">
        <v>18</v>
      </c>
      <c r="C177" t="s">
        <v>19</v>
      </c>
      <c r="D177" t="s">
        <v>140</v>
      </c>
      <c r="E177" t="s">
        <v>257</v>
      </c>
      <c r="F177" t="s">
        <v>22</v>
      </c>
      <c r="G177" t="s">
        <v>23</v>
      </c>
      <c r="H177" t="s">
        <v>24</v>
      </c>
      <c r="I177" t="s">
        <v>25</v>
      </c>
      <c r="J177" s="2">
        <v>45906.8830787037</v>
      </c>
      <c r="K177">
        <v>6</v>
      </c>
      <c r="L177">
        <v>9</v>
      </c>
      <c r="M177">
        <v>2025</v>
      </c>
      <c r="N177" t="s">
        <v>27</v>
      </c>
      <c r="O177">
        <v>200</v>
      </c>
      <c r="P177">
        <v>200</v>
      </c>
      <c r="R177" s="3" t="str">
        <f>HYPERLINK("https://panda.att.com.mx/ODKServer/view/binaryData?blobKey=FSSuministroFluidosv3%5B%40version%3Dnull+and+%40uiVersion%3Dnull%5D%2Fdata%5B%40key%3Duuid%3Ae3006a8d-6ba2-4092-9198-94b1f6100b3b%5D%2FgroupInfoFuel%5B%40ordinal%3D1%5D%2FpicFuelRecibeInterno","Descargar")</f>
        <v>Descargar</v>
      </c>
    </row>
    <row r="178" spans="1:18" x14ac:dyDescent="0.3">
      <c r="A178">
        <v>1612853</v>
      </c>
      <c r="B178" t="s">
        <v>18</v>
      </c>
      <c r="C178" t="s">
        <v>68</v>
      </c>
      <c r="D178" t="s">
        <v>258</v>
      </c>
      <c r="E178" t="s">
        <v>259</v>
      </c>
      <c r="F178" t="s">
        <v>22</v>
      </c>
      <c r="G178" t="s">
        <v>23</v>
      </c>
      <c r="H178" t="s">
        <v>37</v>
      </c>
      <c r="I178" t="s">
        <v>25</v>
      </c>
      <c r="J178" s="2">
        <v>45906.695393518523</v>
      </c>
      <c r="K178">
        <v>6</v>
      </c>
      <c r="L178">
        <v>9</v>
      </c>
      <c r="M178">
        <v>2025</v>
      </c>
      <c r="N178" t="s">
        <v>27</v>
      </c>
      <c r="O178">
        <v>300</v>
      </c>
      <c r="P178">
        <v>300</v>
      </c>
      <c r="R178" s="3" t="str">
        <f>HYPERLINK("https://panda.att.com.mx/ODKServer/view/binaryData?blobKey=FSSuministroFluidosv3%5B%40version%3Dnull+and+%40uiVersion%3Dnull%5D%2Fdata%5B%40key%3Duuid%3Aeb43c137-d5af-4653-84fa-88c8f5db347f%5D%2FgroupInfoFuel%5B%40ordinal%3D1%5D%2FpicFuelRecibeInterno","Descargar")</f>
        <v>Descargar</v>
      </c>
    </row>
    <row r="179" spans="1:18" x14ac:dyDescent="0.3">
      <c r="A179">
        <v>1612834</v>
      </c>
      <c r="B179" t="s">
        <v>18</v>
      </c>
      <c r="C179" t="s">
        <v>59</v>
      </c>
      <c r="D179" t="s">
        <v>60</v>
      </c>
      <c r="E179" t="s">
        <v>125</v>
      </c>
      <c r="F179" t="s">
        <v>22</v>
      </c>
      <c r="G179" t="s">
        <v>23</v>
      </c>
      <c r="H179" t="s">
        <v>37</v>
      </c>
      <c r="I179" t="s">
        <v>25</v>
      </c>
      <c r="J179" s="2">
        <v>45904.551412037043</v>
      </c>
      <c r="K179">
        <v>4</v>
      </c>
      <c r="L179">
        <v>9</v>
      </c>
      <c r="M179">
        <v>2025</v>
      </c>
      <c r="N179" t="s">
        <v>27</v>
      </c>
      <c r="O179">
        <v>500</v>
      </c>
      <c r="P179">
        <v>500</v>
      </c>
      <c r="R179" s="3" t="str">
        <f>HYPERLINK("https://panda.att.com.mx/ODKServer/view/binaryData?blobKey=FSSuministroFluidosv3%5B%40version%3Dnull+and+%40uiVersion%3Dnull%5D%2Fdata%5B%40key%3Duuid%3A55736d33-fdef-4085-bc2b-fb2983b9705f%5D%2FgroupInfoFuel%5B%40ordinal%3D1%5D%2FpicFuelRecibeInterno","Descargar")</f>
        <v>Descargar</v>
      </c>
    </row>
    <row r="180" spans="1:18" x14ac:dyDescent="0.3">
      <c r="A180">
        <v>1612830</v>
      </c>
      <c r="B180" t="s">
        <v>18</v>
      </c>
      <c r="C180" t="s">
        <v>59</v>
      </c>
      <c r="D180" t="s">
        <v>60</v>
      </c>
      <c r="E180" t="s">
        <v>125</v>
      </c>
      <c r="F180" t="s">
        <v>22</v>
      </c>
      <c r="G180" t="s">
        <v>23</v>
      </c>
      <c r="H180" t="s">
        <v>37</v>
      </c>
      <c r="I180" t="s">
        <v>25</v>
      </c>
      <c r="J180" s="2">
        <v>45901.698750000003</v>
      </c>
      <c r="K180">
        <v>1</v>
      </c>
      <c r="L180">
        <v>9</v>
      </c>
      <c r="M180">
        <v>2025</v>
      </c>
      <c r="N180" t="s">
        <v>27</v>
      </c>
      <c r="O180">
        <v>450</v>
      </c>
      <c r="P180">
        <v>450</v>
      </c>
      <c r="R180" s="3" t="str">
        <f>HYPERLINK("https://panda.att.com.mx/ODKServer/view/binaryData?blobKey=FSSuministroFluidosv3%5B%40version%3Dnull+and+%40uiVersion%3Dnull%5D%2Fdata%5B%40key%3Duuid%3A0bf668d1-1769-49a9-a754-1074170820be%5D%2FgroupInfoFuel%5B%40ordinal%3D1%5D%2FpicFuelRecibeInterno","Descargar")</f>
        <v>Descargar</v>
      </c>
    </row>
    <row r="181" spans="1:18" x14ac:dyDescent="0.3">
      <c r="A181">
        <v>1612828</v>
      </c>
      <c r="B181" t="s">
        <v>18</v>
      </c>
      <c r="C181" t="s">
        <v>59</v>
      </c>
      <c r="D181" t="s">
        <v>60</v>
      </c>
      <c r="E181" t="s">
        <v>260</v>
      </c>
      <c r="F181" t="s">
        <v>22</v>
      </c>
      <c r="G181" t="s">
        <v>23</v>
      </c>
      <c r="H181" t="s">
        <v>37</v>
      </c>
      <c r="I181" t="s">
        <v>25</v>
      </c>
      <c r="J181" s="2">
        <v>45901.434421296297</v>
      </c>
      <c r="K181">
        <v>1</v>
      </c>
      <c r="L181">
        <v>9</v>
      </c>
      <c r="M181">
        <v>2025</v>
      </c>
      <c r="N181" t="s">
        <v>27</v>
      </c>
      <c r="O181">
        <v>90</v>
      </c>
      <c r="P181">
        <v>90</v>
      </c>
      <c r="R181" s="3" t="str">
        <f>HYPERLINK("https://panda.att.com.mx/ODKServer/view/binaryData?blobKey=FSSuministroFluidosv3%5B%40version%3Dnull+and+%40uiVersion%3Dnull%5D%2Fdata%5B%40key%3Duuid%3Ac7428b5e-af00-442b-a495-8813d308750e%5D%2FgroupInfoFuel%5B%40ordinal%3D1%5D%2FpicFuelRecibeInterno","Descargar")</f>
        <v>Descargar</v>
      </c>
    </row>
    <row r="182" spans="1:18" x14ac:dyDescent="0.3">
      <c r="A182">
        <v>1612824</v>
      </c>
      <c r="B182" t="s">
        <v>18</v>
      </c>
      <c r="C182" t="s">
        <v>28</v>
      </c>
      <c r="D182" t="s">
        <v>261</v>
      </c>
      <c r="E182" t="s">
        <v>262</v>
      </c>
      <c r="F182" t="s">
        <v>22</v>
      </c>
      <c r="G182" t="s">
        <v>23</v>
      </c>
      <c r="H182" t="s">
        <v>37</v>
      </c>
      <c r="I182" t="s">
        <v>25</v>
      </c>
      <c r="J182" s="2">
        <v>45904.635289351849</v>
      </c>
      <c r="K182">
        <v>4</v>
      </c>
      <c r="L182">
        <v>9</v>
      </c>
      <c r="M182">
        <v>2025</v>
      </c>
      <c r="N182" t="s">
        <v>44</v>
      </c>
      <c r="O182">
        <v>50</v>
      </c>
      <c r="P182">
        <v>50</v>
      </c>
      <c r="R182" s="3" t="str">
        <f>HYPERLINK("https://panda.att.com.mx/ODKServer/view/binaryData?blobKey=FSSuministroFluidosv3%5B%40version%3Dnull+and+%40uiVersion%3Dnull%5D%2Fdata%5B%40key%3Duuid%3A6a235f19-d766-4eaf-a6d0-bbc8eca7b4a3%5D%2FgroupInfoFuel%5B%40ordinal%3D1%5D%2FpicFuelRecibeInterno","Descargar")</f>
        <v>Descargar</v>
      </c>
    </row>
    <row r="183" spans="1:18" x14ac:dyDescent="0.3">
      <c r="A183">
        <v>1612799</v>
      </c>
      <c r="B183" t="s">
        <v>18</v>
      </c>
      <c r="C183" t="s">
        <v>19</v>
      </c>
      <c r="D183" t="s">
        <v>175</v>
      </c>
      <c r="E183" t="s">
        <v>263</v>
      </c>
      <c r="F183" t="s">
        <v>22</v>
      </c>
      <c r="G183" t="s">
        <v>23</v>
      </c>
      <c r="H183" t="s">
        <v>24</v>
      </c>
      <c r="I183" t="s">
        <v>25</v>
      </c>
      <c r="J183" s="2">
        <v>45906.725231481483</v>
      </c>
      <c r="K183">
        <v>6</v>
      </c>
      <c r="L183">
        <v>9</v>
      </c>
      <c r="M183">
        <v>2025</v>
      </c>
      <c r="N183" t="s">
        <v>44</v>
      </c>
      <c r="O183">
        <v>30</v>
      </c>
      <c r="P183">
        <v>30</v>
      </c>
      <c r="R183" s="3" t="str">
        <f>HYPERLINK("https://panda.att.com.mx/ODKServer/view/binaryData?blobKey=FSSuministroFluidosv3%5B%40version%3Dnull+and+%40uiVersion%3Dnull%5D%2Fdata%5B%40key%3Duuid%3A8a0d9380-bffa-44bb-8087-ce38b95ebf43%5D%2FgroupInfoFuel%5B%40ordinal%3D1%5D%2FpicFuelRecibeInterno","Descargar")</f>
        <v>Descargar</v>
      </c>
    </row>
    <row r="184" spans="1:18" x14ac:dyDescent="0.3">
      <c r="A184">
        <v>1612755</v>
      </c>
      <c r="B184" t="s">
        <v>18</v>
      </c>
      <c r="C184" t="s">
        <v>167</v>
      </c>
      <c r="D184" t="s">
        <v>264</v>
      </c>
      <c r="E184" t="s">
        <v>265</v>
      </c>
      <c r="F184" t="s">
        <v>22</v>
      </c>
      <c r="G184" t="s">
        <v>47</v>
      </c>
      <c r="H184" t="s">
        <v>58</v>
      </c>
      <c r="I184" t="s">
        <v>25</v>
      </c>
      <c r="J184" s="2">
        <v>45905.536192129628</v>
      </c>
      <c r="K184">
        <v>5</v>
      </c>
      <c r="L184">
        <v>9</v>
      </c>
      <c r="M184">
        <v>2025</v>
      </c>
      <c r="N184" t="s">
        <v>27</v>
      </c>
      <c r="O184">
        <v>300</v>
      </c>
      <c r="P184">
        <v>300</v>
      </c>
      <c r="R184" s="3" t="str">
        <f>HYPERLINK("https://panda.att.com.mx/ODKServer/view/binaryData?blobKey=FSSuministroFluidosv3%5B%40version%3Dnull+and+%40uiVersion%3Dnull%5D%2Fdata%5B%40key%3Duuid%3A31bd7043-9dea-438c-89a6-5e6f24835816%5D%2FgroupInfoFuel%5B%40ordinal%3D1%5D%2FpicFuelRecibeInterno","Descargar")</f>
        <v>Descargar</v>
      </c>
    </row>
    <row r="185" spans="1:18" x14ac:dyDescent="0.3">
      <c r="A185">
        <v>1612746</v>
      </c>
      <c r="B185" t="s">
        <v>18</v>
      </c>
      <c r="C185" t="s">
        <v>167</v>
      </c>
      <c r="D185" t="s">
        <v>168</v>
      </c>
      <c r="E185" t="s">
        <v>266</v>
      </c>
      <c r="F185" t="s">
        <v>22</v>
      </c>
      <c r="G185" t="s">
        <v>83</v>
      </c>
      <c r="H185" t="s">
        <v>58</v>
      </c>
      <c r="I185" t="s">
        <v>25</v>
      </c>
      <c r="J185" s="2">
        <v>45906.640150462961</v>
      </c>
      <c r="K185">
        <v>6</v>
      </c>
      <c r="L185">
        <v>9</v>
      </c>
      <c r="M185">
        <v>2025</v>
      </c>
      <c r="N185" t="s">
        <v>27</v>
      </c>
      <c r="O185">
        <v>450</v>
      </c>
      <c r="P185">
        <v>450</v>
      </c>
      <c r="R185" s="3" t="str">
        <f>HYPERLINK("https://panda.att.com.mx/ODKServer/view/binaryData?blobKey=FSSuministroFluidosv3%5B%40version%3Dnull+and+%40uiVersion%3Dnull%5D%2Fdata%5B%40key%3Duuid%3A651ae299-b1da-494f-b7d4-2c84a6e4e251%5D%2FgroupInfoFuel%5B%40ordinal%3D1%5D%2FpicFuelRecibeInterno","Descargar")</f>
        <v>Descargar</v>
      </c>
    </row>
    <row r="186" spans="1:18" x14ac:dyDescent="0.3">
      <c r="A186">
        <v>1612737</v>
      </c>
      <c r="B186" t="s">
        <v>18</v>
      </c>
      <c r="C186" t="s">
        <v>34</v>
      </c>
      <c r="D186" t="s">
        <v>53</v>
      </c>
      <c r="E186" t="s">
        <v>267</v>
      </c>
      <c r="F186" t="s">
        <v>22</v>
      </c>
      <c r="G186" t="s">
        <v>23</v>
      </c>
      <c r="H186" t="s">
        <v>37</v>
      </c>
      <c r="I186" t="s">
        <v>25</v>
      </c>
      <c r="J186" s="2">
        <v>45906.587268518517</v>
      </c>
      <c r="K186">
        <v>6</v>
      </c>
      <c r="L186">
        <v>9</v>
      </c>
      <c r="M186">
        <v>2025</v>
      </c>
      <c r="N186" t="s">
        <v>27</v>
      </c>
      <c r="O186">
        <v>300</v>
      </c>
      <c r="P186">
        <v>300</v>
      </c>
      <c r="R186" s="3" t="str">
        <f>HYPERLINK("https://panda.att.com.mx/ODKServer/view/binaryData?blobKey=FSSuministroFluidosv3%5B%40version%3Dnull+and+%40uiVersion%3Dnull%5D%2Fdata%5B%40key%3Duuid%3A01dadafa-6d7a-4018-8374-60fb57370ac1%5D%2FgroupInfoFuel%5B%40ordinal%3D1%5D%2FpicFuelRecibeInterno","Descargar")</f>
        <v>Descargar</v>
      </c>
    </row>
    <row r="187" spans="1:18" x14ac:dyDescent="0.3">
      <c r="A187">
        <v>1612719</v>
      </c>
      <c r="B187" t="s">
        <v>18</v>
      </c>
      <c r="C187" t="s">
        <v>167</v>
      </c>
      <c r="D187" t="s">
        <v>268</v>
      </c>
      <c r="E187" t="s">
        <v>269</v>
      </c>
      <c r="F187" t="s">
        <v>22</v>
      </c>
      <c r="G187" t="s">
        <v>47</v>
      </c>
      <c r="H187" t="s">
        <v>58</v>
      </c>
      <c r="I187" t="s">
        <v>25</v>
      </c>
      <c r="J187" s="2">
        <v>45906.430960648147</v>
      </c>
      <c r="K187">
        <v>6</v>
      </c>
      <c r="L187">
        <v>9</v>
      </c>
      <c r="M187">
        <v>2025</v>
      </c>
      <c r="N187" t="s">
        <v>27</v>
      </c>
      <c r="O187">
        <v>100</v>
      </c>
      <c r="P187">
        <v>100</v>
      </c>
      <c r="R187" s="3" t="str">
        <f>HYPERLINK("https://panda.att.com.mx/ODKServer/view/binaryData?blobKey=FSSuministroFluidosv3%5B%40version%3Dnull+and+%40uiVersion%3Dnull%5D%2Fdata%5B%40key%3Duuid%3A8f941b58-bc8b-4529-aa21-032a81a859d7%5D%2FgroupInfoFuel%5B%40ordinal%3D1%5D%2FpicFuelRecibeInterno","Descargar")</f>
        <v>Descargar</v>
      </c>
    </row>
    <row r="188" spans="1:18" x14ac:dyDescent="0.3">
      <c r="A188">
        <v>1612711</v>
      </c>
      <c r="B188" t="s">
        <v>18</v>
      </c>
      <c r="C188" t="s">
        <v>68</v>
      </c>
      <c r="D188" t="s">
        <v>132</v>
      </c>
      <c r="E188" t="s">
        <v>270</v>
      </c>
      <c r="F188" t="s">
        <v>22</v>
      </c>
      <c r="G188" t="s">
        <v>23</v>
      </c>
      <c r="H188" t="s">
        <v>37</v>
      </c>
      <c r="I188" t="s">
        <v>25</v>
      </c>
      <c r="J188" s="2">
        <v>45905.686284722222</v>
      </c>
      <c r="K188">
        <v>5</v>
      </c>
      <c r="L188">
        <v>9</v>
      </c>
      <c r="M188">
        <v>2025</v>
      </c>
      <c r="N188" t="s">
        <v>44</v>
      </c>
      <c r="O188">
        <v>55</v>
      </c>
      <c r="P188">
        <v>55</v>
      </c>
      <c r="R188" s="3" t="str">
        <f>HYPERLINK("https://panda.att.com.mx/ODKServer/view/binaryData?blobKey=FSSuministroFluidosv3%5B%40version%3Dnull+and+%40uiVersion%3Dnull%5D%2Fdata%5B%40key%3Duuid%3A7cfa15b3-0978-4b3a-86ec-822cfe0a8176%5D%2FgroupInfoFuel%5B%40ordinal%3D1%5D%2FpicFuelRecibeInterno","Descargar")</f>
        <v>Descargar</v>
      </c>
    </row>
    <row r="189" spans="1:18" x14ac:dyDescent="0.3">
      <c r="A189">
        <v>1612710</v>
      </c>
      <c r="B189" t="s">
        <v>18</v>
      </c>
      <c r="C189" t="s">
        <v>183</v>
      </c>
      <c r="D189" t="s">
        <v>271</v>
      </c>
      <c r="E189" t="s">
        <v>272</v>
      </c>
      <c r="F189" t="s">
        <v>22</v>
      </c>
      <c r="G189" t="s">
        <v>23</v>
      </c>
      <c r="H189" t="s">
        <v>37</v>
      </c>
      <c r="I189" t="s">
        <v>25</v>
      </c>
      <c r="J189" s="2">
        <v>45905.689456018517</v>
      </c>
      <c r="K189">
        <v>5</v>
      </c>
      <c r="L189">
        <v>9</v>
      </c>
      <c r="M189">
        <v>2025</v>
      </c>
      <c r="N189" t="s">
        <v>44</v>
      </c>
      <c r="O189">
        <v>55</v>
      </c>
      <c r="P189">
        <v>55</v>
      </c>
      <c r="R189" s="3" t="str">
        <f>HYPERLINK("https://panda.att.com.mx/ODKServer/view/binaryData?blobKey=FSSuministroFluidosv3%5B%40version%3Dnull+and+%40uiVersion%3Dnull%5D%2Fdata%5B%40key%3Duuid%3A3a37f965-2eab-4f9a-87c6-58494028471b%5D%2FgroupInfoFuel%5B%40ordinal%3D1%5D%2FpicFuelRecibeInterno","Descargar")</f>
        <v>Descargar</v>
      </c>
    </row>
    <row r="190" spans="1:18" x14ac:dyDescent="0.3">
      <c r="A190">
        <v>1612703</v>
      </c>
      <c r="B190" t="s">
        <v>18</v>
      </c>
      <c r="C190" t="s">
        <v>55</v>
      </c>
      <c r="D190" t="s">
        <v>128</v>
      </c>
      <c r="E190" t="s">
        <v>273</v>
      </c>
      <c r="F190" t="s">
        <v>22</v>
      </c>
      <c r="G190" t="s">
        <v>23</v>
      </c>
      <c r="H190" t="s">
        <v>58</v>
      </c>
      <c r="I190" t="s">
        <v>25</v>
      </c>
      <c r="J190" s="2">
        <v>45906.542546296303</v>
      </c>
      <c r="K190">
        <v>6</v>
      </c>
      <c r="L190">
        <v>9</v>
      </c>
      <c r="M190">
        <v>2025</v>
      </c>
      <c r="N190" t="s">
        <v>27</v>
      </c>
      <c r="O190">
        <v>250</v>
      </c>
      <c r="P190">
        <v>250</v>
      </c>
      <c r="R190" s="3" t="str">
        <f>HYPERLINK("https://panda.att.com.mx/ODKServer/view/binaryData?blobKey=FSSuministroFluidosv3%5B%40version%3Dnull+and+%40uiVersion%3Dnull%5D%2Fdata%5B%40key%3Duuid%3A10c1883f-2699-412f-950b-c4c92cc7ab24%5D%2FgroupInfoFuel%5B%40ordinal%3D1%5D%2FpicFuelRecibeInterno","Descargar")</f>
        <v>Descargar</v>
      </c>
    </row>
    <row r="191" spans="1:18" x14ac:dyDescent="0.3">
      <c r="A191">
        <v>1612693</v>
      </c>
      <c r="B191" t="s">
        <v>18</v>
      </c>
      <c r="C191" t="s">
        <v>19</v>
      </c>
      <c r="D191" t="s">
        <v>45</v>
      </c>
      <c r="E191" t="s">
        <v>274</v>
      </c>
      <c r="F191" t="s">
        <v>22</v>
      </c>
      <c r="G191" t="s">
        <v>47</v>
      </c>
      <c r="H191" t="s">
        <v>24</v>
      </c>
      <c r="I191" t="s">
        <v>25</v>
      </c>
      <c r="J191" s="2">
        <v>45905.804120370369</v>
      </c>
      <c r="K191">
        <v>5</v>
      </c>
      <c r="L191">
        <v>9</v>
      </c>
      <c r="M191">
        <v>2025</v>
      </c>
      <c r="N191" t="s">
        <v>27</v>
      </c>
      <c r="O191">
        <v>100</v>
      </c>
      <c r="P191">
        <v>100</v>
      </c>
      <c r="R191" s="3" t="str">
        <f>HYPERLINK("https://panda.att.com.mx/ODKServer/view/binaryData?blobKey=FSSuministroFluidosv3%5B%40version%3Dnull+and+%40uiVersion%3Dnull%5D%2Fdata%5B%40key%3Duuid%3A51c7e34e-6ca9-491a-b21f-57518c8acd22%5D%2FgroupInfoFuel%5B%40ordinal%3D1%5D%2FpicFuelRecibeInterno","Descargar")</f>
        <v>Descargar</v>
      </c>
    </row>
    <row r="192" spans="1:18" x14ac:dyDescent="0.3">
      <c r="A192">
        <v>1612627</v>
      </c>
      <c r="B192" t="s">
        <v>18</v>
      </c>
      <c r="C192" t="s">
        <v>19</v>
      </c>
      <c r="D192" t="s">
        <v>20</v>
      </c>
      <c r="E192" t="s">
        <v>275</v>
      </c>
      <c r="F192" t="s">
        <v>22</v>
      </c>
      <c r="G192" t="s">
        <v>23</v>
      </c>
      <c r="H192" t="s">
        <v>24</v>
      </c>
      <c r="I192" t="s">
        <v>25</v>
      </c>
      <c r="J192" s="2">
        <v>45901.656400462962</v>
      </c>
      <c r="K192">
        <v>1</v>
      </c>
      <c r="L192">
        <v>9</v>
      </c>
      <c r="M192">
        <v>2025</v>
      </c>
      <c r="N192" t="s">
        <v>27</v>
      </c>
      <c r="O192">
        <v>250</v>
      </c>
      <c r="P192">
        <v>250</v>
      </c>
      <c r="R192" s="3" t="str">
        <f>HYPERLINK("https://panda.att.com.mx/ODKServer/view/binaryData?blobKey=FSSuministroFluidosv3%5B%40version%3Dnull+and+%40uiVersion%3Dnull%5D%2Fdata%5B%40key%3Duuid%3A3fc88c65-0b29-4b98-ba24-55cb606ace35%5D%2FgroupInfoFuel%5B%40ordinal%3D1%5D%2FpicFuelRecibeInterno","Descargar")</f>
        <v>Descargar</v>
      </c>
    </row>
    <row r="193" spans="1:18" x14ac:dyDescent="0.3">
      <c r="A193">
        <v>1612589</v>
      </c>
      <c r="B193" t="s">
        <v>18</v>
      </c>
      <c r="C193" t="s">
        <v>19</v>
      </c>
      <c r="D193" t="s">
        <v>42</v>
      </c>
      <c r="E193" t="s">
        <v>43</v>
      </c>
      <c r="F193" t="s">
        <v>22</v>
      </c>
      <c r="G193" t="s">
        <v>23</v>
      </c>
      <c r="H193" t="s">
        <v>24</v>
      </c>
      <c r="I193" t="s">
        <v>25</v>
      </c>
      <c r="J193" s="2">
        <v>45906.262499999997</v>
      </c>
      <c r="K193">
        <v>6</v>
      </c>
      <c r="L193">
        <v>9</v>
      </c>
      <c r="M193">
        <v>2025</v>
      </c>
      <c r="N193" t="s">
        <v>27</v>
      </c>
      <c r="O193">
        <v>200</v>
      </c>
      <c r="P193">
        <v>200</v>
      </c>
      <c r="R193" s="3" t="str">
        <f>HYPERLINK("https://panda.att.com.mx/ODKServer/view/binaryData?blobKey=FSSuministroFluidosv3%5B%40version%3Dnull+and+%40uiVersion%3Dnull%5D%2Fdata%5B%40key%3Duuid%3Aba7b7223-6252-42da-8477-43d0a4ab8dd5%5D%2FgroupInfoFuel%5B%40ordinal%3D1%5D%2FpicFuelRecibeInterno","Descargar")</f>
        <v>Descargar</v>
      </c>
    </row>
    <row r="194" spans="1:18" x14ac:dyDescent="0.3">
      <c r="A194">
        <v>1612588</v>
      </c>
      <c r="B194" t="s">
        <v>18</v>
      </c>
      <c r="C194" t="s">
        <v>19</v>
      </c>
      <c r="D194" t="s">
        <v>42</v>
      </c>
      <c r="E194" t="s">
        <v>43</v>
      </c>
      <c r="F194" t="s">
        <v>22</v>
      </c>
      <c r="G194" t="s">
        <v>23</v>
      </c>
      <c r="H194" t="s">
        <v>24</v>
      </c>
      <c r="I194" t="s">
        <v>25</v>
      </c>
      <c r="J194" s="2">
        <v>45905.359791666669</v>
      </c>
      <c r="K194">
        <v>5</v>
      </c>
      <c r="L194">
        <v>9</v>
      </c>
      <c r="M194">
        <v>2025</v>
      </c>
      <c r="N194" t="s">
        <v>44</v>
      </c>
      <c r="O194">
        <v>100</v>
      </c>
      <c r="P194">
        <v>100</v>
      </c>
      <c r="R194" s="3" t="str">
        <f>HYPERLINK("https://panda.att.com.mx/ODKServer/view/binaryData?blobKey=FSSuministroFluidosv3%5B%40version%3Dnull+and+%40uiVersion%3Dnull%5D%2Fdata%5B%40key%3Duuid%3Afc95ac54-6eb5-4a65-8b57-901172640863%5D%2FgroupInfoFuel%5B%40ordinal%3D1%5D%2FpicFuelRecibeInterno","Descargar")</f>
        <v>Descargar</v>
      </c>
    </row>
    <row r="195" spans="1:18" x14ac:dyDescent="0.3">
      <c r="A195">
        <v>1612544</v>
      </c>
      <c r="B195" t="s">
        <v>18</v>
      </c>
      <c r="C195" t="s">
        <v>28</v>
      </c>
      <c r="D195" t="s">
        <v>66</v>
      </c>
      <c r="E195" t="s">
        <v>276</v>
      </c>
      <c r="F195" t="s">
        <v>22</v>
      </c>
      <c r="G195" t="s">
        <v>23</v>
      </c>
      <c r="H195" t="s">
        <v>24</v>
      </c>
      <c r="I195" t="s">
        <v>25</v>
      </c>
      <c r="J195" s="2">
        <v>45905.494305555563</v>
      </c>
      <c r="K195">
        <v>5</v>
      </c>
      <c r="L195">
        <v>9</v>
      </c>
      <c r="M195">
        <v>2025</v>
      </c>
      <c r="N195" t="s">
        <v>44</v>
      </c>
      <c r="O195">
        <v>40</v>
      </c>
      <c r="Q195">
        <v>40</v>
      </c>
      <c r="R195" s="3" t="str">
        <f>HYPERLINK("https://panda.att.com.mx/ODKServer/view/binaryData?blobKey=FSSuministroFluidosv3%5B%40version%3Dnull+and+%40uiVersion%3Dnull%5D%2Fdata%5B%40key%3Duuid%3A2c973a48-d2c9-43fc-ac85-2c3db4847fbf%5D%2FgroupInfoFuel%5B%40ordinal%3D1%5D%2FpicFuelRecibeInterno","Descargar")</f>
        <v>Descargar</v>
      </c>
    </row>
    <row r="196" spans="1:18" x14ac:dyDescent="0.3">
      <c r="A196">
        <v>1612462</v>
      </c>
      <c r="B196" t="s">
        <v>18</v>
      </c>
      <c r="C196" t="s">
        <v>28</v>
      </c>
      <c r="D196" t="s">
        <v>181</v>
      </c>
      <c r="E196" t="s">
        <v>277</v>
      </c>
      <c r="F196" t="s">
        <v>22</v>
      </c>
      <c r="G196" t="s">
        <v>23</v>
      </c>
      <c r="H196" t="s">
        <v>24</v>
      </c>
      <c r="I196" t="s">
        <v>25</v>
      </c>
      <c r="J196" s="2">
        <v>45901.47587962963</v>
      </c>
      <c r="K196">
        <v>1</v>
      </c>
      <c r="L196">
        <v>9</v>
      </c>
      <c r="M196">
        <v>2025</v>
      </c>
      <c r="N196" t="s">
        <v>44</v>
      </c>
      <c r="O196">
        <v>50</v>
      </c>
      <c r="Q196">
        <v>50</v>
      </c>
      <c r="R196" s="3" t="str">
        <f>HYPERLINK("https://panda.att.com.mx/ODKServer/view/binaryData?blobKey=FSSuministroFluidosv3%5B%40version%3Dnull+and+%40uiVersion%3Dnull%5D%2Fdata%5B%40key%3Duuid%3A77541f7b-c921-4bc5-8ed8-34fa7fe663cf%5D%2FgroupInfoFuel%5B%40ordinal%3D1%5D%2FpicFuelRecibeInterno","Descargar")</f>
        <v>Descargar</v>
      </c>
    </row>
    <row r="197" spans="1:18" x14ac:dyDescent="0.3">
      <c r="A197">
        <v>1612440</v>
      </c>
      <c r="B197" t="s">
        <v>18</v>
      </c>
      <c r="C197" t="s">
        <v>183</v>
      </c>
      <c r="D197" t="s">
        <v>278</v>
      </c>
      <c r="E197" t="s">
        <v>279</v>
      </c>
      <c r="F197" t="s">
        <v>22</v>
      </c>
      <c r="G197" t="s">
        <v>23</v>
      </c>
      <c r="H197" t="s">
        <v>37</v>
      </c>
      <c r="I197" t="s">
        <v>25</v>
      </c>
      <c r="J197" s="2">
        <v>45905.395451388889</v>
      </c>
      <c r="K197">
        <v>5</v>
      </c>
      <c r="L197">
        <v>9</v>
      </c>
      <c r="M197">
        <v>2025</v>
      </c>
      <c r="N197" t="s">
        <v>44</v>
      </c>
      <c r="O197">
        <v>60</v>
      </c>
      <c r="P197">
        <v>60</v>
      </c>
      <c r="R197" s="3" t="str">
        <f>HYPERLINK("https://panda.att.com.mx/ODKServer/view/binaryData?blobKey=FSSuministroFluidosv3%5B%40version%3Dnull+and+%40uiVersion%3Dnull%5D%2Fdata%5B%40key%3Duuid%3Ae3dfe044-33ea-4841-a031-b70cbf1e1180%5D%2FgroupInfoFuel%5B%40ordinal%3D1%5D%2FpicFuelRecibeInterno","Descargar")</f>
        <v>Descargar</v>
      </c>
    </row>
    <row r="198" spans="1:18" x14ac:dyDescent="0.3">
      <c r="A198">
        <v>1612401</v>
      </c>
      <c r="B198" t="s">
        <v>18</v>
      </c>
      <c r="C198" t="s">
        <v>34</v>
      </c>
      <c r="D198" t="s">
        <v>53</v>
      </c>
      <c r="E198" t="s">
        <v>54</v>
      </c>
      <c r="F198" t="s">
        <v>22</v>
      </c>
      <c r="G198" t="s">
        <v>23</v>
      </c>
      <c r="H198" t="s">
        <v>37</v>
      </c>
      <c r="I198" t="s">
        <v>25</v>
      </c>
      <c r="J198" s="2">
        <v>45905.688391203701</v>
      </c>
      <c r="K198">
        <v>5</v>
      </c>
      <c r="L198">
        <v>9</v>
      </c>
      <c r="M198">
        <v>2025</v>
      </c>
      <c r="N198" t="s">
        <v>27</v>
      </c>
      <c r="O198">
        <v>400</v>
      </c>
      <c r="Q198">
        <v>400</v>
      </c>
      <c r="R198" s="3" t="str">
        <f>HYPERLINK("https://panda.att.com.mx/ODKServer/view/binaryData?blobKey=FSSuministroFluidosv3%5B%40version%3Dnull+and+%40uiVersion%3Dnull%5D%2Fdata%5B%40key%3Duuid%3Af2130038-f6ba-4a78-aa48-453049928f2f%5D%2FgroupInfoFuel%5B%40ordinal%3D1%5D%2FpicFuelRecibeInterno","Descargar")</f>
        <v>Descargar</v>
      </c>
    </row>
    <row r="199" spans="1:18" x14ac:dyDescent="0.3">
      <c r="A199">
        <v>1612391</v>
      </c>
      <c r="B199" t="s">
        <v>18</v>
      </c>
      <c r="C199" t="s">
        <v>28</v>
      </c>
      <c r="D199" t="s">
        <v>280</v>
      </c>
      <c r="E199" t="s">
        <v>281</v>
      </c>
      <c r="F199" t="s">
        <v>22</v>
      </c>
      <c r="G199" t="s">
        <v>23</v>
      </c>
      <c r="H199" t="s">
        <v>24</v>
      </c>
      <c r="I199" t="s">
        <v>25</v>
      </c>
      <c r="J199" s="2">
        <v>45905.691250000003</v>
      </c>
      <c r="K199">
        <v>5</v>
      </c>
      <c r="L199">
        <v>9</v>
      </c>
      <c r="M199">
        <v>2025</v>
      </c>
      <c r="N199" t="s">
        <v>27</v>
      </c>
      <c r="O199">
        <v>100</v>
      </c>
      <c r="P199">
        <v>100</v>
      </c>
      <c r="R199" s="3" t="str">
        <f>HYPERLINK("https://panda.att.com.mx/ODKServer/view/binaryData?blobKey=FSSuministroFluidosv3%5B%40version%3Dnull+and+%40uiVersion%3Dnull%5D%2Fdata%5B%40key%3Duuid%3A09459ed1-e923-4901-ab2f-77d98b9efd04%5D%2FgroupInfoFuel%5B%40ordinal%3D1%5D%2FpicFuelRecibeInterno","Descargar")</f>
        <v>Descargar</v>
      </c>
    </row>
    <row r="200" spans="1:18" x14ac:dyDescent="0.3">
      <c r="A200">
        <v>1612390</v>
      </c>
      <c r="B200" t="s">
        <v>18</v>
      </c>
      <c r="C200" t="s">
        <v>28</v>
      </c>
      <c r="D200" t="s">
        <v>280</v>
      </c>
      <c r="E200" t="s">
        <v>282</v>
      </c>
      <c r="F200" t="s">
        <v>22</v>
      </c>
      <c r="G200" t="s">
        <v>23</v>
      </c>
      <c r="H200" t="s">
        <v>24</v>
      </c>
      <c r="I200" t="s">
        <v>25</v>
      </c>
      <c r="J200" s="2">
        <v>45905.631666666668</v>
      </c>
      <c r="K200">
        <v>5</v>
      </c>
      <c r="L200">
        <v>9</v>
      </c>
      <c r="M200">
        <v>2025</v>
      </c>
      <c r="N200" t="s">
        <v>27</v>
      </c>
      <c r="O200">
        <v>150</v>
      </c>
      <c r="Q200">
        <v>150</v>
      </c>
      <c r="R200" s="3" t="str">
        <f>HYPERLINK("https://panda.att.com.mx/ODKServer/view/binaryData?blobKey=FSSuministroFluidosv3%5B%40version%3Dnull+and+%40uiVersion%3Dnull%5D%2Fdata%5B%40key%3Duuid%3A4b1ed1b5-bacf-4d62-bf6b-cc386a4cbe73%5D%2FgroupInfoFuel%5B%40ordinal%3D1%5D%2FpicFuelRecibeInterno","Descargar")</f>
        <v>Descargar</v>
      </c>
    </row>
    <row r="201" spans="1:18" x14ac:dyDescent="0.3">
      <c r="A201">
        <v>1612389</v>
      </c>
      <c r="B201" t="s">
        <v>18</v>
      </c>
      <c r="C201" t="s">
        <v>28</v>
      </c>
      <c r="D201" t="s">
        <v>242</v>
      </c>
      <c r="E201" t="s">
        <v>283</v>
      </c>
      <c r="F201" t="s">
        <v>22</v>
      </c>
      <c r="G201" t="s">
        <v>23</v>
      </c>
      <c r="H201" t="s">
        <v>24</v>
      </c>
      <c r="I201" t="s">
        <v>25</v>
      </c>
      <c r="J201" s="2">
        <v>45905.551527777781</v>
      </c>
      <c r="K201">
        <v>5</v>
      </c>
      <c r="L201">
        <v>9</v>
      </c>
      <c r="M201">
        <v>2025</v>
      </c>
      <c r="N201" t="s">
        <v>27</v>
      </c>
      <c r="O201">
        <v>200</v>
      </c>
      <c r="P201">
        <v>200</v>
      </c>
      <c r="R201" s="3" t="str">
        <f>HYPERLINK("https://panda.att.com.mx/ODKServer/view/binaryData?blobKey=FSSuministroFluidosv3%5B%40version%3Dnull+and+%40uiVersion%3Dnull%5D%2Fdata%5B%40key%3Duuid%3A5c00c595-3069-408b-a6b6-be910cd81ba0%5D%2FgroupInfoFuel%5B%40ordinal%3D1%5D%2FpicFuelRecibeInterno","Descargar")</f>
        <v>Descargar</v>
      </c>
    </row>
    <row r="202" spans="1:18" x14ac:dyDescent="0.3">
      <c r="A202">
        <v>1611079</v>
      </c>
      <c r="B202" t="s">
        <v>18</v>
      </c>
      <c r="C202" t="s">
        <v>167</v>
      </c>
      <c r="D202" t="s">
        <v>264</v>
      </c>
      <c r="E202" t="s">
        <v>284</v>
      </c>
      <c r="F202" t="s">
        <v>22</v>
      </c>
      <c r="G202" t="s">
        <v>47</v>
      </c>
      <c r="H202" t="s">
        <v>58</v>
      </c>
      <c r="I202" t="s">
        <v>25</v>
      </c>
      <c r="J202" s="2">
        <v>45903.556481481479</v>
      </c>
      <c r="K202">
        <v>3</v>
      </c>
      <c r="L202">
        <v>9</v>
      </c>
      <c r="M202">
        <v>2025</v>
      </c>
      <c r="N202" t="s">
        <v>27</v>
      </c>
      <c r="O202">
        <v>200</v>
      </c>
      <c r="P202">
        <v>200</v>
      </c>
      <c r="R202" s="3" t="str">
        <f>HYPERLINK("https://panda.att.com.mx/ODKServer/view/binaryData?blobKey=FSSuministroFluidosv3%5B%40version%3Dnull+and+%40uiVersion%3Dnull%5D%2Fdata%5B%40key%3Duuid%3A49c9f1c7-307a-4cb3-9bdd-59bcc4341f20%5D%2FgroupInfoFuel%5B%40ordinal%3D1%5D%2FpicFuelRecibeInterno","Descargar")</f>
        <v>Descargar</v>
      </c>
    </row>
    <row r="203" spans="1:18" x14ac:dyDescent="0.3">
      <c r="A203">
        <v>1610878</v>
      </c>
      <c r="B203" t="s">
        <v>18</v>
      </c>
      <c r="C203" t="s">
        <v>34</v>
      </c>
      <c r="D203" t="s">
        <v>53</v>
      </c>
      <c r="E203" t="s">
        <v>285</v>
      </c>
      <c r="F203" t="s">
        <v>22</v>
      </c>
      <c r="G203" t="s">
        <v>23</v>
      </c>
      <c r="H203" t="s">
        <v>37</v>
      </c>
      <c r="I203" t="s">
        <v>25</v>
      </c>
      <c r="J203" s="2">
        <v>45903.44017361111</v>
      </c>
      <c r="K203">
        <v>3</v>
      </c>
      <c r="L203">
        <v>9</v>
      </c>
      <c r="M203">
        <v>2025</v>
      </c>
      <c r="N203" t="s">
        <v>27</v>
      </c>
      <c r="O203">
        <v>150</v>
      </c>
      <c r="P203">
        <v>150</v>
      </c>
      <c r="R203" s="3" t="str">
        <f>HYPERLINK("https://panda.att.com.mx/ODKServer/view/binaryData?blobKey=FSSuministroFluidosv3%5B%40version%3Dnull+and+%40uiVersion%3Dnull%5D%2Fdata%5B%40key%3Duuid%3Ae2d69b27-2227-4354-967c-fff910ce4f6b%5D%2FgroupInfoFuel%5B%40ordinal%3D1%5D%2FpicFuelRecibeInterno","Descargar")</f>
        <v>Descargar</v>
      </c>
    </row>
    <row r="204" spans="1:18" x14ac:dyDescent="0.3">
      <c r="A204">
        <v>1610757</v>
      </c>
      <c r="B204" t="s">
        <v>18</v>
      </c>
      <c r="C204" t="s">
        <v>28</v>
      </c>
      <c r="D204" t="s">
        <v>31</v>
      </c>
      <c r="E204" t="s">
        <v>286</v>
      </c>
      <c r="F204" t="s">
        <v>22</v>
      </c>
      <c r="G204" t="s">
        <v>23</v>
      </c>
      <c r="H204" t="s">
        <v>24</v>
      </c>
      <c r="I204" t="s">
        <v>25</v>
      </c>
      <c r="J204" s="2">
        <v>45903.408622685187</v>
      </c>
      <c r="K204">
        <v>3</v>
      </c>
      <c r="L204">
        <v>9</v>
      </c>
      <c r="M204">
        <v>2025</v>
      </c>
      <c r="N204" t="s">
        <v>27</v>
      </c>
      <c r="O204">
        <v>160</v>
      </c>
      <c r="P204">
        <v>160</v>
      </c>
      <c r="R204" s="3" t="str">
        <f>HYPERLINK("https://panda.att.com.mx/ODKServer/view/binaryData?blobKey=FSSuministroFluidosv3%5B%40version%3Dnull+and+%40uiVersion%3Dnull%5D%2Fdata%5B%40key%3Duuid%3Aa7b0202a-cbe4-4868-8b83-0ee7339f938c%5D%2FgroupInfoFuel%5B%40ordinal%3D1%5D%2FpicFuelRecibeInterno","Descargar")</f>
        <v>Descargar</v>
      </c>
    </row>
    <row r="205" spans="1:18" x14ac:dyDescent="0.3">
      <c r="A205">
        <v>1610755</v>
      </c>
      <c r="B205" t="s">
        <v>18</v>
      </c>
      <c r="C205" t="s">
        <v>19</v>
      </c>
      <c r="D205" t="s">
        <v>42</v>
      </c>
      <c r="E205" t="s">
        <v>43</v>
      </c>
      <c r="F205" t="s">
        <v>22</v>
      </c>
      <c r="G205" t="s">
        <v>23</v>
      </c>
      <c r="H205" t="s">
        <v>24</v>
      </c>
      <c r="I205" t="s">
        <v>25</v>
      </c>
      <c r="J205" s="2">
        <v>45903.388194444437</v>
      </c>
      <c r="K205">
        <v>3</v>
      </c>
      <c r="L205">
        <v>9</v>
      </c>
      <c r="M205">
        <v>2025</v>
      </c>
      <c r="N205" t="s">
        <v>27</v>
      </c>
      <c r="O205">
        <v>150</v>
      </c>
      <c r="P205">
        <v>150</v>
      </c>
      <c r="R205" s="3" t="str">
        <f>HYPERLINK("https://panda.att.com.mx/ODKServer/view/binaryData?blobKey=FSSuministroFluidosv3%5B%40version%3Dnull+and+%40uiVersion%3Dnull%5D%2Fdata%5B%40key%3Duuid%3A06278431-beb3-4bce-87c1-abb470403a4d%5D%2FgroupInfoFuel%5B%40ordinal%3D1%5D%2FpicFuelRecibeInterno","Descargar")</f>
        <v>Descargar</v>
      </c>
    </row>
    <row r="206" spans="1:18" x14ac:dyDescent="0.3">
      <c r="A206">
        <v>1610754</v>
      </c>
      <c r="B206" t="s">
        <v>18</v>
      </c>
      <c r="C206" t="s">
        <v>19</v>
      </c>
      <c r="D206" t="s">
        <v>42</v>
      </c>
      <c r="E206" t="s">
        <v>287</v>
      </c>
      <c r="F206" t="s">
        <v>22</v>
      </c>
      <c r="G206" t="s">
        <v>23</v>
      </c>
      <c r="H206" t="s">
        <v>24</v>
      </c>
      <c r="I206" t="s">
        <v>25</v>
      </c>
      <c r="J206" s="2">
        <v>45903.378217592603</v>
      </c>
      <c r="K206">
        <v>3</v>
      </c>
      <c r="L206">
        <v>9</v>
      </c>
      <c r="M206">
        <v>2025</v>
      </c>
      <c r="N206" t="s">
        <v>44</v>
      </c>
      <c r="O206">
        <v>55</v>
      </c>
      <c r="P206">
        <v>55</v>
      </c>
      <c r="R206" s="3" t="str">
        <f>HYPERLINK("https://panda.att.com.mx/ODKServer/view/binaryData?blobKey=FSSuministroFluidosv3%5B%40version%3Dnull+and+%40uiVersion%3Dnull%5D%2Fdata%5B%40key%3Duuid%3Ac310707d-9be4-4956-8bd5-677f748fe6e2%5D%2FgroupInfoFuel%5B%40ordinal%3D1%5D%2FpicFuelRecibeInterno","Descargar")</f>
        <v>Descargar</v>
      </c>
    </row>
    <row r="207" spans="1:18" x14ac:dyDescent="0.3">
      <c r="A207">
        <v>1610677</v>
      </c>
      <c r="B207" t="s">
        <v>18</v>
      </c>
      <c r="C207" t="s">
        <v>55</v>
      </c>
      <c r="D207" t="s">
        <v>288</v>
      </c>
      <c r="E207" t="s">
        <v>289</v>
      </c>
      <c r="F207" t="s">
        <v>22</v>
      </c>
      <c r="G207" t="s">
        <v>23</v>
      </c>
      <c r="H207" t="s">
        <v>58</v>
      </c>
      <c r="I207" t="s">
        <v>25</v>
      </c>
      <c r="J207" s="2">
        <v>45903.400648148148</v>
      </c>
      <c r="K207">
        <v>3</v>
      </c>
      <c r="L207">
        <v>9</v>
      </c>
      <c r="M207">
        <v>2025</v>
      </c>
      <c r="N207" t="s">
        <v>44</v>
      </c>
      <c r="O207">
        <v>55</v>
      </c>
      <c r="P207">
        <v>55</v>
      </c>
      <c r="R207" s="3" t="str">
        <f>HYPERLINK("https://panda.att.com.mx/ODKServer/view/binaryData?blobKey=FSSuministroFluidosv3%5B%40version%3Dnull+and+%40uiVersion%3Dnull%5D%2Fdata%5B%40key%3Duuid%3A5b2d1e71-00f6-4886-a7c0-b39b7b1f6eae%5D%2FgroupInfoFuel%5B%40ordinal%3D1%5D%2FpicFuelRecibeInterno","Descargar")</f>
        <v>Descargar</v>
      </c>
    </row>
    <row r="208" spans="1:18" x14ac:dyDescent="0.3">
      <c r="A208">
        <v>1610656</v>
      </c>
      <c r="B208" t="s">
        <v>18</v>
      </c>
      <c r="C208" t="s">
        <v>59</v>
      </c>
      <c r="D208" t="s">
        <v>60</v>
      </c>
      <c r="E208" t="s">
        <v>290</v>
      </c>
      <c r="F208" t="s">
        <v>22</v>
      </c>
      <c r="G208" t="s">
        <v>23</v>
      </c>
      <c r="H208" t="s">
        <v>37</v>
      </c>
      <c r="I208" t="s">
        <v>25</v>
      </c>
      <c r="J208" s="2">
        <v>45901.90966435185</v>
      </c>
      <c r="K208">
        <v>1</v>
      </c>
      <c r="L208">
        <v>9</v>
      </c>
      <c r="M208">
        <v>2025</v>
      </c>
      <c r="N208" t="s">
        <v>27</v>
      </c>
      <c r="O208">
        <v>80</v>
      </c>
      <c r="P208">
        <v>80</v>
      </c>
      <c r="R208" s="3" t="str">
        <f>HYPERLINK("https://panda.att.com.mx/ODKServer/view/binaryData?blobKey=FSSuministroFluidosv3%5B%40version%3Dnull+and+%40uiVersion%3Dnull%5D%2Fdata%5B%40key%3Duuid%3Ae8454816-469a-4080-a30c-b662e501cbe8%5D%2FgroupInfoFuel%5B%40ordinal%3D1%5D%2FpicFuelRecibeInterno","Descargar")</f>
        <v>Descargar</v>
      </c>
    </row>
    <row r="209" spans="1:18" x14ac:dyDescent="0.3">
      <c r="A209">
        <v>1610637</v>
      </c>
      <c r="B209" t="s">
        <v>18</v>
      </c>
      <c r="C209" t="s">
        <v>68</v>
      </c>
      <c r="D209" t="s">
        <v>132</v>
      </c>
      <c r="E209" t="s">
        <v>133</v>
      </c>
      <c r="F209" t="s">
        <v>22</v>
      </c>
      <c r="G209" t="s">
        <v>23</v>
      </c>
      <c r="H209" t="s">
        <v>37</v>
      </c>
      <c r="I209" t="s">
        <v>25</v>
      </c>
      <c r="J209" s="2">
        <v>45903.37226851852</v>
      </c>
      <c r="K209">
        <v>3</v>
      </c>
      <c r="L209">
        <v>9</v>
      </c>
      <c r="M209">
        <v>2025</v>
      </c>
      <c r="N209" t="s">
        <v>27</v>
      </c>
      <c r="O209">
        <v>120</v>
      </c>
      <c r="P209">
        <v>120</v>
      </c>
      <c r="R209" s="3" t="str">
        <f>HYPERLINK("https://panda.att.com.mx/ODKServer/view/binaryData?blobKey=FSSuministroFluidosv3%5B%40version%3Dnull+and+%40uiVersion%3Dnull%5D%2Fdata%5B%40key%3Duuid%3A846395f0-f2b6-4ae4-bdd7-3d4ce859d4e7%5D%2FgroupInfoFuel%5B%40ordinal%3D1%5D%2FpicFuelRecibeInterno","Descargar")</f>
        <v>Descargar</v>
      </c>
    </row>
    <row r="210" spans="1:18" x14ac:dyDescent="0.3">
      <c r="A210">
        <v>1610587</v>
      </c>
      <c r="B210" t="s">
        <v>18</v>
      </c>
      <c r="C210" t="s">
        <v>167</v>
      </c>
      <c r="D210" t="s">
        <v>215</v>
      </c>
      <c r="E210" t="s">
        <v>291</v>
      </c>
      <c r="F210" t="s">
        <v>22</v>
      </c>
      <c r="G210" t="s">
        <v>47</v>
      </c>
      <c r="H210" t="s">
        <v>58</v>
      </c>
      <c r="I210" t="s">
        <v>25</v>
      </c>
      <c r="J210" s="2">
        <v>45902.896851851852</v>
      </c>
      <c r="K210">
        <v>2</v>
      </c>
      <c r="L210">
        <v>9</v>
      </c>
      <c r="M210">
        <v>2025</v>
      </c>
      <c r="N210" t="s">
        <v>27</v>
      </c>
      <c r="O210">
        <v>150</v>
      </c>
      <c r="P210">
        <v>150</v>
      </c>
      <c r="R210" s="3" t="str">
        <f>HYPERLINK("https://panda.att.com.mx/ODKServer/view/binaryData?blobKey=FSSuministroFluidosv3%5B%40version%3Dnull+and+%40uiVersion%3Dnull%5D%2Fdata%5B%40key%3Duuid%3A9103a514-277f-46a0-8236-5bcb2981aed5%5D%2FgroupInfoFuel%5B%40ordinal%3D1%5D%2FpicFuelRecibeInterno","Descargar")</f>
        <v>Descargar</v>
      </c>
    </row>
    <row r="211" spans="1:18" x14ac:dyDescent="0.3">
      <c r="A211">
        <v>1610567</v>
      </c>
      <c r="B211" t="s">
        <v>18</v>
      </c>
      <c r="C211" t="s">
        <v>28</v>
      </c>
      <c r="D211" t="s">
        <v>181</v>
      </c>
      <c r="E211" t="s">
        <v>277</v>
      </c>
      <c r="F211" t="s">
        <v>22</v>
      </c>
      <c r="G211" t="s">
        <v>23</v>
      </c>
      <c r="H211" t="s">
        <v>24</v>
      </c>
      <c r="I211" t="s">
        <v>25</v>
      </c>
      <c r="J211" s="2">
        <v>45902.419525462959</v>
      </c>
      <c r="K211">
        <v>2</v>
      </c>
      <c r="L211">
        <v>9</v>
      </c>
      <c r="M211">
        <v>2025</v>
      </c>
      <c r="N211" t="s">
        <v>44</v>
      </c>
      <c r="O211">
        <v>20</v>
      </c>
      <c r="Q211">
        <v>20</v>
      </c>
      <c r="R211" s="3" t="str">
        <f>HYPERLINK("https://panda.att.com.mx/ODKServer/view/binaryData?blobKey=FSSuministroFluidosv3%5B%40version%3Dnull+and+%40uiVersion%3Dnull%5D%2Fdata%5B%40key%3Duuid%3A64f3b4de-e960-436c-b427-f06c201fa781%5D%2FgroupInfoFuel%5B%40ordinal%3D1%5D%2FpicFuelRecibeInterno","Descargar")</f>
        <v>Descargar</v>
      </c>
    </row>
    <row r="212" spans="1:18" x14ac:dyDescent="0.3">
      <c r="A212">
        <v>1610563</v>
      </c>
      <c r="B212" t="s">
        <v>18</v>
      </c>
      <c r="C212" t="s">
        <v>34</v>
      </c>
      <c r="D212" t="s">
        <v>292</v>
      </c>
      <c r="E212" t="s">
        <v>293</v>
      </c>
      <c r="F212" t="s">
        <v>22</v>
      </c>
      <c r="G212" t="s">
        <v>23</v>
      </c>
      <c r="H212" t="s">
        <v>37</v>
      </c>
      <c r="I212" t="s">
        <v>25</v>
      </c>
      <c r="J212" s="2">
        <v>45902.891979166663</v>
      </c>
      <c r="K212">
        <v>2</v>
      </c>
      <c r="L212">
        <v>9</v>
      </c>
      <c r="M212">
        <v>2025</v>
      </c>
      <c r="N212" t="s">
        <v>27</v>
      </c>
      <c r="O212">
        <v>600</v>
      </c>
      <c r="P212">
        <v>600</v>
      </c>
      <c r="R212" s="3" t="str">
        <f>HYPERLINK("https://panda.att.com.mx/ODKServer/view/binaryData?blobKey=FSSuministroFluidosv3%5B%40version%3Dnull+and+%40uiVersion%3Dnull%5D%2Fdata%5B%40key%3Duuid%3A8ad9467d-ec61-4e6a-ac7e-99c95033863e%5D%2FgroupInfoFuel%5B%40ordinal%3D1%5D%2FpicFuelRecibeInterno","Descargar")</f>
        <v>Descargar</v>
      </c>
    </row>
    <row r="213" spans="1:18" x14ac:dyDescent="0.3">
      <c r="A213">
        <v>1610555</v>
      </c>
      <c r="B213" t="s">
        <v>18</v>
      </c>
      <c r="C213" t="s">
        <v>59</v>
      </c>
      <c r="D213" t="s">
        <v>233</v>
      </c>
      <c r="E213" t="s">
        <v>294</v>
      </c>
      <c r="F213" t="s">
        <v>22</v>
      </c>
      <c r="G213" t="s">
        <v>47</v>
      </c>
      <c r="H213" t="s">
        <v>37</v>
      </c>
      <c r="I213" t="s">
        <v>25</v>
      </c>
      <c r="J213" s="2">
        <v>45902.538437499999</v>
      </c>
      <c r="K213">
        <v>2</v>
      </c>
      <c r="L213">
        <v>9</v>
      </c>
      <c r="M213">
        <v>2025</v>
      </c>
      <c r="N213" t="s">
        <v>27</v>
      </c>
      <c r="O213">
        <v>400</v>
      </c>
      <c r="P213">
        <v>400</v>
      </c>
      <c r="R213" s="3" t="str">
        <f>HYPERLINK("https://panda.att.com.mx/ODKServer/view/binaryData?blobKey=FSSuministroFluidosv3%5B%40version%3Dnull+and+%40uiVersion%3Dnull%5D%2Fdata%5B%40key%3Duuid%3A3a457b45-d564-4ec6-9106-9e8cb39e8eb8%5D%2FgroupInfoFuel%5B%40ordinal%3D1%5D%2FpicFuelRecibeInterno","Descargar")</f>
        <v>Descargar</v>
      </c>
    </row>
    <row r="214" spans="1:18" x14ac:dyDescent="0.3">
      <c r="A214">
        <v>1610509</v>
      </c>
      <c r="B214" t="s">
        <v>18</v>
      </c>
      <c r="C214" t="s">
        <v>55</v>
      </c>
      <c r="D214" t="s">
        <v>64</v>
      </c>
      <c r="E214" t="s">
        <v>295</v>
      </c>
      <c r="F214" t="s">
        <v>22</v>
      </c>
      <c r="G214" t="s">
        <v>23</v>
      </c>
      <c r="H214" t="s">
        <v>58</v>
      </c>
      <c r="I214" t="s">
        <v>25</v>
      </c>
      <c r="J214" s="2">
        <v>45902.720393518517</v>
      </c>
      <c r="K214">
        <v>2</v>
      </c>
      <c r="L214">
        <v>9</v>
      </c>
      <c r="M214">
        <v>2025</v>
      </c>
      <c r="N214" t="s">
        <v>27</v>
      </c>
      <c r="O214">
        <v>200</v>
      </c>
      <c r="P214">
        <v>200</v>
      </c>
      <c r="R214" s="3" t="str">
        <f>HYPERLINK("https://panda.att.com.mx/ODKServer/view/binaryData?blobKey=FSSuministroFluidosv3%5B%40version%3Dnull+and+%40uiVersion%3Dnull%5D%2Fdata%5B%40key%3Duuid%3A0296d186-b624-4432-9b60-99ec5e8d3193%5D%2FgroupInfoFuel%5B%40ordinal%3D1%5D%2FpicFuelRecibeInterno","Descargar")</f>
        <v>Descargar</v>
      </c>
    </row>
    <row r="215" spans="1:18" x14ac:dyDescent="0.3">
      <c r="A215">
        <v>1610493</v>
      </c>
      <c r="B215" t="s">
        <v>18</v>
      </c>
      <c r="C215" t="s">
        <v>150</v>
      </c>
      <c r="D215" t="s">
        <v>296</v>
      </c>
      <c r="E215" t="s">
        <v>297</v>
      </c>
      <c r="F215" t="s">
        <v>22</v>
      </c>
      <c r="G215" t="s">
        <v>47</v>
      </c>
      <c r="H215" t="s">
        <v>58</v>
      </c>
      <c r="I215" t="s">
        <v>25</v>
      </c>
      <c r="J215" s="2">
        <v>45902.750555555547</v>
      </c>
      <c r="K215">
        <v>2</v>
      </c>
      <c r="L215">
        <v>9</v>
      </c>
      <c r="M215">
        <v>2025</v>
      </c>
      <c r="N215" t="s">
        <v>27</v>
      </c>
      <c r="O215">
        <v>100</v>
      </c>
      <c r="P215">
        <v>100</v>
      </c>
      <c r="R215" s="3" t="str">
        <f>HYPERLINK("https://panda.att.com.mx/ODKServer/view/binaryData?blobKey=FSSuministroFluidosv3%5B%40version%3Dnull+and+%40uiVersion%3Dnull%5D%2Fdata%5B%40key%3Duuid%3Ac5aea8f2-977d-4d8f-995c-a5d9366262b1%5D%2FgroupInfoFuel%5B%40ordinal%3D1%5D%2FpicFuelRecibeInterno","Descargar")</f>
        <v>Descargar</v>
      </c>
    </row>
    <row r="216" spans="1:18" x14ac:dyDescent="0.3">
      <c r="A216">
        <v>1610479</v>
      </c>
      <c r="B216" t="s">
        <v>18</v>
      </c>
      <c r="C216" t="s">
        <v>150</v>
      </c>
      <c r="D216" t="s">
        <v>164</v>
      </c>
      <c r="E216" t="s">
        <v>165</v>
      </c>
      <c r="F216" t="s">
        <v>22</v>
      </c>
      <c r="G216" t="s">
        <v>23</v>
      </c>
      <c r="H216" t="s">
        <v>58</v>
      </c>
      <c r="I216" t="s">
        <v>25</v>
      </c>
      <c r="J216" s="2">
        <v>45902.745995370373</v>
      </c>
      <c r="K216">
        <v>2</v>
      </c>
      <c r="L216">
        <v>9</v>
      </c>
      <c r="M216">
        <v>2025</v>
      </c>
      <c r="N216" t="s">
        <v>27</v>
      </c>
      <c r="O216">
        <v>300</v>
      </c>
      <c r="P216">
        <v>300</v>
      </c>
      <c r="R216" s="3" t="str">
        <f>HYPERLINK("https://panda.att.com.mx/ODKServer/view/binaryData?blobKey=FSSuministroFluidosv3%5B%40version%3Dnull+and+%40uiVersion%3Dnull%5D%2Fdata%5B%40key%3Duuid%3A01fce101-d642-49dc-ad3c-c3c19331a9a3%5D%2FgroupInfoFuel%5B%40ordinal%3D1%5D%2FpicFuelRecibeInterno","Descargar")</f>
        <v>Descargar</v>
      </c>
    </row>
    <row r="217" spans="1:18" x14ac:dyDescent="0.3">
      <c r="A217">
        <v>1610472</v>
      </c>
      <c r="B217" t="s">
        <v>18</v>
      </c>
      <c r="C217" t="s">
        <v>34</v>
      </c>
      <c r="D217" t="s">
        <v>53</v>
      </c>
      <c r="E217" t="s">
        <v>298</v>
      </c>
      <c r="F217" t="s">
        <v>22</v>
      </c>
      <c r="G217" t="s">
        <v>23</v>
      </c>
      <c r="H217" t="s">
        <v>37</v>
      </c>
      <c r="I217" t="s">
        <v>25</v>
      </c>
      <c r="J217" s="2">
        <v>45902.461967592593</v>
      </c>
      <c r="K217">
        <v>2</v>
      </c>
      <c r="L217">
        <v>9</v>
      </c>
      <c r="M217">
        <v>2025</v>
      </c>
      <c r="N217" t="s">
        <v>27</v>
      </c>
      <c r="O217">
        <v>100</v>
      </c>
      <c r="Q217">
        <v>100</v>
      </c>
      <c r="R217" s="3" t="str">
        <f>HYPERLINK("https://panda.att.com.mx/ODKServer/view/binaryData?blobKey=FSSuministroFluidosv3%5B%40version%3Dnull+and+%40uiVersion%3Dnull%5D%2Fdata%5B%40key%3Duuid%3A3b6f36c8-d9e5-4535-837b-2a11788c4721%5D%2FgroupInfoFuel%5B%40ordinal%3D1%5D%2FpicFuelRecibeInterno","Descargar")</f>
        <v>Descargar</v>
      </c>
    </row>
    <row r="218" spans="1:18" x14ac:dyDescent="0.3">
      <c r="A218">
        <v>1610344</v>
      </c>
      <c r="B218" t="s">
        <v>18</v>
      </c>
      <c r="C218" t="s">
        <v>34</v>
      </c>
      <c r="D218" t="s">
        <v>53</v>
      </c>
      <c r="E218" t="s">
        <v>299</v>
      </c>
      <c r="F218" t="s">
        <v>22</v>
      </c>
      <c r="G218" t="s">
        <v>23</v>
      </c>
      <c r="H218" t="s">
        <v>24</v>
      </c>
      <c r="I218" t="s">
        <v>25</v>
      </c>
      <c r="J218" s="2">
        <v>45901.539988425917</v>
      </c>
      <c r="K218">
        <v>1</v>
      </c>
      <c r="L218">
        <v>9</v>
      </c>
      <c r="M218">
        <v>2025</v>
      </c>
      <c r="N218" t="s">
        <v>27</v>
      </c>
      <c r="O218">
        <v>500</v>
      </c>
      <c r="Q218">
        <v>500</v>
      </c>
      <c r="R218" s="3" t="str">
        <f>HYPERLINK("https://panda.att.com.mx/ODKServer/view/binaryData?blobKey=FSSuministroFluidosv3%5B%40version%3Dnull+and+%40uiVersion%3Dnull%5D%2Fdata%5B%40key%3Duuid%3A690c8f37-0991-46b8-b2e8-99052ef43e52%5D%2FgroupInfoFuel%5B%40ordinal%3D1%5D%2FpicFuelRecibeInterno","Descargar")</f>
        <v>Descargar</v>
      </c>
    </row>
    <row r="219" spans="1:18" x14ac:dyDescent="0.3">
      <c r="A219">
        <v>1610343</v>
      </c>
      <c r="B219" t="s">
        <v>18</v>
      </c>
      <c r="C219" t="s">
        <v>34</v>
      </c>
      <c r="D219" t="s">
        <v>53</v>
      </c>
      <c r="E219" t="s">
        <v>300</v>
      </c>
      <c r="F219" t="s">
        <v>22</v>
      </c>
      <c r="G219" t="s">
        <v>23</v>
      </c>
      <c r="H219" t="s">
        <v>24</v>
      </c>
      <c r="I219" t="s">
        <v>25</v>
      </c>
      <c r="J219" s="2">
        <v>45901.523020833331</v>
      </c>
      <c r="K219">
        <v>1</v>
      </c>
      <c r="L219">
        <v>9</v>
      </c>
      <c r="M219">
        <v>2025</v>
      </c>
      <c r="N219" t="s">
        <v>27</v>
      </c>
      <c r="O219">
        <v>50</v>
      </c>
      <c r="P219">
        <v>50</v>
      </c>
      <c r="R219" s="3" t="str">
        <f>HYPERLINK("https://panda.att.com.mx/ODKServer/view/binaryData?blobKey=FSSuministroFluidosv3%5B%40version%3Dnull+and+%40uiVersion%3Dnull%5D%2Fdata%5B%40key%3Duuid%3A64abd0f9-b65c-4efa-b774-218bd905934a%5D%2FgroupInfoFuel%5B%40ordinal%3D1%5D%2FpicFuelRecibeInterno","Descargar")</f>
        <v>Descargar</v>
      </c>
    </row>
    <row r="220" spans="1:18" x14ac:dyDescent="0.3">
      <c r="A220">
        <v>1610328</v>
      </c>
      <c r="B220" t="s">
        <v>18</v>
      </c>
      <c r="C220" t="s">
        <v>19</v>
      </c>
      <c r="D220" t="s">
        <v>45</v>
      </c>
      <c r="E220" t="s">
        <v>301</v>
      </c>
      <c r="F220" t="s">
        <v>22</v>
      </c>
      <c r="G220" t="s">
        <v>23</v>
      </c>
      <c r="H220" t="s">
        <v>24</v>
      </c>
      <c r="I220" t="s">
        <v>25</v>
      </c>
      <c r="J220" s="2">
        <v>45902.024340277778</v>
      </c>
      <c r="K220">
        <v>2</v>
      </c>
      <c r="L220">
        <v>9</v>
      </c>
      <c r="M220">
        <v>2025</v>
      </c>
      <c r="N220" t="s">
        <v>27</v>
      </c>
      <c r="O220">
        <v>300</v>
      </c>
      <c r="P220">
        <v>300</v>
      </c>
      <c r="R220" s="3" t="str">
        <f>HYPERLINK("https://panda.att.com.mx/ODKServer/view/binaryData?blobKey=FSSuministroFluidosv3%5B%40version%3Dnull+and+%40uiVersion%3Dnull%5D%2Fdata%5B%40key%3Duuid%3Add358ba2-5a49-462f-b5de-f86a07bc78c4%5D%2FgroupInfoFuel%5B%40ordinal%3D1%5D%2FpicFuelRecibeInterno","Descargar")</f>
        <v>Descargar</v>
      </c>
    </row>
    <row r="221" spans="1:18" x14ac:dyDescent="0.3">
      <c r="A221">
        <v>1610327</v>
      </c>
      <c r="B221" t="s">
        <v>18</v>
      </c>
      <c r="C221" t="s">
        <v>19</v>
      </c>
      <c r="D221" t="s">
        <v>45</v>
      </c>
      <c r="E221" t="s">
        <v>50</v>
      </c>
      <c r="F221" t="s">
        <v>22</v>
      </c>
      <c r="G221" t="s">
        <v>23</v>
      </c>
      <c r="H221" t="s">
        <v>24</v>
      </c>
      <c r="I221" t="s">
        <v>25</v>
      </c>
      <c r="J221" s="2">
        <v>45901.829780092587</v>
      </c>
      <c r="K221">
        <v>1</v>
      </c>
      <c r="L221">
        <v>9</v>
      </c>
      <c r="M221">
        <v>2025</v>
      </c>
      <c r="N221" t="s">
        <v>27</v>
      </c>
      <c r="O221">
        <v>300</v>
      </c>
      <c r="P221">
        <v>300</v>
      </c>
      <c r="R221" s="3" t="str">
        <f>HYPERLINK("https://panda.att.com.mx/ODKServer/view/binaryData?blobKey=FSSuministroFluidosv3%5B%40version%3Dnull+and+%40uiVersion%3Dnull%5D%2Fdata%5B%40key%3Duuid%3A3f063f4f-bfbf-409c-a84e-642960741310%5D%2FgroupInfoFuel%5B%40ordinal%3D1%5D%2FpicFuelRecibeInterno","Descargar")</f>
        <v>Descargar</v>
      </c>
    </row>
    <row r="222" spans="1:18" x14ac:dyDescent="0.3">
      <c r="A222">
        <v>1610298</v>
      </c>
      <c r="B222" t="s">
        <v>18</v>
      </c>
      <c r="C222" t="s">
        <v>150</v>
      </c>
      <c r="D222" t="s">
        <v>164</v>
      </c>
      <c r="E222" t="s">
        <v>302</v>
      </c>
      <c r="F222" t="s">
        <v>22</v>
      </c>
      <c r="G222" t="s">
        <v>23</v>
      </c>
      <c r="H222" t="s">
        <v>58</v>
      </c>
      <c r="I222" t="s">
        <v>25</v>
      </c>
      <c r="J222" s="2">
        <v>45902.628425925926</v>
      </c>
      <c r="K222">
        <v>2</v>
      </c>
      <c r="L222">
        <v>9</v>
      </c>
      <c r="M222">
        <v>2025</v>
      </c>
      <c r="N222" t="s">
        <v>27</v>
      </c>
      <c r="O222">
        <v>100</v>
      </c>
      <c r="P222">
        <v>100</v>
      </c>
      <c r="R222" s="3" t="str">
        <f>HYPERLINK("https://panda.att.com.mx/ODKServer/view/binaryData?blobKey=FSSuministroFluidosv3%5B%40version%3Dnull+and+%40uiVersion%3Dnull%5D%2Fdata%5B%40key%3Duuid%3Aac93e254-2c1f-4d2a-a969-97cd4281c28d%5D%2FgroupInfoFuel%5B%40ordinal%3D1%5D%2FpicFuelRecibeInterno","Descargar")</f>
        <v>Descargar</v>
      </c>
    </row>
    <row r="223" spans="1:18" x14ac:dyDescent="0.3">
      <c r="A223">
        <v>1610261</v>
      </c>
      <c r="B223" t="s">
        <v>18</v>
      </c>
      <c r="C223" t="s">
        <v>183</v>
      </c>
      <c r="D223" t="s">
        <v>303</v>
      </c>
      <c r="E223" t="s">
        <v>304</v>
      </c>
      <c r="F223" t="s">
        <v>22</v>
      </c>
      <c r="G223" t="s">
        <v>23</v>
      </c>
      <c r="H223" t="s">
        <v>37</v>
      </c>
      <c r="I223" t="s">
        <v>25</v>
      </c>
      <c r="J223" s="2">
        <v>45902.60125</v>
      </c>
      <c r="K223">
        <v>2</v>
      </c>
      <c r="L223">
        <v>9</v>
      </c>
      <c r="M223">
        <v>2025</v>
      </c>
      <c r="N223" t="s">
        <v>27</v>
      </c>
      <c r="O223">
        <v>150</v>
      </c>
      <c r="P223">
        <v>150</v>
      </c>
      <c r="R223" s="3" t="str">
        <f>HYPERLINK("https://panda.att.com.mx/ODKServer/view/binaryData?blobKey=FSSuministroFluidosv3%5B%40version%3Dnull+and+%40uiVersion%3Dnull%5D%2Fdata%5B%40key%3Duuid%3A0f026d6e-a7a0-41a6-9adc-ad37f528bcc7%5D%2FgroupInfoFuel%5B%40ordinal%3D1%5D%2FpicFuelRecibeInterno","Descargar")</f>
        <v>Descargar</v>
      </c>
    </row>
    <row r="224" spans="1:18" x14ac:dyDescent="0.3">
      <c r="A224">
        <v>1610259</v>
      </c>
      <c r="B224" t="s">
        <v>18</v>
      </c>
      <c r="C224" t="s">
        <v>183</v>
      </c>
      <c r="D224" t="s">
        <v>305</v>
      </c>
      <c r="E224" t="s">
        <v>306</v>
      </c>
      <c r="F224" t="s">
        <v>22</v>
      </c>
      <c r="G224" t="s">
        <v>23</v>
      </c>
      <c r="H224" t="s">
        <v>37</v>
      </c>
      <c r="I224" t="s">
        <v>25</v>
      </c>
      <c r="J224" s="2">
        <v>45902.560335648152</v>
      </c>
      <c r="K224">
        <v>2</v>
      </c>
      <c r="L224">
        <v>9</v>
      </c>
      <c r="M224">
        <v>2025</v>
      </c>
      <c r="N224" t="s">
        <v>27</v>
      </c>
      <c r="O224">
        <v>150</v>
      </c>
      <c r="P224">
        <v>150</v>
      </c>
      <c r="R224" s="3" t="str">
        <f>HYPERLINK("https://panda.att.com.mx/ODKServer/view/binaryData?blobKey=FSSuministroFluidosv3%5B%40version%3Dnull+and+%40uiVersion%3Dnull%5D%2Fdata%5B%40key%3Duuid%3Ae8cb870a-cace-4ef8-ac60-5948ecea6be5%5D%2FgroupInfoFuel%5B%40ordinal%3D1%5D%2FpicFuelRecibeInterno","Descargar")</f>
        <v>Descargar</v>
      </c>
    </row>
    <row r="225" spans="1:18" x14ac:dyDescent="0.3">
      <c r="A225">
        <v>1610240</v>
      </c>
      <c r="B225" t="s">
        <v>18</v>
      </c>
      <c r="C225" t="s">
        <v>59</v>
      </c>
      <c r="D225" t="s">
        <v>307</v>
      </c>
      <c r="E225" t="s">
        <v>308</v>
      </c>
      <c r="F225" t="s">
        <v>22</v>
      </c>
      <c r="G225" t="s">
        <v>23</v>
      </c>
      <c r="H225" t="s">
        <v>37</v>
      </c>
      <c r="I225" t="s">
        <v>25</v>
      </c>
      <c r="J225" t="s">
        <v>309</v>
      </c>
      <c r="K225">
        <v>28</v>
      </c>
      <c r="L225">
        <v>8</v>
      </c>
      <c r="M225">
        <v>2025</v>
      </c>
      <c r="N225" t="s">
        <v>44</v>
      </c>
      <c r="O225">
        <v>52</v>
      </c>
      <c r="P225">
        <v>52</v>
      </c>
      <c r="R225" s="3" t="str">
        <f>HYPERLINK("https://panda.att.com.mx/ODKServer/view/binaryData?blobKey=FSSuministroFluidosv3%5B%40version%3Dnull+and+%40uiVersion%3Dnull%5D%2Fdata%5B%40key%3Duuid%3A9fbd6fb4-2a3d-4d3c-921e-8db25e780371%5D%2FgroupInfoFuel%5B%40ordinal%3D1%5D%2FpicFuelRecibeInterno","Descargar")</f>
        <v>Descargar</v>
      </c>
    </row>
    <row r="226" spans="1:18" x14ac:dyDescent="0.3">
      <c r="A226">
        <v>1610152</v>
      </c>
      <c r="B226" t="s">
        <v>18</v>
      </c>
      <c r="C226" t="s">
        <v>167</v>
      </c>
      <c r="D226" t="s">
        <v>264</v>
      </c>
      <c r="E226" t="s">
        <v>310</v>
      </c>
      <c r="G226" t="s">
        <v>23</v>
      </c>
      <c r="H226" t="s">
        <v>58</v>
      </c>
      <c r="I226" t="s">
        <v>25</v>
      </c>
      <c r="J226" s="2">
        <v>45847.653124999997</v>
      </c>
      <c r="K226">
        <v>9</v>
      </c>
      <c r="L226">
        <v>7</v>
      </c>
      <c r="M226">
        <v>2025</v>
      </c>
      <c r="N226" t="s">
        <v>27</v>
      </c>
      <c r="O226">
        <v>46</v>
      </c>
      <c r="P226">
        <v>46</v>
      </c>
      <c r="R226" s="3" t="str">
        <f>HYPERLINK("https://panda.att.com.mx/ODKServer/view/binaryData?blobKey=FSSuministroFluidosv3%5B%40version%3Dnull+and+%40uiVersion%3Dnull%5D%2Fdata%5B%40key%3Duuid%3Aea74b52e-3305-4eb1-be74-e95294ab76d7%5D%2FgroupInfoFuel%5B%40ordinal%3D1%5D%2FpicFuelRecibeInterno","Descargar")</f>
        <v>Descargar</v>
      </c>
    </row>
    <row r="227" spans="1:18" x14ac:dyDescent="0.3">
      <c r="A227">
        <v>1612312</v>
      </c>
      <c r="B227" t="s">
        <v>18</v>
      </c>
      <c r="C227" t="s">
        <v>55</v>
      </c>
      <c r="D227" t="s">
        <v>56</v>
      </c>
      <c r="E227" t="s">
        <v>77</v>
      </c>
      <c r="F227" t="s">
        <v>22</v>
      </c>
      <c r="G227" t="s">
        <v>23</v>
      </c>
      <c r="H227" t="s">
        <v>58</v>
      </c>
      <c r="I227" t="s">
        <v>25</v>
      </c>
      <c r="J227" t="s">
        <v>311</v>
      </c>
      <c r="K227">
        <v>30</v>
      </c>
      <c r="L227">
        <v>8</v>
      </c>
      <c r="M227">
        <v>2025</v>
      </c>
      <c r="N227" t="s">
        <v>27</v>
      </c>
      <c r="O227">
        <v>300</v>
      </c>
      <c r="P227">
        <v>300</v>
      </c>
      <c r="R227" s="3" t="str">
        <f>HYPERLINK("https://panda.att.com.mx/ODKServer/view/binaryData?blobKey=FSSuministroFluidosv3%5B%40version%3Dnull+and+%40uiVersion%3Dnull%5D%2Fdata%5B%40key%3Duuid%3A524d0b51-1515-4ebd-8a72-f4b9caa32cee%5D%2FgroupInfoFuel%5B%40ordinal%3D1%5D%2FpicFuelRecibeInterno","Descargar")</f>
        <v>Descargar</v>
      </c>
    </row>
    <row r="228" spans="1:18" x14ac:dyDescent="0.3">
      <c r="A228">
        <v>1612294</v>
      </c>
      <c r="B228" t="s">
        <v>18</v>
      </c>
      <c r="C228" t="s">
        <v>100</v>
      </c>
      <c r="D228" t="s">
        <v>101</v>
      </c>
      <c r="E228" t="s">
        <v>312</v>
      </c>
      <c r="F228" t="s">
        <v>22</v>
      </c>
      <c r="G228" t="s">
        <v>83</v>
      </c>
      <c r="H228" t="s">
        <v>58</v>
      </c>
      <c r="I228" t="s">
        <v>25</v>
      </c>
      <c r="J228" s="2">
        <v>45905.614502314813</v>
      </c>
      <c r="K228">
        <v>5</v>
      </c>
      <c r="L228">
        <v>9</v>
      </c>
      <c r="M228">
        <v>2025</v>
      </c>
      <c r="N228" t="s">
        <v>27</v>
      </c>
      <c r="O228">
        <v>300</v>
      </c>
      <c r="P228">
        <v>300</v>
      </c>
      <c r="R228" s="3" t="str">
        <f>HYPERLINK("https://panda.att.com.mx/ODKServer/view/binaryData?blobKey=FSSuministroFluidosv3%5B%40version%3Dnull+and+%40uiVersion%3Dnull%5D%2Fdata%5B%40key%3Duuid%3Aac6a82d6-106f-4866-b0e2-390e427c5c8e%5D%2FgroupInfoFuel%5B%40ordinal%3D1%5D%2FpicFuelRecibeInterno","Descargar")</f>
        <v>Descargar</v>
      </c>
    </row>
    <row r="229" spans="1:18" x14ac:dyDescent="0.3">
      <c r="A229">
        <v>1612172</v>
      </c>
      <c r="B229" t="s">
        <v>18</v>
      </c>
      <c r="C229" t="s">
        <v>167</v>
      </c>
      <c r="D229" t="s">
        <v>313</v>
      </c>
      <c r="E229" t="s">
        <v>314</v>
      </c>
      <c r="F229" t="s">
        <v>22</v>
      </c>
      <c r="G229" t="s">
        <v>47</v>
      </c>
      <c r="H229" t="s">
        <v>58</v>
      </c>
      <c r="I229" t="s">
        <v>25</v>
      </c>
      <c r="J229" s="2">
        <v>45905.518784722219</v>
      </c>
      <c r="K229">
        <v>5</v>
      </c>
      <c r="L229">
        <v>9</v>
      </c>
      <c r="M229">
        <v>2025</v>
      </c>
      <c r="N229" t="s">
        <v>27</v>
      </c>
      <c r="O229">
        <v>150</v>
      </c>
      <c r="P229">
        <v>150</v>
      </c>
      <c r="R229" s="3" t="str">
        <f>HYPERLINK("https://panda.att.com.mx/ODKServer/view/binaryData?blobKey=FSSuministroFluidosv3%5B%40version%3Dnull+and+%40uiVersion%3Dnull%5D%2Fdata%5B%40key%3Duuid%3A7446aa80-7956-43d8-814a-90bb3c3c4414%5D%2FgroupInfoFuel%5B%40ordinal%3D1%5D%2FpicFuelRecibeInterno","Descargar")</f>
        <v>Descargar</v>
      </c>
    </row>
    <row r="230" spans="1:18" x14ac:dyDescent="0.3">
      <c r="A230">
        <v>1612042</v>
      </c>
      <c r="B230" t="s">
        <v>18</v>
      </c>
      <c r="C230" t="s">
        <v>28</v>
      </c>
      <c r="D230" t="s">
        <v>315</v>
      </c>
      <c r="E230" t="s">
        <v>316</v>
      </c>
      <c r="F230" t="s">
        <v>22</v>
      </c>
      <c r="G230" t="s">
        <v>23</v>
      </c>
      <c r="H230" t="s">
        <v>24</v>
      </c>
      <c r="I230" t="s">
        <v>25</v>
      </c>
      <c r="J230" s="2">
        <v>45905.306076388893</v>
      </c>
      <c r="K230">
        <v>5</v>
      </c>
      <c r="L230">
        <v>9</v>
      </c>
      <c r="M230">
        <v>2025</v>
      </c>
      <c r="N230" t="s">
        <v>44</v>
      </c>
      <c r="O230">
        <v>30</v>
      </c>
      <c r="P230">
        <v>30</v>
      </c>
      <c r="R230" s="3" t="str">
        <f>HYPERLINK("https://panda.att.com.mx/ODKServer/view/binaryData?blobKey=FSSuministroFluidosv3%5B%40version%3Dnull+and+%40uiVersion%3Dnull%5D%2Fdata%5B%40key%3Duuid%3Aa1476dc0-3942-4148-9287-5170af41c05c%5D%2FgroupInfoFuel%5B%40ordinal%3D1%5D%2FpicFuelRecibeInterno","Descargar")</f>
        <v>Descargar</v>
      </c>
    </row>
    <row r="231" spans="1:18" x14ac:dyDescent="0.3">
      <c r="A231">
        <v>1611982</v>
      </c>
      <c r="B231" t="s">
        <v>18</v>
      </c>
      <c r="C231" t="s">
        <v>19</v>
      </c>
      <c r="D231" t="s">
        <v>156</v>
      </c>
      <c r="E231" t="s">
        <v>317</v>
      </c>
      <c r="F231" t="s">
        <v>22</v>
      </c>
      <c r="G231" t="s">
        <v>23</v>
      </c>
      <c r="H231" t="s">
        <v>24</v>
      </c>
      <c r="I231" t="s">
        <v>25</v>
      </c>
      <c r="J231" s="2">
        <v>45903.361388888887</v>
      </c>
      <c r="K231">
        <v>3</v>
      </c>
      <c r="L231">
        <v>9</v>
      </c>
      <c r="M231">
        <v>2025</v>
      </c>
      <c r="N231" t="s">
        <v>27</v>
      </c>
      <c r="O231">
        <v>115</v>
      </c>
      <c r="P231">
        <v>115</v>
      </c>
      <c r="R231" s="3" t="str">
        <f>HYPERLINK("https://panda.att.com.mx/ODKServer/view/binaryData?blobKey=FSSuministroFluidosv3%5B%40version%3Dnull+and+%40uiVersion%3Dnull%5D%2Fdata%5B%40key%3Duuid%3Add97bbd7-3e27-48b5-8017-8bdc065168d2%5D%2FgroupInfoFuel%5B%40ordinal%3D1%5D%2FpicFuelRecibeInterno","Descargar")</f>
        <v>Descargar</v>
      </c>
    </row>
    <row r="232" spans="1:18" x14ac:dyDescent="0.3">
      <c r="A232">
        <v>1611976</v>
      </c>
      <c r="B232" t="s">
        <v>18</v>
      </c>
      <c r="C232" t="s">
        <v>150</v>
      </c>
      <c r="D232" t="s">
        <v>230</v>
      </c>
      <c r="E232" t="s">
        <v>318</v>
      </c>
      <c r="F232" t="s">
        <v>22</v>
      </c>
      <c r="G232" t="s">
        <v>23</v>
      </c>
      <c r="H232" t="s">
        <v>58</v>
      </c>
      <c r="I232" t="s">
        <v>25</v>
      </c>
      <c r="J232" s="2">
        <v>45905.259918981479</v>
      </c>
      <c r="K232">
        <v>5</v>
      </c>
      <c r="L232">
        <v>9</v>
      </c>
      <c r="M232">
        <v>2025</v>
      </c>
      <c r="N232" t="s">
        <v>27</v>
      </c>
      <c r="O232">
        <v>250</v>
      </c>
      <c r="P232">
        <v>250</v>
      </c>
      <c r="R232" s="3" t="str">
        <f>HYPERLINK("https://panda.att.com.mx/ODKServer/view/binaryData?blobKey=FSSuministroFluidosv3%5B%40version%3Dnull+and+%40uiVersion%3Dnull%5D%2Fdata%5B%40key%3Duuid%3A6731f715-2914-4910-aaca-71b857d77424%5D%2FgroupInfoFuel%5B%40ordinal%3D1%5D%2FpicFuelRecibeInterno","Descargar")</f>
        <v>Descargar</v>
      </c>
    </row>
    <row r="233" spans="1:18" x14ac:dyDescent="0.3">
      <c r="A233">
        <v>1611952</v>
      </c>
      <c r="B233" t="s">
        <v>18</v>
      </c>
      <c r="C233" t="s">
        <v>55</v>
      </c>
      <c r="D233" t="s">
        <v>56</v>
      </c>
      <c r="E233" t="s">
        <v>81</v>
      </c>
      <c r="F233" t="s">
        <v>22</v>
      </c>
      <c r="G233" t="s">
        <v>23</v>
      </c>
      <c r="H233" t="s">
        <v>58</v>
      </c>
      <c r="I233" t="s">
        <v>25</v>
      </c>
      <c r="J233" s="2">
        <v>45902.621435185189</v>
      </c>
      <c r="K233">
        <v>2</v>
      </c>
      <c r="L233">
        <v>9</v>
      </c>
      <c r="M233">
        <v>2025</v>
      </c>
      <c r="N233" t="s">
        <v>27</v>
      </c>
      <c r="O233">
        <v>100</v>
      </c>
      <c r="P233">
        <v>100</v>
      </c>
      <c r="R233" s="3" t="str">
        <f>HYPERLINK("https://panda.att.com.mx/ODKServer/view/binaryData?blobKey=FSSuministroFluidosv3%5B%40version%3Dnull+and+%40uiVersion%3Dnull%5D%2Fdata%5B%40key%3Duuid%3A0734830b-a08a-428b-8d5b-460d0f710162%5D%2FgroupInfoFuel%5B%40ordinal%3D1%5D%2FpicFuelRecibeInterno","Descargar")</f>
        <v>Descargar</v>
      </c>
    </row>
    <row r="234" spans="1:18" x14ac:dyDescent="0.3">
      <c r="A234">
        <v>1611951</v>
      </c>
      <c r="B234" t="s">
        <v>18</v>
      </c>
      <c r="C234" t="s">
        <v>55</v>
      </c>
      <c r="D234" t="s">
        <v>56</v>
      </c>
      <c r="E234" t="s">
        <v>81</v>
      </c>
      <c r="F234" t="s">
        <v>22</v>
      </c>
      <c r="G234" t="s">
        <v>23</v>
      </c>
      <c r="H234" t="s">
        <v>58</v>
      </c>
      <c r="I234" t="s">
        <v>25</v>
      </c>
      <c r="J234" t="s">
        <v>319</v>
      </c>
      <c r="K234">
        <v>31</v>
      </c>
      <c r="L234">
        <v>8</v>
      </c>
      <c r="M234">
        <v>2025</v>
      </c>
      <c r="N234" t="s">
        <v>27</v>
      </c>
      <c r="O234">
        <v>100</v>
      </c>
      <c r="P234">
        <v>100</v>
      </c>
      <c r="R234" s="3" t="str">
        <f>HYPERLINK("https://panda.att.com.mx/ODKServer/view/binaryData?blobKey=FSSuministroFluidosv3%5B%40version%3Dnull+and+%40uiVersion%3Dnull%5D%2Fdata%5B%40key%3Duuid%3A94791be5-a944-467d-8347-5f2602b50c2a%5D%2FgroupInfoFuel%5B%40ordinal%3D1%5D%2FpicFuelRecibeInterno","Descargar")</f>
        <v>Descargar</v>
      </c>
    </row>
    <row r="235" spans="1:18" x14ac:dyDescent="0.3">
      <c r="A235">
        <v>1611949</v>
      </c>
      <c r="B235" t="s">
        <v>18</v>
      </c>
      <c r="C235" t="s">
        <v>55</v>
      </c>
      <c r="D235" t="s">
        <v>56</v>
      </c>
      <c r="E235" t="s">
        <v>99</v>
      </c>
      <c r="F235" t="s">
        <v>22</v>
      </c>
      <c r="G235" t="s">
        <v>23</v>
      </c>
      <c r="H235" t="s">
        <v>58</v>
      </c>
      <c r="I235" t="s">
        <v>25</v>
      </c>
      <c r="J235" s="2">
        <v>45902.559837962966</v>
      </c>
      <c r="K235">
        <v>2</v>
      </c>
      <c r="L235">
        <v>9</v>
      </c>
      <c r="M235">
        <v>2025</v>
      </c>
      <c r="N235" t="s">
        <v>27</v>
      </c>
      <c r="O235">
        <v>100</v>
      </c>
      <c r="P235">
        <v>100</v>
      </c>
      <c r="R235" s="3" t="str">
        <f>HYPERLINK("https://panda.att.com.mx/ODKServer/view/binaryData?blobKey=FSSuministroFluidosv3%5B%40version%3Dnull+and+%40uiVersion%3Dnull%5D%2Fdata%5B%40key%3Duuid%3Acc39a5bb-7831-45be-8642-1436fc05c010%5D%2FgroupInfoFuel%5B%40ordinal%3D1%5D%2FpicFuelRecibeInterno","Descargar")</f>
        <v>Descargar</v>
      </c>
    </row>
    <row r="236" spans="1:18" x14ac:dyDescent="0.3">
      <c r="A236">
        <v>1611945</v>
      </c>
      <c r="B236" t="s">
        <v>18</v>
      </c>
      <c r="C236" t="s">
        <v>55</v>
      </c>
      <c r="D236" t="s">
        <v>56</v>
      </c>
      <c r="E236" t="s">
        <v>320</v>
      </c>
      <c r="F236" t="s">
        <v>22</v>
      </c>
      <c r="G236" t="s">
        <v>23</v>
      </c>
      <c r="H236" t="s">
        <v>58</v>
      </c>
      <c r="I236" t="s">
        <v>25</v>
      </c>
      <c r="J236" s="2">
        <v>45901.55128472222</v>
      </c>
      <c r="K236">
        <v>1</v>
      </c>
      <c r="L236">
        <v>9</v>
      </c>
      <c r="M236">
        <v>2025</v>
      </c>
      <c r="N236" t="s">
        <v>27</v>
      </c>
      <c r="O236">
        <v>200</v>
      </c>
      <c r="P236">
        <v>200</v>
      </c>
      <c r="R236" s="3" t="str">
        <f>HYPERLINK("https://panda.att.com.mx/ODKServer/view/binaryData?blobKey=FSSuministroFluidosv3%5B%40version%3Dnull+and+%40uiVersion%3Dnull%5D%2Fdata%5B%40key%3Duuid%3A1b6a13a2-747a-4488-8c54-3c18726723c5%5D%2FgroupInfoFuel%5B%40ordinal%3D1%5D%2FpicFuelRecibeInterno","Descargar")</f>
        <v>Descargar</v>
      </c>
    </row>
    <row r="237" spans="1:18" x14ac:dyDescent="0.3">
      <c r="A237">
        <v>1611944</v>
      </c>
      <c r="B237" t="s">
        <v>18</v>
      </c>
      <c r="C237" t="s">
        <v>55</v>
      </c>
      <c r="D237" t="s">
        <v>56</v>
      </c>
      <c r="E237" t="s">
        <v>81</v>
      </c>
      <c r="F237" t="s">
        <v>22</v>
      </c>
      <c r="G237" t="s">
        <v>23</v>
      </c>
      <c r="H237" t="s">
        <v>58</v>
      </c>
      <c r="I237" t="s">
        <v>25</v>
      </c>
      <c r="J237" s="2">
        <v>45901.445069444453</v>
      </c>
      <c r="K237">
        <v>1</v>
      </c>
      <c r="L237">
        <v>9</v>
      </c>
      <c r="M237">
        <v>2025</v>
      </c>
      <c r="N237" t="s">
        <v>27</v>
      </c>
      <c r="O237">
        <v>100</v>
      </c>
      <c r="P237">
        <v>100</v>
      </c>
      <c r="R237" s="3" t="str">
        <f>HYPERLINK("https://panda.att.com.mx/ODKServer/view/binaryData?blobKey=FSSuministroFluidosv3%5B%40version%3Dnull+and+%40uiVersion%3Dnull%5D%2Fdata%5B%40key%3Duuid%3A20e6dacc-14d5-4019-9c58-f5a43636b30d%5D%2FgroupInfoFuel%5B%40ordinal%3D1%5D%2FpicFuelRecibeInterno","Descargar")</f>
        <v>Descargar</v>
      </c>
    </row>
    <row r="238" spans="1:18" x14ac:dyDescent="0.3">
      <c r="A238">
        <v>1611942</v>
      </c>
      <c r="B238" t="s">
        <v>18</v>
      </c>
      <c r="C238" t="s">
        <v>28</v>
      </c>
      <c r="D238" t="s">
        <v>111</v>
      </c>
      <c r="E238" t="s">
        <v>321</v>
      </c>
      <c r="F238" t="s">
        <v>22</v>
      </c>
      <c r="G238" t="s">
        <v>23</v>
      </c>
      <c r="H238" t="s">
        <v>24</v>
      </c>
      <c r="I238" t="s">
        <v>25</v>
      </c>
      <c r="J238" s="2">
        <v>45904.555590277778</v>
      </c>
      <c r="K238">
        <v>4</v>
      </c>
      <c r="L238">
        <v>9</v>
      </c>
      <c r="M238">
        <v>2025</v>
      </c>
      <c r="N238" t="s">
        <v>27</v>
      </c>
      <c r="O238">
        <v>200</v>
      </c>
      <c r="P238">
        <v>200</v>
      </c>
      <c r="R238" s="3" t="str">
        <f>HYPERLINK("https://panda.att.com.mx/ODKServer/view/binaryData?blobKey=FSSuministroFluidosv3%5B%40version%3Dnull+and+%40uiVersion%3Dnull%5D%2Fdata%5B%40key%3Duuid%3A9d2da6d5-a260-47c4-9bd2-2918fd89878b%5D%2FgroupInfoFuel%5B%40ordinal%3D1%5D%2FpicFuelRecibeInterno","Descargar")</f>
        <v>Descargar</v>
      </c>
    </row>
    <row r="239" spans="1:18" x14ac:dyDescent="0.3">
      <c r="A239">
        <v>1611941</v>
      </c>
      <c r="B239" t="s">
        <v>18</v>
      </c>
      <c r="C239" t="s">
        <v>55</v>
      </c>
      <c r="D239" t="s">
        <v>56</v>
      </c>
      <c r="E239" t="s">
        <v>99</v>
      </c>
      <c r="F239" t="s">
        <v>22</v>
      </c>
      <c r="G239" t="s">
        <v>23</v>
      </c>
      <c r="H239" t="s">
        <v>58</v>
      </c>
      <c r="I239" t="s">
        <v>25</v>
      </c>
      <c r="J239" s="2">
        <v>45901.646655092591</v>
      </c>
      <c r="K239">
        <v>1</v>
      </c>
      <c r="L239">
        <v>9</v>
      </c>
      <c r="M239">
        <v>2025</v>
      </c>
      <c r="N239" t="s">
        <v>27</v>
      </c>
      <c r="O239">
        <v>100</v>
      </c>
      <c r="P239">
        <v>100</v>
      </c>
      <c r="R239" s="3" t="str">
        <f>HYPERLINK("https://panda.att.com.mx/ODKServer/view/binaryData?blobKey=FSSuministroFluidosv3%5B%40version%3Dnull+and+%40uiVersion%3Dnull%5D%2Fdata%5B%40key%3Duuid%3A42c14385-050a-4fb3-9fff-ac59c321dff0%5D%2FgroupInfoFuel%5B%40ordinal%3D1%5D%2FpicFuelRecibeInterno","Descargar")</f>
        <v>Descargar</v>
      </c>
    </row>
    <row r="240" spans="1:18" x14ac:dyDescent="0.3">
      <c r="A240">
        <v>1611938</v>
      </c>
      <c r="B240" t="s">
        <v>18</v>
      </c>
      <c r="C240" t="s">
        <v>55</v>
      </c>
      <c r="D240" t="s">
        <v>56</v>
      </c>
      <c r="E240" t="s">
        <v>81</v>
      </c>
      <c r="F240" t="s">
        <v>22</v>
      </c>
      <c r="G240" t="s">
        <v>23</v>
      </c>
      <c r="H240" t="s">
        <v>58</v>
      </c>
      <c r="I240" t="s">
        <v>25</v>
      </c>
      <c r="J240" t="s">
        <v>322</v>
      </c>
      <c r="K240">
        <v>25</v>
      </c>
      <c r="L240">
        <v>8</v>
      </c>
      <c r="M240">
        <v>2025</v>
      </c>
      <c r="N240" t="s">
        <v>27</v>
      </c>
      <c r="O240">
        <v>100</v>
      </c>
      <c r="P240">
        <v>100</v>
      </c>
      <c r="R240" s="3" t="str">
        <f>HYPERLINK("https://panda.att.com.mx/ODKServer/view/binaryData?blobKey=FSSuministroFluidosv3%5B%40version%3Dnull+and+%40uiVersion%3Dnull%5D%2Fdata%5B%40key%3Duuid%3Ae989bf42-ed12-4ee0-ba0a-699e7e785d3b%5D%2FgroupInfoFuel%5B%40ordinal%3D1%5D%2FpicFuelRecibeInterno","Descargar")</f>
        <v>Descargar</v>
      </c>
    </row>
    <row r="241" spans="1:18" x14ac:dyDescent="0.3">
      <c r="A241">
        <v>1611937</v>
      </c>
      <c r="B241" t="s">
        <v>18</v>
      </c>
      <c r="C241" t="s">
        <v>55</v>
      </c>
      <c r="D241" t="s">
        <v>56</v>
      </c>
      <c r="E241" t="s">
        <v>99</v>
      </c>
      <c r="F241" t="s">
        <v>22</v>
      </c>
      <c r="G241" t="s">
        <v>23</v>
      </c>
      <c r="H241" t="s">
        <v>58</v>
      </c>
      <c r="I241" t="s">
        <v>25</v>
      </c>
      <c r="J241" t="s">
        <v>323</v>
      </c>
      <c r="K241">
        <v>25</v>
      </c>
      <c r="L241">
        <v>8</v>
      </c>
      <c r="M241">
        <v>2025</v>
      </c>
      <c r="N241" t="s">
        <v>27</v>
      </c>
      <c r="O241">
        <v>150</v>
      </c>
      <c r="P241">
        <v>150</v>
      </c>
      <c r="R241" s="3" t="str">
        <f>HYPERLINK("https://panda.att.com.mx/ODKServer/view/binaryData?blobKey=FSSuministroFluidosv3%5B%40version%3Dnull+and+%40uiVersion%3Dnull%5D%2Fdata%5B%40key%3Duuid%3A01244556-f4ae-4c38-bad6-5c461f1e2b57%5D%2FgroupInfoFuel%5B%40ordinal%3D1%5D%2FpicFuelRecibeInterno","Descargar")</f>
        <v>Descargar</v>
      </c>
    </row>
    <row r="242" spans="1:18" x14ac:dyDescent="0.3">
      <c r="A242">
        <v>1611935</v>
      </c>
      <c r="B242" t="s">
        <v>18</v>
      </c>
      <c r="C242" t="s">
        <v>55</v>
      </c>
      <c r="D242" t="s">
        <v>56</v>
      </c>
      <c r="E242" t="s">
        <v>324</v>
      </c>
      <c r="F242" t="s">
        <v>22</v>
      </c>
      <c r="G242" t="s">
        <v>23</v>
      </c>
      <c r="H242" t="s">
        <v>58</v>
      </c>
      <c r="I242" t="s">
        <v>25</v>
      </c>
      <c r="J242" t="s">
        <v>325</v>
      </c>
      <c r="K242">
        <v>25</v>
      </c>
      <c r="L242">
        <v>8</v>
      </c>
      <c r="M242">
        <v>2025</v>
      </c>
      <c r="N242" t="s">
        <v>27</v>
      </c>
      <c r="O242">
        <v>150</v>
      </c>
      <c r="P242">
        <v>150</v>
      </c>
      <c r="R242" s="3" t="str">
        <f>HYPERLINK("https://panda.att.com.mx/ODKServer/view/binaryData?blobKey=FSSuministroFluidosv3%5B%40version%3Dnull+and+%40uiVersion%3Dnull%5D%2Fdata%5B%40key%3Duuid%3A45f807df-a79a-4a5e-a310-35f63c5b87c6%5D%2FgroupInfoFuel%5B%40ordinal%3D1%5D%2FpicFuelRecibeInterno","Descargar")</f>
        <v>Descargar</v>
      </c>
    </row>
    <row r="243" spans="1:18" x14ac:dyDescent="0.3">
      <c r="A243">
        <v>1611930</v>
      </c>
      <c r="B243" t="s">
        <v>18</v>
      </c>
      <c r="C243" t="s">
        <v>34</v>
      </c>
      <c r="D243" t="s">
        <v>53</v>
      </c>
      <c r="E243" t="s">
        <v>144</v>
      </c>
      <c r="F243" t="s">
        <v>22</v>
      </c>
      <c r="G243" t="s">
        <v>23</v>
      </c>
      <c r="H243" t="s">
        <v>37</v>
      </c>
      <c r="I243" t="s">
        <v>25</v>
      </c>
      <c r="J243" s="2">
        <v>45904.862199074072</v>
      </c>
      <c r="K243">
        <v>4</v>
      </c>
      <c r="L243">
        <v>9</v>
      </c>
      <c r="M243">
        <v>2025</v>
      </c>
      <c r="N243" t="s">
        <v>27</v>
      </c>
      <c r="O243">
        <v>350</v>
      </c>
      <c r="P243">
        <v>350</v>
      </c>
      <c r="R243" s="3" t="str">
        <f>HYPERLINK("https://panda.att.com.mx/ODKServer/view/binaryData?blobKey=FSSuministroFluidosv3%5B%40version%3Dnull+and+%40uiVersion%3Dnull%5D%2Fdata%5B%40key%3Duuid%3A63d7381c-ff34-4c23-b37e-9845cea9f937%5D%2FgroupInfoFuel%5B%40ordinal%3D1%5D%2FpicFuelRecibeInterno","Descargar")</f>
        <v>Descargar</v>
      </c>
    </row>
    <row r="244" spans="1:18" x14ac:dyDescent="0.3">
      <c r="A244">
        <v>1611887</v>
      </c>
      <c r="B244" t="s">
        <v>18</v>
      </c>
      <c r="C244" t="s">
        <v>167</v>
      </c>
      <c r="D244" t="s">
        <v>168</v>
      </c>
      <c r="E244" t="s">
        <v>326</v>
      </c>
      <c r="F244" t="s">
        <v>22</v>
      </c>
      <c r="G244" t="s">
        <v>47</v>
      </c>
      <c r="H244" t="s">
        <v>58</v>
      </c>
      <c r="I244" t="s">
        <v>209</v>
      </c>
      <c r="J244" s="2">
        <v>45904.804699074077</v>
      </c>
      <c r="K244">
        <v>4</v>
      </c>
      <c r="L244">
        <v>9</v>
      </c>
      <c r="M244">
        <v>2025</v>
      </c>
      <c r="N244" t="s">
        <v>27</v>
      </c>
      <c r="O244">
        <v>270</v>
      </c>
      <c r="P244">
        <v>270</v>
      </c>
      <c r="R244" s="3" t="str">
        <f>HYPERLINK("https://panda.att.com.mx/ODKServer/view/binaryData?blobKey=FSSuministroFluidosv3%5B%40version%3Dnull+and+%40uiVersion%3Dnull%5D%2Fdata%5B%40key%3Duuid%3A5b446b64-4dd5-4d2b-b1c3-cebfa54f40fc%5D%2FgroupInfoFuel%5B%40ordinal%3D1%5D%2FpicFuelRecibeInterno","Descargar")</f>
        <v>Descargar</v>
      </c>
    </row>
    <row r="245" spans="1:18" x14ac:dyDescent="0.3">
      <c r="A245">
        <v>1611884</v>
      </c>
      <c r="B245" t="s">
        <v>18</v>
      </c>
      <c r="C245" t="s">
        <v>34</v>
      </c>
      <c r="D245" t="s">
        <v>53</v>
      </c>
      <c r="E245" t="s">
        <v>327</v>
      </c>
      <c r="F245" t="s">
        <v>22</v>
      </c>
      <c r="G245" t="s">
        <v>23</v>
      </c>
      <c r="H245" t="s">
        <v>37</v>
      </c>
      <c r="I245" t="s">
        <v>25</v>
      </c>
      <c r="J245" s="2">
        <v>45904.446250000001</v>
      </c>
      <c r="K245">
        <v>4</v>
      </c>
      <c r="L245">
        <v>9</v>
      </c>
      <c r="M245">
        <v>2025</v>
      </c>
      <c r="N245" t="s">
        <v>27</v>
      </c>
      <c r="O245">
        <v>400</v>
      </c>
      <c r="P245">
        <v>400</v>
      </c>
      <c r="R245" s="3" t="str">
        <f>HYPERLINK("https://panda.att.com.mx/ODKServer/view/binaryData?blobKey=FSSuministroFluidosv3%5B%40version%3Dnull+and+%40uiVersion%3Dnull%5D%2Fdata%5B%40key%3Duuid%3A5c0071e2-7ccb-4492-a473-8de67134726b%5D%2FgroupInfoFuel%5B%40ordinal%3D1%5D%2FpicFuelRecibeInterno","Descargar")</f>
        <v>Descargar</v>
      </c>
    </row>
    <row r="246" spans="1:18" x14ac:dyDescent="0.3">
      <c r="A246">
        <v>1611869</v>
      </c>
      <c r="B246" t="s">
        <v>18</v>
      </c>
      <c r="C246" t="s">
        <v>34</v>
      </c>
      <c r="D246" t="s">
        <v>71</v>
      </c>
      <c r="E246" t="s">
        <v>72</v>
      </c>
      <c r="F246" t="s">
        <v>22</v>
      </c>
      <c r="G246" t="s">
        <v>23</v>
      </c>
      <c r="H246" t="s">
        <v>37</v>
      </c>
      <c r="I246" t="s">
        <v>25</v>
      </c>
      <c r="J246" s="2">
        <v>45904.564791666657</v>
      </c>
      <c r="K246">
        <v>4</v>
      </c>
      <c r="L246">
        <v>9</v>
      </c>
      <c r="M246">
        <v>2025</v>
      </c>
      <c r="N246" t="s">
        <v>27</v>
      </c>
      <c r="O246">
        <v>250</v>
      </c>
      <c r="P246">
        <v>250</v>
      </c>
      <c r="R246" s="3" t="str">
        <f>HYPERLINK("https://panda.att.com.mx/ODKServer/view/binaryData?blobKey=FSSuministroFluidosv3%5B%40version%3Dnull+and+%40uiVersion%3Dnull%5D%2Fdata%5B%40key%3Duuid%3A3c517e9b-cdb7-4671-a263-f87b2dbe2317%5D%2FgroupInfoFuel%5B%40ordinal%3D1%5D%2FpicFuelRecibeInterno","Descargar")</f>
        <v>Descargar</v>
      </c>
    </row>
    <row r="247" spans="1:18" x14ac:dyDescent="0.3">
      <c r="A247">
        <v>1611782</v>
      </c>
      <c r="B247" t="s">
        <v>18</v>
      </c>
      <c r="C247" t="s">
        <v>150</v>
      </c>
      <c r="D247" t="s">
        <v>151</v>
      </c>
      <c r="E247" t="s">
        <v>328</v>
      </c>
      <c r="F247" t="s">
        <v>22</v>
      </c>
      <c r="G247" t="s">
        <v>47</v>
      </c>
      <c r="H247" t="s">
        <v>58</v>
      </c>
      <c r="I247" t="s">
        <v>25</v>
      </c>
      <c r="J247" s="2">
        <v>45904.6877662037</v>
      </c>
      <c r="K247">
        <v>4</v>
      </c>
      <c r="L247">
        <v>9</v>
      </c>
      <c r="M247">
        <v>2025</v>
      </c>
      <c r="N247" t="s">
        <v>27</v>
      </c>
      <c r="O247">
        <v>120</v>
      </c>
      <c r="P247">
        <v>120</v>
      </c>
      <c r="R247" s="3" t="str">
        <f>HYPERLINK("https://panda.att.com.mx/ODKServer/view/binaryData?blobKey=FSSuministroFluidosv3%5B%40version%3Dnull+and+%40uiVersion%3Dnull%5D%2Fdata%5B%40key%3Duuid%3A322cf565-6768-430e-b9c8-3f65bcccc7d1%5D%2FgroupInfoFuel%5B%40ordinal%3D1%5D%2FpicFuelRecibeInterno","Descargar")</f>
        <v>Descargar</v>
      </c>
    </row>
    <row r="248" spans="1:18" x14ac:dyDescent="0.3">
      <c r="A248">
        <v>1611669</v>
      </c>
      <c r="B248" t="s">
        <v>18</v>
      </c>
      <c r="C248" t="s">
        <v>167</v>
      </c>
      <c r="D248" t="s">
        <v>264</v>
      </c>
      <c r="E248" t="s">
        <v>310</v>
      </c>
      <c r="G248" t="s">
        <v>23</v>
      </c>
      <c r="H248" t="s">
        <v>58</v>
      </c>
      <c r="I248" t="s">
        <v>25</v>
      </c>
      <c r="J248" s="2">
        <v>45847.700856481482</v>
      </c>
      <c r="K248">
        <v>9</v>
      </c>
      <c r="L248">
        <v>7</v>
      </c>
      <c r="M248">
        <v>2025</v>
      </c>
      <c r="N248" t="s">
        <v>27</v>
      </c>
      <c r="O248">
        <v>19</v>
      </c>
      <c r="P248">
        <v>19</v>
      </c>
      <c r="R248" s="3" t="str">
        <f>HYPERLINK("https://panda.att.com.mx/ODKServer/view/binaryData?blobKey=FSSuministroFluidosv3%5B%40version%3Dnull+and+%40uiVersion%3Dnull%5D%2Fdata%5B%40key%3Duuid%3Aa6f182c3-a72a-4beb-a417-0b2ec8a1d8dc%5D%2FgroupInfoFuel%5B%40ordinal%3D1%5D%2FpicFuelRecibeInterno","Descargar")</f>
        <v>Descargar</v>
      </c>
    </row>
    <row r="249" spans="1:18" x14ac:dyDescent="0.3">
      <c r="A249">
        <v>1611657</v>
      </c>
      <c r="B249" t="s">
        <v>18</v>
      </c>
      <c r="C249" t="s">
        <v>183</v>
      </c>
      <c r="D249" t="s">
        <v>329</v>
      </c>
      <c r="E249" t="s">
        <v>330</v>
      </c>
      <c r="F249" t="s">
        <v>22</v>
      </c>
      <c r="G249" t="s">
        <v>23</v>
      </c>
      <c r="H249" t="s">
        <v>24</v>
      </c>
      <c r="I249" t="s">
        <v>25</v>
      </c>
      <c r="J249" s="2">
        <v>45904.606921296298</v>
      </c>
      <c r="K249">
        <v>4</v>
      </c>
      <c r="L249">
        <v>9</v>
      </c>
      <c r="M249">
        <v>2025</v>
      </c>
      <c r="N249" t="s">
        <v>27</v>
      </c>
      <c r="O249">
        <v>150</v>
      </c>
      <c r="P249">
        <v>150</v>
      </c>
      <c r="R249" s="3" t="str">
        <f>HYPERLINK("https://panda.att.com.mx/ODKServer/view/binaryData?blobKey=FSSuministroFluidosv3%5B%40version%3Dnull+and+%40uiVersion%3Dnull%5D%2Fdata%5B%40key%3Duuid%3Ae2384876-d9be-4030-9ff5-eeb4e1307d23%5D%2FgroupInfoFuel%5B%40ordinal%3D1%5D%2FpicFuelRecibeInterno","Descargar")</f>
        <v>Descargar</v>
      </c>
    </row>
    <row r="250" spans="1:18" x14ac:dyDescent="0.3">
      <c r="A250">
        <v>1611648</v>
      </c>
      <c r="B250" t="s">
        <v>18</v>
      </c>
      <c r="C250" t="s">
        <v>100</v>
      </c>
      <c r="D250" t="s">
        <v>101</v>
      </c>
      <c r="E250" t="s">
        <v>102</v>
      </c>
      <c r="F250" t="s">
        <v>22</v>
      </c>
      <c r="G250" t="s">
        <v>83</v>
      </c>
      <c r="H250" t="s">
        <v>58</v>
      </c>
      <c r="I250" t="s">
        <v>25</v>
      </c>
      <c r="J250" s="2">
        <v>45904.613344907397</v>
      </c>
      <c r="K250">
        <v>4</v>
      </c>
      <c r="L250">
        <v>9</v>
      </c>
      <c r="M250">
        <v>2025</v>
      </c>
      <c r="N250" t="s">
        <v>27</v>
      </c>
      <c r="O250">
        <v>250</v>
      </c>
      <c r="P250">
        <v>250</v>
      </c>
      <c r="R250" s="3" t="str">
        <f>HYPERLINK("https://panda.att.com.mx/ODKServer/view/binaryData?blobKey=FSSuministroFluidosv3%5B%40version%3Dnull+and+%40uiVersion%3Dnull%5D%2Fdata%5B%40key%3Duuid%3A0a1f3b0f-7067-486b-b2d3-584562520493%5D%2FgroupInfoFuel%5B%40ordinal%3D1%5D%2FpicFuelRecibeInterno","Descargar")</f>
        <v>Descargar</v>
      </c>
    </row>
    <row r="251" spans="1:18" x14ac:dyDescent="0.3">
      <c r="A251">
        <v>1611636</v>
      </c>
      <c r="B251" t="s">
        <v>18</v>
      </c>
      <c r="C251" t="s">
        <v>150</v>
      </c>
      <c r="D251" t="s">
        <v>151</v>
      </c>
      <c r="E251" t="s">
        <v>331</v>
      </c>
      <c r="F251" t="s">
        <v>22</v>
      </c>
      <c r="G251" t="s">
        <v>47</v>
      </c>
      <c r="H251" t="s">
        <v>58</v>
      </c>
      <c r="I251" t="s">
        <v>25</v>
      </c>
      <c r="J251" s="2">
        <v>45904.569166666668</v>
      </c>
      <c r="K251">
        <v>4</v>
      </c>
      <c r="L251">
        <v>9</v>
      </c>
      <c r="M251">
        <v>2025</v>
      </c>
      <c r="N251" t="s">
        <v>27</v>
      </c>
      <c r="O251">
        <v>150</v>
      </c>
      <c r="P251">
        <v>150</v>
      </c>
      <c r="R251" s="3" t="str">
        <f>HYPERLINK("https://panda.att.com.mx/ODKServer/view/binaryData?blobKey=FSSuministroFluidosv3%5B%40version%3Dnull+and+%40uiVersion%3Dnull%5D%2Fdata%5B%40key%3Duuid%3A5b27a7f2-a209-4fa0-ae1f-fed0bb7ee3ae%5D%2FgroupInfoFuel%5B%40ordinal%3D1%5D%2FpicFuelRecibeInterno","Descargar")</f>
        <v>Descargar</v>
      </c>
    </row>
    <row r="252" spans="1:18" x14ac:dyDescent="0.3">
      <c r="A252">
        <v>1609469</v>
      </c>
      <c r="B252" t="s">
        <v>18</v>
      </c>
      <c r="C252" t="s">
        <v>68</v>
      </c>
      <c r="D252" t="s">
        <v>332</v>
      </c>
      <c r="E252" t="s">
        <v>333</v>
      </c>
      <c r="F252" t="s">
        <v>22</v>
      </c>
      <c r="G252" t="s">
        <v>23</v>
      </c>
      <c r="H252" t="s">
        <v>37</v>
      </c>
      <c r="I252" t="s">
        <v>25</v>
      </c>
      <c r="J252" t="s">
        <v>334</v>
      </c>
      <c r="K252">
        <v>28</v>
      </c>
      <c r="L252">
        <v>8</v>
      </c>
      <c r="M252">
        <v>2025</v>
      </c>
      <c r="N252" t="s">
        <v>27</v>
      </c>
      <c r="O252">
        <v>250</v>
      </c>
      <c r="P252">
        <v>250</v>
      </c>
      <c r="R252" s="3" t="str">
        <f>HYPERLINK("https://panda.att.com.mx/ODKServer/view/binaryData?blobKey=FSSuministroFluidosv3%5B%40version%3Dnull+and+%40uiVersion%3Dnull%5D%2Fdata%5B%40key%3Duuid%3A91220f5c-4f49-4d25-9558-d7760c838c9e%5D%2FgroupInfoFuel%5B%40ordinal%3D1%5D%2FpicFuelRecibeInterno","Descargar")</f>
        <v>Descargar</v>
      </c>
    </row>
    <row r="253" spans="1:18" x14ac:dyDescent="0.3">
      <c r="A253">
        <v>1609415</v>
      </c>
      <c r="B253" t="s">
        <v>18</v>
      </c>
      <c r="C253" t="s">
        <v>55</v>
      </c>
      <c r="D253" t="s">
        <v>56</v>
      </c>
      <c r="E253" t="s">
        <v>99</v>
      </c>
      <c r="F253" t="s">
        <v>22</v>
      </c>
      <c r="G253" t="s">
        <v>23</v>
      </c>
      <c r="H253" t="s">
        <v>58</v>
      </c>
      <c r="I253" t="s">
        <v>25</v>
      </c>
      <c r="J253" t="s">
        <v>335</v>
      </c>
      <c r="K253">
        <v>31</v>
      </c>
      <c r="L253">
        <v>8</v>
      </c>
      <c r="M253">
        <v>2025</v>
      </c>
      <c r="N253" t="s">
        <v>27</v>
      </c>
      <c r="O253">
        <v>100</v>
      </c>
      <c r="P253">
        <v>100</v>
      </c>
      <c r="R253" s="3" t="str">
        <f>HYPERLINK("https://panda.att.com.mx/ODKServer/view/binaryData?blobKey=FSSuministroFluidosv3%5B%40version%3Dnull+and+%40uiVersion%3Dnull%5D%2Fdata%5B%40key%3Duuid%3A708ab617-41a8-45c8-8279-fd882e0f5890%5D%2FgroupInfoFuel%5B%40ordinal%3D1%5D%2FpicFuelRecibeInterno","Descargar")</f>
        <v>Descargar</v>
      </c>
    </row>
    <row r="254" spans="1:18" x14ac:dyDescent="0.3">
      <c r="A254">
        <v>1609341</v>
      </c>
      <c r="B254" t="s">
        <v>18</v>
      </c>
      <c r="C254" t="s">
        <v>55</v>
      </c>
      <c r="D254" t="s">
        <v>56</v>
      </c>
      <c r="E254" t="s">
        <v>99</v>
      </c>
      <c r="F254" t="s">
        <v>22</v>
      </c>
      <c r="G254" t="s">
        <v>23</v>
      </c>
      <c r="H254" t="s">
        <v>58</v>
      </c>
      <c r="I254" t="s">
        <v>25</v>
      </c>
      <c r="J254" t="s">
        <v>336</v>
      </c>
      <c r="K254">
        <v>29</v>
      </c>
      <c r="L254">
        <v>8</v>
      </c>
      <c r="M254">
        <v>2025</v>
      </c>
      <c r="N254" t="s">
        <v>27</v>
      </c>
      <c r="O254">
        <v>150</v>
      </c>
      <c r="P254">
        <v>150</v>
      </c>
      <c r="R254" s="3" t="str">
        <f>HYPERLINK("https://panda.att.com.mx/ODKServer/view/binaryData?blobKey=FSSuministroFluidosv3%5B%40version%3Dnull+and+%40uiVersion%3Dnull%5D%2Fdata%5B%40key%3Duuid%3Accbbff28-242d-4514-a850-ae935d50dd2c%5D%2FgroupInfoFuel%5B%40ordinal%3D1%5D%2FpicFuelRecibeInterno","Descargar")</f>
        <v>Descargar</v>
      </c>
    </row>
    <row r="255" spans="1:18" x14ac:dyDescent="0.3">
      <c r="A255">
        <v>1609314</v>
      </c>
      <c r="B255" t="s">
        <v>18</v>
      </c>
      <c r="C255" t="s">
        <v>55</v>
      </c>
      <c r="D255" t="s">
        <v>56</v>
      </c>
      <c r="E255" t="s">
        <v>105</v>
      </c>
      <c r="F255" t="s">
        <v>22</v>
      </c>
      <c r="G255" t="s">
        <v>23</v>
      </c>
      <c r="H255" t="s">
        <v>58</v>
      </c>
      <c r="I255" t="s">
        <v>25</v>
      </c>
      <c r="J255" t="s">
        <v>337</v>
      </c>
      <c r="K255">
        <v>29</v>
      </c>
      <c r="L255">
        <v>8</v>
      </c>
      <c r="M255">
        <v>2025</v>
      </c>
      <c r="N255" t="s">
        <v>27</v>
      </c>
      <c r="O255">
        <v>100</v>
      </c>
      <c r="P255">
        <v>100</v>
      </c>
      <c r="R255" s="3" t="str">
        <f>HYPERLINK("https://panda.att.com.mx/ODKServer/view/binaryData?blobKey=FSSuministroFluidosv3%5B%40version%3Dnull+and+%40uiVersion%3Dnull%5D%2Fdata%5B%40key%3Duuid%3A6c6e30ec-4305-4474-9cb7-922756af2c5d%5D%2FgroupInfoFuel%5B%40ordinal%3D1%5D%2FpicFuelRecibeInterno","Descargar")</f>
        <v>Descargar</v>
      </c>
    </row>
    <row r="256" spans="1:18" x14ac:dyDescent="0.3">
      <c r="A256">
        <v>1609282</v>
      </c>
      <c r="B256" t="s">
        <v>18</v>
      </c>
      <c r="C256" t="s">
        <v>19</v>
      </c>
      <c r="D256" t="s">
        <v>156</v>
      </c>
      <c r="E256" t="s">
        <v>317</v>
      </c>
      <c r="F256" t="s">
        <v>22</v>
      </c>
      <c r="G256" t="s">
        <v>23</v>
      </c>
      <c r="H256" t="s">
        <v>24</v>
      </c>
      <c r="I256" t="s">
        <v>25</v>
      </c>
      <c r="J256" t="s">
        <v>338</v>
      </c>
      <c r="K256">
        <v>31</v>
      </c>
      <c r="L256">
        <v>8</v>
      </c>
      <c r="M256">
        <v>2025</v>
      </c>
      <c r="N256" t="s">
        <v>44</v>
      </c>
      <c r="O256">
        <v>54</v>
      </c>
      <c r="P256">
        <v>54</v>
      </c>
      <c r="R256" s="3" t="str">
        <f>HYPERLINK("https://panda.att.com.mx/ODKServer/view/binaryData?blobKey=FSSuministroFluidosv3%5B%40version%3Dnull+and+%40uiVersion%3Dnull%5D%2Fdata%5B%40key%3Duuid%3A8158ffaf-16e5-4ca9-9b8c-a87ecf98acd5%5D%2FgroupInfoFuel%5B%40ordinal%3D1%5D%2FpicFuelRecibeInterno","Descargar")</f>
        <v>Descargar</v>
      </c>
    </row>
    <row r="257" spans="1:18" x14ac:dyDescent="0.3">
      <c r="A257">
        <v>1609271</v>
      </c>
      <c r="B257" t="s">
        <v>18</v>
      </c>
      <c r="C257" t="s">
        <v>19</v>
      </c>
      <c r="D257" t="s">
        <v>45</v>
      </c>
      <c r="E257" t="s">
        <v>186</v>
      </c>
      <c r="F257" t="s">
        <v>22</v>
      </c>
      <c r="G257" t="s">
        <v>23</v>
      </c>
      <c r="H257" t="s">
        <v>24</v>
      </c>
      <c r="I257" t="s">
        <v>25</v>
      </c>
      <c r="J257" t="s">
        <v>339</v>
      </c>
      <c r="K257">
        <v>22</v>
      </c>
      <c r="L257">
        <v>8</v>
      </c>
      <c r="M257">
        <v>2025</v>
      </c>
      <c r="N257" t="s">
        <v>27</v>
      </c>
      <c r="O257">
        <v>300</v>
      </c>
      <c r="P257">
        <v>300</v>
      </c>
      <c r="R257" s="3" t="str">
        <f>HYPERLINK("https://panda.att.com.mx/ODKServer/view/binaryData?blobKey=FSSuministroFluidosv3%5B%40version%3Dnull+and+%40uiVersion%3Dnull%5D%2Fdata%5B%40key%3Duuid%3A782b35af-1f9b-484a-a3c4-f4e206dff3ff%5D%2FgroupInfoFuel%5B%40ordinal%3D1%5D%2FpicFuelRecibeInterno","Descargar")</f>
        <v>Descargar</v>
      </c>
    </row>
    <row r="258" spans="1:18" x14ac:dyDescent="0.3">
      <c r="A258">
        <v>1609263</v>
      </c>
      <c r="B258" t="s">
        <v>18</v>
      </c>
      <c r="C258" t="s">
        <v>19</v>
      </c>
      <c r="D258" t="s">
        <v>45</v>
      </c>
      <c r="E258" t="s">
        <v>186</v>
      </c>
      <c r="F258" t="s">
        <v>22</v>
      </c>
      <c r="G258" t="s">
        <v>23</v>
      </c>
      <c r="H258" t="s">
        <v>24</v>
      </c>
      <c r="I258" t="s">
        <v>25</v>
      </c>
      <c r="J258" t="s">
        <v>340</v>
      </c>
      <c r="K258">
        <v>22</v>
      </c>
      <c r="L258">
        <v>8</v>
      </c>
      <c r="M258">
        <v>2025</v>
      </c>
      <c r="N258" t="s">
        <v>27</v>
      </c>
      <c r="O258">
        <v>300</v>
      </c>
      <c r="P258">
        <v>300</v>
      </c>
      <c r="R258" s="3" t="str">
        <f>HYPERLINK("https://panda.att.com.mx/ODKServer/view/binaryData?blobKey=FSSuministroFluidosv3%5B%40version%3Dnull+and+%40uiVersion%3Dnull%5D%2Fdata%5B%40key%3Duuid%3A6bdd9624-4b32-486a-821e-952f31c76b8d%5D%2FgroupInfoFuel%5B%40ordinal%3D1%5D%2FpicFuelRecibeInterno","Descargar")</f>
        <v>Descargar</v>
      </c>
    </row>
    <row r="259" spans="1:18" x14ac:dyDescent="0.3">
      <c r="A259">
        <v>1609244</v>
      </c>
      <c r="B259" t="s">
        <v>18</v>
      </c>
      <c r="C259" t="s">
        <v>19</v>
      </c>
      <c r="D259" t="s">
        <v>45</v>
      </c>
      <c r="E259" t="s">
        <v>48</v>
      </c>
      <c r="F259" t="s">
        <v>22</v>
      </c>
      <c r="G259" t="s">
        <v>23</v>
      </c>
      <c r="H259" t="s">
        <v>24</v>
      </c>
      <c r="I259" t="s">
        <v>25</v>
      </c>
      <c r="J259" t="s">
        <v>341</v>
      </c>
      <c r="K259">
        <v>12</v>
      </c>
      <c r="L259">
        <v>8</v>
      </c>
      <c r="M259">
        <v>2025</v>
      </c>
      <c r="N259" t="s">
        <v>27</v>
      </c>
      <c r="O259">
        <v>200</v>
      </c>
      <c r="P259">
        <v>200</v>
      </c>
      <c r="R259" s="3" t="str">
        <f>HYPERLINK("https://panda.att.com.mx/ODKServer/view/binaryData?blobKey=FSSuministroFluidosv3%5B%40version%3Dnull+and+%40uiVersion%3Dnull%5D%2Fdata%5B%40key%3Duuid%3A3289710a-7fe6-4d27-973f-c4f627ed9959%5D%2FgroupInfoFuel%5B%40ordinal%3D1%5D%2FpicFuelRecibeInterno","Descargar")</f>
        <v>Descargar</v>
      </c>
    </row>
    <row r="260" spans="1:18" x14ac:dyDescent="0.3">
      <c r="A260">
        <v>1609236</v>
      </c>
      <c r="B260" t="s">
        <v>18</v>
      </c>
      <c r="C260" t="s">
        <v>59</v>
      </c>
      <c r="D260" t="s">
        <v>60</v>
      </c>
      <c r="E260" t="s">
        <v>342</v>
      </c>
      <c r="F260" t="s">
        <v>22</v>
      </c>
      <c r="G260" t="s">
        <v>23</v>
      </c>
      <c r="H260" t="s">
        <v>37</v>
      </c>
      <c r="I260" t="s">
        <v>25</v>
      </c>
      <c r="J260" t="s">
        <v>343</v>
      </c>
      <c r="K260">
        <v>31</v>
      </c>
      <c r="L260">
        <v>8</v>
      </c>
      <c r="M260">
        <v>2025</v>
      </c>
      <c r="N260" t="s">
        <v>27</v>
      </c>
      <c r="O260">
        <v>100</v>
      </c>
      <c r="P260">
        <v>100</v>
      </c>
      <c r="R260" s="3" t="str">
        <f>HYPERLINK("https://panda.att.com.mx/ODKServer/view/binaryData?blobKey=FSSuministroFluidosv3%5B%40version%3Dnull+and+%40uiVersion%3Dnull%5D%2Fdata%5B%40key%3Duuid%3A9622f4ef-aec5-435a-bd90-94082d7b4dff%5D%2FgroupInfoFuel%5B%40ordinal%3D1%5D%2FpicFuelRecibeInterno","Descargar")</f>
        <v>Descargar</v>
      </c>
    </row>
    <row r="261" spans="1:18" x14ac:dyDescent="0.3">
      <c r="A261">
        <v>1609235</v>
      </c>
      <c r="B261" t="s">
        <v>18</v>
      </c>
      <c r="C261" t="s">
        <v>19</v>
      </c>
      <c r="D261" t="s">
        <v>45</v>
      </c>
      <c r="E261" t="s">
        <v>344</v>
      </c>
      <c r="F261" t="s">
        <v>22</v>
      </c>
      <c r="G261" t="s">
        <v>23</v>
      </c>
      <c r="H261" t="s">
        <v>24</v>
      </c>
      <c r="I261" t="s">
        <v>25</v>
      </c>
      <c r="J261" t="s">
        <v>345</v>
      </c>
      <c r="K261">
        <v>17</v>
      </c>
      <c r="L261">
        <v>8</v>
      </c>
      <c r="M261">
        <v>2025</v>
      </c>
      <c r="N261" t="s">
        <v>27</v>
      </c>
      <c r="O261">
        <v>100</v>
      </c>
      <c r="P261">
        <v>100</v>
      </c>
      <c r="R261" s="3" t="str">
        <f>HYPERLINK("https://panda.att.com.mx/ODKServer/view/binaryData?blobKey=FSSuministroFluidosv3%5B%40version%3Dnull+and+%40uiVersion%3Dnull%5D%2Fdata%5B%40key%3Duuid%3A06f7990b-0881-4001-9c60-55ce5205faff%5D%2FgroupInfoFuel%5B%40ordinal%3D1%5D%2FpicFuelRecibeInterno","Descargar")</f>
        <v>Descargar</v>
      </c>
    </row>
    <row r="262" spans="1:18" x14ac:dyDescent="0.3">
      <c r="A262">
        <v>1609229</v>
      </c>
      <c r="B262" t="s">
        <v>18</v>
      </c>
      <c r="C262" t="s">
        <v>19</v>
      </c>
      <c r="D262" t="s">
        <v>45</v>
      </c>
      <c r="E262" t="s">
        <v>130</v>
      </c>
      <c r="F262" t="s">
        <v>22</v>
      </c>
      <c r="G262" t="s">
        <v>23</v>
      </c>
      <c r="H262" t="s">
        <v>24</v>
      </c>
      <c r="I262" t="s">
        <v>25</v>
      </c>
      <c r="J262" t="s">
        <v>346</v>
      </c>
      <c r="K262">
        <v>25</v>
      </c>
      <c r="L262">
        <v>8</v>
      </c>
      <c r="M262">
        <v>2025</v>
      </c>
      <c r="N262" t="s">
        <v>27</v>
      </c>
      <c r="O262">
        <v>300</v>
      </c>
      <c r="P262">
        <v>300</v>
      </c>
      <c r="R262" s="3" t="str">
        <f>HYPERLINK("https://panda.att.com.mx/ODKServer/view/binaryData?blobKey=FSSuministroFluidosv3%5B%40version%3Dnull+and+%40uiVersion%3Dnull%5D%2Fdata%5B%40key%3Duuid%3A9e95b00f-72e0-438c-b5de-16b880715297%5D%2FgroupInfoFuel%5B%40ordinal%3D1%5D%2FpicFuelRecibeInterno","Descargar")</f>
        <v>Descargar</v>
      </c>
    </row>
    <row r="263" spans="1:18" x14ac:dyDescent="0.3">
      <c r="A263">
        <v>1609196</v>
      </c>
      <c r="B263" t="s">
        <v>18</v>
      </c>
      <c r="C263" t="s">
        <v>19</v>
      </c>
      <c r="D263" t="s">
        <v>347</v>
      </c>
      <c r="E263" t="s">
        <v>348</v>
      </c>
      <c r="F263" t="s">
        <v>22</v>
      </c>
      <c r="G263" t="s">
        <v>23</v>
      </c>
      <c r="H263" t="s">
        <v>24</v>
      </c>
      <c r="I263" t="s">
        <v>25</v>
      </c>
      <c r="J263" t="s">
        <v>349</v>
      </c>
      <c r="K263">
        <v>19</v>
      </c>
      <c r="L263">
        <v>8</v>
      </c>
      <c r="M263">
        <v>2025</v>
      </c>
      <c r="N263" t="s">
        <v>44</v>
      </c>
      <c r="O263">
        <v>50</v>
      </c>
      <c r="P263">
        <v>50</v>
      </c>
      <c r="R263" s="3" t="str">
        <f>HYPERLINK("https://panda.att.com.mx/ODKServer/view/binaryData?blobKey=FSSuministroFluidosv3%5B%40version%3Dnull+and+%40uiVersion%3Dnull%5D%2Fdata%5B%40key%3Duuid%3A8aad5aa9-60ea-44de-bc4a-28f1dd13bb83%5D%2FgroupInfoFuel%5B%40ordinal%3D1%5D%2FpicFuelRecibeInterno","Descargar")</f>
        <v>Descargar</v>
      </c>
    </row>
    <row r="264" spans="1:18" x14ac:dyDescent="0.3">
      <c r="A264">
        <v>1609192</v>
      </c>
      <c r="B264" t="s">
        <v>18</v>
      </c>
      <c r="C264" t="s">
        <v>19</v>
      </c>
      <c r="D264" t="s">
        <v>347</v>
      </c>
      <c r="E264" t="s">
        <v>348</v>
      </c>
      <c r="F264" t="s">
        <v>22</v>
      </c>
      <c r="G264" t="s">
        <v>23</v>
      </c>
      <c r="H264" t="s">
        <v>24</v>
      </c>
      <c r="I264" t="s">
        <v>25</v>
      </c>
      <c r="J264" t="s">
        <v>350</v>
      </c>
      <c r="K264">
        <v>20</v>
      </c>
      <c r="L264">
        <v>8</v>
      </c>
      <c r="M264">
        <v>2025</v>
      </c>
      <c r="N264" t="s">
        <v>44</v>
      </c>
      <c r="O264">
        <v>50</v>
      </c>
      <c r="P264">
        <v>50</v>
      </c>
      <c r="R264" s="3" t="str">
        <f>HYPERLINK("https://panda.att.com.mx/ODKServer/view/binaryData?blobKey=FSSuministroFluidosv3%5B%40version%3Dnull+and+%40uiVersion%3Dnull%5D%2Fdata%5B%40key%3Duuid%3A4cd18f81-6f61-4f5c-9170-32ae1c36f42b%5D%2FgroupInfoFuel%5B%40ordinal%3D1%5D%2FpicFuelRecibeInterno","Descargar")</f>
        <v>Descargar</v>
      </c>
    </row>
    <row r="265" spans="1:18" x14ac:dyDescent="0.3">
      <c r="A265">
        <v>1609154</v>
      </c>
      <c r="B265" t="s">
        <v>18</v>
      </c>
      <c r="C265" t="s">
        <v>19</v>
      </c>
      <c r="D265" t="s">
        <v>45</v>
      </c>
      <c r="E265" t="s">
        <v>351</v>
      </c>
      <c r="F265" t="s">
        <v>22</v>
      </c>
      <c r="G265" t="s">
        <v>23</v>
      </c>
      <c r="H265" t="s">
        <v>24</v>
      </c>
      <c r="I265" t="s">
        <v>25</v>
      </c>
      <c r="J265" t="s">
        <v>352</v>
      </c>
      <c r="K265">
        <v>31</v>
      </c>
      <c r="L265">
        <v>8</v>
      </c>
      <c r="M265">
        <v>2025</v>
      </c>
      <c r="N265" t="s">
        <v>27</v>
      </c>
      <c r="O265">
        <v>100</v>
      </c>
      <c r="P265">
        <v>100</v>
      </c>
      <c r="R265" s="3" t="str">
        <f>HYPERLINK("https://panda.att.com.mx/ODKServer/view/binaryData?blobKey=FSSuministroFluidosv3%5B%40version%3Dnull+and+%40uiVersion%3Dnull%5D%2Fdata%5B%40key%3Duuid%3Ab1eff618-e006-4dd0-bdc6-f38613bf131a%5D%2FgroupInfoFuel%5B%40ordinal%3D1%5D%2FpicFuelRecibeInterno","Descargar")</f>
        <v>Descargar</v>
      </c>
    </row>
    <row r="266" spans="1:18" x14ac:dyDescent="0.3">
      <c r="A266">
        <v>1609128</v>
      </c>
      <c r="B266" t="s">
        <v>18</v>
      </c>
      <c r="C266" t="s">
        <v>19</v>
      </c>
      <c r="D266" t="s">
        <v>347</v>
      </c>
      <c r="E266" t="s">
        <v>353</v>
      </c>
      <c r="F266" t="s">
        <v>22</v>
      </c>
      <c r="G266" t="s">
        <v>23</v>
      </c>
      <c r="H266" t="s">
        <v>24</v>
      </c>
      <c r="I266" t="s">
        <v>25</v>
      </c>
      <c r="J266" t="s">
        <v>354</v>
      </c>
      <c r="K266">
        <v>19</v>
      </c>
      <c r="L266">
        <v>8</v>
      </c>
      <c r="M266">
        <v>2025</v>
      </c>
      <c r="N266" t="s">
        <v>27</v>
      </c>
      <c r="O266">
        <v>400</v>
      </c>
      <c r="P266">
        <v>400</v>
      </c>
      <c r="R266" s="3" t="str">
        <f>HYPERLINK("https://panda.att.com.mx/ODKServer/view/binaryData?blobKey=FSSuministroFluidosv3%5B%40version%3Dnull+and+%40uiVersion%3Dnull%5D%2Fdata%5B%40key%3Duuid%3A67db295e-ffd2-4267-99b7-81e5cf32b6bc%5D%2FgroupInfoFuel%5B%40ordinal%3D1%5D%2FpicFuelRecibeInterno","Descargar")</f>
        <v>Descargar</v>
      </c>
    </row>
    <row r="267" spans="1:18" x14ac:dyDescent="0.3">
      <c r="A267">
        <v>1609122</v>
      </c>
      <c r="B267" t="s">
        <v>18</v>
      </c>
      <c r="C267" t="s">
        <v>19</v>
      </c>
      <c r="D267" t="s">
        <v>45</v>
      </c>
      <c r="E267" t="s">
        <v>351</v>
      </c>
      <c r="F267" t="s">
        <v>22</v>
      </c>
      <c r="G267" t="s">
        <v>23</v>
      </c>
      <c r="H267" t="s">
        <v>24</v>
      </c>
      <c r="I267" t="s">
        <v>25</v>
      </c>
      <c r="J267" t="s">
        <v>355</v>
      </c>
      <c r="K267">
        <v>25</v>
      </c>
      <c r="L267">
        <v>8</v>
      </c>
      <c r="M267">
        <v>2025</v>
      </c>
      <c r="N267" t="s">
        <v>27</v>
      </c>
      <c r="O267">
        <v>300</v>
      </c>
      <c r="P267">
        <v>300</v>
      </c>
      <c r="R267" s="3" t="str">
        <f>HYPERLINK("https://panda.att.com.mx/ODKServer/view/binaryData?blobKey=FSSuministroFluidosv3%5B%40version%3Dnull+and+%40uiVersion%3Dnull%5D%2Fdata%5B%40key%3Duuid%3Af3fc1398-5ebe-47b5-9bc4-5f8f2080cab1%5D%2FgroupInfoFuel%5B%40ordinal%3D1%5D%2FpicFuelRecibeInterno","Descargar")</f>
        <v>Descargar</v>
      </c>
    </row>
    <row r="268" spans="1:18" x14ac:dyDescent="0.3">
      <c r="A268">
        <v>1609118</v>
      </c>
      <c r="B268" t="s">
        <v>18</v>
      </c>
      <c r="C268" t="s">
        <v>19</v>
      </c>
      <c r="D268" t="s">
        <v>45</v>
      </c>
      <c r="E268" t="s">
        <v>130</v>
      </c>
      <c r="F268" t="s">
        <v>22</v>
      </c>
      <c r="G268" t="s">
        <v>23</v>
      </c>
      <c r="H268" t="s">
        <v>24</v>
      </c>
      <c r="I268" t="s">
        <v>25</v>
      </c>
      <c r="J268" t="s">
        <v>356</v>
      </c>
      <c r="K268">
        <v>27</v>
      </c>
      <c r="L268">
        <v>8</v>
      </c>
      <c r="M268">
        <v>2025</v>
      </c>
      <c r="N268" t="s">
        <v>27</v>
      </c>
      <c r="O268">
        <v>100</v>
      </c>
      <c r="P268">
        <v>100</v>
      </c>
      <c r="R268" s="3" t="str">
        <f>HYPERLINK("https://panda.att.com.mx/ODKServer/view/binaryData?blobKey=FSSuministroFluidosv3%5B%40version%3Dnull+and+%40uiVersion%3Dnull%5D%2Fdata%5B%40key%3Duuid%3A9da15e47-733e-494d-94a4-94e25f0fff67%5D%2FgroupInfoFuel%5B%40ordinal%3D1%5D%2FpicFuelRecibeInterno","Descargar")</f>
        <v>Descargar</v>
      </c>
    </row>
    <row r="269" spans="1:18" x14ac:dyDescent="0.3">
      <c r="A269">
        <v>1609110</v>
      </c>
      <c r="B269" t="s">
        <v>18</v>
      </c>
      <c r="C269" t="s">
        <v>59</v>
      </c>
      <c r="D269" t="s">
        <v>357</v>
      </c>
      <c r="E269" t="s">
        <v>358</v>
      </c>
      <c r="F269" t="s">
        <v>33</v>
      </c>
      <c r="G269" t="s">
        <v>23</v>
      </c>
      <c r="H269" t="s">
        <v>37</v>
      </c>
      <c r="I269" t="s">
        <v>25</v>
      </c>
      <c r="J269" t="s">
        <v>359</v>
      </c>
      <c r="K269">
        <v>30</v>
      </c>
      <c r="L269">
        <v>8</v>
      </c>
      <c r="M269">
        <v>2025</v>
      </c>
      <c r="N269" t="s">
        <v>27</v>
      </c>
      <c r="O269">
        <v>250</v>
      </c>
      <c r="P269">
        <v>250</v>
      </c>
      <c r="R269" s="3" t="str">
        <f>HYPERLINK("https://panda.att.com.mx/ODKServer/view/binaryData?blobKey=FSSuministroFluidosv3%5B%40version%3Dnull+and+%40uiVersion%3Dnull%5D%2Fdata%5B%40key%3Duuid%3A886a51e3-6c49-47eb-9db5-00e1b78400b8%5D%2FgroupInfoFuel%5B%40ordinal%3D1%5D%2FpicFuelRecibeInterno","Descargar")</f>
        <v>Descargar</v>
      </c>
    </row>
    <row r="270" spans="1:18" x14ac:dyDescent="0.3">
      <c r="A270">
        <v>1609067</v>
      </c>
      <c r="B270" t="s">
        <v>18</v>
      </c>
      <c r="C270" t="s">
        <v>150</v>
      </c>
      <c r="D270" t="s">
        <v>164</v>
      </c>
      <c r="E270" t="s">
        <v>302</v>
      </c>
      <c r="F270" t="s">
        <v>22</v>
      </c>
      <c r="G270" t="s">
        <v>23</v>
      </c>
      <c r="H270" t="s">
        <v>58</v>
      </c>
      <c r="I270" t="s">
        <v>25</v>
      </c>
      <c r="J270" t="s">
        <v>360</v>
      </c>
      <c r="K270">
        <v>31</v>
      </c>
      <c r="L270">
        <v>8</v>
      </c>
      <c r="M270">
        <v>2025</v>
      </c>
      <c r="N270" t="s">
        <v>27</v>
      </c>
      <c r="O270">
        <v>80</v>
      </c>
      <c r="P270">
        <v>80</v>
      </c>
      <c r="R270" s="3" t="str">
        <f>HYPERLINK("https://panda.att.com.mx/ODKServer/view/binaryData?blobKey=FSSuministroFluidosv3%5B%40version%3Dnull+and+%40uiVersion%3Dnull%5D%2Fdata%5B%40key%3Duuid%3A154f2b00-d11e-421b-bcb3-222c9bce360b%5D%2FgroupInfoFuel%5B%40ordinal%3D1%5D%2FpicFuelRecibeInterno","Descargar")</f>
        <v>Descargar</v>
      </c>
    </row>
    <row r="271" spans="1:18" x14ac:dyDescent="0.3">
      <c r="A271">
        <v>1608985</v>
      </c>
      <c r="B271" t="s">
        <v>18</v>
      </c>
      <c r="C271" t="s">
        <v>28</v>
      </c>
      <c r="D271" t="s">
        <v>118</v>
      </c>
      <c r="E271" t="s">
        <v>361</v>
      </c>
      <c r="F271" t="s">
        <v>22</v>
      </c>
      <c r="G271" t="s">
        <v>23</v>
      </c>
      <c r="H271" t="s">
        <v>24</v>
      </c>
      <c r="I271" t="s">
        <v>25</v>
      </c>
      <c r="J271" t="s">
        <v>362</v>
      </c>
      <c r="K271">
        <v>31</v>
      </c>
      <c r="L271">
        <v>8</v>
      </c>
      <c r="M271">
        <v>2025</v>
      </c>
      <c r="N271" t="s">
        <v>44</v>
      </c>
      <c r="O271">
        <v>40</v>
      </c>
      <c r="P271">
        <v>40</v>
      </c>
      <c r="R271" s="3" t="str">
        <f>HYPERLINK("https://panda.att.com.mx/ODKServer/view/binaryData?blobKey=FSSuministroFluidosv3%5B%40version%3Dnull+and+%40uiVersion%3Dnull%5D%2Fdata%5B%40key%3Duuid%3A73c4646f-2f99-4b0d-bfca-cca5504c163d%5D%2FgroupInfoFuel%5B%40ordinal%3D1%5D%2FpicFuelRecibeInterno","Descargar")</f>
        <v>Descargar</v>
      </c>
    </row>
    <row r="272" spans="1:18" x14ac:dyDescent="0.3">
      <c r="A272">
        <v>1608944</v>
      </c>
      <c r="B272" t="s">
        <v>18</v>
      </c>
      <c r="C272" t="s">
        <v>150</v>
      </c>
      <c r="D272" t="s">
        <v>164</v>
      </c>
      <c r="E272" t="s">
        <v>165</v>
      </c>
      <c r="F272" t="s">
        <v>22</v>
      </c>
      <c r="G272" t="s">
        <v>23</v>
      </c>
      <c r="H272" t="s">
        <v>58</v>
      </c>
      <c r="I272" t="s">
        <v>25</v>
      </c>
      <c r="J272" t="s">
        <v>363</v>
      </c>
      <c r="K272">
        <v>31</v>
      </c>
      <c r="L272">
        <v>8</v>
      </c>
      <c r="M272">
        <v>2025</v>
      </c>
      <c r="N272" t="s">
        <v>27</v>
      </c>
      <c r="O272">
        <v>400</v>
      </c>
      <c r="P272">
        <v>400</v>
      </c>
      <c r="R272" s="3" t="str">
        <f>HYPERLINK("https://panda.att.com.mx/ODKServer/view/binaryData?blobKey=FSSuministroFluidosv3%5B%40version%3Dnull+and+%40uiVersion%3Dnull%5D%2Fdata%5B%40key%3Duuid%3A605be6e7-4c2a-4274-b7d3-23f9835db777%5D%2FgroupInfoFuel%5B%40ordinal%3D1%5D%2FpicFuelRecibeInterno","Descargar")</f>
        <v>Descargar</v>
      </c>
    </row>
    <row r="273" spans="1:18" x14ac:dyDescent="0.3">
      <c r="A273">
        <v>1608922</v>
      </c>
      <c r="B273" t="s">
        <v>18</v>
      </c>
      <c r="C273" t="s">
        <v>19</v>
      </c>
      <c r="D273" t="s">
        <v>347</v>
      </c>
      <c r="E273" t="s">
        <v>364</v>
      </c>
      <c r="F273" t="s">
        <v>22</v>
      </c>
      <c r="G273" t="s">
        <v>83</v>
      </c>
      <c r="H273" t="s">
        <v>24</v>
      </c>
      <c r="I273" t="s">
        <v>25</v>
      </c>
      <c r="J273" t="s">
        <v>365</v>
      </c>
      <c r="K273">
        <v>21</v>
      </c>
      <c r="L273">
        <v>8</v>
      </c>
      <c r="M273">
        <v>2025</v>
      </c>
      <c r="N273" t="s">
        <v>27</v>
      </c>
      <c r="O273">
        <v>300</v>
      </c>
      <c r="P273">
        <v>300</v>
      </c>
      <c r="R273" s="3" t="str">
        <f>HYPERLINK("https://panda.att.com.mx/ODKServer/view/binaryData?blobKey=FSSuministroFluidosv3%5B%40version%3Dnull+and+%40uiVersion%3Dnull%5D%2Fdata%5B%40key%3Duuid%3Ae9df5b8d-c0f2-444b-9b64-2390f19d45b9%5D%2FgroupInfoFuel%5B%40ordinal%3D1%5D%2FpicFuelRecibeInterno","Descargar")</f>
        <v>Descargar</v>
      </c>
    </row>
    <row r="274" spans="1:18" x14ac:dyDescent="0.3">
      <c r="A274">
        <v>1608903</v>
      </c>
      <c r="B274" t="s">
        <v>18</v>
      </c>
      <c r="C274" t="s">
        <v>55</v>
      </c>
      <c r="D274" t="s">
        <v>366</v>
      </c>
      <c r="E274" t="s">
        <v>367</v>
      </c>
      <c r="F274" t="s">
        <v>22</v>
      </c>
      <c r="G274" t="s">
        <v>23</v>
      </c>
      <c r="H274" t="s">
        <v>58</v>
      </c>
      <c r="I274" t="s">
        <v>25</v>
      </c>
      <c r="J274" t="s">
        <v>368</v>
      </c>
      <c r="K274">
        <v>30</v>
      </c>
      <c r="L274">
        <v>8</v>
      </c>
      <c r="M274">
        <v>2025</v>
      </c>
      <c r="N274" t="s">
        <v>27</v>
      </c>
      <c r="O274">
        <v>200</v>
      </c>
      <c r="P274">
        <v>200</v>
      </c>
      <c r="R274" s="3" t="str">
        <f>HYPERLINK("https://panda.att.com.mx/ODKServer/view/binaryData?blobKey=FSSuministroFluidosv3%5B%40version%3Dnull+and+%40uiVersion%3Dnull%5D%2Fdata%5B%40key%3Duuid%3Acfcc07c3-c757-4078-991e-ac27c0d9fc8d%5D%2FgroupInfoFuel%5B%40ordinal%3D1%5D%2FpicFuelRecibeInterno","Descargar")</f>
        <v>Descargar</v>
      </c>
    </row>
    <row r="275" spans="1:18" x14ac:dyDescent="0.3">
      <c r="A275">
        <v>1608862</v>
      </c>
      <c r="B275" t="s">
        <v>18</v>
      </c>
      <c r="C275" t="s">
        <v>19</v>
      </c>
      <c r="D275" t="s">
        <v>347</v>
      </c>
      <c r="E275" t="s">
        <v>369</v>
      </c>
      <c r="F275" t="s">
        <v>22</v>
      </c>
      <c r="G275" t="s">
        <v>23</v>
      </c>
      <c r="H275" t="s">
        <v>24</v>
      </c>
      <c r="I275" t="s">
        <v>25</v>
      </c>
      <c r="J275" t="s">
        <v>370</v>
      </c>
      <c r="K275">
        <v>26</v>
      </c>
      <c r="L275">
        <v>8</v>
      </c>
      <c r="M275">
        <v>2025</v>
      </c>
      <c r="N275" t="s">
        <v>27</v>
      </c>
      <c r="O275">
        <v>200</v>
      </c>
      <c r="Q275">
        <v>200</v>
      </c>
      <c r="R275" s="3" t="str">
        <f>HYPERLINK("https://panda.att.com.mx/ODKServer/view/binaryData?blobKey=FSSuministroFluidosv3%5B%40version%3Dnull+and+%40uiVersion%3Dnull%5D%2Fdata%5B%40key%3Duuid%3A27fce0cf-2dfb-4708-90f5-1148b42fffd7%5D%2FgroupInfoFuel%5B%40ordinal%3D1%5D%2FpicFuelRecibeInterno","Descargar")</f>
        <v>Descargar</v>
      </c>
    </row>
    <row r="276" spans="1:18" x14ac:dyDescent="0.3">
      <c r="A276">
        <v>1608861</v>
      </c>
      <c r="B276" t="s">
        <v>18</v>
      </c>
      <c r="C276" t="s">
        <v>19</v>
      </c>
      <c r="D276" t="s">
        <v>347</v>
      </c>
      <c r="E276" t="s">
        <v>353</v>
      </c>
      <c r="F276" t="s">
        <v>22</v>
      </c>
      <c r="G276" t="s">
        <v>23</v>
      </c>
      <c r="H276" t="s">
        <v>24</v>
      </c>
      <c r="I276" t="s">
        <v>25</v>
      </c>
      <c r="J276" t="s">
        <v>371</v>
      </c>
      <c r="K276">
        <v>26</v>
      </c>
      <c r="L276">
        <v>8</v>
      </c>
      <c r="M276">
        <v>2025</v>
      </c>
      <c r="N276" t="s">
        <v>27</v>
      </c>
      <c r="O276">
        <v>150</v>
      </c>
      <c r="P276">
        <v>150</v>
      </c>
      <c r="R276" s="3" t="str">
        <f>HYPERLINK("https://panda.att.com.mx/ODKServer/view/binaryData?blobKey=FSSuministroFluidosv3%5B%40version%3Dnull+and+%40uiVersion%3Dnull%5D%2Fdata%5B%40key%3Duuid%3A5906778b-820c-4245-b6bd-4e3167f72547%5D%2FgroupInfoFuel%5B%40ordinal%3D1%5D%2FpicFuelRecibeInterno","Descargar")</f>
        <v>Descargar</v>
      </c>
    </row>
    <row r="277" spans="1:18" x14ac:dyDescent="0.3">
      <c r="A277">
        <v>1608860</v>
      </c>
      <c r="B277" t="s">
        <v>18</v>
      </c>
      <c r="C277" t="s">
        <v>19</v>
      </c>
      <c r="D277" t="s">
        <v>347</v>
      </c>
      <c r="E277" t="s">
        <v>353</v>
      </c>
      <c r="F277" t="s">
        <v>22</v>
      </c>
      <c r="G277" t="s">
        <v>23</v>
      </c>
      <c r="H277" t="s">
        <v>24</v>
      </c>
      <c r="I277" t="s">
        <v>25</v>
      </c>
      <c r="J277" t="s">
        <v>372</v>
      </c>
      <c r="K277">
        <v>26</v>
      </c>
      <c r="L277">
        <v>8</v>
      </c>
      <c r="M277">
        <v>2025</v>
      </c>
      <c r="N277" t="s">
        <v>27</v>
      </c>
      <c r="O277">
        <v>300</v>
      </c>
      <c r="P277">
        <v>300</v>
      </c>
      <c r="R277" s="3" t="str">
        <f>HYPERLINK("https://panda.att.com.mx/ODKServer/view/binaryData?blobKey=FSSuministroFluidosv3%5B%40version%3Dnull+and+%40uiVersion%3Dnull%5D%2Fdata%5B%40key%3Duuid%3Ad972c3f8-3fd8-4f39-8376-3e88c34f74e4%5D%2FgroupInfoFuel%5B%40ordinal%3D1%5D%2FpicFuelRecibeInterno","Descargar")</f>
        <v>Descargar</v>
      </c>
    </row>
    <row r="278" spans="1:18" x14ac:dyDescent="0.3">
      <c r="A278">
        <v>1608859</v>
      </c>
      <c r="B278" t="s">
        <v>18</v>
      </c>
      <c r="C278" t="s">
        <v>19</v>
      </c>
      <c r="D278" t="s">
        <v>347</v>
      </c>
      <c r="E278" t="s">
        <v>353</v>
      </c>
      <c r="F278" t="s">
        <v>22</v>
      </c>
      <c r="G278" t="s">
        <v>23</v>
      </c>
      <c r="H278" t="s">
        <v>24</v>
      </c>
      <c r="I278" t="s">
        <v>25</v>
      </c>
      <c r="J278" t="s">
        <v>373</v>
      </c>
      <c r="K278">
        <v>23</v>
      </c>
      <c r="L278">
        <v>8</v>
      </c>
      <c r="M278">
        <v>2025</v>
      </c>
      <c r="N278" t="s">
        <v>27</v>
      </c>
      <c r="O278">
        <v>400</v>
      </c>
      <c r="P278">
        <v>400</v>
      </c>
      <c r="R278" s="3" t="str">
        <f>HYPERLINK("https://panda.att.com.mx/ODKServer/view/binaryData?blobKey=FSSuministroFluidosv3%5B%40version%3Dnull+and+%40uiVersion%3Dnull%5D%2Fdata%5B%40key%3Duuid%3A140d0d12-7611-4b44-bc23-96187d33bed7%5D%2FgroupInfoFuel%5B%40ordinal%3D1%5D%2FpicFuelRecibeInterno","Descargar")</f>
        <v>Descargar</v>
      </c>
    </row>
    <row r="279" spans="1:18" x14ac:dyDescent="0.3">
      <c r="A279">
        <v>1608853</v>
      </c>
      <c r="B279" t="s">
        <v>18</v>
      </c>
      <c r="C279" t="s">
        <v>19</v>
      </c>
      <c r="D279" t="s">
        <v>45</v>
      </c>
      <c r="E279" t="s">
        <v>374</v>
      </c>
      <c r="F279" t="s">
        <v>22</v>
      </c>
      <c r="G279" t="s">
        <v>23</v>
      </c>
      <c r="H279" t="s">
        <v>24</v>
      </c>
      <c r="I279" t="s">
        <v>25</v>
      </c>
      <c r="J279" t="s">
        <v>375</v>
      </c>
      <c r="K279">
        <v>9</v>
      </c>
      <c r="L279">
        <v>8</v>
      </c>
      <c r="M279">
        <v>2025</v>
      </c>
      <c r="N279" t="s">
        <v>27</v>
      </c>
      <c r="O279">
        <v>200</v>
      </c>
      <c r="P279">
        <v>200</v>
      </c>
      <c r="R279" s="3" t="str">
        <f>HYPERLINK("https://panda.att.com.mx/ODKServer/view/binaryData?blobKey=FSSuministroFluidosv3%5B%40version%3Dnull+and+%40uiVersion%3Dnull%5D%2Fdata%5B%40key%3Duuid%3Ab2965415-c664-4bef-9a70-ce778431eb73%5D%2FgroupInfoFuel%5B%40ordinal%3D1%5D%2FpicFuelRecibeInterno","Descargar")</f>
        <v>Descargar</v>
      </c>
    </row>
    <row r="280" spans="1:18" x14ac:dyDescent="0.3">
      <c r="A280">
        <v>1608797</v>
      </c>
      <c r="B280" t="s">
        <v>18</v>
      </c>
      <c r="C280" t="s">
        <v>19</v>
      </c>
      <c r="D280" t="s">
        <v>170</v>
      </c>
      <c r="E280" t="s">
        <v>376</v>
      </c>
      <c r="F280" t="s">
        <v>22</v>
      </c>
      <c r="G280" t="s">
        <v>23</v>
      </c>
      <c r="H280" t="s">
        <v>24</v>
      </c>
      <c r="I280" t="s">
        <v>25</v>
      </c>
      <c r="J280" t="s">
        <v>377</v>
      </c>
      <c r="K280">
        <v>22</v>
      </c>
      <c r="L280">
        <v>8</v>
      </c>
      <c r="M280">
        <v>2025</v>
      </c>
      <c r="N280" t="s">
        <v>27</v>
      </c>
      <c r="O280">
        <v>300</v>
      </c>
      <c r="P280">
        <v>300</v>
      </c>
      <c r="R280" s="3" t="str">
        <f>HYPERLINK("https://panda.att.com.mx/ODKServer/view/binaryData?blobKey=FSSuministroFluidosv3%5B%40version%3Dnull+and+%40uiVersion%3Dnull%5D%2Fdata%5B%40key%3Duuid%3Ab401f36e-feac-4d34-8c19-ca809d31cd84%5D%2FgroupInfoFuel%5B%40ordinal%3D1%5D%2FpicFuelRecibeInterno","Descargar")</f>
        <v>Descargar</v>
      </c>
    </row>
    <row r="281" spans="1:18" x14ac:dyDescent="0.3">
      <c r="A281">
        <v>1608777</v>
      </c>
      <c r="B281" t="s">
        <v>18</v>
      </c>
      <c r="C281" t="s">
        <v>19</v>
      </c>
      <c r="D281" t="s">
        <v>20</v>
      </c>
      <c r="E281" t="s">
        <v>378</v>
      </c>
      <c r="F281" t="s">
        <v>22</v>
      </c>
      <c r="G281" t="s">
        <v>23</v>
      </c>
      <c r="H281" t="s">
        <v>24</v>
      </c>
      <c r="I281" t="s">
        <v>25</v>
      </c>
      <c r="J281" t="s">
        <v>379</v>
      </c>
      <c r="K281">
        <v>29</v>
      </c>
      <c r="L281">
        <v>8</v>
      </c>
      <c r="M281">
        <v>2025</v>
      </c>
      <c r="N281" t="s">
        <v>27</v>
      </c>
      <c r="O281">
        <v>300</v>
      </c>
      <c r="P281">
        <v>300</v>
      </c>
      <c r="R281" s="3" t="str">
        <f>HYPERLINK("https://panda.att.com.mx/ODKServer/view/binaryData?blobKey=FSSuministroFluidosv3%5B%40version%3Dnull+and+%40uiVersion%3Dnull%5D%2Fdata%5B%40key%3Duuid%3A6ea32188-198f-4a08-b735-292bf3f5379b%5D%2FgroupInfoFuel%5B%40ordinal%3D1%5D%2FpicFuelRecibeInterno","Descargar")</f>
        <v>Descargar</v>
      </c>
    </row>
    <row r="282" spans="1:18" x14ac:dyDescent="0.3">
      <c r="A282">
        <v>1608758</v>
      </c>
      <c r="B282" t="s">
        <v>18</v>
      </c>
      <c r="C282" t="s">
        <v>34</v>
      </c>
      <c r="D282" t="s">
        <v>53</v>
      </c>
      <c r="E282" t="s">
        <v>380</v>
      </c>
      <c r="F282" t="s">
        <v>22</v>
      </c>
      <c r="G282" t="s">
        <v>23</v>
      </c>
      <c r="H282" t="s">
        <v>37</v>
      </c>
      <c r="I282" t="s">
        <v>25</v>
      </c>
      <c r="J282" t="s">
        <v>381</v>
      </c>
      <c r="K282">
        <v>25</v>
      </c>
      <c r="L282">
        <v>8</v>
      </c>
      <c r="M282">
        <v>2025</v>
      </c>
      <c r="N282" t="s">
        <v>27</v>
      </c>
      <c r="O282">
        <v>70</v>
      </c>
      <c r="P282">
        <v>70</v>
      </c>
      <c r="R282" s="3" t="str">
        <f>HYPERLINK("https://panda.att.com.mx/ODKServer/view/binaryData?blobKey=FSSuministroFluidosv3%5B%40version%3Dnull+and+%40uiVersion%3Dnull%5D%2Fdata%5B%40key%3Duuid%3Ac67d4a21-07e2-4c1a-8d33-1cb67d908376%5D%2FgroupInfoFuel%5B%40ordinal%3D1%5D%2FpicFuelRecibeInterno","Descargar")</f>
        <v>Descargar</v>
      </c>
    </row>
    <row r="283" spans="1:18" x14ac:dyDescent="0.3">
      <c r="A283">
        <v>1608726</v>
      </c>
      <c r="B283" t="s">
        <v>18</v>
      </c>
      <c r="C283" t="s">
        <v>59</v>
      </c>
      <c r="D283" t="s">
        <v>60</v>
      </c>
      <c r="E283" t="s">
        <v>342</v>
      </c>
      <c r="F283" t="s">
        <v>22</v>
      </c>
      <c r="G283" t="s">
        <v>23</v>
      </c>
      <c r="H283" t="s">
        <v>37</v>
      </c>
      <c r="I283" t="s">
        <v>25</v>
      </c>
      <c r="J283" t="s">
        <v>382</v>
      </c>
      <c r="K283">
        <v>30</v>
      </c>
      <c r="L283">
        <v>8</v>
      </c>
      <c r="M283">
        <v>2025</v>
      </c>
      <c r="N283" t="s">
        <v>27</v>
      </c>
      <c r="O283">
        <v>130</v>
      </c>
      <c r="P283">
        <v>130</v>
      </c>
      <c r="R283" s="3" t="str">
        <f>HYPERLINK("https://panda.att.com.mx/ODKServer/view/binaryData?blobKey=FSSuministroFluidosv3%5B%40version%3Dnull+and+%40uiVersion%3Dnull%5D%2Fdata%5B%40key%3Duuid%3A24fc7b69-69c8-47c4-8d07-b63af8ee3f6d%5D%2FgroupInfoFuel%5B%40ordinal%3D1%5D%2FpicFuelRecibeInterno","Descargar")</f>
        <v>Descargar</v>
      </c>
    </row>
    <row r="284" spans="1:18" x14ac:dyDescent="0.3">
      <c r="A284">
        <v>1608702</v>
      </c>
      <c r="B284" t="s">
        <v>18</v>
      </c>
      <c r="C284" t="s">
        <v>19</v>
      </c>
      <c r="D284" t="s">
        <v>45</v>
      </c>
      <c r="E284" t="s">
        <v>383</v>
      </c>
      <c r="F284" t="s">
        <v>22</v>
      </c>
      <c r="G284" t="s">
        <v>23</v>
      </c>
      <c r="H284" t="s">
        <v>24</v>
      </c>
      <c r="I284" t="s">
        <v>25</v>
      </c>
      <c r="J284" t="s">
        <v>384</v>
      </c>
      <c r="K284">
        <v>27</v>
      </c>
      <c r="L284">
        <v>8</v>
      </c>
      <c r="M284">
        <v>2025</v>
      </c>
      <c r="N284" t="s">
        <v>27</v>
      </c>
      <c r="O284">
        <v>200</v>
      </c>
      <c r="P284">
        <v>200</v>
      </c>
      <c r="R284" s="3" t="str">
        <f>HYPERLINK("https://panda.att.com.mx/ODKServer/view/binaryData?blobKey=FSSuministroFluidosv3%5B%40version%3Dnull+and+%40uiVersion%3Dnull%5D%2Fdata%5B%40key%3Duuid%3A4f9e8f12-e492-45ad-ba00-e8b7c1f12ebb%5D%2FgroupInfoFuel%5B%40ordinal%3D1%5D%2FpicFuelRecibeInterno","Descargar")</f>
        <v>Descargar</v>
      </c>
    </row>
    <row r="285" spans="1:18" x14ac:dyDescent="0.3">
      <c r="A285">
        <v>1608690</v>
      </c>
      <c r="B285" t="s">
        <v>18</v>
      </c>
      <c r="C285" t="s">
        <v>167</v>
      </c>
      <c r="D285" t="s">
        <v>385</v>
      </c>
      <c r="E285" t="s">
        <v>386</v>
      </c>
      <c r="F285" t="s">
        <v>22</v>
      </c>
      <c r="G285" t="s">
        <v>23</v>
      </c>
      <c r="H285" t="s">
        <v>58</v>
      </c>
      <c r="I285" t="s">
        <v>25</v>
      </c>
      <c r="J285" t="s">
        <v>387</v>
      </c>
      <c r="K285">
        <v>28</v>
      </c>
      <c r="L285">
        <v>8</v>
      </c>
      <c r="M285">
        <v>2025</v>
      </c>
      <c r="N285" t="s">
        <v>27</v>
      </c>
      <c r="O285">
        <v>150</v>
      </c>
      <c r="P285">
        <v>150</v>
      </c>
      <c r="R285" s="3" t="str">
        <f>HYPERLINK("https://panda.att.com.mx/ODKServer/view/binaryData?blobKey=FSSuministroFluidosv3%5B%40version%3Dnull+and+%40uiVersion%3Dnull%5D%2Fdata%5B%40key%3Duuid%3Af799f006-3835-4610-8027-cd143f67eb0b%5D%2FgroupInfoFuel%5B%40ordinal%3D1%5D%2FpicFuelRecibeInterno","Descargar")</f>
        <v>Descargar</v>
      </c>
    </row>
    <row r="286" spans="1:18" x14ac:dyDescent="0.3">
      <c r="A286">
        <v>1608652</v>
      </c>
      <c r="B286" t="s">
        <v>18</v>
      </c>
      <c r="C286" t="s">
        <v>55</v>
      </c>
      <c r="D286" t="s">
        <v>128</v>
      </c>
      <c r="E286" t="s">
        <v>129</v>
      </c>
      <c r="F286" t="s">
        <v>22</v>
      </c>
      <c r="G286" t="s">
        <v>23</v>
      </c>
      <c r="H286" t="s">
        <v>58</v>
      </c>
      <c r="I286" t="s">
        <v>25</v>
      </c>
      <c r="J286" t="s">
        <v>388</v>
      </c>
      <c r="K286">
        <v>30</v>
      </c>
      <c r="L286">
        <v>8</v>
      </c>
      <c r="M286">
        <v>2025</v>
      </c>
      <c r="N286" t="s">
        <v>27</v>
      </c>
      <c r="O286">
        <v>300</v>
      </c>
      <c r="P286">
        <v>300</v>
      </c>
      <c r="R286" s="3" t="str">
        <f>HYPERLINK("https://panda.att.com.mx/ODKServer/view/binaryData?blobKey=FSSuministroFluidosv3%5B%40version%3Dnull+and+%40uiVersion%3Dnull%5D%2Fdata%5B%40key%3Duuid%3A6d9ce815-e911-4c37-922d-bf07af07fec1%5D%2FgroupInfoFuel%5B%40ordinal%3D1%5D%2FpicFuelRecibeInterno","Descargar")</f>
        <v>Descargar</v>
      </c>
    </row>
    <row r="287" spans="1:18" x14ac:dyDescent="0.3">
      <c r="A287">
        <v>1608646</v>
      </c>
      <c r="B287" t="s">
        <v>18</v>
      </c>
      <c r="C287" t="s">
        <v>59</v>
      </c>
      <c r="D287" t="s">
        <v>60</v>
      </c>
      <c r="E287" t="s">
        <v>342</v>
      </c>
      <c r="F287" t="s">
        <v>22</v>
      </c>
      <c r="G287" t="s">
        <v>23</v>
      </c>
      <c r="H287" t="s">
        <v>37</v>
      </c>
      <c r="I287" t="s">
        <v>25</v>
      </c>
      <c r="J287" t="s">
        <v>389</v>
      </c>
      <c r="K287">
        <v>28</v>
      </c>
      <c r="L287">
        <v>8</v>
      </c>
      <c r="M287">
        <v>2025</v>
      </c>
      <c r="N287" t="s">
        <v>27</v>
      </c>
      <c r="O287">
        <v>110</v>
      </c>
      <c r="P287">
        <v>110</v>
      </c>
      <c r="R287" s="3" t="str">
        <f>HYPERLINK("https://panda.att.com.mx/ODKServer/view/binaryData?blobKey=FSSuministroFluidosv3%5B%40version%3Dnull+and+%40uiVersion%3Dnull%5D%2Fdata%5B%40key%3Duuid%3A95ba4ce0-f236-42f5-944f-9ab3dd51d6da%5D%2FgroupInfoFuel%5B%40ordinal%3D1%5D%2FpicFuelRecibeInterno","Descargar")</f>
        <v>Descargar</v>
      </c>
    </row>
    <row r="288" spans="1:18" x14ac:dyDescent="0.3">
      <c r="A288">
        <v>1608641</v>
      </c>
      <c r="B288" t="s">
        <v>18</v>
      </c>
      <c r="C288" t="s">
        <v>34</v>
      </c>
      <c r="D288" t="s">
        <v>53</v>
      </c>
      <c r="E288" t="s">
        <v>206</v>
      </c>
      <c r="F288" t="s">
        <v>22</v>
      </c>
      <c r="G288" t="s">
        <v>208</v>
      </c>
      <c r="H288" t="s">
        <v>390</v>
      </c>
      <c r="I288" t="s">
        <v>25</v>
      </c>
      <c r="J288" t="s">
        <v>391</v>
      </c>
      <c r="K288">
        <v>30</v>
      </c>
      <c r="L288">
        <v>8</v>
      </c>
      <c r="M288">
        <v>2025</v>
      </c>
      <c r="N288" t="s">
        <v>27</v>
      </c>
      <c r="O288">
        <v>250</v>
      </c>
      <c r="P288">
        <v>250</v>
      </c>
      <c r="R288" s="3" t="str">
        <f>HYPERLINK("https://panda.att.com.mx/ODKServer/view/binaryData?blobKey=FSSuministroFluidosv3%5B%40version%3Dnull+and+%40uiVersion%3Dnull%5D%2Fdata%5B%40key%3Duuid%3Ae78314c7-f4b7-4c95-9293-6192c546bbd3%5D%2FgroupInfoFuel%5B%40ordinal%3D1%5D%2FpicFuelRecibeInterno","Descargar")</f>
        <v>Descargar</v>
      </c>
    </row>
    <row r="289" spans="1:18" x14ac:dyDescent="0.3">
      <c r="A289">
        <v>1608637</v>
      </c>
      <c r="B289" t="s">
        <v>18</v>
      </c>
      <c r="C289" t="s">
        <v>150</v>
      </c>
      <c r="D289" t="s">
        <v>230</v>
      </c>
      <c r="E289" t="s">
        <v>392</v>
      </c>
      <c r="F289" t="s">
        <v>22</v>
      </c>
      <c r="G289" t="s">
        <v>47</v>
      </c>
      <c r="H289" t="s">
        <v>58</v>
      </c>
      <c r="I289" t="s">
        <v>25</v>
      </c>
      <c r="J289" t="s">
        <v>393</v>
      </c>
      <c r="K289">
        <v>30</v>
      </c>
      <c r="L289">
        <v>8</v>
      </c>
      <c r="M289">
        <v>2025</v>
      </c>
      <c r="N289" t="s">
        <v>27</v>
      </c>
      <c r="O289">
        <v>200</v>
      </c>
      <c r="P289">
        <v>200</v>
      </c>
      <c r="R289" s="3" t="str">
        <f>HYPERLINK("https://panda.att.com.mx/ODKServer/view/binaryData?blobKey=FSSuministroFluidosv3%5B%40version%3Dnull+and+%40uiVersion%3Dnull%5D%2Fdata%5B%40key%3Duuid%3Ad04c76f1-7579-426d-b37f-56a4f45ca152%5D%2FgroupInfoFuel%5B%40ordinal%3D1%5D%2FpicFuelRecibeInterno","Descargar")</f>
        <v>Descargar</v>
      </c>
    </row>
    <row r="290" spans="1:18" x14ac:dyDescent="0.3">
      <c r="A290">
        <v>1608610</v>
      </c>
      <c r="B290" t="s">
        <v>18</v>
      </c>
      <c r="C290" t="s">
        <v>34</v>
      </c>
      <c r="D290" t="s">
        <v>51</v>
      </c>
      <c r="E290" t="s">
        <v>394</v>
      </c>
      <c r="F290" t="s">
        <v>22</v>
      </c>
      <c r="G290" t="s">
        <v>23</v>
      </c>
      <c r="H290" t="s">
        <v>24</v>
      </c>
      <c r="I290" t="s">
        <v>25</v>
      </c>
      <c r="J290" t="s">
        <v>395</v>
      </c>
      <c r="K290">
        <v>30</v>
      </c>
      <c r="L290">
        <v>8</v>
      </c>
      <c r="M290">
        <v>2025</v>
      </c>
      <c r="N290" t="s">
        <v>27</v>
      </c>
      <c r="O290">
        <v>300</v>
      </c>
      <c r="Q290">
        <v>300</v>
      </c>
      <c r="R290" s="3" t="str">
        <f>HYPERLINK("https://panda.att.com.mx/ODKServer/view/binaryData?blobKey=FSSuministroFluidosv3%5B%40version%3Dnull+and+%40uiVersion%3Dnull%5D%2Fdata%5B%40key%3Duuid%3A9ddab42e-137b-4fcc-932a-4d93c34a36c2%5D%2FgroupInfoFuel%5B%40ordinal%3D1%5D%2FpicFuelRecibeInterno","Descargar")</f>
        <v>Descargar</v>
      </c>
    </row>
    <row r="291" spans="1:18" x14ac:dyDescent="0.3">
      <c r="A291">
        <v>1608609</v>
      </c>
      <c r="B291" t="s">
        <v>18</v>
      </c>
      <c r="C291" t="s">
        <v>34</v>
      </c>
      <c r="D291" t="s">
        <v>53</v>
      </c>
      <c r="E291" t="s">
        <v>396</v>
      </c>
      <c r="F291" t="s">
        <v>33</v>
      </c>
      <c r="G291" t="s">
        <v>23</v>
      </c>
      <c r="H291" t="s">
        <v>24</v>
      </c>
      <c r="I291" t="s">
        <v>25</v>
      </c>
      <c r="J291" t="s">
        <v>397</v>
      </c>
      <c r="K291">
        <v>30</v>
      </c>
      <c r="L291">
        <v>8</v>
      </c>
      <c r="M291">
        <v>2025</v>
      </c>
      <c r="N291" t="s">
        <v>27</v>
      </c>
      <c r="O291">
        <v>300</v>
      </c>
      <c r="Q291">
        <v>300</v>
      </c>
      <c r="R291" s="3" t="str">
        <f>HYPERLINK("https://panda.att.com.mx/ODKServer/view/binaryData?blobKey=FSSuministroFluidosv3%5B%40version%3Dnull+and+%40uiVersion%3Dnull%5D%2Fdata%5B%40key%3Duuid%3A9b92ae2c-735b-4262-9d8e-864a2387a59f%5D%2FgroupInfoFuel%5B%40ordinal%3D1%5D%2FpicFuelRecibeInterno","Descargar")</f>
        <v>Descargar</v>
      </c>
    </row>
    <row r="292" spans="1:18" x14ac:dyDescent="0.3">
      <c r="A292">
        <v>1608579</v>
      </c>
      <c r="B292" t="s">
        <v>18</v>
      </c>
      <c r="C292" t="s">
        <v>55</v>
      </c>
      <c r="D292" t="s">
        <v>56</v>
      </c>
      <c r="E292" t="s">
        <v>81</v>
      </c>
      <c r="F292" t="s">
        <v>22</v>
      </c>
      <c r="G292" t="s">
        <v>23</v>
      </c>
      <c r="H292" t="s">
        <v>58</v>
      </c>
      <c r="I292" t="s">
        <v>25</v>
      </c>
      <c r="J292" t="s">
        <v>398</v>
      </c>
      <c r="K292">
        <v>30</v>
      </c>
      <c r="L292">
        <v>8</v>
      </c>
      <c r="M292">
        <v>2025</v>
      </c>
      <c r="N292" t="s">
        <v>27</v>
      </c>
      <c r="O292">
        <v>150</v>
      </c>
      <c r="P292">
        <v>150</v>
      </c>
      <c r="R292" s="3" t="str">
        <f>HYPERLINK("https://panda.att.com.mx/ODKServer/view/binaryData?blobKey=FSSuministroFluidosv3%5B%40version%3Dnull+and+%40uiVersion%3Dnull%5D%2Fdata%5B%40key%3Duuid%3Aa0c453b6-9654-4a62-b4e2-322512d1703b%5D%2FgroupInfoFuel%5B%40ordinal%3D1%5D%2FpicFuelRecibeInterno","Descargar")</f>
        <v>Descargar</v>
      </c>
    </row>
    <row r="293" spans="1:18" x14ac:dyDescent="0.3">
      <c r="A293">
        <v>1608567</v>
      </c>
      <c r="B293" t="s">
        <v>18</v>
      </c>
      <c r="C293" t="s">
        <v>150</v>
      </c>
      <c r="D293" t="s">
        <v>230</v>
      </c>
      <c r="E293" t="s">
        <v>399</v>
      </c>
      <c r="F293" t="s">
        <v>22</v>
      </c>
      <c r="G293" t="s">
        <v>47</v>
      </c>
      <c r="H293" t="s">
        <v>58</v>
      </c>
      <c r="I293" t="s">
        <v>25</v>
      </c>
      <c r="J293" t="s">
        <v>400</v>
      </c>
      <c r="K293">
        <v>30</v>
      </c>
      <c r="L293">
        <v>8</v>
      </c>
      <c r="M293">
        <v>2025</v>
      </c>
      <c r="N293" t="s">
        <v>27</v>
      </c>
      <c r="O293">
        <v>200</v>
      </c>
      <c r="P293">
        <v>200</v>
      </c>
      <c r="R293" s="3" t="str">
        <f>HYPERLINK("https://panda.att.com.mx/ODKServer/view/binaryData?blobKey=FSSuministroFluidosv3%5B%40version%3Dnull+and+%40uiVersion%3Dnull%5D%2Fdata%5B%40key%3Duuid%3Aabed5df5-e49c-4491-8e13-2049d5f250ea%5D%2FgroupInfoFuel%5B%40ordinal%3D1%5D%2FpicFuelRecibeInterno","Descargar")</f>
        <v>Descargar</v>
      </c>
    </row>
    <row r="294" spans="1:18" x14ac:dyDescent="0.3">
      <c r="A294">
        <v>1608564</v>
      </c>
      <c r="B294" t="s">
        <v>18</v>
      </c>
      <c r="C294" t="s">
        <v>28</v>
      </c>
      <c r="D294" t="s">
        <v>118</v>
      </c>
      <c r="E294" t="s">
        <v>401</v>
      </c>
      <c r="F294" t="s">
        <v>22</v>
      </c>
      <c r="G294" t="s">
        <v>23</v>
      </c>
      <c r="H294" t="s">
        <v>24</v>
      </c>
      <c r="I294" t="s">
        <v>25</v>
      </c>
      <c r="J294" t="s">
        <v>402</v>
      </c>
      <c r="K294">
        <v>30</v>
      </c>
      <c r="L294">
        <v>8</v>
      </c>
      <c r="M294">
        <v>2025</v>
      </c>
      <c r="N294" t="s">
        <v>27</v>
      </c>
      <c r="O294">
        <v>100</v>
      </c>
      <c r="P294">
        <v>100</v>
      </c>
      <c r="R294" s="3" t="str">
        <f>HYPERLINK("https://panda.att.com.mx/ODKServer/view/binaryData?blobKey=FSSuministroFluidosv3%5B%40version%3Dnull+and+%40uiVersion%3Dnull%5D%2Fdata%5B%40key%3Duuid%3A07ab8b5a-2ea4-4fd0-a1ce-7eff94b92152%5D%2FgroupInfoFuel%5B%40ordinal%3D1%5D%2FpicFuelRecibeInterno","Descargar")</f>
        <v>Descargar</v>
      </c>
    </row>
    <row r="295" spans="1:18" x14ac:dyDescent="0.3">
      <c r="A295">
        <v>1608557</v>
      </c>
      <c r="B295" t="s">
        <v>18</v>
      </c>
      <c r="C295" t="s">
        <v>167</v>
      </c>
      <c r="D295" t="s">
        <v>253</v>
      </c>
      <c r="E295" t="s">
        <v>403</v>
      </c>
      <c r="F295" t="s">
        <v>22</v>
      </c>
      <c r="G295" t="s">
        <v>23</v>
      </c>
      <c r="H295" t="s">
        <v>58</v>
      </c>
      <c r="I295" t="s">
        <v>25</v>
      </c>
      <c r="J295" t="s">
        <v>404</v>
      </c>
      <c r="K295">
        <v>29</v>
      </c>
      <c r="L295">
        <v>8</v>
      </c>
      <c r="M295">
        <v>2025</v>
      </c>
      <c r="N295" t="s">
        <v>27</v>
      </c>
      <c r="O295">
        <v>300</v>
      </c>
      <c r="P295">
        <v>300</v>
      </c>
      <c r="R295" s="3" t="str">
        <f>HYPERLINK("https://panda.att.com.mx/ODKServer/view/binaryData?blobKey=FSSuministroFluidosv3%5B%40version%3Dnull+and+%40uiVersion%3Dnull%5D%2Fdata%5B%40key%3Duuid%3A7f06e33d-d6b7-448a-80e1-1d912eff073f%5D%2FgroupInfoFuel%5B%40ordinal%3D1%5D%2FpicFuelRecibeInterno","Descargar")</f>
        <v>Descargar</v>
      </c>
    </row>
    <row r="296" spans="1:18" x14ac:dyDescent="0.3">
      <c r="A296">
        <v>1608556</v>
      </c>
      <c r="B296" t="s">
        <v>18</v>
      </c>
      <c r="C296" t="s">
        <v>167</v>
      </c>
      <c r="D296" t="s">
        <v>253</v>
      </c>
      <c r="E296" t="s">
        <v>405</v>
      </c>
      <c r="F296" t="s">
        <v>22</v>
      </c>
      <c r="G296" t="s">
        <v>23</v>
      </c>
      <c r="H296" t="s">
        <v>58</v>
      </c>
      <c r="I296" t="s">
        <v>25</v>
      </c>
      <c r="J296" t="s">
        <v>406</v>
      </c>
      <c r="K296">
        <v>29</v>
      </c>
      <c r="L296">
        <v>8</v>
      </c>
      <c r="M296">
        <v>2025</v>
      </c>
      <c r="N296" t="s">
        <v>27</v>
      </c>
      <c r="O296">
        <v>80</v>
      </c>
      <c r="P296">
        <v>80</v>
      </c>
      <c r="R296" s="3" t="str">
        <f>HYPERLINK("https://panda.att.com.mx/ODKServer/view/binaryData?blobKey=FSSuministroFluidosv3%5B%40version%3Dnull+and+%40uiVersion%3Dnull%5D%2Fdata%5B%40key%3Duuid%3Ac991a076-2033-4fcc-b0b0-d03a550a1532%5D%2FgroupInfoFuel%5B%40ordinal%3D1%5D%2FpicFuelRecibeInterno","Descargar")</f>
        <v>Descargar</v>
      </c>
    </row>
    <row r="297" spans="1:18" x14ac:dyDescent="0.3">
      <c r="A297">
        <v>1608528</v>
      </c>
      <c r="B297" t="s">
        <v>18</v>
      </c>
      <c r="C297" t="s">
        <v>68</v>
      </c>
      <c r="D297" t="s">
        <v>258</v>
      </c>
      <c r="E297" t="s">
        <v>407</v>
      </c>
      <c r="F297" t="s">
        <v>22</v>
      </c>
      <c r="G297" t="s">
        <v>23</v>
      </c>
      <c r="H297" t="s">
        <v>37</v>
      </c>
      <c r="I297" t="s">
        <v>25</v>
      </c>
      <c r="J297" t="s">
        <v>408</v>
      </c>
      <c r="K297">
        <v>28</v>
      </c>
      <c r="L297">
        <v>8</v>
      </c>
      <c r="M297">
        <v>2025</v>
      </c>
      <c r="N297" t="s">
        <v>27</v>
      </c>
      <c r="O297">
        <v>300</v>
      </c>
      <c r="P297">
        <v>300</v>
      </c>
      <c r="R297" s="3" t="str">
        <f>HYPERLINK("https://panda.att.com.mx/ODKServer/view/binaryData?blobKey=FSSuministroFluidosv3%5B%40version%3Dnull+and+%40uiVersion%3Dnull%5D%2Fdata%5B%40key%3Duuid%3A0e85c448-6960-4496-9750-0bcd9fab53ea%5D%2FgroupInfoFuel%5B%40ordinal%3D1%5D%2FpicFuelRecibeInterno","Descargar")</f>
        <v>Descargar</v>
      </c>
    </row>
    <row r="298" spans="1:18" x14ac:dyDescent="0.3">
      <c r="A298">
        <v>1608483</v>
      </c>
      <c r="B298" t="s">
        <v>18</v>
      </c>
      <c r="C298" t="s">
        <v>59</v>
      </c>
      <c r="D298" t="s">
        <v>409</v>
      </c>
      <c r="E298" t="s">
        <v>410</v>
      </c>
      <c r="F298" t="s">
        <v>22</v>
      </c>
      <c r="G298" t="s">
        <v>23</v>
      </c>
      <c r="H298" t="s">
        <v>37</v>
      </c>
      <c r="I298" t="s">
        <v>25</v>
      </c>
      <c r="J298" t="s">
        <v>411</v>
      </c>
      <c r="K298">
        <v>28</v>
      </c>
      <c r="L298">
        <v>8</v>
      </c>
      <c r="M298">
        <v>2025</v>
      </c>
      <c r="N298" t="s">
        <v>27</v>
      </c>
      <c r="O298">
        <v>300</v>
      </c>
      <c r="P298">
        <v>300</v>
      </c>
      <c r="R298" s="3" t="str">
        <f>HYPERLINK("https://panda.att.com.mx/ODKServer/view/binaryData?blobKey=FSSuministroFluidosv3%5B%40version%3Dnull+and+%40uiVersion%3Dnull%5D%2Fdata%5B%40key%3Duuid%3A0560300a-1c05-46e3-b556-69122ac70c53%5D%2FgroupInfoFuel%5B%40ordinal%3D1%5D%2FpicFuelRecibeInterno","Descargar")</f>
        <v>Descargar</v>
      </c>
    </row>
    <row r="299" spans="1:18" x14ac:dyDescent="0.3">
      <c r="A299">
        <v>1608416</v>
      </c>
      <c r="B299" t="s">
        <v>18</v>
      </c>
      <c r="C299" t="s">
        <v>19</v>
      </c>
      <c r="D299" t="s">
        <v>45</v>
      </c>
      <c r="E299" t="s">
        <v>412</v>
      </c>
      <c r="F299" t="s">
        <v>22</v>
      </c>
      <c r="G299" t="s">
        <v>23</v>
      </c>
      <c r="H299" t="s">
        <v>37</v>
      </c>
      <c r="I299" t="s">
        <v>25</v>
      </c>
      <c r="J299" t="s">
        <v>413</v>
      </c>
      <c r="K299">
        <v>29</v>
      </c>
      <c r="L299">
        <v>8</v>
      </c>
      <c r="M299">
        <v>2025</v>
      </c>
      <c r="N299" t="s">
        <v>27</v>
      </c>
      <c r="O299">
        <v>200</v>
      </c>
      <c r="P299">
        <v>200</v>
      </c>
      <c r="R299" s="3" t="str">
        <f>HYPERLINK("https://panda.att.com.mx/ODKServer/view/binaryData?blobKey=FSSuministroFluidosv3%5B%40version%3Dnull+and+%40uiVersion%3Dnull%5D%2Fdata%5B%40key%3Duuid%3Afb7b8d10-7419-47df-bd60-e14f6610b422%5D%2FgroupInfoFuel%5B%40ordinal%3D1%5D%2FpicFuelRecibeInterno","Descargar")</f>
        <v>Descargar</v>
      </c>
    </row>
    <row r="300" spans="1:18" x14ac:dyDescent="0.3">
      <c r="A300">
        <v>1608333</v>
      </c>
      <c r="B300" t="s">
        <v>18</v>
      </c>
      <c r="C300" t="s">
        <v>28</v>
      </c>
      <c r="D300" t="s">
        <v>66</v>
      </c>
      <c r="E300" t="s">
        <v>414</v>
      </c>
      <c r="F300" t="s">
        <v>22</v>
      </c>
      <c r="G300" t="s">
        <v>23</v>
      </c>
      <c r="H300" t="s">
        <v>24</v>
      </c>
      <c r="I300" t="s">
        <v>25</v>
      </c>
      <c r="J300" t="s">
        <v>415</v>
      </c>
      <c r="K300">
        <v>26</v>
      </c>
      <c r="L300">
        <v>8</v>
      </c>
      <c r="M300">
        <v>2025</v>
      </c>
      <c r="N300" t="s">
        <v>44</v>
      </c>
      <c r="O300">
        <v>30</v>
      </c>
      <c r="Q300">
        <v>30</v>
      </c>
      <c r="R300" s="3" t="str">
        <f>HYPERLINK("https://panda.att.com.mx/ODKServer/view/binaryData?blobKey=FSSuministroFluidosv3%5B%40version%3Dnull+and+%40uiVersion%3Dnull%5D%2Fdata%5B%40key%3Duuid%3Aa61e891a-315d-4c3d-b11c-8657fb284b6d%5D%2FgroupInfoFuel%5B%40ordinal%3D1%5D%2FpicFuelRecibeInterno","Descargar")</f>
        <v>Descargar</v>
      </c>
    </row>
    <row r="301" spans="1:18" x14ac:dyDescent="0.3">
      <c r="A301">
        <v>1608067</v>
      </c>
      <c r="B301" t="s">
        <v>18</v>
      </c>
      <c r="C301" t="s">
        <v>28</v>
      </c>
      <c r="D301" t="s">
        <v>118</v>
      </c>
      <c r="E301" t="s">
        <v>416</v>
      </c>
      <c r="F301" t="s">
        <v>22</v>
      </c>
      <c r="G301" t="s">
        <v>23</v>
      </c>
      <c r="H301" t="s">
        <v>24</v>
      </c>
      <c r="I301" t="s">
        <v>25</v>
      </c>
      <c r="J301" t="s">
        <v>417</v>
      </c>
      <c r="K301">
        <v>29</v>
      </c>
      <c r="L301">
        <v>8</v>
      </c>
      <c r="M301">
        <v>2025</v>
      </c>
      <c r="N301" t="s">
        <v>44</v>
      </c>
      <c r="O301">
        <v>35</v>
      </c>
      <c r="P301">
        <v>35</v>
      </c>
      <c r="R301" s="3" t="str">
        <f>HYPERLINK("https://panda.att.com.mx/ODKServer/view/binaryData?blobKey=FSSuministroFluidosv3%5B%40version%3Dnull+and+%40uiVersion%3Dnull%5D%2Fdata%5B%40key%3Duuid%3Aa103d586-bd5f-44a5-becd-3389ee056a2b%5D%2FgroupInfoFuel%5B%40ordinal%3D1%5D%2FpicFuelRecibeInterno","Descargar")</f>
        <v>Descargar</v>
      </c>
    </row>
    <row r="302" spans="1:18" x14ac:dyDescent="0.3">
      <c r="A302">
        <v>1606792</v>
      </c>
      <c r="B302" t="s">
        <v>18</v>
      </c>
      <c r="C302" t="s">
        <v>100</v>
      </c>
      <c r="D302" t="s">
        <v>101</v>
      </c>
      <c r="E302" t="s">
        <v>126</v>
      </c>
      <c r="F302" t="s">
        <v>22</v>
      </c>
      <c r="G302" t="s">
        <v>83</v>
      </c>
      <c r="H302" t="s">
        <v>58</v>
      </c>
      <c r="I302" t="s">
        <v>25</v>
      </c>
      <c r="J302" t="s">
        <v>418</v>
      </c>
      <c r="K302">
        <v>28</v>
      </c>
      <c r="L302">
        <v>8</v>
      </c>
      <c r="M302">
        <v>2025</v>
      </c>
      <c r="N302" t="s">
        <v>27</v>
      </c>
      <c r="O302">
        <v>300</v>
      </c>
      <c r="P302">
        <v>300</v>
      </c>
      <c r="R302" s="3" t="str">
        <f>HYPERLINK("https://panda.att.com.mx/ODKServer/view/binaryData?blobKey=FSSuministroFluidosv3%5B%40version%3Dnull+and+%40uiVersion%3Dnull%5D%2Fdata%5B%40key%3Duuid%3Ac80cd57e-484c-4ab8-a1bc-34336cad3fe0%5D%2FgroupInfoFuel%5B%40ordinal%3D1%5D%2FpicFuelRecibeInterno","Descargar")</f>
        <v>Descargar</v>
      </c>
    </row>
    <row r="303" spans="1:18" x14ac:dyDescent="0.3">
      <c r="A303">
        <v>1606676</v>
      </c>
      <c r="B303" t="s">
        <v>18</v>
      </c>
      <c r="C303" t="s">
        <v>68</v>
      </c>
      <c r="D303" t="s">
        <v>419</v>
      </c>
      <c r="E303" t="s">
        <v>420</v>
      </c>
      <c r="F303" t="s">
        <v>22</v>
      </c>
      <c r="G303" t="s">
        <v>23</v>
      </c>
      <c r="H303" t="s">
        <v>37</v>
      </c>
      <c r="I303" t="s">
        <v>25</v>
      </c>
      <c r="J303" t="s">
        <v>421</v>
      </c>
      <c r="K303">
        <v>28</v>
      </c>
      <c r="L303">
        <v>8</v>
      </c>
      <c r="M303">
        <v>2025</v>
      </c>
      <c r="N303" t="s">
        <v>27</v>
      </c>
      <c r="O303">
        <v>120</v>
      </c>
      <c r="P303">
        <v>120</v>
      </c>
      <c r="R303" s="3" t="str">
        <f>HYPERLINK("https://panda.att.com.mx/ODKServer/view/binaryData?blobKey=FSSuministroFluidosv3%5B%40version%3Dnull+and+%40uiVersion%3Dnull%5D%2Fdata%5B%40key%3Duuid%3A30a99f32-5c15-4a32-926a-764ec265bb5f%5D%2FgroupInfoFuel%5B%40ordinal%3D1%5D%2FpicFuelRecibeInterno","Descargar")</f>
        <v>Descargar</v>
      </c>
    </row>
    <row r="304" spans="1:18" x14ac:dyDescent="0.3">
      <c r="A304">
        <v>1606668</v>
      </c>
      <c r="B304" t="s">
        <v>18</v>
      </c>
      <c r="C304" t="s">
        <v>19</v>
      </c>
      <c r="D304" t="s">
        <v>62</v>
      </c>
      <c r="E304" t="s">
        <v>422</v>
      </c>
      <c r="F304" t="s">
        <v>22</v>
      </c>
      <c r="G304" t="s">
        <v>23</v>
      </c>
      <c r="H304" t="s">
        <v>37</v>
      </c>
      <c r="I304" t="s">
        <v>25</v>
      </c>
      <c r="J304" t="s">
        <v>423</v>
      </c>
      <c r="K304">
        <v>27</v>
      </c>
      <c r="L304">
        <v>8</v>
      </c>
      <c r="M304">
        <v>2025</v>
      </c>
      <c r="N304" t="s">
        <v>44</v>
      </c>
      <c r="O304">
        <v>40</v>
      </c>
      <c r="P304">
        <v>40</v>
      </c>
      <c r="R304" s="3" t="str">
        <f>HYPERLINK("https://panda.att.com.mx/ODKServer/view/binaryData?blobKey=FSSuministroFluidosv3%5B%40version%3Dnull+and+%40uiVersion%3Dnull%5D%2Fdata%5B%40key%3Duuid%3A4c6f6e65-bb87-4401-adda-b2f4b114cd1f%5D%2FgroupInfoFuel%5B%40ordinal%3D1%5D%2FpicFuelRecibeInterno","Descargar")</f>
        <v>Descargar</v>
      </c>
    </row>
    <row r="305" spans="1:18" x14ac:dyDescent="0.3">
      <c r="A305">
        <v>1606553</v>
      </c>
      <c r="B305" t="s">
        <v>18</v>
      </c>
      <c r="C305" t="s">
        <v>59</v>
      </c>
      <c r="D305" t="s">
        <v>60</v>
      </c>
      <c r="E305" t="s">
        <v>424</v>
      </c>
      <c r="F305" t="s">
        <v>22</v>
      </c>
      <c r="G305" t="s">
        <v>23</v>
      </c>
      <c r="H305" t="s">
        <v>37</v>
      </c>
      <c r="I305" t="s">
        <v>25</v>
      </c>
      <c r="J305" t="s">
        <v>425</v>
      </c>
      <c r="K305">
        <v>18</v>
      </c>
      <c r="L305">
        <v>8</v>
      </c>
      <c r="M305">
        <v>2025</v>
      </c>
      <c r="N305" t="s">
        <v>27</v>
      </c>
      <c r="O305">
        <v>280</v>
      </c>
      <c r="P305">
        <v>280</v>
      </c>
      <c r="R305" s="3" t="str">
        <f>HYPERLINK("https://panda.att.com.mx/ODKServer/view/binaryData?blobKey=FSSuministroFluidosv3%5B%40version%3Dnull+and+%40uiVersion%3Dnull%5D%2Fdata%5B%40key%3Duuid%3Af75de4b4-d36c-4dae-8880-28ef7818d642%5D%2FgroupInfoFuel%5B%40ordinal%3D1%5D%2FpicFuelRecibeInterno","Descargar")</f>
        <v>Descargar</v>
      </c>
    </row>
    <row r="306" spans="1:18" x14ac:dyDescent="0.3">
      <c r="A306">
        <v>1606426</v>
      </c>
      <c r="B306" t="s">
        <v>18</v>
      </c>
      <c r="C306" t="s">
        <v>19</v>
      </c>
      <c r="D306" t="s">
        <v>62</v>
      </c>
      <c r="E306" t="s">
        <v>426</v>
      </c>
      <c r="F306" t="s">
        <v>22</v>
      </c>
      <c r="G306" t="s">
        <v>23</v>
      </c>
      <c r="H306" t="s">
        <v>24</v>
      </c>
      <c r="I306" t="s">
        <v>25</v>
      </c>
      <c r="J306" t="s">
        <v>427</v>
      </c>
      <c r="K306">
        <v>26</v>
      </c>
      <c r="L306">
        <v>8</v>
      </c>
      <c r="M306">
        <v>2025</v>
      </c>
      <c r="N306" t="s">
        <v>27</v>
      </c>
      <c r="O306">
        <v>200</v>
      </c>
      <c r="P306">
        <v>200</v>
      </c>
      <c r="R306" s="3" t="str">
        <f>HYPERLINK("https://panda.att.com.mx/ODKServer/view/binaryData?blobKey=FSSuministroFluidosv3%5B%40version%3Dnull+and+%40uiVersion%3Dnull%5D%2Fdata%5B%40key%3Duuid%3Adc910269-8c30-4332-aa9a-77e47d192ccf%5D%2FgroupInfoFuel%5B%40ordinal%3D1%5D%2FpicFuelRecibeInterno","Descargar")</f>
        <v>Descargar</v>
      </c>
    </row>
    <row r="307" spans="1:18" x14ac:dyDescent="0.3">
      <c r="A307">
        <v>1606412</v>
      </c>
      <c r="B307" t="s">
        <v>18</v>
      </c>
      <c r="C307" t="s">
        <v>19</v>
      </c>
      <c r="D307" t="s">
        <v>62</v>
      </c>
      <c r="E307" t="s">
        <v>426</v>
      </c>
      <c r="F307" t="s">
        <v>22</v>
      </c>
      <c r="G307" t="s">
        <v>23</v>
      </c>
      <c r="H307" t="s">
        <v>24</v>
      </c>
      <c r="I307" t="s">
        <v>25</v>
      </c>
      <c r="J307" t="s">
        <v>428</v>
      </c>
      <c r="K307">
        <v>24</v>
      </c>
      <c r="L307">
        <v>8</v>
      </c>
      <c r="M307">
        <v>2025</v>
      </c>
      <c r="N307" t="s">
        <v>27</v>
      </c>
      <c r="O307">
        <v>200</v>
      </c>
      <c r="P307">
        <v>200</v>
      </c>
      <c r="R307" s="3" t="str">
        <f>HYPERLINK("https://panda.att.com.mx/ODKServer/view/binaryData?blobKey=FSSuministroFluidosv3%5B%40version%3Dnull+and+%40uiVersion%3Dnull%5D%2Fdata%5B%40key%3Duuid%3Ac703d153-adaa-41fe-b503-73a3126683da%5D%2FgroupInfoFuel%5B%40ordinal%3D1%5D%2FpicFuelRecibeInterno","Descargar")</f>
        <v>Descargar</v>
      </c>
    </row>
    <row r="308" spans="1:18" x14ac:dyDescent="0.3">
      <c r="A308">
        <v>1606314</v>
      </c>
      <c r="B308" t="s">
        <v>18</v>
      </c>
      <c r="C308" t="s">
        <v>28</v>
      </c>
      <c r="D308" t="s">
        <v>429</v>
      </c>
      <c r="E308" t="s">
        <v>430</v>
      </c>
      <c r="F308" t="s">
        <v>22</v>
      </c>
      <c r="G308" t="s">
        <v>23</v>
      </c>
      <c r="H308" t="s">
        <v>24</v>
      </c>
      <c r="I308" t="s">
        <v>25</v>
      </c>
      <c r="J308" t="s">
        <v>431</v>
      </c>
      <c r="K308">
        <v>27</v>
      </c>
      <c r="L308">
        <v>8</v>
      </c>
      <c r="M308">
        <v>2025</v>
      </c>
      <c r="N308" t="s">
        <v>44</v>
      </c>
      <c r="O308">
        <v>60</v>
      </c>
      <c r="P308">
        <v>60</v>
      </c>
      <c r="R308" s="3" t="str">
        <f>HYPERLINK("https://panda.att.com.mx/ODKServer/view/binaryData?blobKey=FSSuministroFluidosv3%5B%40version%3Dnull+and+%40uiVersion%3Dnull%5D%2Fdata%5B%40key%3Duuid%3A844bae96-e8e3-4b7a-be5a-367e3c167e3a%5D%2FgroupInfoFuel%5B%40ordinal%3D1%5D%2FpicFuelRecibeInterno","Descargar")</f>
        <v>Descargar</v>
      </c>
    </row>
    <row r="309" spans="1:18" x14ac:dyDescent="0.3">
      <c r="A309">
        <v>1606284</v>
      </c>
      <c r="B309" t="s">
        <v>18</v>
      </c>
      <c r="C309" t="s">
        <v>55</v>
      </c>
      <c r="D309" t="s">
        <v>56</v>
      </c>
      <c r="E309" t="s">
        <v>432</v>
      </c>
      <c r="F309" t="s">
        <v>22</v>
      </c>
      <c r="G309" t="s">
        <v>23</v>
      </c>
      <c r="H309" t="s">
        <v>58</v>
      </c>
      <c r="I309" t="s">
        <v>25</v>
      </c>
      <c r="J309" t="s">
        <v>433</v>
      </c>
      <c r="K309">
        <v>17</v>
      </c>
      <c r="L309">
        <v>8</v>
      </c>
      <c r="M309">
        <v>2025</v>
      </c>
      <c r="N309" t="s">
        <v>27</v>
      </c>
      <c r="O309">
        <v>70</v>
      </c>
      <c r="P309">
        <v>70</v>
      </c>
      <c r="R309" s="3" t="str">
        <f>HYPERLINK("https://panda.att.com.mx/ODKServer/view/binaryData?blobKey=FSSuministroFluidosv3%5B%40version%3Dnull+and+%40uiVersion%3Dnull%5D%2Fdata%5B%40key%3Duuid%3Ac78275e4-b318-4852-90cf-c211f6b79912%5D%2FgroupInfoFuel%5B%40ordinal%3D1%5D%2FpicFuelRecibeInterno","Descargar")</f>
        <v>Descargar</v>
      </c>
    </row>
    <row r="310" spans="1:18" x14ac:dyDescent="0.3">
      <c r="A310">
        <v>1606248</v>
      </c>
      <c r="B310" t="s">
        <v>18</v>
      </c>
      <c r="C310" t="s">
        <v>68</v>
      </c>
      <c r="D310" t="s">
        <v>69</v>
      </c>
      <c r="E310" t="s">
        <v>434</v>
      </c>
      <c r="F310" t="s">
        <v>22</v>
      </c>
      <c r="G310" t="s">
        <v>23</v>
      </c>
      <c r="H310" t="s">
        <v>37</v>
      </c>
      <c r="I310" t="s">
        <v>25</v>
      </c>
      <c r="J310" t="s">
        <v>435</v>
      </c>
      <c r="K310">
        <v>27</v>
      </c>
      <c r="L310">
        <v>8</v>
      </c>
      <c r="M310">
        <v>2025</v>
      </c>
      <c r="N310" t="s">
        <v>27</v>
      </c>
      <c r="O310">
        <v>200</v>
      </c>
      <c r="P310">
        <v>200</v>
      </c>
      <c r="R310" s="3" t="str">
        <f>HYPERLINK("https://panda.att.com.mx/ODKServer/view/binaryData?blobKey=FSSuministroFluidosv3%5B%40version%3Dnull+and+%40uiVersion%3Dnull%5D%2Fdata%5B%40key%3Duuid%3A04961d8d-6fc1-4493-8f62-47db3fcd3f09%5D%2FgroupInfoFuel%5B%40ordinal%3D1%5D%2FpicFuelRecibeInterno","Descargar")</f>
        <v>Descargar</v>
      </c>
    </row>
    <row r="311" spans="1:18" x14ac:dyDescent="0.3">
      <c r="A311">
        <v>1606220</v>
      </c>
      <c r="B311" t="s">
        <v>18</v>
      </c>
      <c r="C311" t="s">
        <v>68</v>
      </c>
      <c r="D311" t="s">
        <v>69</v>
      </c>
      <c r="E311" t="s">
        <v>436</v>
      </c>
      <c r="F311" t="s">
        <v>22</v>
      </c>
      <c r="G311" t="s">
        <v>23</v>
      </c>
      <c r="H311" t="s">
        <v>37</v>
      </c>
      <c r="I311" t="s">
        <v>25</v>
      </c>
      <c r="J311" t="s">
        <v>437</v>
      </c>
      <c r="K311">
        <v>27</v>
      </c>
      <c r="L311">
        <v>8</v>
      </c>
      <c r="M311">
        <v>2025</v>
      </c>
      <c r="N311" t="s">
        <v>27</v>
      </c>
      <c r="O311">
        <v>200</v>
      </c>
      <c r="P311">
        <v>200</v>
      </c>
      <c r="R311" s="3" t="str">
        <f>HYPERLINK("https://panda.att.com.mx/ODKServer/view/binaryData?blobKey=FSSuministroFluidosv3%5B%40version%3Dnull+and+%40uiVersion%3Dnull%5D%2Fdata%5B%40key%3Duuid%3A23c65b01-ca7c-4cff-b18b-9e061563cf28%5D%2FgroupInfoFuel%5B%40ordinal%3D1%5D%2FpicFuelRecibeInterno","Descargar")</f>
        <v>Descargar</v>
      </c>
    </row>
    <row r="312" spans="1:18" x14ac:dyDescent="0.3">
      <c r="A312">
        <v>1606181</v>
      </c>
      <c r="B312" t="s">
        <v>18</v>
      </c>
      <c r="C312" t="s">
        <v>55</v>
      </c>
      <c r="D312" t="s">
        <v>128</v>
      </c>
      <c r="E312" t="s">
        <v>438</v>
      </c>
      <c r="F312" t="s">
        <v>22</v>
      </c>
      <c r="G312" t="s">
        <v>23</v>
      </c>
      <c r="H312" t="s">
        <v>58</v>
      </c>
      <c r="I312" t="s">
        <v>25</v>
      </c>
      <c r="J312" t="s">
        <v>439</v>
      </c>
      <c r="K312">
        <v>28</v>
      </c>
      <c r="L312">
        <v>8</v>
      </c>
      <c r="M312">
        <v>2025</v>
      </c>
      <c r="N312" t="s">
        <v>27</v>
      </c>
      <c r="O312">
        <v>250</v>
      </c>
      <c r="P312">
        <v>250</v>
      </c>
      <c r="R312" s="3" t="str">
        <f>HYPERLINK("https://panda.att.com.mx/ODKServer/view/binaryData?blobKey=FSSuministroFluidosv3%5B%40version%3Dnull+and+%40uiVersion%3Dnull%5D%2Fdata%5B%40key%3Duuid%3A03d04bdd-7616-4137-9df2-4dcfa8cdce96%5D%2FgroupInfoFuel%5B%40ordinal%3D1%5D%2FpicFuelRecibeInterno","Descargar")</f>
        <v>Descargar</v>
      </c>
    </row>
    <row r="313" spans="1:18" x14ac:dyDescent="0.3">
      <c r="A313">
        <v>1606176</v>
      </c>
      <c r="B313" t="s">
        <v>18</v>
      </c>
      <c r="C313" t="s">
        <v>55</v>
      </c>
      <c r="D313" t="s">
        <v>288</v>
      </c>
      <c r="E313" t="s">
        <v>440</v>
      </c>
      <c r="F313" t="s">
        <v>22</v>
      </c>
      <c r="G313" t="s">
        <v>23</v>
      </c>
      <c r="H313" t="s">
        <v>58</v>
      </c>
      <c r="I313" t="s">
        <v>25</v>
      </c>
      <c r="J313" t="s">
        <v>441</v>
      </c>
      <c r="K313">
        <v>28</v>
      </c>
      <c r="L313">
        <v>8</v>
      </c>
      <c r="M313">
        <v>2025</v>
      </c>
      <c r="N313" t="s">
        <v>27</v>
      </c>
      <c r="O313">
        <v>300</v>
      </c>
      <c r="P313">
        <v>300</v>
      </c>
      <c r="R313" s="3" t="str">
        <f>HYPERLINK("https://panda.att.com.mx/ODKServer/view/binaryData?blobKey=FSSuministroFluidosv3%5B%40version%3Dnull+and+%40uiVersion%3Dnull%5D%2Fdata%5B%40key%3Duuid%3A5a518865-ae0a-4f06-87ad-5ac9dd64f750%5D%2FgroupInfoFuel%5B%40ordinal%3D1%5D%2FpicFuelRecibeInterno","Descargar")</f>
        <v>Descargar</v>
      </c>
    </row>
    <row r="314" spans="1:18" x14ac:dyDescent="0.3">
      <c r="A314">
        <v>1606160</v>
      </c>
      <c r="B314" t="s">
        <v>18</v>
      </c>
      <c r="C314" t="s">
        <v>167</v>
      </c>
      <c r="D314" t="s">
        <v>268</v>
      </c>
      <c r="E314" t="s">
        <v>442</v>
      </c>
      <c r="F314" t="s">
        <v>33</v>
      </c>
      <c r="G314" t="s">
        <v>23</v>
      </c>
      <c r="H314" t="s">
        <v>58</v>
      </c>
      <c r="I314" t="s">
        <v>25</v>
      </c>
      <c r="J314" t="s">
        <v>443</v>
      </c>
      <c r="K314">
        <v>27</v>
      </c>
      <c r="L314">
        <v>8</v>
      </c>
      <c r="M314">
        <v>2025</v>
      </c>
      <c r="N314" t="s">
        <v>27</v>
      </c>
      <c r="O314">
        <v>200</v>
      </c>
      <c r="P314">
        <v>200</v>
      </c>
      <c r="R314" s="3" t="str">
        <f>HYPERLINK("https://panda.att.com.mx/ODKServer/view/binaryData?blobKey=FSSuministroFluidosv3%5B%40version%3Dnull+and+%40uiVersion%3Dnull%5D%2Fdata%5B%40key%3Duuid%3Ab5a2c592-23f0-4132-bf1b-83369341e0a5%5D%2FgroupInfoFuel%5B%40ordinal%3D1%5D%2FpicFuelRecibeInterno","Descargar")</f>
        <v>Descargar</v>
      </c>
    </row>
    <row r="315" spans="1:18" x14ac:dyDescent="0.3">
      <c r="A315">
        <v>1606149</v>
      </c>
      <c r="B315" t="s">
        <v>18</v>
      </c>
      <c r="C315" t="s">
        <v>19</v>
      </c>
      <c r="D315" t="s">
        <v>156</v>
      </c>
      <c r="E315" t="s">
        <v>444</v>
      </c>
      <c r="F315" t="s">
        <v>22</v>
      </c>
      <c r="G315" t="s">
        <v>23</v>
      </c>
      <c r="H315" t="s">
        <v>24</v>
      </c>
      <c r="I315" t="s">
        <v>25</v>
      </c>
      <c r="J315" t="s">
        <v>445</v>
      </c>
      <c r="K315">
        <v>22</v>
      </c>
      <c r="L315">
        <v>8</v>
      </c>
      <c r="M315">
        <v>2025</v>
      </c>
      <c r="N315" t="s">
        <v>44</v>
      </c>
      <c r="O315">
        <v>55</v>
      </c>
      <c r="P315">
        <v>55</v>
      </c>
      <c r="R315" s="3" t="str">
        <f>HYPERLINK("https://panda.att.com.mx/ODKServer/view/binaryData?blobKey=FSSuministroFluidosv3%5B%40version%3Dnull+and+%40uiVersion%3Dnull%5D%2Fdata%5B%40key%3Duuid%3Aa66902ca-ea6c-4e27-88ab-8998dd9fb7cf%5D%2FgroupInfoFuel%5B%40ordinal%3D1%5D%2FpicFuelRecibeInterno","Descargar")</f>
        <v>Descargar</v>
      </c>
    </row>
    <row r="316" spans="1:18" x14ac:dyDescent="0.3">
      <c r="A316">
        <v>1606127</v>
      </c>
      <c r="B316" t="s">
        <v>18</v>
      </c>
      <c r="C316" t="s">
        <v>59</v>
      </c>
      <c r="D316" t="s">
        <v>446</v>
      </c>
      <c r="E316" t="s">
        <v>447</v>
      </c>
      <c r="F316" t="s">
        <v>22</v>
      </c>
      <c r="G316" t="s">
        <v>23</v>
      </c>
      <c r="H316" t="s">
        <v>37</v>
      </c>
      <c r="I316" t="s">
        <v>25</v>
      </c>
      <c r="J316" t="s">
        <v>448</v>
      </c>
      <c r="K316">
        <v>27</v>
      </c>
      <c r="L316">
        <v>8</v>
      </c>
      <c r="M316">
        <v>2025</v>
      </c>
      <c r="N316" t="s">
        <v>44</v>
      </c>
      <c r="O316">
        <v>30</v>
      </c>
      <c r="P316">
        <v>30</v>
      </c>
      <c r="R316" s="3" t="str">
        <f>HYPERLINK("https://panda.att.com.mx/ODKServer/view/binaryData?blobKey=FSSuministroFluidosv3%5B%40version%3Dnull+and+%40uiVersion%3Dnull%5D%2Fdata%5B%40key%3Duuid%3A62119ba6-de50-4f75-9610-72d514926342%5D%2FgroupInfoFuel%5B%40ordinal%3D1%5D%2FpicFuelRecibeInterno","Descargar")</f>
        <v>Descargar</v>
      </c>
    </row>
    <row r="317" spans="1:18" x14ac:dyDescent="0.3">
      <c r="A317">
        <v>1606090</v>
      </c>
      <c r="B317" t="s">
        <v>18</v>
      </c>
      <c r="C317" t="s">
        <v>28</v>
      </c>
      <c r="D317" t="s">
        <v>177</v>
      </c>
      <c r="E317" t="s">
        <v>449</v>
      </c>
      <c r="F317" t="s">
        <v>22</v>
      </c>
      <c r="G317" t="s">
        <v>23</v>
      </c>
      <c r="H317" t="s">
        <v>24</v>
      </c>
      <c r="I317" t="s">
        <v>25</v>
      </c>
      <c r="J317" t="s">
        <v>450</v>
      </c>
      <c r="K317">
        <v>26</v>
      </c>
      <c r="L317">
        <v>8</v>
      </c>
      <c r="M317">
        <v>2025</v>
      </c>
      <c r="N317" t="s">
        <v>44</v>
      </c>
      <c r="O317">
        <v>40</v>
      </c>
      <c r="P317">
        <v>40</v>
      </c>
      <c r="R317" s="3" t="str">
        <f>HYPERLINK("https://panda.att.com.mx/ODKServer/view/binaryData?blobKey=FSSuministroFluidosv3%5B%40version%3Dnull+and+%40uiVersion%3Dnull%5D%2Fdata%5B%40key%3Duuid%3A1b91f828-717b-4544-b3c6-800532c29d68%5D%2FgroupInfoFuel%5B%40ordinal%3D1%5D%2FpicFuelRecibeInterno","Descargar")</f>
        <v>Descargar</v>
      </c>
    </row>
    <row r="318" spans="1:18" x14ac:dyDescent="0.3">
      <c r="A318">
        <v>1606089</v>
      </c>
      <c r="B318" t="s">
        <v>18</v>
      </c>
      <c r="C318" t="s">
        <v>100</v>
      </c>
      <c r="D318" t="s">
        <v>451</v>
      </c>
      <c r="E318" t="s">
        <v>452</v>
      </c>
      <c r="F318" t="s">
        <v>22</v>
      </c>
      <c r="G318" t="s">
        <v>23</v>
      </c>
      <c r="H318" t="s">
        <v>58</v>
      </c>
      <c r="I318" t="s">
        <v>25</v>
      </c>
      <c r="J318" t="s">
        <v>453</v>
      </c>
      <c r="K318">
        <v>26</v>
      </c>
      <c r="L318">
        <v>8</v>
      </c>
      <c r="M318">
        <v>2025</v>
      </c>
      <c r="N318" t="s">
        <v>44</v>
      </c>
      <c r="O318">
        <v>20</v>
      </c>
      <c r="Q318">
        <v>20</v>
      </c>
      <c r="R318" s="3" t="str">
        <f>HYPERLINK("https://panda.att.com.mx/ODKServer/view/binaryData?blobKey=FSSuministroFluidosv3%5B%40version%3Dnull+and+%40uiVersion%3Dnull%5D%2Fdata%5B%40key%3Duuid%3Adfeabb90-6589-47e5-abde-f05a76b7651e%5D%2FgroupInfoFuel%5B%40ordinal%3D1%5D%2FpicFuelRecibeInterno","Descargar")</f>
        <v>Descargar</v>
      </c>
    </row>
    <row r="319" spans="1:18" x14ac:dyDescent="0.3">
      <c r="A319">
        <v>1606059</v>
      </c>
      <c r="B319" t="s">
        <v>18</v>
      </c>
      <c r="C319" t="s">
        <v>19</v>
      </c>
      <c r="D319" t="s">
        <v>170</v>
      </c>
      <c r="E319" t="s">
        <v>376</v>
      </c>
      <c r="F319" t="s">
        <v>22</v>
      </c>
      <c r="G319" t="s">
        <v>23</v>
      </c>
      <c r="H319" t="s">
        <v>24</v>
      </c>
      <c r="I319" t="s">
        <v>25</v>
      </c>
      <c r="J319" t="s">
        <v>454</v>
      </c>
      <c r="K319">
        <v>21</v>
      </c>
      <c r="L319">
        <v>8</v>
      </c>
      <c r="M319">
        <v>2025</v>
      </c>
      <c r="N319" t="s">
        <v>27</v>
      </c>
      <c r="O319">
        <v>200</v>
      </c>
      <c r="P319">
        <v>200</v>
      </c>
      <c r="R319" s="3" t="str">
        <f>HYPERLINK("https://panda.att.com.mx/ODKServer/view/binaryData?blobKey=FSSuministroFluidosv3%5B%40version%3Dnull+and+%40uiVersion%3Dnull%5D%2Fdata%5B%40key%3Duuid%3A0198e8b0-4dc8-4f84-a659-f11cda948583%5D%2FgroupInfoFuel%5B%40ordinal%3D1%5D%2FpicFuelRecibeInterno","Descargar")</f>
        <v>Descargar</v>
      </c>
    </row>
    <row r="320" spans="1:18" x14ac:dyDescent="0.3">
      <c r="A320">
        <v>1606021</v>
      </c>
      <c r="B320" t="s">
        <v>18</v>
      </c>
      <c r="C320" t="s">
        <v>28</v>
      </c>
      <c r="D320" t="s">
        <v>118</v>
      </c>
      <c r="E320" t="s">
        <v>455</v>
      </c>
      <c r="F320" t="s">
        <v>22</v>
      </c>
      <c r="G320" t="s">
        <v>23</v>
      </c>
      <c r="H320" t="s">
        <v>24</v>
      </c>
      <c r="I320" t="s">
        <v>25</v>
      </c>
      <c r="J320" t="s">
        <v>456</v>
      </c>
      <c r="K320">
        <v>27</v>
      </c>
      <c r="L320">
        <v>8</v>
      </c>
      <c r="M320">
        <v>2025</v>
      </c>
      <c r="N320" t="s">
        <v>27</v>
      </c>
      <c r="O320">
        <v>250</v>
      </c>
      <c r="P320">
        <v>250</v>
      </c>
      <c r="R320" s="3" t="str">
        <f>HYPERLINK("https://panda.att.com.mx/ODKServer/view/binaryData?blobKey=FSSuministroFluidosv3%5B%40version%3Dnull+and+%40uiVersion%3Dnull%5D%2Fdata%5B%40key%3Duuid%3A621ee945-cee7-483a-92eb-c21c622f69fb%5D%2FgroupInfoFuel%5B%40ordinal%3D1%5D%2FpicFuelRecibeInterno","Descargar")</f>
        <v>Descargar</v>
      </c>
    </row>
    <row r="321" spans="1:18" x14ac:dyDescent="0.3">
      <c r="A321">
        <v>1606006</v>
      </c>
      <c r="B321" t="s">
        <v>18</v>
      </c>
      <c r="C321" t="s">
        <v>34</v>
      </c>
      <c r="D321" t="s">
        <v>53</v>
      </c>
      <c r="E321" t="s">
        <v>457</v>
      </c>
      <c r="F321" t="s">
        <v>22</v>
      </c>
      <c r="G321" t="s">
        <v>83</v>
      </c>
      <c r="H321" t="s">
        <v>390</v>
      </c>
      <c r="I321" t="s">
        <v>25</v>
      </c>
      <c r="J321" t="s">
        <v>458</v>
      </c>
      <c r="K321">
        <v>25</v>
      </c>
      <c r="L321">
        <v>8</v>
      </c>
      <c r="M321">
        <v>2025</v>
      </c>
      <c r="N321" t="s">
        <v>27</v>
      </c>
      <c r="O321">
        <v>550</v>
      </c>
      <c r="Q321">
        <v>550</v>
      </c>
      <c r="R321" s="3" t="str">
        <f>HYPERLINK("https://panda.att.com.mx/ODKServer/view/binaryData?blobKey=FSSuministroFluidosv3%5B%40version%3Dnull+and+%40uiVersion%3Dnull%5D%2Fdata%5B%40key%3Duuid%3A93c79db4-eef4-4ea9-8aac-f8d5420e62bf%5D%2FgroupInfoFuel%5B%40ordinal%3D1%5D%2FpicFuelRecibeInterno","Descargar")</f>
        <v>Descargar</v>
      </c>
    </row>
    <row r="322" spans="1:18" x14ac:dyDescent="0.3">
      <c r="A322">
        <v>1606005</v>
      </c>
      <c r="B322" t="s">
        <v>18</v>
      </c>
      <c r="C322" t="s">
        <v>34</v>
      </c>
      <c r="D322" t="s">
        <v>53</v>
      </c>
      <c r="E322" t="s">
        <v>459</v>
      </c>
      <c r="F322" t="s">
        <v>22</v>
      </c>
      <c r="G322" t="s">
        <v>83</v>
      </c>
      <c r="H322" t="s">
        <v>390</v>
      </c>
      <c r="I322" t="s">
        <v>25</v>
      </c>
      <c r="J322" t="s">
        <v>460</v>
      </c>
      <c r="K322">
        <v>25</v>
      </c>
      <c r="L322">
        <v>8</v>
      </c>
      <c r="M322">
        <v>2025</v>
      </c>
      <c r="N322" t="s">
        <v>27</v>
      </c>
      <c r="O322">
        <v>450</v>
      </c>
      <c r="P322">
        <v>450</v>
      </c>
      <c r="R322" s="3" t="str">
        <f>HYPERLINK("https://panda.att.com.mx/ODKServer/view/binaryData?blobKey=FSSuministroFluidosv3%5B%40version%3Dnull+and+%40uiVersion%3Dnull%5D%2Fdata%5B%40key%3Duuid%3Aeb3ab628-373a-4e8c-bca5-fe985818c7fb%5D%2FgroupInfoFuel%5B%40ordinal%3D1%5D%2FpicFuelRecibeInterno","Descargar")</f>
        <v>Descargar</v>
      </c>
    </row>
    <row r="323" spans="1:18" x14ac:dyDescent="0.3">
      <c r="A323">
        <v>1605987</v>
      </c>
      <c r="B323" t="s">
        <v>18</v>
      </c>
      <c r="C323" t="s">
        <v>68</v>
      </c>
      <c r="D323" t="s">
        <v>461</v>
      </c>
      <c r="E323" t="s">
        <v>462</v>
      </c>
      <c r="F323" t="s">
        <v>22</v>
      </c>
      <c r="G323" t="s">
        <v>23</v>
      </c>
      <c r="H323" t="s">
        <v>37</v>
      </c>
      <c r="I323" t="s">
        <v>25</v>
      </c>
      <c r="J323" t="s">
        <v>463</v>
      </c>
      <c r="K323">
        <v>27</v>
      </c>
      <c r="L323">
        <v>8</v>
      </c>
      <c r="M323">
        <v>2025</v>
      </c>
      <c r="N323" t="s">
        <v>27</v>
      </c>
      <c r="O323">
        <v>200</v>
      </c>
      <c r="P323">
        <v>200</v>
      </c>
      <c r="R323" s="3" t="str">
        <f>HYPERLINK("https://panda.att.com.mx/ODKServer/view/binaryData?blobKey=FSSuministroFluidosv3%5B%40version%3Dnull+and+%40uiVersion%3Dnull%5D%2Fdata%5B%40key%3Duuid%3A20c7cc3b-79ba-45af-a014-27dd95f2c6dc%5D%2FgroupInfoFuel%5B%40ordinal%3D1%5D%2FpicFuelRecibeInterno","Descargar")</f>
        <v>Descargar</v>
      </c>
    </row>
    <row r="324" spans="1:18" x14ac:dyDescent="0.3">
      <c r="A324">
        <v>1605986</v>
      </c>
      <c r="B324" t="s">
        <v>18</v>
      </c>
      <c r="C324" t="s">
        <v>68</v>
      </c>
      <c r="D324" t="s">
        <v>91</v>
      </c>
      <c r="E324" t="s">
        <v>464</v>
      </c>
      <c r="F324" t="s">
        <v>22</v>
      </c>
      <c r="G324" t="s">
        <v>23</v>
      </c>
      <c r="H324" t="s">
        <v>37</v>
      </c>
      <c r="I324" t="s">
        <v>25</v>
      </c>
      <c r="J324" t="s">
        <v>465</v>
      </c>
      <c r="K324">
        <v>26</v>
      </c>
      <c r="L324">
        <v>8</v>
      </c>
      <c r="M324">
        <v>2025</v>
      </c>
      <c r="N324" t="s">
        <v>27</v>
      </c>
      <c r="O324">
        <v>250</v>
      </c>
      <c r="Q324">
        <v>250</v>
      </c>
      <c r="R324" s="3" t="str">
        <f>HYPERLINK("https://panda.att.com.mx/ODKServer/view/binaryData?blobKey=FSSuministroFluidosv3%5B%40version%3Dnull+and+%40uiVersion%3Dnull%5D%2Fdata%5B%40key%3Duuid%3A6ac5c216-84e3-46af-87b1-bf898aec5c83%5D%2FgroupInfoFuel%5B%40ordinal%3D1%5D%2FpicFuelRecibeInterno","Descargar")</f>
        <v>Descargar</v>
      </c>
    </row>
    <row r="325" spans="1:18" x14ac:dyDescent="0.3">
      <c r="A325">
        <v>1605939</v>
      </c>
      <c r="B325" t="s">
        <v>18</v>
      </c>
      <c r="C325" t="s">
        <v>19</v>
      </c>
      <c r="D325" t="s">
        <v>45</v>
      </c>
      <c r="E325" t="s">
        <v>186</v>
      </c>
      <c r="F325" t="s">
        <v>22</v>
      </c>
      <c r="G325" t="s">
        <v>23</v>
      </c>
      <c r="H325" t="s">
        <v>24</v>
      </c>
      <c r="I325" t="s">
        <v>25</v>
      </c>
      <c r="J325" t="s">
        <v>466</v>
      </c>
      <c r="K325">
        <v>27</v>
      </c>
      <c r="L325">
        <v>8</v>
      </c>
      <c r="M325">
        <v>2025</v>
      </c>
      <c r="N325" t="s">
        <v>27</v>
      </c>
      <c r="O325">
        <v>300</v>
      </c>
      <c r="P325">
        <v>300</v>
      </c>
      <c r="R325" s="3" t="str">
        <f>HYPERLINK("https://panda.att.com.mx/ODKServer/view/binaryData?blobKey=FSSuministroFluidosv3%5B%40version%3Dnull+and+%40uiVersion%3Dnull%5D%2Fdata%5B%40key%3Duuid%3Ac3b65dc1-de8f-41b0-a873-02a2ad0a02ea%5D%2FgroupInfoFuel%5B%40ordinal%3D1%5D%2FpicFuelRecibeInterno","Descargar")</f>
        <v>Descargar</v>
      </c>
    </row>
    <row r="326" spans="1:18" x14ac:dyDescent="0.3">
      <c r="A326">
        <v>1605924</v>
      </c>
      <c r="B326" t="s">
        <v>18</v>
      </c>
      <c r="C326" t="s">
        <v>28</v>
      </c>
      <c r="D326" t="s">
        <v>467</v>
      </c>
      <c r="E326" t="s">
        <v>468</v>
      </c>
      <c r="F326" t="s">
        <v>22</v>
      </c>
      <c r="G326" t="s">
        <v>23</v>
      </c>
      <c r="H326" t="s">
        <v>24</v>
      </c>
      <c r="I326" t="s">
        <v>25</v>
      </c>
      <c r="J326" t="s">
        <v>469</v>
      </c>
      <c r="K326">
        <v>23</v>
      </c>
      <c r="L326">
        <v>8</v>
      </c>
      <c r="M326">
        <v>2025</v>
      </c>
      <c r="N326" t="s">
        <v>27</v>
      </c>
      <c r="O326">
        <v>700</v>
      </c>
      <c r="P326">
        <v>700</v>
      </c>
      <c r="R326" s="3" t="str">
        <f>HYPERLINK("https://panda.att.com.mx/ODKServer/view/binaryData?blobKey=FSSuministroFluidosv3%5B%40version%3Dnull+and+%40uiVersion%3Dnull%5D%2Fdata%5B%40key%3Duuid%3A09af40c7-72ba-41b0-8c7c-768a7b537304%5D%2FgroupInfoFuel%5B%40ordinal%3D1%5D%2FpicFuelRecibeInterno","Descargar")</f>
        <v>Descargar</v>
      </c>
    </row>
    <row r="327" spans="1:18" x14ac:dyDescent="0.3">
      <c r="A327">
        <v>1610125</v>
      </c>
      <c r="B327" t="s">
        <v>18</v>
      </c>
      <c r="C327" t="s">
        <v>55</v>
      </c>
      <c r="D327" t="s">
        <v>56</v>
      </c>
      <c r="E327" t="s">
        <v>105</v>
      </c>
      <c r="F327" t="s">
        <v>22</v>
      </c>
      <c r="G327" t="s">
        <v>23</v>
      </c>
      <c r="H327" t="s">
        <v>58</v>
      </c>
      <c r="I327" t="s">
        <v>25</v>
      </c>
      <c r="J327" t="s">
        <v>470</v>
      </c>
      <c r="K327">
        <v>30</v>
      </c>
      <c r="L327">
        <v>8</v>
      </c>
      <c r="M327">
        <v>2025</v>
      </c>
      <c r="N327" t="s">
        <v>27</v>
      </c>
      <c r="O327">
        <v>300</v>
      </c>
      <c r="P327">
        <v>300</v>
      </c>
      <c r="R327" s="3" t="str">
        <f>HYPERLINK("https://panda.att.com.mx/ODKServer/view/binaryData?blobKey=FSSuministroFluidosv3%5B%40version%3Dnull+and+%40uiVersion%3Dnull%5D%2Fdata%5B%40key%3Duuid%3A6f73049e-1fc3-4592-9282-f12664804ee9%5D%2FgroupInfoFuel%5B%40ordinal%3D1%5D%2FpicFuelRecibeInterno","Descargar")</f>
        <v>Descargar</v>
      </c>
    </row>
    <row r="328" spans="1:18" x14ac:dyDescent="0.3">
      <c r="A328">
        <v>1610124</v>
      </c>
      <c r="B328" t="s">
        <v>18</v>
      </c>
      <c r="C328" t="s">
        <v>55</v>
      </c>
      <c r="D328" t="s">
        <v>56</v>
      </c>
      <c r="E328" t="s">
        <v>471</v>
      </c>
      <c r="F328" t="s">
        <v>22</v>
      </c>
      <c r="G328" t="s">
        <v>23</v>
      </c>
      <c r="H328" t="s">
        <v>58</v>
      </c>
      <c r="I328" t="s">
        <v>25</v>
      </c>
      <c r="J328" t="s">
        <v>472</v>
      </c>
      <c r="K328">
        <v>30</v>
      </c>
      <c r="L328">
        <v>8</v>
      </c>
      <c r="M328">
        <v>2025</v>
      </c>
      <c r="N328" t="s">
        <v>27</v>
      </c>
      <c r="O328">
        <v>300</v>
      </c>
      <c r="P328">
        <v>300</v>
      </c>
      <c r="R328" s="3" t="str">
        <f>HYPERLINK("https://panda.att.com.mx/ODKServer/view/binaryData?blobKey=FSSuministroFluidosv3%5B%40version%3Dnull+and+%40uiVersion%3Dnull%5D%2Fdata%5B%40key%3Duuid%3A92465e82-412b-4281-97c2-dd2a0a5c33fe%5D%2FgroupInfoFuel%5B%40ordinal%3D1%5D%2FpicFuelRecibeInterno","Descargar")</f>
        <v>Descargar</v>
      </c>
    </row>
    <row r="329" spans="1:18" x14ac:dyDescent="0.3">
      <c r="A329">
        <v>1610110</v>
      </c>
      <c r="B329" t="s">
        <v>18</v>
      </c>
      <c r="C329" t="s">
        <v>19</v>
      </c>
      <c r="D329" t="s">
        <v>189</v>
      </c>
      <c r="E329" t="s">
        <v>473</v>
      </c>
      <c r="F329" t="s">
        <v>22</v>
      </c>
      <c r="G329" t="s">
        <v>23</v>
      </c>
      <c r="H329" t="s">
        <v>24</v>
      </c>
      <c r="I329" t="s">
        <v>25</v>
      </c>
      <c r="J329" t="s">
        <v>474</v>
      </c>
      <c r="K329">
        <v>26</v>
      </c>
      <c r="L329">
        <v>8</v>
      </c>
      <c r="M329">
        <v>2025</v>
      </c>
      <c r="N329" t="s">
        <v>27</v>
      </c>
      <c r="O329">
        <v>150</v>
      </c>
      <c r="P329">
        <v>150</v>
      </c>
      <c r="R329" s="3" t="str">
        <f>HYPERLINK("https://panda.att.com.mx/ODKServer/view/binaryData?blobKey=FSSuministroFluidosv3%5B%40version%3Dnull+and+%40uiVersion%3Dnull%5D%2Fdata%5B%40key%3Duuid%3Af7fcf4b4-4711-427f-938c-2a2ba5e0014d%5D%2FgroupInfoFuel%5B%40ordinal%3D1%5D%2FpicFuelRecibeInterno","Descargar")</f>
        <v>Descargar</v>
      </c>
    </row>
    <row r="330" spans="1:18" x14ac:dyDescent="0.3">
      <c r="A330">
        <v>1610098</v>
      </c>
      <c r="B330" t="s">
        <v>18</v>
      </c>
      <c r="C330" t="s">
        <v>19</v>
      </c>
      <c r="D330" t="s">
        <v>189</v>
      </c>
      <c r="E330" t="s">
        <v>473</v>
      </c>
      <c r="F330" t="s">
        <v>22</v>
      </c>
      <c r="G330" t="s">
        <v>23</v>
      </c>
      <c r="H330" t="s">
        <v>24</v>
      </c>
      <c r="I330" t="s">
        <v>25</v>
      </c>
      <c r="J330" t="s">
        <v>475</v>
      </c>
      <c r="K330">
        <v>28</v>
      </c>
      <c r="L330">
        <v>8</v>
      </c>
      <c r="M330">
        <v>2025</v>
      </c>
      <c r="N330" t="s">
        <v>27</v>
      </c>
      <c r="O330">
        <v>200</v>
      </c>
      <c r="P330">
        <v>200</v>
      </c>
      <c r="R330" s="3" t="str">
        <f>HYPERLINK("https://panda.att.com.mx/ODKServer/view/binaryData?blobKey=FSSuministroFluidosv3%5B%40version%3Dnull+and+%40uiVersion%3Dnull%5D%2Fdata%5B%40key%3Duuid%3Ad48f821c-9d45-4397-ba01-9ebe5a809268%5D%2FgroupInfoFuel%5B%40ordinal%3D1%5D%2FpicFuelRecibeInterno","Descargar")</f>
        <v>Descargar</v>
      </c>
    </row>
    <row r="331" spans="1:18" x14ac:dyDescent="0.3">
      <c r="A331">
        <v>1610086</v>
      </c>
      <c r="B331" t="s">
        <v>18</v>
      </c>
      <c r="C331" t="s">
        <v>68</v>
      </c>
      <c r="D331" t="s">
        <v>116</v>
      </c>
      <c r="E331" t="s">
        <v>476</v>
      </c>
      <c r="F331" t="s">
        <v>22</v>
      </c>
      <c r="G331" t="s">
        <v>23</v>
      </c>
      <c r="H331" t="s">
        <v>37</v>
      </c>
      <c r="I331" t="s">
        <v>25</v>
      </c>
      <c r="J331" s="2">
        <v>45901.626284722217</v>
      </c>
      <c r="K331">
        <v>1</v>
      </c>
      <c r="L331">
        <v>9</v>
      </c>
      <c r="M331">
        <v>2025</v>
      </c>
      <c r="N331" t="s">
        <v>27</v>
      </c>
      <c r="O331">
        <v>130</v>
      </c>
      <c r="P331">
        <v>130</v>
      </c>
      <c r="R331" s="3" t="str">
        <f>HYPERLINK("https://panda.att.com.mx/ODKServer/view/binaryData?blobKey=FSSuministroFluidosv3%5B%40version%3Dnull+and+%40uiVersion%3Dnull%5D%2Fdata%5B%40key%3Duuid%3A203f926b-e0d2-4368-a3ce-f04bb2875135%5D%2FgroupInfoFuel%5B%40ordinal%3D1%5D%2FpicFuelRecibeInterno","Descargar")</f>
        <v>Descargar</v>
      </c>
    </row>
    <row r="332" spans="1:18" x14ac:dyDescent="0.3">
      <c r="A332">
        <v>1610073</v>
      </c>
      <c r="B332" t="s">
        <v>18</v>
      </c>
      <c r="C332" t="s">
        <v>19</v>
      </c>
      <c r="D332" t="s">
        <v>156</v>
      </c>
      <c r="E332" t="s">
        <v>477</v>
      </c>
      <c r="F332" t="s">
        <v>22</v>
      </c>
      <c r="G332" t="s">
        <v>23</v>
      </c>
      <c r="H332" t="s">
        <v>24</v>
      </c>
      <c r="I332" t="s">
        <v>25</v>
      </c>
      <c r="J332" s="2">
        <v>45901.495636574073</v>
      </c>
      <c r="K332">
        <v>1</v>
      </c>
      <c r="L332">
        <v>9</v>
      </c>
      <c r="M332">
        <v>2025</v>
      </c>
      <c r="N332" t="s">
        <v>44</v>
      </c>
      <c r="O332">
        <v>42</v>
      </c>
      <c r="P332">
        <v>42</v>
      </c>
      <c r="R332" s="3" t="str">
        <f>HYPERLINK("https://panda.att.com.mx/ODKServer/view/binaryData?blobKey=FSSuministroFluidosv3%5B%40version%3Dnull+and+%40uiVersion%3Dnull%5D%2Fdata%5B%40key%3Duuid%3Aa2cbffb1-3846-4eea-8a6c-bafb7b245cc1%5D%2FgroupInfoFuel%5B%40ordinal%3D1%5D%2FpicFuelRecibeInterno","Descargar")</f>
        <v>Descargar</v>
      </c>
    </row>
    <row r="333" spans="1:18" x14ac:dyDescent="0.3">
      <c r="A333">
        <v>1610072</v>
      </c>
      <c r="B333" t="s">
        <v>18</v>
      </c>
      <c r="C333" t="s">
        <v>19</v>
      </c>
      <c r="D333" t="s">
        <v>156</v>
      </c>
      <c r="E333" t="s">
        <v>317</v>
      </c>
      <c r="F333" t="s">
        <v>22</v>
      </c>
      <c r="G333" t="s">
        <v>23</v>
      </c>
      <c r="H333" t="s">
        <v>24</v>
      </c>
      <c r="I333" t="s">
        <v>25</v>
      </c>
      <c r="J333" s="2">
        <v>45902.413078703707</v>
      </c>
      <c r="K333">
        <v>2</v>
      </c>
      <c r="L333">
        <v>9</v>
      </c>
      <c r="M333">
        <v>2025</v>
      </c>
      <c r="N333" t="s">
        <v>27</v>
      </c>
      <c r="O333">
        <v>80</v>
      </c>
      <c r="P333">
        <v>80</v>
      </c>
      <c r="R333" s="3" t="str">
        <f>HYPERLINK("https://panda.att.com.mx/ODKServer/view/binaryData?blobKey=FSSuministroFluidosv3%5B%40version%3Dnull+and+%40uiVersion%3Dnull%5D%2Fdata%5B%40key%3Duuid%3A4fde109a-6323-4f75-ba40-97c1cafc428b%5D%2FgroupInfoFuel%5B%40ordinal%3D1%5D%2FpicFuelRecibeInterno","Descargar")</f>
        <v>Descargar</v>
      </c>
    </row>
    <row r="334" spans="1:18" x14ac:dyDescent="0.3">
      <c r="A334">
        <v>1610064</v>
      </c>
      <c r="B334" t="s">
        <v>18</v>
      </c>
      <c r="C334" t="s">
        <v>68</v>
      </c>
      <c r="D334" t="s">
        <v>132</v>
      </c>
      <c r="E334" t="s">
        <v>133</v>
      </c>
      <c r="F334" t="s">
        <v>22</v>
      </c>
      <c r="G334" t="s">
        <v>23</v>
      </c>
      <c r="H334" t="s">
        <v>37</v>
      </c>
      <c r="I334" t="s">
        <v>25</v>
      </c>
      <c r="J334" t="s">
        <v>478</v>
      </c>
      <c r="K334">
        <v>30</v>
      </c>
      <c r="L334">
        <v>8</v>
      </c>
      <c r="M334">
        <v>2025</v>
      </c>
      <c r="N334" t="s">
        <v>27</v>
      </c>
      <c r="O334">
        <v>110</v>
      </c>
      <c r="P334">
        <v>110</v>
      </c>
      <c r="R334" s="3" t="str">
        <f>HYPERLINK("https://panda.att.com.mx/ODKServer/view/binaryData?blobKey=FSSuministroFluidosv3%5B%40version%3Dnull+and+%40uiVersion%3Dnull%5D%2Fdata%5B%40key%3Duuid%3A8ffd7b91-830c-4318-a3ae-10f0a2817328%5D%2FgroupInfoFuel%5B%40ordinal%3D1%5D%2FpicFuelRecibeInterno","Descargar")</f>
        <v>Descargar</v>
      </c>
    </row>
    <row r="335" spans="1:18" x14ac:dyDescent="0.3">
      <c r="A335">
        <v>1610007</v>
      </c>
      <c r="B335" t="s">
        <v>18</v>
      </c>
      <c r="C335" t="s">
        <v>68</v>
      </c>
      <c r="D335" t="s">
        <v>258</v>
      </c>
      <c r="E335" t="s">
        <v>479</v>
      </c>
      <c r="F335" t="s">
        <v>22</v>
      </c>
      <c r="G335" t="s">
        <v>23</v>
      </c>
      <c r="H335" t="s">
        <v>37</v>
      </c>
      <c r="I335" t="s">
        <v>25</v>
      </c>
      <c r="J335" s="2">
        <v>45901.739884259259</v>
      </c>
      <c r="K335">
        <v>1</v>
      </c>
      <c r="L335">
        <v>9</v>
      </c>
      <c r="M335">
        <v>2025</v>
      </c>
      <c r="N335" t="s">
        <v>27</v>
      </c>
      <c r="O335">
        <v>300</v>
      </c>
      <c r="P335">
        <v>300</v>
      </c>
      <c r="R335" s="3" t="str">
        <f>HYPERLINK("https://panda.att.com.mx/ODKServer/view/binaryData?blobKey=FSSuministroFluidosv3%5B%40version%3Dnull+and+%40uiVersion%3Dnull%5D%2Fdata%5B%40key%3Duuid%3A99c33b98-3208-44c9-923b-ee26d4ccf69a%5D%2FgroupInfoFuel%5B%40ordinal%3D1%5D%2FpicFuelRecibeInterno","Descargar")</f>
        <v>Descargar</v>
      </c>
    </row>
    <row r="336" spans="1:18" x14ac:dyDescent="0.3">
      <c r="A336">
        <v>1609937</v>
      </c>
      <c r="B336" t="s">
        <v>18</v>
      </c>
      <c r="C336" t="s">
        <v>19</v>
      </c>
      <c r="D336" t="s">
        <v>156</v>
      </c>
      <c r="E336" t="s">
        <v>480</v>
      </c>
      <c r="F336" t="s">
        <v>22</v>
      </c>
      <c r="G336" t="s">
        <v>23</v>
      </c>
      <c r="H336" t="s">
        <v>24</v>
      </c>
      <c r="I336" t="s">
        <v>25</v>
      </c>
      <c r="J336" t="s">
        <v>481</v>
      </c>
      <c r="K336">
        <v>30</v>
      </c>
      <c r="L336">
        <v>8</v>
      </c>
      <c r="M336">
        <v>2025</v>
      </c>
      <c r="N336" t="s">
        <v>27</v>
      </c>
      <c r="O336">
        <v>300</v>
      </c>
      <c r="Q336">
        <v>300</v>
      </c>
      <c r="R336" s="3" t="str">
        <f>HYPERLINK("https://panda.att.com.mx/ODKServer/view/binaryData?blobKey=FSSuministroFluidosv3%5B%40version%3Dnull+and+%40uiVersion%3Dnull%5D%2Fdata%5B%40key%3Duuid%3A1b00205b-f3b8-45bf-a75a-0c6561e2117e%5D%2FgroupInfoFuel%5B%40ordinal%3D1%5D%2FpicFuelRecibeInterno","Descargar")</f>
        <v>Descargar</v>
      </c>
    </row>
    <row r="337" spans="1:18" x14ac:dyDescent="0.3">
      <c r="A337">
        <v>1609927</v>
      </c>
      <c r="B337" t="s">
        <v>18</v>
      </c>
      <c r="C337" t="s">
        <v>34</v>
      </c>
      <c r="D337" t="s">
        <v>53</v>
      </c>
      <c r="E337" t="s">
        <v>482</v>
      </c>
      <c r="F337" t="s">
        <v>22</v>
      </c>
      <c r="G337" t="s">
        <v>23</v>
      </c>
      <c r="H337" t="s">
        <v>37</v>
      </c>
      <c r="I337" t="s">
        <v>25</v>
      </c>
      <c r="J337" t="s">
        <v>483</v>
      </c>
      <c r="K337">
        <v>29</v>
      </c>
      <c r="L337">
        <v>8</v>
      </c>
      <c r="M337">
        <v>2025</v>
      </c>
      <c r="N337" t="s">
        <v>27</v>
      </c>
      <c r="O337">
        <v>60</v>
      </c>
      <c r="P337">
        <v>60</v>
      </c>
      <c r="R337" s="3" t="str">
        <f>HYPERLINK("https://panda.att.com.mx/ODKServer/view/binaryData?blobKey=FSSuministroFluidosv3%5B%40version%3Dnull+and+%40uiVersion%3Dnull%5D%2Fdata%5B%40key%3Duuid%3Adc2e0db0-2853-42ed-aa33-c019519bdaf5%5D%2FgroupInfoFuel%5B%40ordinal%3D1%5D%2FpicFuelRecibeInterno","Descargar")</f>
        <v>Descargar</v>
      </c>
    </row>
    <row r="338" spans="1:18" x14ac:dyDescent="0.3">
      <c r="A338">
        <v>1609914</v>
      </c>
      <c r="B338" t="s">
        <v>18</v>
      </c>
      <c r="C338" t="s">
        <v>68</v>
      </c>
      <c r="D338" t="s">
        <v>116</v>
      </c>
      <c r="E338" t="s">
        <v>484</v>
      </c>
      <c r="F338" t="s">
        <v>22</v>
      </c>
      <c r="G338" t="s">
        <v>23</v>
      </c>
      <c r="H338" t="s">
        <v>37</v>
      </c>
      <c r="I338" t="s">
        <v>25</v>
      </c>
      <c r="J338" s="2">
        <v>45901.55809027778</v>
      </c>
      <c r="K338">
        <v>1</v>
      </c>
      <c r="L338">
        <v>9</v>
      </c>
      <c r="M338">
        <v>2025</v>
      </c>
      <c r="N338" t="s">
        <v>27</v>
      </c>
      <c r="O338">
        <v>210</v>
      </c>
      <c r="P338">
        <v>210</v>
      </c>
      <c r="R338" s="3" t="str">
        <f>HYPERLINK("https://panda.att.com.mx/ODKServer/view/binaryData?blobKey=FSSuministroFluidosv3%5B%40version%3Dnull+and+%40uiVersion%3Dnull%5D%2Fdata%5B%40key%3Duuid%3Af71a943e-0f2e-45a8-ac7f-4499c6ab0b77%5D%2FgroupInfoFuel%5B%40ordinal%3D1%5D%2FpicFuelRecibeInterno","Descargar")</f>
        <v>Descargar</v>
      </c>
    </row>
    <row r="339" spans="1:18" x14ac:dyDescent="0.3">
      <c r="A339">
        <v>1609900</v>
      </c>
      <c r="B339" t="s">
        <v>18</v>
      </c>
      <c r="C339" t="s">
        <v>34</v>
      </c>
      <c r="D339" t="s">
        <v>71</v>
      </c>
      <c r="E339" t="s">
        <v>72</v>
      </c>
      <c r="F339" t="s">
        <v>22</v>
      </c>
      <c r="G339" t="s">
        <v>23</v>
      </c>
      <c r="H339" t="s">
        <v>37</v>
      </c>
      <c r="I339" t="s">
        <v>25</v>
      </c>
      <c r="J339" s="2">
        <v>45901.802372685182</v>
      </c>
      <c r="K339">
        <v>1</v>
      </c>
      <c r="L339">
        <v>9</v>
      </c>
      <c r="M339">
        <v>2025</v>
      </c>
      <c r="N339" t="s">
        <v>27</v>
      </c>
      <c r="O339">
        <v>250</v>
      </c>
      <c r="P339">
        <v>250</v>
      </c>
      <c r="R339" s="3" t="str">
        <f>HYPERLINK("https://panda.att.com.mx/ODKServer/view/binaryData?blobKey=FSSuministroFluidosv3%5B%40version%3Dnull+and+%40uiVersion%3Dnull%5D%2Fdata%5B%40key%3Duuid%3Ae3b89f38-0bd4-4338-b36e-fae3c6e409b5%5D%2FgroupInfoFuel%5B%40ordinal%3D1%5D%2FpicFuelRecibeInterno","Descargar")</f>
        <v>Descargar</v>
      </c>
    </row>
    <row r="340" spans="1:18" x14ac:dyDescent="0.3">
      <c r="A340">
        <v>1609851</v>
      </c>
      <c r="B340" t="s">
        <v>18</v>
      </c>
      <c r="C340" t="s">
        <v>150</v>
      </c>
      <c r="D340" t="s">
        <v>154</v>
      </c>
      <c r="E340" t="s">
        <v>155</v>
      </c>
      <c r="F340" t="s">
        <v>22</v>
      </c>
      <c r="G340" t="s">
        <v>47</v>
      </c>
      <c r="H340" t="s">
        <v>58</v>
      </c>
      <c r="I340" t="s">
        <v>25</v>
      </c>
      <c r="J340" s="2">
        <v>45901.764282407406</v>
      </c>
      <c r="K340">
        <v>1</v>
      </c>
      <c r="L340">
        <v>9</v>
      </c>
      <c r="M340">
        <v>2025</v>
      </c>
      <c r="N340" t="s">
        <v>27</v>
      </c>
      <c r="O340">
        <v>219.2</v>
      </c>
      <c r="P340">
        <v>219.2</v>
      </c>
      <c r="R340" s="3" t="str">
        <f>HYPERLINK("https://panda.att.com.mx/ODKServer/view/binaryData?blobKey=FSSuministroFluidosv3%5B%40version%3Dnull+and+%40uiVersion%3Dnull%5D%2Fdata%5B%40key%3Duuid%3Ae2e1a08a-6567-4b43-9102-dff339e62e63%5D%2FgroupInfoFuel%5B%40ordinal%3D1%5D%2FpicFuelRecibeInterno","Descargar")</f>
        <v>Descargar</v>
      </c>
    </row>
    <row r="341" spans="1:18" x14ac:dyDescent="0.3">
      <c r="A341">
        <v>1609819</v>
      </c>
      <c r="B341" t="s">
        <v>18</v>
      </c>
      <c r="C341" t="s">
        <v>100</v>
      </c>
      <c r="D341" t="s">
        <v>101</v>
      </c>
      <c r="E341" t="s">
        <v>102</v>
      </c>
      <c r="F341" t="s">
        <v>22</v>
      </c>
      <c r="G341" t="s">
        <v>83</v>
      </c>
      <c r="H341" t="s">
        <v>58</v>
      </c>
      <c r="I341" t="s">
        <v>25</v>
      </c>
      <c r="J341" s="2">
        <v>45901.753067129634</v>
      </c>
      <c r="K341">
        <v>1</v>
      </c>
      <c r="L341">
        <v>9</v>
      </c>
      <c r="M341">
        <v>2025</v>
      </c>
      <c r="N341" t="s">
        <v>27</v>
      </c>
      <c r="O341">
        <v>230</v>
      </c>
      <c r="P341">
        <v>230</v>
      </c>
      <c r="R341" s="3" t="str">
        <f>HYPERLINK("https://panda.att.com.mx/ODKServer/view/binaryData?blobKey=FSSuministroFluidosv3%5B%40version%3Dnull+and+%40uiVersion%3Dnull%5D%2Fdata%5B%40key%3Duuid%3A44d86acf-dafd-4a55-a091-12b3f27b8f38%5D%2FgroupInfoFuel%5B%40ordinal%3D1%5D%2FpicFuelRecibeInterno","Descargar")</f>
        <v>Descargar</v>
      </c>
    </row>
    <row r="342" spans="1:18" x14ac:dyDescent="0.3">
      <c r="A342">
        <v>1609805</v>
      </c>
      <c r="B342" t="s">
        <v>18</v>
      </c>
      <c r="C342" t="s">
        <v>28</v>
      </c>
      <c r="D342" t="s">
        <v>66</v>
      </c>
      <c r="E342" t="s">
        <v>485</v>
      </c>
      <c r="F342" t="s">
        <v>22</v>
      </c>
      <c r="G342" t="s">
        <v>23</v>
      </c>
      <c r="H342" t="s">
        <v>24</v>
      </c>
      <c r="I342" t="s">
        <v>25</v>
      </c>
      <c r="J342" t="s">
        <v>486</v>
      </c>
      <c r="K342">
        <v>29</v>
      </c>
      <c r="L342">
        <v>8</v>
      </c>
      <c r="M342">
        <v>2025</v>
      </c>
      <c r="N342" t="s">
        <v>27</v>
      </c>
      <c r="O342">
        <v>200</v>
      </c>
      <c r="P342">
        <v>200</v>
      </c>
      <c r="R342" s="3" t="str">
        <f>HYPERLINK("https://panda.att.com.mx/ODKServer/view/binaryData?blobKey=FSSuministroFluidosv3%5B%40version%3Dnull+and+%40uiVersion%3Dnull%5D%2Fdata%5B%40key%3Duuid%3Acbc87fc6-124e-4644-9600-c6f3727b6208%5D%2FgroupInfoFuel%5B%40ordinal%3D1%5D%2FpicFuelRecibeInterno","Descargar")</f>
        <v>Descargar</v>
      </c>
    </row>
    <row r="343" spans="1:18" x14ac:dyDescent="0.3">
      <c r="A343">
        <v>1609734</v>
      </c>
      <c r="B343" t="s">
        <v>18</v>
      </c>
      <c r="C343" t="s">
        <v>34</v>
      </c>
      <c r="D343" t="s">
        <v>53</v>
      </c>
      <c r="E343" t="s">
        <v>54</v>
      </c>
      <c r="F343" t="s">
        <v>22</v>
      </c>
      <c r="G343" t="s">
        <v>23</v>
      </c>
      <c r="H343" t="s">
        <v>37</v>
      </c>
      <c r="I343" t="s">
        <v>25</v>
      </c>
      <c r="J343" s="2">
        <v>45901.685925925929</v>
      </c>
      <c r="K343">
        <v>1</v>
      </c>
      <c r="L343">
        <v>9</v>
      </c>
      <c r="M343">
        <v>2025</v>
      </c>
      <c r="N343" t="s">
        <v>27</v>
      </c>
      <c r="O343">
        <v>200</v>
      </c>
      <c r="P343">
        <v>200</v>
      </c>
      <c r="R343" s="3" t="str">
        <f>HYPERLINK("https://panda.att.com.mx/ODKServer/view/binaryData?blobKey=FSSuministroFluidosv3%5B%40version%3Dnull+and+%40uiVersion%3Dnull%5D%2Fdata%5B%40key%3Duuid%3A4dc9148f-4540-4fcf-8ca6-e001efeb620d%5D%2FgroupInfoFuel%5B%40ordinal%3D1%5D%2FpicFuelRecibeInterno","Descargar")</f>
        <v>Descargar</v>
      </c>
    </row>
    <row r="344" spans="1:18" x14ac:dyDescent="0.3">
      <c r="A344">
        <v>1609726</v>
      </c>
      <c r="B344" t="s">
        <v>18</v>
      </c>
      <c r="C344" t="s">
        <v>34</v>
      </c>
      <c r="D344" t="s">
        <v>53</v>
      </c>
      <c r="E344" t="s">
        <v>54</v>
      </c>
      <c r="F344" t="s">
        <v>22</v>
      </c>
      <c r="G344" t="s">
        <v>23</v>
      </c>
      <c r="H344" t="s">
        <v>37</v>
      </c>
      <c r="I344" t="s">
        <v>25</v>
      </c>
      <c r="J344" s="2">
        <v>45901.679826388892</v>
      </c>
      <c r="K344">
        <v>1</v>
      </c>
      <c r="L344">
        <v>9</v>
      </c>
      <c r="M344">
        <v>2025</v>
      </c>
      <c r="N344" t="s">
        <v>27</v>
      </c>
      <c r="O344">
        <v>350</v>
      </c>
      <c r="Q344">
        <v>350</v>
      </c>
      <c r="R344" s="3" t="str">
        <f>HYPERLINK("https://panda.att.com.mx/ODKServer/view/binaryData?blobKey=FSSuministroFluidosv3%5B%40version%3Dnull+and+%40uiVersion%3Dnull%5D%2Fdata%5B%40key%3Duuid%3A2bb90551-4090-4982-acf5-cdd026f38e04%5D%2FgroupInfoFuel%5B%40ordinal%3D1%5D%2FpicFuelRecibeInterno","Descargar")</f>
        <v>Descargar</v>
      </c>
    </row>
    <row r="345" spans="1:18" x14ac:dyDescent="0.3">
      <c r="A345">
        <v>1609692</v>
      </c>
      <c r="B345" t="s">
        <v>18</v>
      </c>
      <c r="C345" t="s">
        <v>19</v>
      </c>
      <c r="D345" t="s">
        <v>62</v>
      </c>
      <c r="E345" t="s">
        <v>63</v>
      </c>
      <c r="F345" t="s">
        <v>22</v>
      </c>
      <c r="G345" t="s">
        <v>23</v>
      </c>
      <c r="H345" t="s">
        <v>24</v>
      </c>
      <c r="I345" t="s">
        <v>25</v>
      </c>
      <c r="J345" s="2">
        <v>45901.699988425928</v>
      </c>
      <c r="K345">
        <v>1</v>
      </c>
      <c r="L345">
        <v>9</v>
      </c>
      <c r="M345">
        <v>2025</v>
      </c>
      <c r="N345" t="s">
        <v>44</v>
      </c>
      <c r="O345">
        <v>44</v>
      </c>
      <c r="P345">
        <v>44</v>
      </c>
      <c r="R345" s="3" t="str">
        <f>HYPERLINK("https://panda.att.com.mx/ODKServer/view/binaryData?blobKey=FSSuministroFluidosv3%5B%40version%3Dnull+and+%40uiVersion%3Dnull%5D%2Fdata%5B%40key%3Duuid%3Aad0b7d11-cd80-4063-8e06-bf627962ee41%5D%2FgroupInfoFuel%5B%40ordinal%3D1%5D%2FpicFuelRecibeInterno","Descargar")</f>
        <v>Descargar</v>
      </c>
    </row>
    <row r="346" spans="1:18" x14ac:dyDescent="0.3">
      <c r="A346">
        <v>1609669</v>
      </c>
      <c r="B346" t="s">
        <v>18</v>
      </c>
      <c r="C346" t="s">
        <v>19</v>
      </c>
      <c r="D346" t="s">
        <v>45</v>
      </c>
      <c r="E346" t="s">
        <v>130</v>
      </c>
      <c r="F346" t="s">
        <v>22</v>
      </c>
      <c r="G346" t="s">
        <v>23</v>
      </c>
      <c r="H346" t="s">
        <v>24</v>
      </c>
      <c r="I346" t="s">
        <v>25</v>
      </c>
      <c r="J346" s="2">
        <v>45901.620150462957</v>
      </c>
      <c r="K346">
        <v>1</v>
      </c>
      <c r="L346">
        <v>9</v>
      </c>
      <c r="M346">
        <v>2025</v>
      </c>
      <c r="N346" t="s">
        <v>27</v>
      </c>
      <c r="O346">
        <v>300</v>
      </c>
      <c r="P346">
        <v>300</v>
      </c>
      <c r="R346" s="3" t="str">
        <f>HYPERLINK("https://panda.att.com.mx/ODKServer/view/binaryData?blobKey=FSSuministroFluidosv3%5B%40version%3Dnull+and+%40uiVersion%3Dnull%5D%2Fdata%5B%40key%3Duuid%3Acda85b1b-e92c-4c78-b334-5509a0c6cb19%5D%2FgroupInfoFuel%5B%40ordinal%3D1%5D%2FpicFuelRecibeInterno","Descargar")</f>
        <v>Descargar</v>
      </c>
    </row>
    <row r="347" spans="1:18" x14ac:dyDescent="0.3">
      <c r="A347">
        <v>1609660</v>
      </c>
      <c r="B347" t="s">
        <v>18</v>
      </c>
      <c r="C347" t="s">
        <v>100</v>
      </c>
      <c r="D347" t="s">
        <v>101</v>
      </c>
      <c r="E347" t="s">
        <v>312</v>
      </c>
      <c r="F347" t="s">
        <v>22</v>
      </c>
      <c r="G347" t="s">
        <v>83</v>
      </c>
      <c r="H347" t="s">
        <v>58</v>
      </c>
      <c r="I347" t="s">
        <v>25</v>
      </c>
      <c r="J347" s="2">
        <v>45901.661319444444</v>
      </c>
      <c r="K347">
        <v>1</v>
      </c>
      <c r="L347">
        <v>9</v>
      </c>
      <c r="M347">
        <v>2025</v>
      </c>
      <c r="N347" t="s">
        <v>27</v>
      </c>
      <c r="O347">
        <v>300</v>
      </c>
      <c r="P347">
        <v>300</v>
      </c>
      <c r="R347" s="3" t="str">
        <f>HYPERLINK("https://panda.att.com.mx/ODKServer/view/binaryData?blobKey=FSSuministroFluidosv3%5B%40version%3Dnull+and+%40uiVersion%3Dnull%5D%2Fdata%5B%40key%3Duuid%3Af23ad1d1-49bc-4b34-82d1-2e4526311943%5D%2FgroupInfoFuel%5B%40ordinal%3D1%5D%2FpicFuelRecibeInterno","Descargar")</f>
        <v>Descargar</v>
      </c>
    </row>
    <row r="348" spans="1:18" x14ac:dyDescent="0.3">
      <c r="A348">
        <v>1609628</v>
      </c>
      <c r="B348" t="s">
        <v>18</v>
      </c>
      <c r="C348" t="s">
        <v>183</v>
      </c>
      <c r="D348" t="s">
        <v>329</v>
      </c>
      <c r="E348" t="s">
        <v>330</v>
      </c>
      <c r="F348" t="s">
        <v>22</v>
      </c>
      <c r="G348" t="s">
        <v>23</v>
      </c>
      <c r="H348" t="s">
        <v>24</v>
      </c>
      <c r="I348" t="s">
        <v>25</v>
      </c>
      <c r="J348" s="2">
        <v>45901.557881944442</v>
      </c>
      <c r="K348">
        <v>1</v>
      </c>
      <c r="L348">
        <v>9</v>
      </c>
      <c r="M348">
        <v>2025</v>
      </c>
      <c r="N348" t="s">
        <v>27</v>
      </c>
      <c r="O348">
        <v>300</v>
      </c>
      <c r="P348">
        <v>300</v>
      </c>
      <c r="R348" s="3" t="str">
        <f>HYPERLINK("https://panda.att.com.mx/ODKServer/view/binaryData?blobKey=FSSuministroFluidosv3%5B%40version%3Dnull+and+%40uiVersion%3Dnull%5D%2Fdata%5B%40key%3Duuid%3Abbff696a-d245-469a-b337-e14df7fd6e3b%5D%2FgroupInfoFuel%5B%40ordinal%3D1%5D%2FpicFuelRecibeInterno","Descargar")</f>
        <v>Descargar</v>
      </c>
    </row>
    <row r="349" spans="1:18" x14ac:dyDescent="0.3">
      <c r="A349">
        <v>1609594</v>
      </c>
      <c r="B349" t="s">
        <v>18</v>
      </c>
      <c r="C349" t="s">
        <v>59</v>
      </c>
      <c r="D349" t="s">
        <v>487</v>
      </c>
      <c r="E349" t="s">
        <v>488</v>
      </c>
      <c r="F349" t="s">
        <v>22</v>
      </c>
      <c r="G349" t="s">
        <v>83</v>
      </c>
      <c r="H349" t="s">
        <v>37</v>
      </c>
      <c r="I349" t="s">
        <v>25</v>
      </c>
      <c r="J349" t="s">
        <v>489</v>
      </c>
      <c r="K349">
        <v>30</v>
      </c>
      <c r="L349">
        <v>8</v>
      </c>
      <c r="M349">
        <v>2025</v>
      </c>
      <c r="N349" t="s">
        <v>27</v>
      </c>
      <c r="O349">
        <v>600</v>
      </c>
      <c r="Q349">
        <v>600</v>
      </c>
      <c r="R349" s="3" t="str">
        <f>HYPERLINK("https://panda.att.com.mx/ODKServer/view/binaryData?blobKey=FSSuministroFluidosv3%5B%40version%3Dnull+and+%40uiVersion%3Dnull%5D%2Fdata%5B%40key%3Duuid%3A84d7163a-f33b-46e2-ac41-74a4543e02ec%5D%2FgroupInfoFuel%5B%40ordinal%3D1%5D%2FpicFuelRecibeInterno","Descargar")</f>
        <v>Descargar</v>
      </c>
    </row>
    <row r="350" spans="1:18" x14ac:dyDescent="0.3">
      <c r="A350">
        <v>1609563</v>
      </c>
      <c r="B350" t="s">
        <v>18</v>
      </c>
      <c r="C350" t="s">
        <v>167</v>
      </c>
      <c r="D350" t="s">
        <v>168</v>
      </c>
      <c r="E350" t="s">
        <v>169</v>
      </c>
      <c r="F350" t="s">
        <v>22</v>
      </c>
      <c r="G350" t="s">
        <v>83</v>
      </c>
      <c r="H350" t="s">
        <v>58</v>
      </c>
      <c r="I350" t="s">
        <v>25</v>
      </c>
      <c r="J350" s="2">
        <v>45901.570115740738</v>
      </c>
      <c r="K350">
        <v>1</v>
      </c>
      <c r="L350">
        <v>9</v>
      </c>
      <c r="M350">
        <v>2025</v>
      </c>
      <c r="N350" t="s">
        <v>27</v>
      </c>
      <c r="O350">
        <v>450</v>
      </c>
      <c r="P350">
        <v>450</v>
      </c>
      <c r="R350" s="3" t="str">
        <f>HYPERLINK("https://panda.att.com.mx/ODKServer/view/binaryData?blobKey=FSSuministroFluidosv3%5B%40version%3Dnull+and+%40uiVersion%3Dnull%5D%2Fdata%5B%40key%3Duuid%3A5325ea28-1c74-444d-a06a-2f9db92338fe%5D%2FgroupInfoFuel%5B%40ordinal%3D1%5D%2FpicFuelRecibeInterno","Descargar")</f>
        <v>Descargar</v>
      </c>
    </row>
    <row r="351" spans="1:18" x14ac:dyDescent="0.3">
      <c r="A351">
        <v>1609562</v>
      </c>
      <c r="B351" t="s">
        <v>18</v>
      </c>
      <c r="C351" t="s">
        <v>19</v>
      </c>
      <c r="D351" t="s">
        <v>347</v>
      </c>
      <c r="E351" t="s">
        <v>353</v>
      </c>
      <c r="F351" t="s">
        <v>22</v>
      </c>
      <c r="G351" t="s">
        <v>23</v>
      </c>
      <c r="H351" t="s">
        <v>24</v>
      </c>
      <c r="I351" t="s">
        <v>25</v>
      </c>
      <c r="J351" t="s">
        <v>490</v>
      </c>
      <c r="K351">
        <v>30</v>
      </c>
      <c r="L351">
        <v>8</v>
      </c>
      <c r="M351">
        <v>2025</v>
      </c>
      <c r="N351" t="s">
        <v>27</v>
      </c>
      <c r="O351">
        <v>300</v>
      </c>
      <c r="P351">
        <v>300</v>
      </c>
      <c r="R351" s="3" t="str">
        <f>HYPERLINK("https://panda.att.com.mx/ODKServer/view/binaryData?blobKey=FSSuministroFluidosv3%5B%40version%3Dnull+and+%40uiVersion%3Dnull%5D%2Fdata%5B%40key%3Duuid%3A0f19849c-dd70-45f0-910b-5b21356e300a%5D%2FgroupInfoFuel%5B%40ordinal%3D1%5D%2FpicFuelRecibeInterno","Descargar")</f>
        <v>Descargar</v>
      </c>
    </row>
    <row r="352" spans="1:18" x14ac:dyDescent="0.3">
      <c r="A352">
        <v>1608037</v>
      </c>
      <c r="B352" t="s">
        <v>18</v>
      </c>
      <c r="C352" t="s">
        <v>34</v>
      </c>
      <c r="D352" t="s">
        <v>53</v>
      </c>
      <c r="E352" t="s">
        <v>491</v>
      </c>
      <c r="F352" t="s">
        <v>22</v>
      </c>
      <c r="G352" t="s">
        <v>23</v>
      </c>
      <c r="H352" t="s">
        <v>37</v>
      </c>
      <c r="I352" t="s">
        <v>25</v>
      </c>
      <c r="J352" t="s">
        <v>492</v>
      </c>
      <c r="K352">
        <v>29</v>
      </c>
      <c r="L352">
        <v>8</v>
      </c>
      <c r="M352">
        <v>2025</v>
      </c>
      <c r="N352" t="s">
        <v>27</v>
      </c>
      <c r="O352">
        <v>300</v>
      </c>
      <c r="Q352">
        <v>300</v>
      </c>
      <c r="R352" s="3" t="str">
        <f>HYPERLINK("https://panda.att.com.mx/ODKServer/view/binaryData?blobKey=FSSuministroFluidosv3%5B%40version%3Dnull+and+%40uiVersion%3Dnull%5D%2Fdata%5B%40key%3Duuid%3A43d9a7ff-8c63-43cd-a417-50a092e71c00%5D%2FgroupInfoFuel%5B%40ordinal%3D1%5D%2FpicFuelRecibeInterno","Descargar")</f>
        <v>Descargar</v>
      </c>
    </row>
    <row r="353" spans="1:18" x14ac:dyDescent="0.3">
      <c r="A353">
        <v>1608032</v>
      </c>
      <c r="B353" t="s">
        <v>18</v>
      </c>
      <c r="C353" t="s">
        <v>19</v>
      </c>
      <c r="D353" t="s">
        <v>156</v>
      </c>
      <c r="E353" t="s">
        <v>493</v>
      </c>
      <c r="F353" t="s">
        <v>22</v>
      </c>
      <c r="G353" t="s">
        <v>23</v>
      </c>
      <c r="H353" t="s">
        <v>24</v>
      </c>
      <c r="I353" t="s">
        <v>25</v>
      </c>
      <c r="J353" t="s">
        <v>494</v>
      </c>
      <c r="K353">
        <v>27</v>
      </c>
      <c r="L353">
        <v>8</v>
      </c>
      <c r="M353">
        <v>2025</v>
      </c>
      <c r="N353" t="s">
        <v>44</v>
      </c>
      <c r="O353">
        <v>22</v>
      </c>
      <c r="P353">
        <v>22</v>
      </c>
      <c r="R353" s="3" t="str">
        <f>HYPERLINK("https://panda.att.com.mx/ODKServer/view/binaryData?blobKey=FSSuministroFluidosv3%5B%40version%3Dnull+and+%40uiVersion%3Dnull%5D%2Fdata%5B%40key%3Duuid%3Ae07a64ab-af11-4fbc-a4fc-59bbb4a46672%5D%2FgroupInfoFuel%5B%40ordinal%3D1%5D%2FpicFuelRecibeInterno","Descargar")</f>
        <v>Descargar</v>
      </c>
    </row>
    <row r="354" spans="1:18" x14ac:dyDescent="0.3">
      <c r="A354">
        <v>1608024</v>
      </c>
      <c r="B354" t="s">
        <v>18</v>
      </c>
      <c r="C354" t="s">
        <v>59</v>
      </c>
      <c r="D354" t="s">
        <v>233</v>
      </c>
      <c r="E354" t="s">
        <v>495</v>
      </c>
      <c r="F354" t="s">
        <v>22</v>
      </c>
      <c r="G354" t="s">
        <v>23</v>
      </c>
      <c r="H354" t="s">
        <v>37</v>
      </c>
      <c r="I354" t="s">
        <v>25</v>
      </c>
      <c r="J354" t="s">
        <v>496</v>
      </c>
      <c r="K354">
        <v>29</v>
      </c>
      <c r="L354">
        <v>8</v>
      </c>
      <c r="M354">
        <v>2025</v>
      </c>
      <c r="N354" t="s">
        <v>27</v>
      </c>
      <c r="O354">
        <v>350</v>
      </c>
      <c r="P354">
        <v>350</v>
      </c>
      <c r="R354" s="3" t="str">
        <f>HYPERLINK("https://panda.att.com.mx/ODKServer/view/binaryData?blobKey=FSSuministroFluidosv3%5B%40version%3Dnull+and+%40uiVersion%3Dnull%5D%2Fdata%5B%40key%3Duuid%3A795a0b06-5ac3-4073-939f-57e37e450ac9%5D%2FgroupInfoFuel%5B%40ordinal%3D1%5D%2FpicFuelRecibeInterno","Descargar")</f>
        <v>Descargar</v>
      </c>
    </row>
    <row r="355" spans="1:18" x14ac:dyDescent="0.3">
      <c r="A355">
        <v>1607909</v>
      </c>
      <c r="B355" t="s">
        <v>18</v>
      </c>
      <c r="C355" t="s">
        <v>68</v>
      </c>
      <c r="D355" t="s">
        <v>116</v>
      </c>
      <c r="E355" t="s">
        <v>497</v>
      </c>
      <c r="F355" t="s">
        <v>22</v>
      </c>
      <c r="G355" t="s">
        <v>23</v>
      </c>
      <c r="H355" t="s">
        <v>37</v>
      </c>
      <c r="I355" t="s">
        <v>25</v>
      </c>
      <c r="J355" t="s">
        <v>498</v>
      </c>
      <c r="K355">
        <v>29</v>
      </c>
      <c r="L355">
        <v>8</v>
      </c>
      <c r="M355">
        <v>2025</v>
      </c>
      <c r="N355" t="s">
        <v>27</v>
      </c>
      <c r="O355">
        <v>80</v>
      </c>
      <c r="P355">
        <v>80</v>
      </c>
      <c r="R355" s="3" t="str">
        <f>HYPERLINK("https://panda.att.com.mx/ODKServer/view/binaryData?blobKey=FSSuministroFluidosv3%5B%40version%3Dnull+and+%40uiVersion%3Dnull%5D%2Fdata%5B%40key%3Duuid%3Af9d0eab0-83d8-40f6-a5ba-b721c9ae8418%5D%2FgroupInfoFuel%5B%40ordinal%3D1%5D%2FpicFuelRecibeInterno","Descargar")</f>
        <v>Descargar</v>
      </c>
    </row>
    <row r="356" spans="1:18" x14ac:dyDescent="0.3">
      <c r="A356">
        <v>1607908</v>
      </c>
      <c r="B356" t="s">
        <v>18</v>
      </c>
      <c r="C356" t="s">
        <v>19</v>
      </c>
      <c r="D356" t="s">
        <v>62</v>
      </c>
      <c r="E356" t="s">
        <v>499</v>
      </c>
      <c r="F356" t="s">
        <v>22</v>
      </c>
      <c r="G356" t="s">
        <v>23</v>
      </c>
      <c r="H356" t="s">
        <v>24</v>
      </c>
      <c r="I356" t="s">
        <v>25</v>
      </c>
      <c r="J356" t="s">
        <v>500</v>
      </c>
      <c r="K356">
        <v>25</v>
      </c>
      <c r="L356">
        <v>8</v>
      </c>
      <c r="M356">
        <v>2025</v>
      </c>
      <c r="N356" t="s">
        <v>27</v>
      </c>
      <c r="O356">
        <v>100</v>
      </c>
      <c r="P356">
        <v>100</v>
      </c>
      <c r="R356" s="3" t="str">
        <f>HYPERLINK("https://panda.att.com.mx/ODKServer/view/binaryData?blobKey=FSSuministroFluidosv3%5B%40version%3Dnull+and+%40uiVersion%3Dnull%5D%2Fdata%5B%40key%3Duuid%3A3089418f-c040-476c-a663-c3b39ef4ab8a%5D%2FgroupInfoFuel%5B%40ordinal%3D1%5D%2FpicFuelRecibeInterno","Descargar")</f>
        <v>Descargar</v>
      </c>
    </row>
    <row r="357" spans="1:18" x14ac:dyDescent="0.3">
      <c r="A357">
        <v>1607811</v>
      </c>
      <c r="B357" t="s">
        <v>18</v>
      </c>
      <c r="C357" t="s">
        <v>59</v>
      </c>
      <c r="D357" t="s">
        <v>60</v>
      </c>
      <c r="E357" t="s">
        <v>501</v>
      </c>
      <c r="F357" t="s">
        <v>22</v>
      </c>
      <c r="G357" t="s">
        <v>23</v>
      </c>
      <c r="H357" t="s">
        <v>37</v>
      </c>
      <c r="I357" t="s">
        <v>25</v>
      </c>
      <c r="J357" t="s">
        <v>502</v>
      </c>
      <c r="K357">
        <v>28</v>
      </c>
      <c r="L357">
        <v>8</v>
      </c>
      <c r="M357">
        <v>2025</v>
      </c>
      <c r="N357" t="s">
        <v>27</v>
      </c>
      <c r="O357">
        <v>107</v>
      </c>
      <c r="P357">
        <v>107</v>
      </c>
      <c r="R357" s="3" t="str">
        <f>HYPERLINK("https://panda.att.com.mx/ODKServer/view/binaryData?blobKey=FSSuministroFluidosv3%5B%40version%3Dnull+and+%40uiVersion%3Dnull%5D%2Fdata%5B%40key%3Duuid%3A3ed4f36e-c9f2-43df-a8a4-1b66041d00fa%5D%2FgroupInfoFuel%5B%40ordinal%3D1%5D%2FpicFuelRecibeInterno","Descargar")</f>
        <v>Descargar</v>
      </c>
    </row>
    <row r="358" spans="1:18" x14ac:dyDescent="0.3">
      <c r="A358">
        <v>1607773</v>
      </c>
      <c r="B358" t="s">
        <v>18</v>
      </c>
      <c r="C358" t="s">
        <v>34</v>
      </c>
      <c r="D358" t="s">
        <v>53</v>
      </c>
      <c r="E358" t="s">
        <v>54</v>
      </c>
      <c r="F358" t="s">
        <v>22</v>
      </c>
      <c r="G358" t="s">
        <v>23</v>
      </c>
      <c r="H358" t="s">
        <v>37</v>
      </c>
      <c r="I358" t="s">
        <v>25</v>
      </c>
      <c r="J358" t="s">
        <v>503</v>
      </c>
      <c r="K358">
        <v>29</v>
      </c>
      <c r="L358">
        <v>8</v>
      </c>
      <c r="M358">
        <v>2025</v>
      </c>
      <c r="N358" t="s">
        <v>27</v>
      </c>
      <c r="O358">
        <v>400</v>
      </c>
      <c r="Q358">
        <v>400</v>
      </c>
      <c r="R358" s="3" t="str">
        <f>HYPERLINK("https://panda.att.com.mx/ODKServer/view/binaryData?blobKey=FSSuministroFluidosv3%5B%40version%3Dnull+and+%40uiVersion%3Dnull%5D%2Fdata%5B%40key%3Duuid%3A986dec7b-a558-4ce1-b475-7fea441c74f0%5D%2FgroupInfoFuel%5B%40ordinal%3D1%5D%2FpicFuelRecibeInterno","Descargar")</f>
        <v>Descargar</v>
      </c>
    </row>
    <row r="359" spans="1:18" x14ac:dyDescent="0.3">
      <c r="A359">
        <v>1607645</v>
      </c>
      <c r="B359" t="s">
        <v>18</v>
      </c>
      <c r="C359" t="s">
        <v>100</v>
      </c>
      <c r="D359" t="s">
        <v>504</v>
      </c>
      <c r="E359" t="s">
        <v>505</v>
      </c>
      <c r="F359" t="s">
        <v>22</v>
      </c>
      <c r="G359" t="s">
        <v>23</v>
      </c>
      <c r="H359" t="s">
        <v>58</v>
      </c>
      <c r="I359" t="s">
        <v>25</v>
      </c>
      <c r="J359" t="s">
        <v>506</v>
      </c>
      <c r="K359">
        <v>29</v>
      </c>
      <c r="L359">
        <v>8</v>
      </c>
      <c r="M359">
        <v>2025</v>
      </c>
      <c r="N359" t="s">
        <v>44</v>
      </c>
      <c r="O359">
        <v>40</v>
      </c>
      <c r="P359">
        <v>40</v>
      </c>
      <c r="R359" s="3" t="str">
        <f>HYPERLINK("https://panda.att.com.mx/ODKServer/view/binaryData?blobKey=FSSuministroFluidosv3%5B%40version%3Dnull+and+%40uiVersion%3Dnull%5D%2Fdata%5B%40key%3Duuid%3Ad7aba6d7-3b53-4b82-ab09-5dcb2442ceb1%5D%2FgroupInfoFuel%5B%40ordinal%3D1%5D%2FpicFuelRecibeInterno","Descargar")</f>
        <v>Descargar</v>
      </c>
    </row>
    <row r="360" spans="1:18" x14ac:dyDescent="0.3">
      <c r="A360">
        <v>1607467</v>
      </c>
      <c r="B360" t="s">
        <v>18</v>
      </c>
      <c r="C360" t="s">
        <v>167</v>
      </c>
      <c r="D360" t="s">
        <v>253</v>
      </c>
      <c r="E360" t="s">
        <v>507</v>
      </c>
      <c r="F360" t="s">
        <v>33</v>
      </c>
      <c r="G360" t="s">
        <v>23</v>
      </c>
      <c r="H360" t="s">
        <v>58</v>
      </c>
      <c r="I360" t="s">
        <v>25</v>
      </c>
      <c r="J360" t="s">
        <v>508</v>
      </c>
      <c r="K360">
        <v>28</v>
      </c>
      <c r="L360">
        <v>8</v>
      </c>
      <c r="M360">
        <v>2025</v>
      </c>
      <c r="N360" t="s">
        <v>44</v>
      </c>
      <c r="O360">
        <v>52.45</v>
      </c>
      <c r="P360">
        <v>52.45</v>
      </c>
      <c r="R360" s="3" t="str">
        <f>HYPERLINK("https://panda.att.com.mx/ODKServer/view/binaryData?blobKey=FSSuministroFluidosv3%5B%40version%3Dnull+and+%40uiVersion%3Dnull%5D%2Fdata%5B%40key%3Duuid%3A5eb532fd-a32d-4b7d-acda-1cc3fe5483d7%5D%2FgroupInfoFuel%5B%40ordinal%3D1%5D%2FpicFuelRecibeInterno","Descargar")</f>
        <v>Descargar</v>
      </c>
    </row>
    <row r="361" spans="1:18" x14ac:dyDescent="0.3">
      <c r="A361">
        <v>1607444</v>
      </c>
      <c r="B361" t="s">
        <v>18</v>
      </c>
      <c r="C361" t="s">
        <v>167</v>
      </c>
      <c r="D361" t="s">
        <v>509</v>
      </c>
      <c r="E361" t="s">
        <v>510</v>
      </c>
      <c r="F361" t="s">
        <v>22</v>
      </c>
      <c r="G361" t="s">
        <v>23</v>
      </c>
      <c r="H361" t="s">
        <v>58</v>
      </c>
      <c r="I361" t="s">
        <v>25</v>
      </c>
      <c r="J361" t="s">
        <v>511</v>
      </c>
      <c r="K361">
        <v>29</v>
      </c>
      <c r="L361">
        <v>8</v>
      </c>
      <c r="M361">
        <v>2025</v>
      </c>
      <c r="N361" t="s">
        <v>27</v>
      </c>
      <c r="O361">
        <v>15</v>
      </c>
      <c r="P361">
        <v>15</v>
      </c>
      <c r="R361" s="3" t="str">
        <f>HYPERLINK("https://panda.att.com.mx/ODKServer/view/binaryData?blobKey=FSSuministroFluidosv3%5B%40version%3Dnull+and+%40uiVersion%3Dnull%5D%2Fdata%5B%40key%3Duuid%3Abc19562b-cc6b-4f62-8bc5-4fed2eaa2d7e%5D%2FgroupInfoFuel%5B%40ordinal%3D1%5D%2FpicFuelRecibeInterno","Descargar")</f>
        <v>Descargar</v>
      </c>
    </row>
    <row r="362" spans="1:18" x14ac:dyDescent="0.3">
      <c r="A362">
        <v>1607370</v>
      </c>
      <c r="B362" t="s">
        <v>18</v>
      </c>
      <c r="C362" t="s">
        <v>150</v>
      </c>
      <c r="D362" t="s">
        <v>154</v>
      </c>
      <c r="E362" t="s">
        <v>155</v>
      </c>
      <c r="F362" t="s">
        <v>22</v>
      </c>
      <c r="G362" t="s">
        <v>47</v>
      </c>
      <c r="H362" t="s">
        <v>58</v>
      </c>
      <c r="I362" t="s">
        <v>25</v>
      </c>
      <c r="J362" t="s">
        <v>512</v>
      </c>
      <c r="K362">
        <v>29</v>
      </c>
      <c r="L362">
        <v>8</v>
      </c>
      <c r="M362">
        <v>2025</v>
      </c>
      <c r="N362" t="s">
        <v>27</v>
      </c>
      <c r="O362">
        <v>272.60000000000002</v>
      </c>
      <c r="P362">
        <v>272.60000000000002</v>
      </c>
      <c r="R362" s="3" t="str">
        <f>HYPERLINK("https://panda.att.com.mx/ODKServer/view/binaryData?blobKey=FSSuministroFluidosv3%5B%40version%3Dnull+and+%40uiVersion%3Dnull%5D%2Fdata%5B%40key%3Duuid%3A0347e7e0-5732-4774-a064-1f3c8a9563c6%5D%2FgroupInfoFuel%5B%40ordinal%3D1%5D%2FpicFuelRecibeInterno","Descargar")</f>
        <v>Descargar</v>
      </c>
    </row>
    <row r="363" spans="1:18" x14ac:dyDescent="0.3">
      <c r="A363">
        <v>1607307</v>
      </c>
      <c r="B363" t="s">
        <v>18</v>
      </c>
      <c r="C363" t="s">
        <v>28</v>
      </c>
      <c r="D363" t="s">
        <v>513</v>
      </c>
      <c r="E363" t="s">
        <v>514</v>
      </c>
      <c r="F363" t="s">
        <v>22</v>
      </c>
      <c r="G363" t="s">
        <v>23</v>
      </c>
      <c r="H363" t="s">
        <v>24</v>
      </c>
      <c r="I363" t="s">
        <v>25</v>
      </c>
      <c r="J363" t="s">
        <v>515</v>
      </c>
      <c r="K363">
        <v>27</v>
      </c>
      <c r="L363">
        <v>8</v>
      </c>
      <c r="M363">
        <v>2025</v>
      </c>
      <c r="N363" t="s">
        <v>27</v>
      </c>
      <c r="O363">
        <v>200</v>
      </c>
      <c r="P363">
        <v>200</v>
      </c>
      <c r="R363" s="3" t="str">
        <f>HYPERLINK("https://panda.att.com.mx/ODKServer/view/binaryData?blobKey=FSSuministroFluidosv3%5B%40version%3Dnull+and+%40uiVersion%3Dnull%5D%2Fdata%5B%40key%3Duuid%3A9720aae2-0f1a-41aa-bba5-8f98dca6d8d2%5D%2FgroupInfoFuel%5B%40ordinal%3D1%5D%2FpicFuelRecibeInterno","Descargar")</f>
        <v>Descargar</v>
      </c>
    </row>
    <row r="364" spans="1:18" x14ac:dyDescent="0.3">
      <c r="A364">
        <v>1607295</v>
      </c>
      <c r="B364" t="s">
        <v>18</v>
      </c>
      <c r="C364" t="s">
        <v>19</v>
      </c>
      <c r="D364" t="s">
        <v>156</v>
      </c>
      <c r="E364" t="s">
        <v>516</v>
      </c>
      <c r="F364" t="s">
        <v>22</v>
      </c>
      <c r="G364" t="s">
        <v>23</v>
      </c>
      <c r="H364" t="s">
        <v>24</v>
      </c>
      <c r="I364" t="s">
        <v>25</v>
      </c>
      <c r="J364" t="s">
        <v>517</v>
      </c>
      <c r="K364">
        <v>22</v>
      </c>
      <c r="L364">
        <v>8</v>
      </c>
      <c r="M364">
        <v>2025</v>
      </c>
      <c r="N364" t="s">
        <v>44</v>
      </c>
      <c r="O364">
        <v>54</v>
      </c>
      <c r="P364">
        <v>54</v>
      </c>
      <c r="R364" s="3" t="str">
        <f>HYPERLINK("https://panda.att.com.mx/ODKServer/view/binaryData?blobKey=FSSuministroFluidosv3%5B%40version%3Dnull+and+%40uiVersion%3Dnull%5D%2Fdata%5B%40key%3Duuid%3A0158918a-02ab-459a-afbc-734b510ffa16%5D%2FgroupInfoFuel%5B%40ordinal%3D1%5D%2FpicFuelRecibeInterno","Descargar")</f>
        <v>Descargar</v>
      </c>
    </row>
    <row r="365" spans="1:18" x14ac:dyDescent="0.3">
      <c r="A365">
        <v>1607202</v>
      </c>
      <c r="B365" t="s">
        <v>18</v>
      </c>
      <c r="C365" t="s">
        <v>68</v>
      </c>
      <c r="D365" t="s">
        <v>518</v>
      </c>
      <c r="E365" t="s">
        <v>519</v>
      </c>
      <c r="F365" t="s">
        <v>22</v>
      </c>
      <c r="G365" t="s">
        <v>23</v>
      </c>
      <c r="H365" t="s">
        <v>37</v>
      </c>
      <c r="I365" t="s">
        <v>25</v>
      </c>
      <c r="J365" t="s">
        <v>520</v>
      </c>
      <c r="K365">
        <v>29</v>
      </c>
      <c r="L365">
        <v>8</v>
      </c>
      <c r="M365">
        <v>2025</v>
      </c>
      <c r="N365" t="s">
        <v>27</v>
      </c>
      <c r="O365">
        <v>574</v>
      </c>
      <c r="P365">
        <v>574</v>
      </c>
      <c r="R365" s="3" t="str">
        <f>HYPERLINK("https://panda.att.com.mx/ODKServer/view/binaryData?blobKey=FSSuministroFluidosv3%5B%40version%3Dnull+and+%40uiVersion%3Dnull%5D%2Fdata%5B%40key%3Duuid%3Ae67e6851-9988-46a0-aa17-5c981f1a95e3%5D%2FgroupInfoFuel%5B%40ordinal%3D1%5D%2FpicFuelRecibeInterno","Descargar")</f>
        <v>Descargar</v>
      </c>
    </row>
    <row r="366" spans="1:18" x14ac:dyDescent="0.3">
      <c r="A366">
        <v>1607181</v>
      </c>
      <c r="B366" t="s">
        <v>18</v>
      </c>
      <c r="C366" t="s">
        <v>19</v>
      </c>
      <c r="D366" t="s">
        <v>189</v>
      </c>
      <c r="E366" t="s">
        <v>473</v>
      </c>
      <c r="F366" t="s">
        <v>22</v>
      </c>
      <c r="G366" t="s">
        <v>23</v>
      </c>
      <c r="H366" t="s">
        <v>24</v>
      </c>
      <c r="I366" t="s">
        <v>25</v>
      </c>
      <c r="J366" t="s">
        <v>521</v>
      </c>
      <c r="K366">
        <v>23</v>
      </c>
      <c r="L366">
        <v>8</v>
      </c>
      <c r="M366">
        <v>2025</v>
      </c>
      <c r="N366" t="s">
        <v>27</v>
      </c>
      <c r="O366">
        <v>150</v>
      </c>
      <c r="P366">
        <v>150</v>
      </c>
      <c r="R366" s="3" t="str">
        <f>HYPERLINK("https://panda.att.com.mx/ODKServer/view/binaryData?blobKey=FSSuministroFluidosv3%5B%40version%3Dnull+and+%40uiVersion%3Dnull%5D%2Fdata%5B%40key%3Duuid%3A2bf7bf02-b8d1-4238-9441-b0f6ca5af318%5D%2FgroupInfoFuel%5B%40ordinal%3D1%5D%2FpicFuelRecibeInterno","Descargar")</f>
        <v>Descargar</v>
      </c>
    </row>
    <row r="367" spans="1:18" x14ac:dyDescent="0.3">
      <c r="A367">
        <v>1607143</v>
      </c>
      <c r="B367" t="s">
        <v>18</v>
      </c>
      <c r="C367" t="s">
        <v>68</v>
      </c>
      <c r="D367" t="s">
        <v>132</v>
      </c>
      <c r="E367" t="s">
        <v>522</v>
      </c>
      <c r="F367" t="s">
        <v>22</v>
      </c>
      <c r="G367" t="s">
        <v>23</v>
      </c>
      <c r="H367" t="s">
        <v>37</v>
      </c>
      <c r="I367" t="s">
        <v>25</v>
      </c>
      <c r="J367" t="s">
        <v>523</v>
      </c>
      <c r="K367">
        <v>28</v>
      </c>
      <c r="L367">
        <v>8</v>
      </c>
      <c r="M367">
        <v>2025</v>
      </c>
      <c r="N367" t="s">
        <v>44</v>
      </c>
      <c r="O367">
        <v>80</v>
      </c>
      <c r="P367">
        <v>80</v>
      </c>
      <c r="R367" s="3" t="str">
        <f>HYPERLINK("https://panda.att.com.mx/ODKServer/view/binaryData?blobKey=FSSuministroFluidosv3%5B%40version%3Dnull+and+%40uiVersion%3Dnull%5D%2Fdata%5B%40key%3Duuid%3A94e91d41-d24d-4594-9acd-d5e22f5309e5%5D%2FgroupInfoFuel%5B%40ordinal%3D1%5D%2FpicFuelRecibeInterno","Descargar")</f>
        <v>Descargar</v>
      </c>
    </row>
    <row r="368" spans="1:18" x14ac:dyDescent="0.3">
      <c r="A368">
        <v>1607051</v>
      </c>
      <c r="B368" t="s">
        <v>18</v>
      </c>
      <c r="C368" t="s">
        <v>19</v>
      </c>
      <c r="D368" t="s">
        <v>156</v>
      </c>
      <c r="E368" t="s">
        <v>524</v>
      </c>
      <c r="F368" t="s">
        <v>22</v>
      </c>
      <c r="G368" t="s">
        <v>23</v>
      </c>
      <c r="H368" t="s">
        <v>24</v>
      </c>
      <c r="I368" t="s">
        <v>25</v>
      </c>
      <c r="J368" t="s">
        <v>525</v>
      </c>
      <c r="K368">
        <v>26</v>
      </c>
      <c r="L368">
        <v>8</v>
      </c>
      <c r="M368">
        <v>2025</v>
      </c>
      <c r="N368" t="s">
        <v>27</v>
      </c>
      <c r="O368">
        <v>29</v>
      </c>
      <c r="P368">
        <v>29</v>
      </c>
      <c r="R368" s="3" t="str">
        <f>HYPERLINK("https://panda.att.com.mx/ODKServer/view/binaryData?blobKey=FSSuministroFluidosv3%5B%40version%3Dnull+and+%40uiVersion%3Dnull%5D%2Fdata%5B%40key%3Duuid%3A01a6a527-e048-4cb1-8551-c2fd72852ba9%5D%2FgroupInfoFuel%5B%40ordinal%3D1%5D%2FpicFuelRecibeInterno","Descargar")</f>
        <v>Descargar</v>
      </c>
    </row>
    <row r="369" spans="1:18" x14ac:dyDescent="0.3">
      <c r="A369">
        <v>1607047</v>
      </c>
      <c r="B369" t="s">
        <v>18</v>
      </c>
      <c r="C369" t="s">
        <v>19</v>
      </c>
      <c r="D369" t="s">
        <v>156</v>
      </c>
      <c r="E369" t="s">
        <v>480</v>
      </c>
      <c r="F369" t="s">
        <v>22</v>
      </c>
      <c r="G369" t="s">
        <v>23</v>
      </c>
      <c r="H369" t="s">
        <v>24</v>
      </c>
      <c r="I369" t="s">
        <v>25</v>
      </c>
      <c r="J369" t="s">
        <v>526</v>
      </c>
      <c r="K369">
        <v>28</v>
      </c>
      <c r="L369">
        <v>8</v>
      </c>
      <c r="M369">
        <v>2025</v>
      </c>
      <c r="N369" t="s">
        <v>44</v>
      </c>
      <c r="O369">
        <v>28</v>
      </c>
      <c r="P369">
        <v>28</v>
      </c>
      <c r="R369" s="3" t="str">
        <f>HYPERLINK("https://panda.att.com.mx/ODKServer/view/binaryData?blobKey=FSSuministroFluidosv3%5B%40version%3Dnull+and+%40uiVersion%3Dnull%5D%2Fdata%5B%40key%3Duuid%3A45d7076e-9339-4849-b3d7-897503d7b881%5D%2FgroupInfoFuel%5B%40ordinal%3D1%5D%2FpicFuelRecibeInterno","Descargar")</f>
        <v>Descargar</v>
      </c>
    </row>
    <row r="370" spans="1:18" x14ac:dyDescent="0.3">
      <c r="A370">
        <v>1607002</v>
      </c>
      <c r="B370" t="s">
        <v>18</v>
      </c>
      <c r="C370" t="s">
        <v>19</v>
      </c>
      <c r="D370" t="s">
        <v>175</v>
      </c>
      <c r="E370" t="s">
        <v>527</v>
      </c>
      <c r="F370" t="s">
        <v>22</v>
      </c>
      <c r="G370" t="s">
        <v>23</v>
      </c>
      <c r="H370" t="s">
        <v>24</v>
      </c>
      <c r="I370" t="s">
        <v>25</v>
      </c>
      <c r="J370" t="s">
        <v>528</v>
      </c>
      <c r="K370">
        <v>12</v>
      </c>
      <c r="L370">
        <v>8</v>
      </c>
      <c r="M370">
        <v>2025</v>
      </c>
      <c r="N370" t="s">
        <v>27</v>
      </c>
      <c r="O370">
        <v>200</v>
      </c>
      <c r="P370">
        <v>200</v>
      </c>
      <c r="R370" s="3" t="str">
        <f>HYPERLINK("https://panda.att.com.mx/ODKServer/view/binaryData?blobKey=FSSuministroFluidosv3%5B%40version%3Dnull+and+%40uiVersion%3Dnull%5D%2Fdata%5B%40key%3Duuid%3A0f072c9d-7c86-41e1-8380-6fd171d64830%5D%2FgroupInfoFuel%5B%40ordinal%3D1%5D%2FpicFuelRecibeInterno","Descargar")</f>
        <v>Descargar</v>
      </c>
    </row>
    <row r="371" spans="1:18" x14ac:dyDescent="0.3">
      <c r="A371">
        <v>1606992</v>
      </c>
      <c r="B371" t="s">
        <v>18</v>
      </c>
      <c r="C371" t="s">
        <v>34</v>
      </c>
      <c r="D371" t="s">
        <v>53</v>
      </c>
      <c r="E371" t="s">
        <v>300</v>
      </c>
      <c r="F371" t="s">
        <v>22</v>
      </c>
      <c r="G371" t="s">
        <v>23</v>
      </c>
      <c r="H371" t="s">
        <v>24</v>
      </c>
      <c r="I371" t="s">
        <v>25</v>
      </c>
      <c r="J371" t="s">
        <v>529</v>
      </c>
      <c r="K371">
        <v>28</v>
      </c>
      <c r="L371">
        <v>8</v>
      </c>
      <c r="M371">
        <v>2025</v>
      </c>
      <c r="N371" t="s">
        <v>27</v>
      </c>
      <c r="O371">
        <v>150</v>
      </c>
      <c r="P371">
        <v>150</v>
      </c>
      <c r="R371" s="3" t="str">
        <f>HYPERLINK("https://panda.att.com.mx/ODKServer/view/binaryData?blobKey=FSSuministroFluidosv3%5B%40version%3Dnull+and+%40uiVersion%3Dnull%5D%2Fdata%5B%40key%3Duuid%3A339cf440-9efe-4740-bb66-63fa23c1f252%5D%2FgroupInfoFuel%5B%40ordinal%3D1%5D%2FpicFuelRecibeInterno","Descargar")</f>
        <v>Descargar</v>
      </c>
    </row>
    <row r="372" spans="1:18" x14ac:dyDescent="0.3">
      <c r="A372">
        <v>1606960</v>
      </c>
      <c r="B372" t="s">
        <v>18</v>
      </c>
      <c r="C372" t="s">
        <v>150</v>
      </c>
      <c r="D372" t="s">
        <v>164</v>
      </c>
      <c r="E372" t="s">
        <v>302</v>
      </c>
      <c r="F372" t="s">
        <v>22</v>
      </c>
      <c r="G372" t="s">
        <v>23</v>
      </c>
      <c r="H372" t="s">
        <v>58</v>
      </c>
      <c r="I372" t="s">
        <v>25</v>
      </c>
      <c r="J372" t="s">
        <v>530</v>
      </c>
      <c r="K372">
        <v>28</v>
      </c>
      <c r="L372">
        <v>8</v>
      </c>
      <c r="M372">
        <v>2025</v>
      </c>
      <c r="N372" t="s">
        <v>27</v>
      </c>
      <c r="O372">
        <v>120</v>
      </c>
      <c r="P372">
        <v>120</v>
      </c>
      <c r="R372" s="3" t="str">
        <f>HYPERLINK("https://panda.att.com.mx/ODKServer/view/binaryData?blobKey=FSSuministroFluidosv3%5B%40version%3Dnull+and+%40uiVersion%3Dnull%5D%2Fdata%5B%40key%3Duuid%3Af288267b-daa1-46a9-af30-9aeb7f56c1d6%5D%2FgroupInfoFuel%5B%40ordinal%3D1%5D%2FpicFuelRecibeInterno","Descargar")</f>
        <v>Descargar</v>
      </c>
    </row>
    <row r="373" spans="1:18" x14ac:dyDescent="0.3">
      <c r="A373">
        <v>1606916</v>
      </c>
      <c r="B373" t="s">
        <v>18</v>
      </c>
      <c r="C373" t="s">
        <v>100</v>
      </c>
      <c r="D373" t="s">
        <v>101</v>
      </c>
      <c r="E373" t="s">
        <v>312</v>
      </c>
      <c r="F373" t="s">
        <v>22</v>
      </c>
      <c r="G373" t="s">
        <v>83</v>
      </c>
      <c r="H373" t="s">
        <v>58</v>
      </c>
      <c r="I373" t="s">
        <v>25</v>
      </c>
      <c r="J373" t="s">
        <v>531</v>
      </c>
      <c r="K373">
        <v>28</v>
      </c>
      <c r="L373">
        <v>8</v>
      </c>
      <c r="M373">
        <v>2025</v>
      </c>
      <c r="N373" t="s">
        <v>27</v>
      </c>
      <c r="O373">
        <v>300</v>
      </c>
      <c r="P373">
        <v>300</v>
      </c>
      <c r="R373" s="3" t="str">
        <f>HYPERLINK("https://panda.att.com.mx/ODKServer/view/binaryData?blobKey=FSSuministroFluidosv3%5B%40version%3Dnull+and+%40uiVersion%3Dnull%5D%2Fdata%5B%40key%3Duuid%3Ae6aef041-00e9-473b-ac53-4b277085bb0e%5D%2FgroupInfoFuel%5B%40ordinal%3D1%5D%2FpicFuelRecibeInterno","Descargar")</f>
        <v>Descargar</v>
      </c>
    </row>
    <row r="374" spans="1:18" x14ac:dyDescent="0.3">
      <c r="A374">
        <v>1606863</v>
      </c>
      <c r="B374" t="s">
        <v>18</v>
      </c>
      <c r="C374" t="s">
        <v>59</v>
      </c>
      <c r="D374" t="s">
        <v>446</v>
      </c>
      <c r="E374" t="s">
        <v>532</v>
      </c>
      <c r="F374" t="s">
        <v>22</v>
      </c>
      <c r="G374" t="s">
        <v>23</v>
      </c>
      <c r="H374" t="s">
        <v>37</v>
      </c>
      <c r="I374" t="s">
        <v>25</v>
      </c>
      <c r="J374" t="s">
        <v>533</v>
      </c>
      <c r="K374">
        <v>27</v>
      </c>
      <c r="L374">
        <v>8</v>
      </c>
      <c r="M374">
        <v>2025</v>
      </c>
      <c r="N374" t="s">
        <v>27</v>
      </c>
      <c r="O374">
        <v>100</v>
      </c>
      <c r="P374">
        <v>100</v>
      </c>
      <c r="R374" s="3" t="str">
        <f>HYPERLINK("https://panda.att.com.mx/ODKServer/view/binaryData?blobKey=FSSuministroFluidosv3%5B%40version%3Dnull+and+%40uiVersion%3Dnull%5D%2Fdata%5B%40key%3Duuid%3A29745301-5639-4e3c-9d9b-518281cef7dd%5D%2FgroupInfoFuel%5B%40ordinal%3D1%5D%2FpicFuelRecibeInterno","Descargar")</f>
        <v>Descargar</v>
      </c>
    </row>
    <row r="375" spans="1:18" x14ac:dyDescent="0.3">
      <c r="A375">
        <v>1606803</v>
      </c>
      <c r="B375" t="s">
        <v>18</v>
      </c>
      <c r="C375" t="s">
        <v>183</v>
      </c>
      <c r="D375" t="s">
        <v>534</v>
      </c>
      <c r="E375" t="s">
        <v>535</v>
      </c>
      <c r="F375" t="s">
        <v>22</v>
      </c>
      <c r="G375" t="s">
        <v>23</v>
      </c>
      <c r="H375" t="s">
        <v>37</v>
      </c>
      <c r="I375" t="s">
        <v>25</v>
      </c>
      <c r="J375" t="s">
        <v>536</v>
      </c>
      <c r="K375">
        <v>28</v>
      </c>
      <c r="L375">
        <v>8</v>
      </c>
      <c r="M375">
        <v>2025</v>
      </c>
      <c r="N375" t="s">
        <v>27</v>
      </c>
      <c r="O375">
        <v>80</v>
      </c>
      <c r="P375">
        <v>80</v>
      </c>
      <c r="R375" s="3" t="str">
        <f>HYPERLINK("https://panda.att.com.mx/ODKServer/view/binaryData?blobKey=FSSuministroFluidosv3%5B%40version%3Dnull+and+%40uiVersion%3Dnull%5D%2Fdata%5B%40key%3Duuid%3Ad55930ab-44e8-47d4-a69d-17bea1782998%5D%2FgroupInfoFuel%5B%40ordinal%3D1%5D%2FpicFuelRecibeInterno","Descargar")</f>
        <v>Descargar</v>
      </c>
    </row>
    <row r="376" spans="1:18" x14ac:dyDescent="0.3">
      <c r="A376">
        <v>1606793</v>
      </c>
      <c r="B376" t="s">
        <v>18</v>
      </c>
      <c r="C376" t="s">
        <v>68</v>
      </c>
      <c r="D376" t="s">
        <v>518</v>
      </c>
      <c r="E376" t="s">
        <v>537</v>
      </c>
      <c r="F376" t="s">
        <v>22</v>
      </c>
      <c r="G376" t="s">
        <v>23</v>
      </c>
      <c r="H376" t="s">
        <v>37</v>
      </c>
      <c r="I376" t="s">
        <v>25</v>
      </c>
      <c r="J376" t="s">
        <v>538</v>
      </c>
      <c r="K376">
        <v>28</v>
      </c>
      <c r="L376">
        <v>8</v>
      </c>
      <c r="M376">
        <v>2025</v>
      </c>
      <c r="N376" t="s">
        <v>27</v>
      </c>
      <c r="O376">
        <v>267</v>
      </c>
      <c r="P376">
        <v>267</v>
      </c>
      <c r="R376" s="3" t="str">
        <f>HYPERLINK("https://panda.att.com.mx/ODKServer/view/binaryData?blobKey=FSSuministroFluidosv3%5B%40version%3Dnull+and+%40uiVersion%3Dnull%5D%2Fdata%5B%40key%3Duuid%3A4360298d-4076-4db2-9dd5-385a7270cad0%5D%2FgroupInfoFuel%5B%40ordinal%3D1%5D%2FpicFuelRecibeInterno","Descargar")</f>
        <v>Descargar</v>
      </c>
    </row>
    <row r="377" spans="1:18" x14ac:dyDescent="0.3">
      <c r="A377">
        <v>1605663</v>
      </c>
      <c r="B377" t="s">
        <v>18</v>
      </c>
      <c r="C377" t="s">
        <v>19</v>
      </c>
      <c r="D377" t="s">
        <v>45</v>
      </c>
      <c r="E377" t="s">
        <v>539</v>
      </c>
      <c r="F377" t="s">
        <v>22</v>
      </c>
      <c r="G377" t="s">
        <v>23</v>
      </c>
      <c r="H377" t="s">
        <v>37</v>
      </c>
      <c r="I377" t="s">
        <v>25</v>
      </c>
      <c r="J377" t="s">
        <v>540</v>
      </c>
      <c r="K377">
        <v>25</v>
      </c>
      <c r="L377">
        <v>8</v>
      </c>
      <c r="M377">
        <v>2025</v>
      </c>
      <c r="N377" t="s">
        <v>27</v>
      </c>
      <c r="O377">
        <v>250</v>
      </c>
      <c r="P377">
        <v>250</v>
      </c>
      <c r="R377" s="3" t="str">
        <f>HYPERLINK("https://panda.att.com.mx/ODKServer/view/binaryData?blobKey=FSSuministroFluidosv3%5B%40version%3Dnull+and+%40uiVersion%3Dnull%5D%2Fdata%5B%40key%3Duuid%3Aab48d718-300e-4615-93cf-859698afb038%5D%2FgroupInfoFuel%5B%40ordinal%3D1%5D%2FpicFuelRecibeInterno","Descargar")</f>
        <v>Descargar</v>
      </c>
    </row>
    <row r="378" spans="1:18" x14ac:dyDescent="0.3">
      <c r="A378">
        <v>1605652</v>
      </c>
      <c r="B378" t="s">
        <v>18</v>
      </c>
      <c r="C378" t="s">
        <v>150</v>
      </c>
      <c r="D378" t="s">
        <v>230</v>
      </c>
      <c r="E378" t="s">
        <v>541</v>
      </c>
      <c r="F378" t="s">
        <v>22</v>
      </c>
      <c r="G378" t="s">
        <v>23</v>
      </c>
      <c r="H378" t="s">
        <v>58</v>
      </c>
      <c r="I378" t="s">
        <v>25</v>
      </c>
      <c r="J378" t="s">
        <v>542</v>
      </c>
      <c r="K378">
        <v>27</v>
      </c>
      <c r="L378">
        <v>8</v>
      </c>
      <c r="M378">
        <v>2025</v>
      </c>
      <c r="N378" t="s">
        <v>27</v>
      </c>
      <c r="O378">
        <v>250</v>
      </c>
      <c r="P378">
        <v>250</v>
      </c>
      <c r="R378" s="3" t="str">
        <f>HYPERLINK("https://panda.att.com.mx/ODKServer/view/binaryData?blobKey=FSSuministroFluidosv3%5B%40version%3Dnull+and+%40uiVersion%3Dnull%5D%2Fdata%5B%40key%3Duuid%3A279748b0-4e53-4fe9-bd73-d26df13b63a1%5D%2FgroupInfoFuel%5B%40ordinal%3D1%5D%2FpicFuelRecibeInterno","Descargar")</f>
        <v>Descargar</v>
      </c>
    </row>
    <row r="379" spans="1:18" x14ac:dyDescent="0.3">
      <c r="A379">
        <v>1605628</v>
      </c>
      <c r="B379" t="s">
        <v>18</v>
      </c>
      <c r="C379" t="s">
        <v>68</v>
      </c>
      <c r="D379" t="s">
        <v>219</v>
      </c>
      <c r="E379" t="s">
        <v>543</v>
      </c>
      <c r="F379" t="s">
        <v>22</v>
      </c>
      <c r="G379" t="s">
        <v>23</v>
      </c>
      <c r="H379" t="s">
        <v>37</v>
      </c>
      <c r="I379" t="s">
        <v>25</v>
      </c>
      <c r="J379" t="s">
        <v>544</v>
      </c>
      <c r="K379">
        <v>26</v>
      </c>
      <c r="L379">
        <v>8</v>
      </c>
      <c r="M379">
        <v>2025</v>
      </c>
      <c r="N379" t="s">
        <v>27</v>
      </c>
      <c r="O379">
        <v>180</v>
      </c>
      <c r="P379">
        <v>180</v>
      </c>
      <c r="R379" s="3" t="str">
        <f>HYPERLINK("https://panda.att.com.mx/ODKServer/view/binaryData?blobKey=FSSuministroFluidosv3%5B%40version%3Dnull+and+%40uiVersion%3Dnull%5D%2Fdata%5B%40key%3Duuid%3A594d1751-b99f-4818-8c08-69828cdc43bb%5D%2FgroupInfoFuel%5B%40ordinal%3D1%5D%2FpicFuelRecibeInterno","Descargar")</f>
        <v>Descargar</v>
      </c>
    </row>
    <row r="380" spans="1:18" x14ac:dyDescent="0.3">
      <c r="A380">
        <v>1605518</v>
      </c>
      <c r="B380" t="s">
        <v>18</v>
      </c>
      <c r="C380" t="s">
        <v>167</v>
      </c>
      <c r="D380" t="s">
        <v>509</v>
      </c>
      <c r="E380" t="s">
        <v>510</v>
      </c>
      <c r="F380" t="s">
        <v>22</v>
      </c>
      <c r="G380" t="s">
        <v>23</v>
      </c>
      <c r="H380" t="s">
        <v>58</v>
      </c>
      <c r="I380" t="s">
        <v>25</v>
      </c>
      <c r="J380" t="s">
        <v>545</v>
      </c>
      <c r="K380">
        <v>27</v>
      </c>
      <c r="L380">
        <v>8</v>
      </c>
      <c r="M380">
        <v>2025</v>
      </c>
      <c r="N380" t="s">
        <v>27</v>
      </c>
      <c r="O380">
        <v>100</v>
      </c>
      <c r="P380">
        <v>100</v>
      </c>
      <c r="R380" s="3" t="str">
        <f>HYPERLINK("https://panda.att.com.mx/ODKServer/view/binaryData?blobKey=FSSuministroFluidosv3%5B%40version%3Dnull+and+%40uiVersion%3Dnull%5D%2Fdata%5B%40key%3Duuid%3A2bc54e12-0233-4d61-8cf4-a10e19edbcb0%5D%2FgroupInfoFuel%5B%40ordinal%3D1%5D%2FpicFuelRecibeInterno","Descargar")</f>
        <v>Descargar</v>
      </c>
    </row>
    <row r="381" spans="1:18" x14ac:dyDescent="0.3">
      <c r="A381">
        <v>1605444</v>
      </c>
      <c r="B381" t="s">
        <v>18</v>
      </c>
      <c r="C381" t="s">
        <v>167</v>
      </c>
      <c r="D381" t="s">
        <v>168</v>
      </c>
      <c r="E381" t="s">
        <v>546</v>
      </c>
      <c r="F381" t="s">
        <v>22</v>
      </c>
      <c r="G381" t="s">
        <v>23</v>
      </c>
      <c r="H381" t="s">
        <v>58</v>
      </c>
      <c r="I381" t="s">
        <v>25</v>
      </c>
      <c r="J381" t="s">
        <v>547</v>
      </c>
      <c r="K381">
        <v>27</v>
      </c>
      <c r="L381">
        <v>8</v>
      </c>
      <c r="M381">
        <v>2025</v>
      </c>
      <c r="N381" t="s">
        <v>27</v>
      </c>
      <c r="O381">
        <v>270</v>
      </c>
      <c r="P381">
        <v>270</v>
      </c>
      <c r="R381" s="3" t="str">
        <f>HYPERLINK("https://panda.att.com.mx/ODKServer/view/binaryData?blobKey=FSSuministroFluidosv3%5B%40version%3Dnull+and+%40uiVersion%3Dnull%5D%2Fdata%5B%40key%3Duuid%3A87348c94-4b3a-47d4-bb01-bb0c0480bbab%5D%2FgroupInfoFuel%5B%40ordinal%3D1%5D%2FpicFuelRecibeInterno","Descargar")</f>
        <v>Descargar</v>
      </c>
    </row>
    <row r="382" spans="1:18" x14ac:dyDescent="0.3">
      <c r="A382">
        <v>1605423</v>
      </c>
      <c r="B382" t="s">
        <v>18</v>
      </c>
      <c r="C382" t="s">
        <v>68</v>
      </c>
      <c r="D382" t="s">
        <v>258</v>
      </c>
      <c r="E382" t="s">
        <v>548</v>
      </c>
      <c r="F382" t="s">
        <v>22</v>
      </c>
      <c r="G382" t="s">
        <v>23</v>
      </c>
      <c r="H382" t="s">
        <v>37</v>
      </c>
      <c r="I382" t="s">
        <v>25</v>
      </c>
      <c r="J382" t="s">
        <v>549</v>
      </c>
      <c r="K382">
        <v>26</v>
      </c>
      <c r="L382">
        <v>8</v>
      </c>
      <c r="M382">
        <v>2025</v>
      </c>
      <c r="N382" t="s">
        <v>27</v>
      </c>
      <c r="O382">
        <v>300</v>
      </c>
      <c r="P382">
        <v>300</v>
      </c>
      <c r="R382" s="3" t="str">
        <f>HYPERLINK("https://panda.att.com.mx/ODKServer/view/binaryData?blobKey=FSSuministroFluidosv3%5B%40version%3Dnull+and+%40uiVersion%3Dnull%5D%2Fdata%5B%40key%3Duuid%3Aa33f0e9f-224a-4fd9-a1c2-6fda5d10df67%5D%2FgroupInfoFuel%5B%40ordinal%3D1%5D%2FpicFuelRecibeInterno","Descargar")</f>
        <v>Descargar</v>
      </c>
    </row>
    <row r="383" spans="1:18" x14ac:dyDescent="0.3">
      <c r="A383">
        <v>1605422</v>
      </c>
      <c r="B383" t="s">
        <v>18</v>
      </c>
      <c r="C383" t="s">
        <v>28</v>
      </c>
      <c r="D383" t="s">
        <v>467</v>
      </c>
      <c r="E383" t="s">
        <v>550</v>
      </c>
      <c r="F383" t="s">
        <v>22</v>
      </c>
      <c r="G383" t="s">
        <v>23</v>
      </c>
      <c r="H383" t="s">
        <v>24</v>
      </c>
      <c r="I383" t="s">
        <v>25</v>
      </c>
      <c r="J383" t="s">
        <v>551</v>
      </c>
      <c r="K383">
        <v>27</v>
      </c>
      <c r="L383">
        <v>8</v>
      </c>
      <c r="M383">
        <v>2025</v>
      </c>
      <c r="N383" t="s">
        <v>44</v>
      </c>
      <c r="O383">
        <v>60</v>
      </c>
      <c r="Q383">
        <v>60</v>
      </c>
      <c r="R383" s="3" t="str">
        <f>HYPERLINK("https://panda.att.com.mx/ODKServer/view/binaryData?blobKey=FSSuministroFluidosv3%5B%40version%3Dnull+and+%40uiVersion%3Dnull%5D%2Fdata%5B%40key%3Duuid%3A722606ba-8449-4820-90d7-baf2555792ab%5D%2FgroupInfoFuel%5B%40ordinal%3D1%5D%2FpicFuelRecibeInterno","Descargar")</f>
        <v>Descargar</v>
      </c>
    </row>
    <row r="384" spans="1:18" x14ac:dyDescent="0.3">
      <c r="A384">
        <v>1605414</v>
      </c>
      <c r="B384" t="s">
        <v>18</v>
      </c>
      <c r="C384" t="s">
        <v>55</v>
      </c>
      <c r="D384" t="s">
        <v>89</v>
      </c>
      <c r="E384" t="s">
        <v>90</v>
      </c>
      <c r="F384" t="s">
        <v>22</v>
      </c>
      <c r="G384" t="s">
        <v>23</v>
      </c>
      <c r="H384" t="s">
        <v>58</v>
      </c>
      <c r="I384" t="s">
        <v>25</v>
      </c>
      <c r="J384" t="s">
        <v>552</v>
      </c>
      <c r="K384">
        <v>26</v>
      </c>
      <c r="L384">
        <v>8</v>
      </c>
      <c r="M384">
        <v>2025</v>
      </c>
      <c r="N384" t="s">
        <v>27</v>
      </c>
      <c r="O384">
        <v>150</v>
      </c>
      <c r="P384">
        <v>150</v>
      </c>
      <c r="R384" s="3" t="str">
        <f>HYPERLINK("https://panda.att.com.mx/ODKServer/view/binaryData?blobKey=FSSuministroFluidosv3%5B%40version%3Dnull+and+%40uiVersion%3Dnull%5D%2Fdata%5B%40key%3Duuid%3Ac38e78db-5ecf-41be-96c4-f962857fbaa0%5D%2FgroupInfoFuel%5B%40ordinal%3D1%5D%2FpicFuelRecibeInterno","Descargar")</f>
        <v>Descargar</v>
      </c>
    </row>
    <row r="385" spans="1:18" x14ac:dyDescent="0.3">
      <c r="A385">
        <v>1605316</v>
      </c>
      <c r="B385" t="s">
        <v>18</v>
      </c>
      <c r="C385" t="s">
        <v>55</v>
      </c>
      <c r="D385" t="s">
        <v>56</v>
      </c>
      <c r="E385" t="s">
        <v>105</v>
      </c>
      <c r="F385" t="s">
        <v>22</v>
      </c>
      <c r="G385" t="s">
        <v>23</v>
      </c>
      <c r="H385" t="s">
        <v>58</v>
      </c>
      <c r="I385" t="s">
        <v>25</v>
      </c>
      <c r="J385" t="s">
        <v>553</v>
      </c>
      <c r="K385">
        <v>22</v>
      </c>
      <c r="L385">
        <v>8</v>
      </c>
      <c r="M385">
        <v>2025</v>
      </c>
      <c r="N385" t="s">
        <v>27</v>
      </c>
      <c r="O385">
        <v>300</v>
      </c>
      <c r="P385">
        <v>300</v>
      </c>
      <c r="R385" s="3" t="str">
        <f>HYPERLINK("https://panda.att.com.mx/ODKServer/view/binaryData?blobKey=FSSuministroFluidosv3%5B%40version%3Dnull+and+%40uiVersion%3Dnull%5D%2Fdata%5B%40key%3Duuid%3Ac10e94f4-86f5-4026-a4ec-bbaf0b2facba%5D%2FgroupInfoFuel%5B%40ordinal%3D1%5D%2FpicFuelRecibeInterno","Descargar")</f>
        <v>Descargar</v>
      </c>
    </row>
    <row r="386" spans="1:18" x14ac:dyDescent="0.3">
      <c r="A386">
        <v>1605304</v>
      </c>
      <c r="B386" t="s">
        <v>18</v>
      </c>
      <c r="C386" t="s">
        <v>55</v>
      </c>
      <c r="D386" t="s">
        <v>288</v>
      </c>
      <c r="E386" t="s">
        <v>554</v>
      </c>
      <c r="F386" t="s">
        <v>22</v>
      </c>
      <c r="G386" t="s">
        <v>23</v>
      </c>
      <c r="H386" t="s">
        <v>58</v>
      </c>
      <c r="I386" t="s">
        <v>25</v>
      </c>
      <c r="J386" t="s">
        <v>555</v>
      </c>
      <c r="K386">
        <v>27</v>
      </c>
      <c r="L386">
        <v>8</v>
      </c>
      <c r="M386">
        <v>2025</v>
      </c>
      <c r="N386" t="s">
        <v>27</v>
      </c>
      <c r="O386">
        <v>250</v>
      </c>
      <c r="P386">
        <v>250</v>
      </c>
      <c r="R386" s="3" t="str">
        <f>HYPERLINK("https://panda.att.com.mx/ODKServer/view/binaryData?blobKey=FSSuministroFluidosv3%5B%40version%3Dnull+and+%40uiVersion%3Dnull%5D%2Fdata%5B%40key%3Duuid%3A27d75255-47c5-4be4-a370-d1e4dce9b1eb%5D%2FgroupInfoFuel%5B%40ordinal%3D1%5D%2FpicFuelRecibeInterno","Descargar")</f>
        <v>Descargar</v>
      </c>
    </row>
    <row r="387" spans="1:18" x14ac:dyDescent="0.3">
      <c r="A387">
        <v>1605287</v>
      </c>
      <c r="B387" t="s">
        <v>18</v>
      </c>
      <c r="C387" t="s">
        <v>68</v>
      </c>
      <c r="D387" t="s">
        <v>556</v>
      </c>
      <c r="E387" t="s">
        <v>557</v>
      </c>
      <c r="F387" t="s">
        <v>22</v>
      </c>
      <c r="G387" t="s">
        <v>23</v>
      </c>
      <c r="H387" t="s">
        <v>37</v>
      </c>
      <c r="I387" t="s">
        <v>25</v>
      </c>
      <c r="J387" t="s">
        <v>558</v>
      </c>
      <c r="K387">
        <v>27</v>
      </c>
      <c r="L387">
        <v>8</v>
      </c>
      <c r="M387">
        <v>2025</v>
      </c>
      <c r="N387" t="s">
        <v>27</v>
      </c>
      <c r="O387">
        <v>150</v>
      </c>
      <c r="P387">
        <v>150</v>
      </c>
      <c r="R387" s="3" t="str">
        <f>HYPERLINK("https://panda.att.com.mx/ODKServer/view/binaryData?blobKey=FSSuministroFluidosv3%5B%40version%3Dnull+and+%40uiVersion%3Dnull%5D%2Fdata%5B%40key%3Duuid%3A73e7df25-4c46-45d6-bd95-93f8e1f9178d%5D%2FgroupInfoFuel%5B%40ordinal%3D1%5D%2FpicFuelRecibeInterno","Descargar")</f>
        <v>Descargar</v>
      </c>
    </row>
    <row r="388" spans="1:18" x14ac:dyDescent="0.3">
      <c r="A388">
        <v>1605247</v>
      </c>
      <c r="B388" t="s">
        <v>18</v>
      </c>
      <c r="C388" t="s">
        <v>100</v>
      </c>
      <c r="D388" t="s">
        <v>101</v>
      </c>
      <c r="E388" t="s">
        <v>102</v>
      </c>
      <c r="F388" t="s">
        <v>22</v>
      </c>
      <c r="G388" t="s">
        <v>83</v>
      </c>
      <c r="H388" t="s">
        <v>58</v>
      </c>
      <c r="I388" t="s">
        <v>25</v>
      </c>
      <c r="J388" t="s">
        <v>559</v>
      </c>
      <c r="K388">
        <v>27</v>
      </c>
      <c r="L388">
        <v>8</v>
      </c>
      <c r="M388">
        <v>2025</v>
      </c>
      <c r="N388" t="s">
        <v>27</v>
      </c>
      <c r="O388">
        <v>230</v>
      </c>
      <c r="P388">
        <v>230</v>
      </c>
      <c r="R388" s="3" t="str">
        <f>HYPERLINK("https://panda.att.com.mx/ODKServer/view/binaryData?blobKey=FSSuministroFluidosv3%5B%40version%3Dnull+and+%40uiVersion%3Dnull%5D%2Fdata%5B%40key%3Duuid%3A2e508098-2699-434b-8ce0-5d41f02ce9a1%5D%2FgroupInfoFuel%5B%40ordinal%3D1%5D%2FpicFuelRecibeInterno","Descargar")</f>
        <v>Descargar</v>
      </c>
    </row>
    <row r="389" spans="1:18" x14ac:dyDescent="0.3">
      <c r="A389">
        <v>1605246</v>
      </c>
      <c r="B389" t="s">
        <v>18</v>
      </c>
      <c r="C389" t="s">
        <v>55</v>
      </c>
      <c r="D389" t="s">
        <v>56</v>
      </c>
      <c r="E389" t="s">
        <v>99</v>
      </c>
      <c r="F389" t="s">
        <v>22</v>
      </c>
      <c r="G389" t="s">
        <v>23</v>
      </c>
      <c r="H389" t="s">
        <v>58</v>
      </c>
      <c r="I389" t="s">
        <v>25</v>
      </c>
      <c r="J389" t="s">
        <v>560</v>
      </c>
      <c r="K389">
        <v>26</v>
      </c>
      <c r="L389">
        <v>8</v>
      </c>
      <c r="M389">
        <v>2025</v>
      </c>
      <c r="N389" t="s">
        <v>27</v>
      </c>
      <c r="O389">
        <v>150</v>
      </c>
      <c r="P389">
        <v>150</v>
      </c>
      <c r="R389" s="3" t="str">
        <f>HYPERLINK("https://panda.att.com.mx/ODKServer/view/binaryData?blobKey=FSSuministroFluidosv3%5B%40version%3Dnull+and+%40uiVersion%3Dnull%5D%2Fdata%5B%40key%3Duuid%3Ac248fc6f-8d90-4311-b0ec-3bba5acbc47a%5D%2FgroupInfoFuel%5B%40ordinal%3D1%5D%2FpicFuelRecibeInterno","Descargar")</f>
        <v>Descargar</v>
      </c>
    </row>
    <row r="390" spans="1:18" x14ac:dyDescent="0.3">
      <c r="A390">
        <v>1605230</v>
      </c>
      <c r="B390" t="s">
        <v>18</v>
      </c>
      <c r="C390" t="s">
        <v>55</v>
      </c>
      <c r="D390" t="s">
        <v>288</v>
      </c>
      <c r="E390" t="s">
        <v>561</v>
      </c>
      <c r="F390" t="s">
        <v>22</v>
      </c>
      <c r="G390" t="s">
        <v>23</v>
      </c>
      <c r="H390" t="s">
        <v>58</v>
      </c>
      <c r="I390" t="s">
        <v>25</v>
      </c>
      <c r="J390" t="s">
        <v>562</v>
      </c>
      <c r="K390">
        <v>27</v>
      </c>
      <c r="L390">
        <v>8</v>
      </c>
      <c r="M390">
        <v>2025</v>
      </c>
      <c r="N390" t="s">
        <v>27</v>
      </c>
      <c r="O390">
        <v>200</v>
      </c>
      <c r="P390">
        <v>200</v>
      </c>
      <c r="R390" s="3" t="str">
        <f>HYPERLINK("https://panda.att.com.mx/ODKServer/view/binaryData?blobKey=FSSuministroFluidosv3%5B%40version%3Dnull+and+%40uiVersion%3Dnull%5D%2Fdata%5B%40key%3Duuid%3A9499edd5-5c2a-44c7-9ee9-b89a6a547e2d%5D%2FgroupInfoFuel%5B%40ordinal%3D1%5D%2FpicFuelRecibeInterno","Descargar")</f>
        <v>Descargar</v>
      </c>
    </row>
    <row r="391" spans="1:18" x14ac:dyDescent="0.3">
      <c r="A391">
        <v>1605215</v>
      </c>
      <c r="B391" t="s">
        <v>18</v>
      </c>
      <c r="C391" t="s">
        <v>59</v>
      </c>
      <c r="D391" t="s">
        <v>60</v>
      </c>
      <c r="E391" t="s">
        <v>563</v>
      </c>
      <c r="F391" t="s">
        <v>22</v>
      </c>
      <c r="G391" t="s">
        <v>23</v>
      </c>
      <c r="H391" t="s">
        <v>37</v>
      </c>
      <c r="I391" t="s">
        <v>25</v>
      </c>
      <c r="J391" t="s">
        <v>564</v>
      </c>
      <c r="K391">
        <v>26</v>
      </c>
      <c r="L391">
        <v>8</v>
      </c>
      <c r="M391">
        <v>2025</v>
      </c>
      <c r="N391" t="s">
        <v>27</v>
      </c>
      <c r="O391">
        <v>33.700000000000003</v>
      </c>
      <c r="P391">
        <v>33.700000000000003</v>
      </c>
      <c r="R391" s="3" t="str">
        <f>HYPERLINK("https://panda.att.com.mx/ODKServer/view/binaryData?blobKey=FSSuministroFluidosv3%5B%40version%3Dnull+and+%40uiVersion%3Dnull%5D%2Fdata%5B%40key%3Duuid%3Abf1d29dc-e298-4d7d-8e84-d2d60093bd52%5D%2FgroupInfoFuel%5B%40ordinal%3D1%5D%2FpicFuelRecibeInterno","Descargar")</f>
        <v>Descargar</v>
      </c>
    </row>
    <row r="392" spans="1:18" x14ac:dyDescent="0.3">
      <c r="A392">
        <v>1605211</v>
      </c>
      <c r="B392" t="s">
        <v>18</v>
      </c>
      <c r="C392" t="s">
        <v>59</v>
      </c>
      <c r="D392" t="s">
        <v>60</v>
      </c>
      <c r="E392" t="s">
        <v>565</v>
      </c>
      <c r="F392" t="s">
        <v>22</v>
      </c>
      <c r="G392" t="s">
        <v>95</v>
      </c>
      <c r="H392" t="s">
        <v>37</v>
      </c>
      <c r="I392" t="s">
        <v>25</v>
      </c>
      <c r="J392" t="s">
        <v>566</v>
      </c>
      <c r="K392">
        <v>25</v>
      </c>
      <c r="L392">
        <v>8</v>
      </c>
      <c r="M392">
        <v>2025</v>
      </c>
      <c r="N392" t="s">
        <v>27</v>
      </c>
      <c r="O392">
        <v>500</v>
      </c>
      <c r="P392">
        <v>500</v>
      </c>
      <c r="R392" s="3" t="str">
        <f>HYPERLINK("https://panda.att.com.mx/ODKServer/view/binaryData?blobKey=FSSuministroFluidosv3%5B%40version%3Dnull+and+%40uiVersion%3Dnull%5D%2Fdata%5B%40key%3Duuid%3Afcb5242a-8cc8-461a-85a0-73b9fc6a06e6%5D%2FgroupInfoFuel%5B%40ordinal%3D1%5D%2FpicFuelRecibeInterno","Descargar")</f>
        <v>Descargar</v>
      </c>
    </row>
    <row r="393" spans="1:18" x14ac:dyDescent="0.3">
      <c r="A393">
        <v>1605197</v>
      </c>
      <c r="B393" t="s">
        <v>18</v>
      </c>
      <c r="C393" t="s">
        <v>150</v>
      </c>
      <c r="D393" t="s">
        <v>154</v>
      </c>
      <c r="E393" t="s">
        <v>155</v>
      </c>
      <c r="F393" t="s">
        <v>22</v>
      </c>
      <c r="G393" t="s">
        <v>47</v>
      </c>
      <c r="H393" t="s">
        <v>58</v>
      </c>
      <c r="I393" t="s">
        <v>25</v>
      </c>
      <c r="J393" t="s">
        <v>567</v>
      </c>
      <c r="K393">
        <v>26</v>
      </c>
      <c r="L393">
        <v>8</v>
      </c>
      <c r="M393">
        <v>2025</v>
      </c>
      <c r="N393" t="s">
        <v>27</v>
      </c>
      <c r="O393">
        <v>300.2</v>
      </c>
      <c r="P393">
        <v>300.2</v>
      </c>
      <c r="R393" s="3" t="str">
        <f>HYPERLINK("https://panda.att.com.mx/ODKServer/view/binaryData?blobKey=FSSuministroFluidosv3%5B%40version%3Dnull+and+%40uiVersion%3Dnull%5D%2Fdata%5B%40key%3Duuid%3A95be8322-42e8-4423-9863-f7d4129c757b%5D%2FgroupInfoFuel%5B%40ordinal%3D1%5D%2FpicFuelRecibeInterno","Descargar")</f>
        <v>Descargar</v>
      </c>
    </row>
    <row r="394" spans="1:18" x14ac:dyDescent="0.3">
      <c r="A394">
        <v>1605185</v>
      </c>
      <c r="B394" t="s">
        <v>18</v>
      </c>
      <c r="C394" t="s">
        <v>150</v>
      </c>
      <c r="D394" t="s">
        <v>154</v>
      </c>
      <c r="E394" t="s">
        <v>568</v>
      </c>
      <c r="F394" t="s">
        <v>22</v>
      </c>
      <c r="G394" t="s">
        <v>47</v>
      </c>
      <c r="H394" t="s">
        <v>58</v>
      </c>
      <c r="I394" t="s">
        <v>209</v>
      </c>
      <c r="J394" t="s">
        <v>569</v>
      </c>
      <c r="K394">
        <v>26</v>
      </c>
      <c r="L394">
        <v>8</v>
      </c>
      <c r="M394">
        <v>2025</v>
      </c>
      <c r="N394" t="s">
        <v>27</v>
      </c>
      <c r="O394">
        <v>170.2</v>
      </c>
      <c r="P394">
        <v>170.2</v>
      </c>
      <c r="R394" s="3" t="str">
        <f>HYPERLINK("https://panda.att.com.mx/ODKServer/view/binaryData?blobKey=FSSuministroFluidosv3%5B%40version%3Dnull+and+%40uiVersion%3Dnull%5D%2Fdata%5B%40key%3Duuid%3A42acb734-106a-4745-aff1-687f93db2584%5D%2FgroupInfoFuel%5B%40ordinal%3D1%5D%2FpicFuelRecibeInterno","Descargar")</f>
        <v>Descargar</v>
      </c>
    </row>
    <row r="395" spans="1:18" x14ac:dyDescent="0.3">
      <c r="A395">
        <v>1605142</v>
      </c>
      <c r="B395" t="s">
        <v>18</v>
      </c>
      <c r="C395" t="s">
        <v>59</v>
      </c>
      <c r="D395" t="s">
        <v>233</v>
      </c>
      <c r="E395" t="s">
        <v>570</v>
      </c>
      <c r="F395" t="s">
        <v>22</v>
      </c>
      <c r="G395" t="s">
        <v>23</v>
      </c>
      <c r="H395" t="s">
        <v>37</v>
      </c>
      <c r="I395" t="s">
        <v>25</v>
      </c>
      <c r="J395" t="s">
        <v>571</v>
      </c>
      <c r="K395">
        <v>26</v>
      </c>
      <c r="L395">
        <v>8</v>
      </c>
      <c r="M395">
        <v>2025</v>
      </c>
      <c r="N395" t="s">
        <v>27</v>
      </c>
      <c r="O395">
        <v>270</v>
      </c>
      <c r="P395">
        <v>270</v>
      </c>
      <c r="R395" s="3" t="str">
        <f>HYPERLINK("https://panda.att.com.mx/ODKServer/view/binaryData?blobKey=FSSuministroFluidosv3%5B%40version%3Dnull+and+%40uiVersion%3Dnull%5D%2Fdata%5B%40key%3Duuid%3A77f7de76-4851-4aa8-a113-30f0b4f11067%5D%2FgroupInfoFuel%5B%40ordinal%3D1%5D%2FpicFuelRecibeInterno","Descargar")</f>
        <v>Descargar</v>
      </c>
    </row>
    <row r="396" spans="1:18" x14ac:dyDescent="0.3">
      <c r="A396">
        <v>1605133</v>
      </c>
      <c r="B396" t="s">
        <v>18</v>
      </c>
      <c r="C396" t="s">
        <v>19</v>
      </c>
      <c r="D396" t="s">
        <v>156</v>
      </c>
      <c r="E396" t="s">
        <v>572</v>
      </c>
      <c r="F396" t="s">
        <v>22</v>
      </c>
      <c r="G396" t="s">
        <v>23</v>
      </c>
      <c r="H396" t="s">
        <v>24</v>
      </c>
      <c r="I396" t="s">
        <v>25</v>
      </c>
      <c r="J396" t="s">
        <v>573</v>
      </c>
      <c r="K396">
        <v>26</v>
      </c>
      <c r="L396">
        <v>8</v>
      </c>
      <c r="M396">
        <v>2025</v>
      </c>
      <c r="N396" t="s">
        <v>44</v>
      </c>
      <c r="O396">
        <v>51</v>
      </c>
      <c r="P396">
        <v>51</v>
      </c>
      <c r="R396" s="3" t="str">
        <f>HYPERLINK("https://panda.att.com.mx/ODKServer/view/binaryData?blobKey=FSSuministroFluidosv3%5B%40version%3Dnull+and+%40uiVersion%3Dnull%5D%2Fdata%5B%40key%3Duuid%3Aa59ab9c2-6e3c-470b-bd13-bc62146d16d1%5D%2FgroupInfoFuel%5B%40ordinal%3D1%5D%2FpicFuelRecibeInterno","Descargar")</f>
        <v>Descargar</v>
      </c>
    </row>
    <row r="397" spans="1:18" x14ac:dyDescent="0.3">
      <c r="A397">
        <v>1605105</v>
      </c>
      <c r="B397" t="s">
        <v>18</v>
      </c>
      <c r="C397" t="s">
        <v>59</v>
      </c>
      <c r="D397" t="s">
        <v>574</v>
      </c>
      <c r="E397" t="s">
        <v>575</v>
      </c>
      <c r="F397" t="s">
        <v>22</v>
      </c>
      <c r="G397" t="s">
        <v>23</v>
      </c>
      <c r="H397" t="s">
        <v>37</v>
      </c>
      <c r="I397" t="s">
        <v>25</v>
      </c>
      <c r="J397" t="s">
        <v>576</v>
      </c>
      <c r="K397">
        <v>26</v>
      </c>
      <c r="L397">
        <v>8</v>
      </c>
      <c r="M397">
        <v>2025</v>
      </c>
      <c r="N397" t="s">
        <v>44</v>
      </c>
      <c r="O397">
        <v>50</v>
      </c>
      <c r="P397">
        <v>50</v>
      </c>
      <c r="R397" s="3" t="str">
        <f>HYPERLINK("https://panda.att.com.mx/ODKServer/view/binaryData?blobKey=FSSuministroFluidosv3%5B%40version%3Dnull+and+%40uiVersion%3Dnull%5D%2Fdata%5B%40key%3Duuid%3Ac9aa4070-5944-43c8-baa5-91d6172c80a9%5D%2FgroupInfoFuel%5B%40ordinal%3D1%5D%2FpicFuelRecibeInterno","Descargar")</f>
        <v>Descargar</v>
      </c>
    </row>
    <row r="398" spans="1:18" x14ac:dyDescent="0.3">
      <c r="A398">
        <v>1605104</v>
      </c>
      <c r="B398" t="s">
        <v>18</v>
      </c>
      <c r="C398" t="s">
        <v>150</v>
      </c>
      <c r="D398" t="s">
        <v>154</v>
      </c>
      <c r="E398" t="s">
        <v>577</v>
      </c>
      <c r="F398" t="s">
        <v>22</v>
      </c>
      <c r="G398" t="s">
        <v>47</v>
      </c>
      <c r="H398" t="s">
        <v>58</v>
      </c>
      <c r="I398" t="s">
        <v>25</v>
      </c>
      <c r="J398" t="s">
        <v>578</v>
      </c>
      <c r="K398">
        <v>26</v>
      </c>
      <c r="L398">
        <v>8</v>
      </c>
      <c r="M398">
        <v>2025</v>
      </c>
      <c r="N398" t="s">
        <v>27</v>
      </c>
      <c r="O398">
        <v>156.1</v>
      </c>
      <c r="P398">
        <v>156.1</v>
      </c>
      <c r="R398" s="3" t="str">
        <f>HYPERLINK("https://panda.att.com.mx/ODKServer/view/binaryData?blobKey=FSSuministroFluidosv3%5B%40version%3Dnull+and+%40uiVersion%3Dnull%5D%2Fdata%5B%40key%3Duuid%3Aeef017f6-d896-4907-9478-278eac686223%5D%2FgroupInfoFuel%5B%40ordinal%3D1%5D%2FpicFuelRecibeInterno","Descargar")</f>
        <v>Descargar</v>
      </c>
    </row>
    <row r="399" spans="1:18" x14ac:dyDescent="0.3">
      <c r="A399">
        <v>1605091</v>
      </c>
      <c r="B399" t="s">
        <v>18</v>
      </c>
      <c r="C399" t="s">
        <v>55</v>
      </c>
      <c r="D399" t="s">
        <v>366</v>
      </c>
      <c r="E399" t="s">
        <v>579</v>
      </c>
      <c r="F399" t="s">
        <v>22</v>
      </c>
      <c r="G399" t="s">
        <v>23</v>
      </c>
      <c r="H399" t="s">
        <v>58</v>
      </c>
      <c r="I399" t="s">
        <v>25</v>
      </c>
      <c r="J399" t="s">
        <v>580</v>
      </c>
      <c r="K399">
        <v>26</v>
      </c>
      <c r="L399">
        <v>8</v>
      </c>
      <c r="M399">
        <v>2025</v>
      </c>
      <c r="N399" t="s">
        <v>27</v>
      </c>
      <c r="O399">
        <v>150</v>
      </c>
      <c r="P399">
        <v>150</v>
      </c>
      <c r="R399" s="3" t="str">
        <f>HYPERLINK("https://panda.att.com.mx/ODKServer/view/binaryData?blobKey=FSSuministroFluidosv3%5B%40version%3Dnull+and+%40uiVersion%3Dnull%5D%2Fdata%5B%40key%3Duuid%3Ad83c4fce-08c5-4849-9364-e8f67884e4b4%5D%2FgroupInfoFuel%5B%40ordinal%3D1%5D%2FpicFuelRecibeInterno","Descargar")</f>
        <v>Descargar</v>
      </c>
    </row>
    <row r="400" spans="1:18" x14ac:dyDescent="0.3">
      <c r="A400">
        <v>1605082</v>
      </c>
      <c r="B400" t="s">
        <v>18</v>
      </c>
      <c r="C400" t="s">
        <v>68</v>
      </c>
      <c r="D400" t="s">
        <v>116</v>
      </c>
      <c r="E400" t="s">
        <v>581</v>
      </c>
      <c r="F400" t="s">
        <v>22</v>
      </c>
      <c r="G400" t="s">
        <v>23</v>
      </c>
      <c r="H400" t="s">
        <v>37</v>
      </c>
      <c r="I400" t="s">
        <v>25</v>
      </c>
      <c r="J400" t="s">
        <v>582</v>
      </c>
      <c r="K400">
        <v>24</v>
      </c>
      <c r="L400">
        <v>8</v>
      </c>
      <c r="M400">
        <v>2025</v>
      </c>
      <c r="N400" t="s">
        <v>27</v>
      </c>
      <c r="O400">
        <v>150</v>
      </c>
      <c r="P400">
        <v>150</v>
      </c>
      <c r="R400" s="3" t="str">
        <f>HYPERLINK("https://panda.att.com.mx/ODKServer/view/binaryData?blobKey=FSSuministroFluidosv3%5B%40version%3Dnull+and+%40uiVersion%3Dnull%5D%2Fdata%5B%40key%3Duuid%3Ae40efac0-130b-4e55-ba84-f53fbd4900a7%5D%2FgroupInfoFuel%5B%40ordinal%3D1%5D%2FpicFuelRecibeInterno","Descargar")</f>
        <v>Descargar</v>
      </c>
    </row>
    <row r="401" spans="1:18" x14ac:dyDescent="0.3">
      <c r="A401">
        <v>1605070</v>
      </c>
      <c r="B401" t="s">
        <v>18</v>
      </c>
      <c r="C401" t="s">
        <v>34</v>
      </c>
      <c r="D401" t="s">
        <v>187</v>
      </c>
      <c r="E401" t="s">
        <v>583</v>
      </c>
      <c r="F401" t="s">
        <v>22</v>
      </c>
      <c r="G401" t="s">
        <v>23</v>
      </c>
      <c r="H401" t="s">
        <v>24</v>
      </c>
      <c r="I401" t="s">
        <v>25</v>
      </c>
      <c r="J401" t="s">
        <v>584</v>
      </c>
      <c r="K401">
        <v>26</v>
      </c>
      <c r="L401">
        <v>8</v>
      </c>
      <c r="M401">
        <v>2025</v>
      </c>
      <c r="N401" t="s">
        <v>44</v>
      </c>
      <c r="O401">
        <v>40</v>
      </c>
      <c r="P401">
        <v>40</v>
      </c>
      <c r="R401" s="3" t="str">
        <f>HYPERLINK("https://panda.att.com.mx/ODKServer/view/binaryData?blobKey=FSSuministroFluidosv3%5B%40version%3Dnull+and+%40uiVersion%3Dnull%5D%2Fdata%5B%40key%3Duuid%3Aeb32216d-dbcb-4a99-87bc-d45eb26b744c%5D%2FgroupInfoFuel%5B%40ordinal%3D1%5D%2FpicFuelRecibeInterno","Descargar")</f>
        <v>Descargar</v>
      </c>
    </row>
    <row r="402" spans="1:18" x14ac:dyDescent="0.3">
      <c r="A402">
        <v>1603042</v>
      </c>
      <c r="B402" t="s">
        <v>18</v>
      </c>
      <c r="C402" t="s">
        <v>183</v>
      </c>
      <c r="D402" t="s">
        <v>585</v>
      </c>
      <c r="E402" t="s">
        <v>586</v>
      </c>
      <c r="F402" t="s">
        <v>22</v>
      </c>
      <c r="G402" t="s">
        <v>23</v>
      </c>
      <c r="H402" t="s">
        <v>24</v>
      </c>
      <c r="I402" t="s">
        <v>25</v>
      </c>
      <c r="J402" t="s">
        <v>587</v>
      </c>
      <c r="K402">
        <v>22</v>
      </c>
      <c r="L402">
        <v>8</v>
      </c>
      <c r="M402">
        <v>2025</v>
      </c>
      <c r="N402" t="s">
        <v>27</v>
      </c>
      <c r="O402">
        <v>100</v>
      </c>
      <c r="P402">
        <v>100</v>
      </c>
      <c r="R402" s="3" t="str">
        <f>HYPERLINK("https://panda.att.com.mx/ODKServer/view/binaryData?blobKey=FSSuministroFluidosv3%5B%40version%3Dnull+and+%40uiVersion%3Dnull%5D%2Fdata%5B%40key%3Duuid%3A9a6e41fa-a107-4731-93c5-05d0b9636cc4%5D%2FgroupInfoFuel%5B%40ordinal%3D1%5D%2FpicFuelRecibeInterno","Descargar")</f>
        <v>Descargar</v>
      </c>
    </row>
    <row r="403" spans="1:18" x14ac:dyDescent="0.3">
      <c r="A403">
        <v>1603032</v>
      </c>
      <c r="B403" t="s">
        <v>18</v>
      </c>
      <c r="C403" t="s">
        <v>34</v>
      </c>
      <c r="D403" t="s">
        <v>121</v>
      </c>
      <c r="E403" t="s">
        <v>588</v>
      </c>
      <c r="F403" t="s">
        <v>22</v>
      </c>
      <c r="G403" t="s">
        <v>23</v>
      </c>
      <c r="H403" t="s">
        <v>37</v>
      </c>
      <c r="I403" t="s">
        <v>25</v>
      </c>
      <c r="J403" t="s">
        <v>589</v>
      </c>
      <c r="K403">
        <v>22</v>
      </c>
      <c r="L403">
        <v>8</v>
      </c>
      <c r="M403">
        <v>2025</v>
      </c>
      <c r="N403" t="s">
        <v>27</v>
      </c>
      <c r="O403">
        <v>100</v>
      </c>
      <c r="P403">
        <v>100</v>
      </c>
      <c r="R403" s="3" t="str">
        <f>HYPERLINK("https://panda.att.com.mx/ODKServer/view/binaryData?blobKey=FSSuministroFluidosv3%5B%40version%3Dnull+and+%40uiVersion%3Dnull%5D%2Fdata%5B%40key%3Duuid%3Aa8e490c1-1072-4bc9-9a36-827b5761bd30%5D%2FgroupInfoFuel%5B%40ordinal%3D1%5D%2FpicFuelRecibeInterno","Descargar")</f>
        <v>Descargar</v>
      </c>
    </row>
    <row r="404" spans="1:18" x14ac:dyDescent="0.3">
      <c r="A404">
        <v>1603029</v>
      </c>
      <c r="B404" t="s">
        <v>18</v>
      </c>
      <c r="C404" t="s">
        <v>100</v>
      </c>
      <c r="D404" t="s">
        <v>101</v>
      </c>
      <c r="E404" t="s">
        <v>102</v>
      </c>
      <c r="F404" t="s">
        <v>22</v>
      </c>
      <c r="G404" t="s">
        <v>83</v>
      </c>
      <c r="H404" t="s">
        <v>58</v>
      </c>
      <c r="I404" t="s">
        <v>25</v>
      </c>
      <c r="J404" t="s">
        <v>590</v>
      </c>
      <c r="K404">
        <v>22</v>
      </c>
      <c r="L404">
        <v>8</v>
      </c>
      <c r="M404">
        <v>2025</v>
      </c>
      <c r="N404" t="s">
        <v>27</v>
      </c>
      <c r="O404">
        <v>69</v>
      </c>
      <c r="P404">
        <v>69</v>
      </c>
      <c r="R404" s="3" t="str">
        <f>HYPERLINK("https://panda.att.com.mx/ODKServer/view/binaryData?blobKey=FSSuministroFluidosv3%5B%40version%3Dnull+and+%40uiVersion%3Dnull%5D%2Fdata%5B%40key%3Duuid%3A7cf4cce6-6705-4914-9d98-bcead22b5857%5D%2FgroupInfoFuel%5B%40ordinal%3D1%5D%2FpicFuelRecibeInterno","Descargar")</f>
        <v>Descargar</v>
      </c>
    </row>
    <row r="405" spans="1:18" x14ac:dyDescent="0.3">
      <c r="A405">
        <v>1602988</v>
      </c>
      <c r="B405" t="s">
        <v>18</v>
      </c>
      <c r="C405" t="s">
        <v>167</v>
      </c>
      <c r="D405" t="s">
        <v>268</v>
      </c>
      <c r="E405" t="s">
        <v>442</v>
      </c>
      <c r="F405" t="s">
        <v>33</v>
      </c>
      <c r="G405" t="s">
        <v>23</v>
      </c>
      <c r="H405" t="s">
        <v>58</v>
      </c>
      <c r="I405" t="s">
        <v>25</v>
      </c>
      <c r="J405" t="s">
        <v>591</v>
      </c>
      <c r="K405">
        <v>22</v>
      </c>
      <c r="L405">
        <v>8</v>
      </c>
      <c r="M405">
        <v>2025</v>
      </c>
      <c r="N405" t="s">
        <v>27</v>
      </c>
      <c r="O405">
        <v>200</v>
      </c>
      <c r="P405">
        <v>200</v>
      </c>
      <c r="R405" s="3" t="str">
        <f>HYPERLINK("https://panda.att.com.mx/ODKServer/view/binaryData?blobKey=FSSuministroFluidosv3%5B%40version%3Dnull+and+%40uiVersion%3Dnull%5D%2Fdata%5B%40key%3Duuid%3A9522dffd-4529-469f-865b-0213034c5864%5D%2FgroupInfoFuel%5B%40ordinal%3D1%5D%2FpicFuelRecibeInterno","Descargar")</f>
        <v>Descargar</v>
      </c>
    </row>
    <row r="406" spans="1:18" x14ac:dyDescent="0.3">
      <c r="A406">
        <v>1602975</v>
      </c>
      <c r="B406" t="s">
        <v>18</v>
      </c>
      <c r="C406" t="s">
        <v>34</v>
      </c>
      <c r="D406" t="s">
        <v>53</v>
      </c>
      <c r="E406" t="s">
        <v>144</v>
      </c>
      <c r="F406" t="s">
        <v>22</v>
      </c>
      <c r="G406" t="s">
        <v>83</v>
      </c>
      <c r="H406" t="s">
        <v>390</v>
      </c>
      <c r="I406" t="s">
        <v>25</v>
      </c>
      <c r="J406" t="s">
        <v>592</v>
      </c>
      <c r="K406">
        <v>22</v>
      </c>
      <c r="L406">
        <v>8</v>
      </c>
      <c r="M406">
        <v>2025</v>
      </c>
      <c r="N406" t="s">
        <v>27</v>
      </c>
      <c r="O406">
        <v>350</v>
      </c>
      <c r="P406">
        <v>350</v>
      </c>
      <c r="R406" s="3" t="str">
        <f>HYPERLINK("https://panda.att.com.mx/ODKServer/view/binaryData?blobKey=FSSuministroFluidosv3%5B%40version%3Dnull+and+%40uiVersion%3Dnull%5D%2Fdata%5B%40key%3Duuid%3A888e431e-49b1-4d57-8b9d-d28645544366%5D%2FgroupInfoFuel%5B%40ordinal%3D1%5D%2FpicFuelRecibeInterno","Descargar")</f>
        <v>Descargar</v>
      </c>
    </row>
    <row r="407" spans="1:18" x14ac:dyDescent="0.3">
      <c r="A407">
        <v>1602974</v>
      </c>
      <c r="B407" t="s">
        <v>18</v>
      </c>
      <c r="C407" t="s">
        <v>34</v>
      </c>
      <c r="D407" t="s">
        <v>53</v>
      </c>
      <c r="E407" t="s">
        <v>593</v>
      </c>
      <c r="F407" t="s">
        <v>22</v>
      </c>
      <c r="G407" t="s">
        <v>83</v>
      </c>
      <c r="H407" t="s">
        <v>390</v>
      </c>
      <c r="I407" t="s">
        <v>25</v>
      </c>
      <c r="J407" t="s">
        <v>594</v>
      </c>
      <c r="K407">
        <v>21</v>
      </c>
      <c r="L407">
        <v>8</v>
      </c>
      <c r="M407">
        <v>2025</v>
      </c>
      <c r="N407" t="s">
        <v>27</v>
      </c>
      <c r="O407">
        <v>400</v>
      </c>
      <c r="P407">
        <v>400</v>
      </c>
      <c r="R407" s="3" t="str">
        <f>HYPERLINK("https://panda.att.com.mx/ODKServer/view/binaryData?blobKey=FSSuministroFluidosv3%5B%40version%3Dnull+and+%40uiVersion%3Dnull%5D%2Fdata%5B%40key%3Duuid%3A1a1abf82-d9d3-4a22-8ac1-398dce91d7c3%5D%2FgroupInfoFuel%5B%40ordinal%3D1%5D%2FpicFuelRecibeInterno","Descargar")</f>
        <v>Descargar</v>
      </c>
    </row>
    <row r="408" spans="1:18" x14ac:dyDescent="0.3">
      <c r="A408">
        <v>1602973</v>
      </c>
      <c r="B408" t="s">
        <v>18</v>
      </c>
      <c r="C408" t="s">
        <v>34</v>
      </c>
      <c r="D408" t="s">
        <v>53</v>
      </c>
      <c r="E408" t="s">
        <v>206</v>
      </c>
      <c r="F408" t="s">
        <v>22</v>
      </c>
      <c r="G408" t="s">
        <v>47</v>
      </c>
      <c r="H408" t="s">
        <v>390</v>
      </c>
      <c r="I408" t="s">
        <v>25</v>
      </c>
      <c r="J408" t="s">
        <v>595</v>
      </c>
      <c r="K408">
        <v>21</v>
      </c>
      <c r="L408">
        <v>8</v>
      </c>
      <c r="M408">
        <v>2025</v>
      </c>
      <c r="N408" t="s">
        <v>27</v>
      </c>
      <c r="O408">
        <v>200</v>
      </c>
      <c r="P408">
        <v>200</v>
      </c>
      <c r="R408" s="3" t="str">
        <f>HYPERLINK("https://panda.att.com.mx/ODKServer/view/binaryData?blobKey=FSSuministroFluidosv3%5B%40version%3Dnull+and+%40uiVersion%3Dnull%5D%2Fdata%5B%40key%3Duuid%3A730abfa9-50a1-4be3-882b-282550bc7bc8%5D%2FgroupInfoFuel%5B%40ordinal%3D1%5D%2FpicFuelRecibeInterno","Descargar")</f>
        <v>Descargar</v>
      </c>
    </row>
    <row r="409" spans="1:18" x14ac:dyDescent="0.3">
      <c r="A409">
        <v>1602971</v>
      </c>
      <c r="B409" t="s">
        <v>18</v>
      </c>
      <c r="C409" t="s">
        <v>34</v>
      </c>
      <c r="D409" t="s">
        <v>53</v>
      </c>
      <c r="E409" t="s">
        <v>54</v>
      </c>
      <c r="F409" t="s">
        <v>22</v>
      </c>
      <c r="G409" t="s">
        <v>23</v>
      </c>
      <c r="H409" t="s">
        <v>37</v>
      </c>
      <c r="I409" t="s">
        <v>25</v>
      </c>
      <c r="J409" t="s">
        <v>596</v>
      </c>
      <c r="K409">
        <v>22</v>
      </c>
      <c r="L409">
        <v>8</v>
      </c>
      <c r="M409">
        <v>2025</v>
      </c>
      <c r="N409" t="s">
        <v>27</v>
      </c>
      <c r="O409">
        <v>400</v>
      </c>
      <c r="Q409">
        <v>400</v>
      </c>
      <c r="R409" s="3" t="str">
        <f>HYPERLINK("https://panda.att.com.mx/ODKServer/view/binaryData?blobKey=FSSuministroFluidosv3%5B%40version%3Dnull+and+%40uiVersion%3Dnull%5D%2Fdata%5B%40key%3Duuid%3A1b7647f1-4b3c-4bcd-8ca7-439533a7be7f%5D%2FgroupInfoFuel%5B%40ordinal%3D1%5D%2FpicFuelRecibeInterno","Descargar")</f>
        <v>Descargar</v>
      </c>
    </row>
    <row r="410" spans="1:18" x14ac:dyDescent="0.3">
      <c r="A410">
        <v>1602970</v>
      </c>
      <c r="B410" t="s">
        <v>18</v>
      </c>
      <c r="C410" t="s">
        <v>59</v>
      </c>
      <c r="D410" t="s">
        <v>597</v>
      </c>
      <c r="E410" t="s">
        <v>598</v>
      </c>
      <c r="F410" t="s">
        <v>22</v>
      </c>
      <c r="G410" t="s">
        <v>23</v>
      </c>
      <c r="H410" t="s">
        <v>37</v>
      </c>
      <c r="I410" t="s">
        <v>25</v>
      </c>
      <c r="J410" t="s">
        <v>599</v>
      </c>
      <c r="K410">
        <v>22</v>
      </c>
      <c r="L410">
        <v>8</v>
      </c>
      <c r="M410">
        <v>2025</v>
      </c>
      <c r="N410" t="s">
        <v>27</v>
      </c>
      <c r="O410">
        <v>70</v>
      </c>
      <c r="P410">
        <v>70</v>
      </c>
      <c r="R410" s="3" t="str">
        <f>HYPERLINK("https://panda.att.com.mx/ODKServer/view/binaryData?blobKey=FSSuministroFluidosv3%5B%40version%3Dnull+and+%40uiVersion%3Dnull%5D%2Fdata%5B%40key%3Duuid%3A414341eb-203f-4d26-9b28-674c7f5b366f%5D%2FgroupInfoFuel%5B%40ordinal%3D1%5D%2FpicFuelRecibeInterno","Descargar")</f>
        <v>Descargar</v>
      </c>
    </row>
    <row r="411" spans="1:18" x14ac:dyDescent="0.3">
      <c r="A411">
        <v>1602939</v>
      </c>
      <c r="B411" t="s">
        <v>18</v>
      </c>
      <c r="C411" t="s">
        <v>150</v>
      </c>
      <c r="D411" t="s">
        <v>164</v>
      </c>
      <c r="E411" t="s">
        <v>165</v>
      </c>
      <c r="F411" t="s">
        <v>22</v>
      </c>
      <c r="G411" t="s">
        <v>23</v>
      </c>
      <c r="H411" t="s">
        <v>58</v>
      </c>
      <c r="I411" t="s">
        <v>25</v>
      </c>
      <c r="J411" t="s">
        <v>600</v>
      </c>
      <c r="K411">
        <v>22</v>
      </c>
      <c r="L411">
        <v>8</v>
      </c>
      <c r="M411">
        <v>2025</v>
      </c>
      <c r="N411" t="s">
        <v>27</v>
      </c>
      <c r="O411">
        <v>400</v>
      </c>
      <c r="P411">
        <v>400</v>
      </c>
      <c r="R411" s="3" t="str">
        <f>HYPERLINK("https://panda.att.com.mx/ODKServer/view/binaryData?blobKey=FSSuministroFluidosv3%5B%40version%3Dnull+and+%40uiVersion%3Dnull%5D%2Fdata%5B%40key%3Duuid%3A23b7fa09-e25a-4a74-b4dc-034ff03e4cb7%5D%2FgroupInfoFuel%5B%40ordinal%3D1%5D%2FpicFuelRecibeInterno","Descargar")</f>
        <v>Descargar</v>
      </c>
    </row>
    <row r="412" spans="1:18" x14ac:dyDescent="0.3">
      <c r="A412">
        <v>1602896</v>
      </c>
      <c r="B412" t="s">
        <v>18</v>
      </c>
      <c r="C412" t="s">
        <v>167</v>
      </c>
      <c r="D412" t="s">
        <v>215</v>
      </c>
      <c r="E412" t="s">
        <v>601</v>
      </c>
      <c r="F412" t="s">
        <v>22</v>
      </c>
      <c r="G412" t="s">
        <v>23</v>
      </c>
      <c r="H412" t="s">
        <v>58</v>
      </c>
      <c r="I412" t="s">
        <v>25</v>
      </c>
      <c r="J412" t="s">
        <v>602</v>
      </c>
      <c r="K412">
        <v>22</v>
      </c>
      <c r="L412">
        <v>8</v>
      </c>
      <c r="M412">
        <v>2025</v>
      </c>
      <c r="N412" t="s">
        <v>27</v>
      </c>
      <c r="O412">
        <v>50</v>
      </c>
      <c r="P412">
        <v>50</v>
      </c>
      <c r="R412" s="3" t="str">
        <f>HYPERLINK("https://panda.att.com.mx/ODKServer/view/binaryData?blobKey=FSSuministroFluidosv3%5B%40version%3Dnull+and+%40uiVersion%3Dnull%5D%2Fdata%5B%40key%3Duuid%3Afe357441-130d-43ab-ab1d-4e4e30bb6108%5D%2FgroupInfoFuel%5B%40ordinal%3D1%5D%2FpicFuelRecibeInterno","Descargar")</f>
        <v>Descargar</v>
      </c>
    </row>
    <row r="413" spans="1:18" x14ac:dyDescent="0.3">
      <c r="A413">
        <v>1602848</v>
      </c>
      <c r="B413" t="s">
        <v>18</v>
      </c>
      <c r="C413" t="s">
        <v>68</v>
      </c>
      <c r="D413" t="s">
        <v>116</v>
      </c>
      <c r="E413" t="s">
        <v>603</v>
      </c>
      <c r="F413" t="s">
        <v>22</v>
      </c>
      <c r="G413" t="s">
        <v>23</v>
      </c>
      <c r="H413" t="s">
        <v>37</v>
      </c>
      <c r="I413" t="s">
        <v>25</v>
      </c>
      <c r="J413" t="s">
        <v>604</v>
      </c>
      <c r="K413">
        <v>20</v>
      </c>
      <c r="L413">
        <v>8</v>
      </c>
      <c r="M413">
        <v>2025</v>
      </c>
      <c r="N413" t="s">
        <v>27</v>
      </c>
      <c r="O413">
        <v>150</v>
      </c>
      <c r="P413">
        <v>150</v>
      </c>
      <c r="R413" s="3" t="str">
        <f>HYPERLINK("https://panda.att.com.mx/ODKServer/view/binaryData?blobKey=FSSuministroFluidosv3%5B%40version%3Dnull+and+%40uiVersion%3Dnull%5D%2Fdata%5B%40key%3Duuid%3A3350c053-ea3a-4095-9bc0-9a41ea13af07%5D%2FgroupInfoFuel%5B%40ordinal%3D1%5D%2FpicFuelRecibeInterno","Descargar")</f>
        <v>Descargar</v>
      </c>
    </row>
    <row r="414" spans="1:18" x14ac:dyDescent="0.3">
      <c r="A414">
        <v>1602830</v>
      </c>
      <c r="B414" t="s">
        <v>18</v>
      </c>
      <c r="C414" t="s">
        <v>167</v>
      </c>
      <c r="D414" t="s">
        <v>253</v>
      </c>
      <c r="E414" t="s">
        <v>605</v>
      </c>
      <c r="F414" t="s">
        <v>22</v>
      </c>
      <c r="G414" t="s">
        <v>23</v>
      </c>
      <c r="H414" t="s">
        <v>58</v>
      </c>
      <c r="I414" t="s">
        <v>25</v>
      </c>
      <c r="J414" t="s">
        <v>606</v>
      </c>
      <c r="K414">
        <v>22</v>
      </c>
      <c r="L414">
        <v>8</v>
      </c>
      <c r="M414">
        <v>2025</v>
      </c>
      <c r="N414" t="s">
        <v>27</v>
      </c>
      <c r="O414">
        <v>300</v>
      </c>
      <c r="Q414">
        <v>300</v>
      </c>
      <c r="R414" s="3" t="str">
        <f>HYPERLINK("https://panda.att.com.mx/ODKServer/view/binaryData?blobKey=FSSuministroFluidosv3%5B%40version%3Dnull+and+%40uiVersion%3Dnull%5D%2Fdata%5B%40key%3Duuid%3Acef263ef-df98-42d0-a02f-ed43622980ec%5D%2FgroupInfoFuel%5B%40ordinal%3D1%5D%2FpicFuelRecibeInterno","Descargar")</f>
        <v>Descargar</v>
      </c>
    </row>
    <row r="415" spans="1:18" x14ac:dyDescent="0.3">
      <c r="A415">
        <v>1602822</v>
      </c>
      <c r="B415" t="s">
        <v>18</v>
      </c>
      <c r="C415" t="s">
        <v>19</v>
      </c>
      <c r="D415" t="s">
        <v>140</v>
      </c>
      <c r="E415" t="s">
        <v>607</v>
      </c>
      <c r="F415" t="s">
        <v>22</v>
      </c>
      <c r="G415" t="s">
        <v>23</v>
      </c>
      <c r="H415" t="s">
        <v>24</v>
      </c>
      <c r="I415" t="s">
        <v>25</v>
      </c>
      <c r="J415" t="s">
        <v>608</v>
      </c>
      <c r="K415">
        <v>22</v>
      </c>
      <c r="L415">
        <v>8</v>
      </c>
      <c r="M415">
        <v>2025</v>
      </c>
      <c r="N415" t="s">
        <v>27</v>
      </c>
      <c r="O415">
        <v>350</v>
      </c>
      <c r="Q415">
        <v>350</v>
      </c>
      <c r="R415" s="3" t="str">
        <f>HYPERLINK("https://panda.att.com.mx/ODKServer/view/binaryData?blobKey=FSSuministroFluidosv3%5B%40version%3Dnull+and+%40uiVersion%3Dnull%5D%2Fdata%5B%40key%3Duuid%3A7b33f336-1051-4d46-b52f-6923e41d5c18%5D%2FgroupInfoFuel%5B%40ordinal%3D1%5D%2FpicFuelRecibeInterno","Descargar")</f>
        <v>Descargar</v>
      </c>
    </row>
    <row r="416" spans="1:18" x14ac:dyDescent="0.3">
      <c r="A416">
        <v>1602767</v>
      </c>
      <c r="B416" t="s">
        <v>18</v>
      </c>
      <c r="C416" t="s">
        <v>19</v>
      </c>
      <c r="D416" t="s">
        <v>170</v>
      </c>
      <c r="E416" t="s">
        <v>609</v>
      </c>
      <c r="F416" t="s">
        <v>22</v>
      </c>
      <c r="G416" t="s">
        <v>23</v>
      </c>
      <c r="H416" t="s">
        <v>24</v>
      </c>
      <c r="I416" t="s">
        <v>25</v>
      </c>
      <c r="J416" t="s">
        <v>610</v>
      </c>
      <c r="K416">
        <v>22</v>
      </c>
      <c r="L416">
        <v>8</v>
      </c>
      <c r="M416">
        <v>2025</v>
      </c>
      <c r="N416" t="s">
        <v>27</v>
      </c>
      <c r="O416">
        <v>300</v>
      </c>
      <c r="P416">
        <v>300</v>
      </c>
      <c r="R416" s="3" t="str">
        <f>HYPERLINK("https://panda.att.com.mx/ODKServer/view/binaryData?blobKey=FSSuministroFluidosv3%5B%40version%3Dnull+and+%40uiVersion%3Dnull%5D%2Fdata%5B%40key%3Duuid%3A8b5bc76a-54e3-44e2-b5a8-b7c7616cd1b7%5D%2FgroupInfoFuel%5B%40ordinal%3D1%5D%2FpicFuelRecibeInterno","Descargar")</f>
        <v>Descargar</v>
      </c>
    </row>
    <row r="417" spans="1:18" x14ac:dyDescent="0.3">
      <c r="A417">
        <v>1602758</v>
      </c>
      <c r="B417" t="s">
        <v>18</v>
      </c>
      <c r="C417" t="s">
        <v>59</v>
      </c>
      <c r="D417" t="s">
        <v>611</v>
      </c>
      <c r="E417" t="s">
        <v>612</v>
      </c>
      <c r="F417" t="s">
        <v>22</v>
      </c>
      <c r="G417" t="s">
        <v>23</v>
      </c>
      <c r="H417" t="s">
        <v>37</v>
      </c>
      <c r="I417" t="s">
        <v>25</v>
      </c>
      <c r="J417" t="s">
        <v>613</v>
      </c>
      <c r="K417">
        <v>22</v>
      </c>
      <c r="L417">
        <v>8</v>
      </c>
      <c r="M417">
        <v>2025</v>
      </c>
      <c r="N417" t="s">
        <v>27</v>
      </c>
      <c r="O417">
        <v>100</v>
      </c>
      <c r="Q417">
        <v>100</v>
      </c>
      <c r="R417" s="3" t="str">
        <f>HYPERLINK("https://panda.att.com.mx/ODKServer/view/binaryData?blobKey=FSSuministroFluidosv3%5B%40version%3Dnull+and+%40uiVersion%3Dnull%5D%2Fdata%5B%40key%3Duuid%3A1603f4d7-21aa-468d-8227-19bd57c4bd3c%5D%2FgroupInfoFuel%5B%40ordinal%3D1%5D%2FpicFuelRecibeInterno","Descargar")</f>
        <v>Descargar</v>
      </c>
    </row>
    <row r="418" spans="1:18" x14ac:dyDescent="0.3">
      <c r="A418">
        <v>1602741</v>
      </c>
      <c r="B418" t="s">
        <v>18</v>
      </c>
      <c r="C418" t="s">
        <v>19</v>
      </c>
      <c r="D418" t="s">
        <v>170</v>
      </c>
      <c r="E418" t="s">
        <v>609</v>
      </c>
      <c r="F418" t="s">
        <v>22</v>
      </c>
      <c r="G418" t="s">
        <v>23</v>
      </c>
      <c r="H418" t="s">
        <v>24</v>
      </c>
      <c r="I418" t="s">
        <v>25</v>
      </c>
      <c r="J418" t="s">
        <v>614</v>
      </c>
      <c r="K418">
        <v>22</v>
      </c>
      <c r="L418">
        <v>8</v>
      </c>
      <c r="M418">
        <v>2025</v>
      </c>
      <c r="N418" t="s">
        <v>27</v>
      </c>
      <c r="O418">
        <v>150</v>
      </c>
      <c r="P418">
        <v>150</v>
      </c>
      <c r="R418" s="3" t="str">
        <f>HYPERLINK("https://panda.att.com.mx/ODKServer/view/binaryData?blobKey=FSSuministroFluidosv3%5B%40version%3Dnull+and+%40uiVersion%3Dnull%5D%2Fdata%5B%40key%3Duuid%3Ab35d6b14-ebef-498c-9b90-13f654998b5e%5D%2FgroupInfoFuel%5B%40ordinal%3D1%5D%2FpicFuelRecibeInterno","Descargar")</f>
        <v>Descargar</v>
      </c>
    </row>
    <row r="419" spans="1:18" x14ac:dyDescent="0.3">
      <c r="A419">
        <v>1602719</v>
      </c>
      <c r="B419" t="s">
        <v>18</v>
      </c>
      <c r="C419" t="s">
        <v>19</v>
      </c>
      <c r="D419" t="s">
        <v>62</v>
      </c>
      <c r="E419" t="s">
        <v>615</v>
      </c>
      <c r="F419" t="s">
        <v>22</v>
      </c>
      <c r="G419" t="s">
        <v>23</v>
      </c>
      <c r="H419" t="s">
        <v>24</v>
      </c>
      <c r="I419" t="s">
        <v>25</v>
      </c>
      <c r="J419" t="s">
        <v>616</v>
      </c>
      <c r="K419">
        <v>12</v>
      </c>
      <c r="L419">
        <v>8</v>
      </c>
      <c r="M419">
        <v>2025</v>
      </c>
      <c r="N419" t="s">
        <v>27</v>
      </c>
      <c r="O419">
        <v>100</v>
      </c>
      <c r="P419">
        <v>100</v>
      </c>
      <c r="R419" s="3" t="str">
        <f>HYPERLINK("https://panda.att.com.mx/ODKServer/view/binaryData?blobKey=FSSuministroFluidosv3%5B%40version%3Dnull+and+%40uiVersion%3Dnull%5D%2Fdata%5B%40key%3Duuid%3A2a99dd94-6722-4460-8f1b-ef0869ffbe53%5D%2FgroupInfoFuel%5B%40ordinal%3D1%5D%2FpicFuelRecibeInterno","Descargar")</f>
        <v>Descargar</v>
      </c>
    </row>
    <row r="420" spans="1:18" x14ac:dyDescent="0.3">
      <c r="A420">
        <v>1602688</v>
      </c>
      <c r="B420" t="s">
        <v>18</v>
      </c>
      <c r="C420" t="s">
        <v>19</v>
      </c>
      <c r="D420" t="s">
        <v>140</v>
      </c>
      <c r="E420" t="s">
        <v>607</v>
      </c>
      <c r="F420" t="s">
        <v>22</v>
      </c>
      <c r="G420" t="s">
        <v>23</v>
      </c>
      <c r="H420" t="s">
        <v>24</v>
      </c>
      <c r="I420" t="s">
        <v>25</v>
      </c>
      <c r="J420" t="s">
        <v>617</v>
      </c>
      <c r="K420">
        <v>22</v>
      </c>
      <c r="L420">
        <v>8</v>
      </c>
      <c r="M420">
        <v>2025</v>
      </c>
      <c r="N420" t="s">
        <v>27</v>
      </c>
      <c r="O420">
        <v>350</v>
      </c>
      <c r="Q420">
        <v>350</v>
      </c>
      <c r="R420" s="3" t="str">
        <f>HYPERLINK("https://panda.att.com.mx/ODKServer/view/binaryData?blobKey=FSSuministroFluidosv3%5B%40version%3Dnull+and+%40uiVersion%3Dnull%5D%2Fdata%5B%40key%3Duuid%3A080af545-2601-47d3-a363-6cbf42ddb935%5D%2FgroupInfoFuel%5B%40ordinal%3D1%5D%2FpicFuelRecibeInterno","Descargar")</f>
        <v>Descargar</v>
      </c>
    </row>
    <row r="421" spans="1:18" x14ac:dyDescent="0.3">
      <c r="A421">
        <v>1602676</v>
      </c>
      <c r="B421" t="s">
        <v>18</v>
      </c>
      <c r="C421" t="s">
        <v>100</v>
      </c>
      <c r="D421" t="s">
        <v>101</v>
      </c>
      <c r="E421" t="s">
        <v>618</v>
      </c>
      <c r="F421" t="s">
        <v>22</v>
      </c>
      <c r="G421" t="s">
        <v>23</v>
      </c>
      <c r="H421" t="s">
        <v>58</v>
      </c>
      <c r="I421" t="s">
        <v>25</v>
      </c>
      <c r="J421" t="s">
        <v>619</v>
      </c>
      <c r="K421">
        <v>22</v>
      </c>
      <c r="L421">
        <v>8</v>
      </c>
      <c r="M421">
        <v>2025</v>
      </c>
      <c r="N421" t="s">
        <v>27</v>
      </c>
      <c r="O421">
        <v>300</v>
      </c>
      <c r="P421">
        <v>300</v>
      </c>
      <c r="R421" s="3" t="str">
        <f>HYPERLINK("https://panda.att.com.mx/ODKServer/view/binaryData?blobKey=FSSuministroFluidosv3%5B%40version%3Dnull+and+%40uiVersion%3Dnull%5D%2Fdata%5B%40key%3Duuid%3A75896415-883f-41f5-86b7-09f3dc0fbf5e%5D%2FgroupInfoFuel%5B%40ordinal%3D1%5D%2FpicFuelRecibeInterno","Descargar")</f>
        <v>Descargar</v>
      </c>
    </row>
    <row r="422" spans="1:18" x14ac:dyDescent="0.3">
      <c r="A422">
        <v>1602611</v>
      </c>
      <c r="B422" t="s">
        <v>18</v>
      </c>
      <c r="C422" t="s">
        <v>19</v>
      </c>
      <c r="D422" t="s">
        <v>20</v>
      </c>
      <c r="E422" t="s">
        <v>620</v>
      </c>
      <c r="F422" t="s">
        <v>22</v>
      </c>
      <c r="G422" t="s">
        <v>23</v>
      </c>
      <c r="H422" t="s">
        <v>24</v>
      </c>
      <c r="I422" t="s">
        <v>25</v>
      </c>
      <c r="J422" t="s">
        <v>621</v>
      </c>
      <c r="K422">
        <v>18</v>
      </c>
      <c r="L422">
        <v>8</v>
      </c>
      <c r="M422">
        <v>2025</v>
      </c>
      <c r="N422" t="s">
        <v>27</v>
      </c>
      <c r="O422">
        <v>300</v>
      </c>
      <c r="P422">
        <v>300</v>
      </c>
      <c r="R422" s="3" t="str">
        <f>HYPERLINK("https://panda.att.com.mx/ODKServer/view/binaryData?blobKey=FSSuministroFluidosv3%5B%40version%3Dnull+and+%40uiVersion%3Dnull%5D%2Fdata%5B%40key%3Duuid%3Afbf4ef0f-8c84-4a32-b354-c7d02069a728%5D%2FgroupInfoFuel%5B%40ordinal%3D1%5D%2FpicFuelRecibeInterno","Descargar")</f>
        <v>Descargar</v>
      </c>
    </row>
    <row r="423" spans="1:18" x14ac:dyDescent="0.3">
      <c r="A423">
        <v>1602604</v>
      </c>
      <c r="B423" t="s">
        <v>18</v>
      </c>
      <c r="C423" t="s">
        <v>19</v>
      </c>
      <c r="D423" t="s">
        <v>45</v>
      </c>
      <c r="E423" t="s">
        <v>622</v>
      </c>
      <c r="F423" t="s">
        <v>22</v>
      </c>
      <c r="G423" t="s">
        <v>23</v>
      </c>
      <c r="H423" t="s">
        <v>24</v>
      </c>
      <c r="I423" t="s">
        <v>25</v>
      </c>
      <c r="J423" t="s">
        <v>623</v>
      </c>
      <c r="K423">
        <v>13</v>
      </c>
      <c r="L423">
        <v>8</v>
      </c>
      <c r="M423">
        <v>2025</v>
      </c>
      <c r="N423" t="s">
        <v>27</v>
      </c>
      <c r="O423">
        <v>400</v>
      </c>
      <c r="P423">
        <v>400</v>
      </c>
      <c r="R423" s="3" t="str">
        <f>HYPERLINK("https://panda.att.com.mx/ODKServer/view/binaryData?blobKey=FSSuministroFluidosv3%5B%40version%3Dnull+and+%40uiVersion%3Dnull%5D%2Fdata%5B%40key%3Duuid%3Acec1b31a-7c6a-4d01-9b46-b7370cf2870f%5D%2FgroupInfoFuel%5B%40ordinal%3D1%5D%2FpicFuelRecibeInterno","Descargar")</f>
        <v>Descargar</v>
      </c>
    </row>
    <row r="424" spans="1:18" x14ac:dyDescent="0.3">
      <c r="A424">
        <v>1602593</v>
      </c>
      <c r="B424" t="s">
        <v>18</v>
      </c>
      <c r="C424" t="s">
        <v>55</v>
      </c>
      <c r="D424" t="s">
        <v>56</v>
      </c>
      <c r="E424" t="s">
        <v>624</v>
      </c>
      <c r="F424" t="s">
        <v>22</v>
      </c>
      <c r="G424" t="s">
        <v>23</v>
      </c>
      <c r="H424" t="s">
        <v>58</v>
      </c>
      <c r="I424" t="s">
        <v>25</v>
      </c>
      <c r="J424" t="s">
        <v>625</v>
      </c>
      <c r="K424">
        <v>14</v>
      </c>
      <c r="L424">
        <v>8</v>
      </c>
      <c r="M424">
        <v>2025</v>
      </c>
      <c r="N424" t="s">
        <v>27</v>
      </c>
      <c r="O424">
        <v>100</v>
      </c>
      <c r="P424">
        <v>100</v>
      </c>
      <c r="R424" s="3" t="str">
        <f>HYPERLINK("https://panda.att.com.mx/ODKServer/view/binaryData?blobKey=FSSuministroFluidosv3%5B%40version%3Dnull+and+%40uiVersion%3Dnull%5D%2Fdata%5B%40key%3Duuid%3Abf85f617-44e5-4ae9-b124-aea7d21ab567%5D%2FgroupInfoFuel%5B%40ordinal%3D1%5D%2FpicFuelRecibeInterno","Descargar")</f>
        <v>Descargar</v>
      </c>
    </row>
    <row r="425" spans="1:18" x14ac:dyDescent="0.3">
      <c r="A425">
        <v>1602568</v>
      </c>
      <c r="B425" t="s">
        <v>18</v>
      </c>
      <c r="C425" t="s">
        <v>19</v>
      </c>
      <c r="D425" t="s">
        <v>45</v>
      </c>
      <c r="E425" t="s">
        <v>186</v>
      </c>
      <c r="F425" t="s">
        <v>22</v>
      </c>
      <c r="G425" t="s">
        <v>23</v>
      </c>
      <c r="H425" t="s">
        <v>24</v>
      </c>
      <c r="I425" t="s">
        <v>25</v>
      </c>
      <c r="J425" t="s">
        <v>626</v>
      </c>
      <c r="K425">
        <v>13</v>
      </c>
      <c r="L425">
        <v>8</v>
      </c>
      <c r="M425">
        <v>2025</v>
      </c>
      <c r="N425" t="s">
        <v>27</v>
      </c>
      <c r="O425">
        <v>300</v>
      </c>
      <c r="P425">
        <v>300</v>
      </c>
      <c r="R425" s="3" t="str">
        <f>HYPERLINK("https://panda.att.com.mx/ODKServer/view/binaryData?blobKey=FSSuministroFluidosv3%5B%40version%3Dnull+and+%40uiVersion%3Dnull%5D%2Fdata%5B%40key%3Duuid%3Aa646c87a-0442-4199-8a02-edefbd3ae33d%5D%2FgroupInfoFuel%5B%40ordinal%3D1%5D%2FpicFuelRecibeInterno","Descargar")</f>
        <v>Descargar</v>
      </c>
    </row>
    <row r="426" spans="1:18" x14ac:dyDescent="0.3">
      <c r="A426">
        <v>1602543</v>
      </c>
      <c r="B426" t="s">
        <v>18</v>
      </c>
      <c r="C426" t="s">
        <v>19</v>
      </c>
      <c r="D426" t="s">
        <v>45</v>
      </c>
      <c r="E426" t="s">
        <v>186</v>
      </c>
      <c r="F426" t="s">
        <v>22</v>
      </c>
      <c r="G426" t="s">
        <v>23</v>
      </c>
      <c r="H426" t="s">
        <v>24</v>
      </c>
      <c r="I426" t="s">
        <v>25</v>
      </c>
      <c r="J426" t="s">
        <v>627</v>
      </c>
      <c r="K426">
        <v>13</v>
      </c>
      <c r="L426">
        <v>8</v>
      </c>
      <c r="M426">
        <v>2025</v>
      </c>
      <c r="N426" t="s">
        <v>27</v>
      </c>
      <c r="O426">
        <v>300</v>
      </c>
      <c r="P426">
        <v>300</v>
      </c>
      <c r="R426" s="3" t="str">
        <f>HYPERLINK("https://panda.att.com.mx/ODKServer/view/binaryData?blobKey=FSSuministroFluidosv3%5B%40version%3Dnull+and+%40uiVersion%3Dnull%5D%2Fdata%5B%40key%3Duuid%3A8673a12f-f1bb-462a-bd50-187f9e52f24f%5D%2FgroupInfoFuel%5B%40ordinal%3D1%5D%2FpicFuelRecibeInterno","Descargar")</f>
        <v>Descargar</v>
      </c>
    </row>
    <row r="427" spans="1:18" x14ac:dyDescent="0.3">
      <c r="A427">
        <v>1603434</v>
      </c>
      <c r="B427" t="s">
        <v>18</v>
      </c>
      <c r="C427" t="s">
        <v>55</v>
      </c>
      <c r="D427" t="s">
        <v>628</v>
      </c>
      <c r="E427" t="s">
        <v>629</v>
      </c>
      <c r="F427" t="s">
        <v>22</v>
      </c>
      <c r="G427" t="s">
        <v>23</v>
      </c>
      <c r="H427" t="s">
        <v>58</v>
      </c>
      <c r="I427" t="s">
        <v>25</v>
      </c>
      <c r="J427" t="s">
        <v>630</v>
      </c>
      <c r="K427">
        <v>18</v>
      </c>
      <c r="L427">
        <v>8</v>
      </c>
      <c r="M427">
        <v>2025</v>
      </c>
      <c r="N427" t="s">
        <v>44</v>
      </c>
      <c r="O427">
        <v>25</v>
      </c>
      <c r="P427">
        <v>25</v>
      </c>
      <c r="R427" s="3" t="str">
        <f>HYPERLINK("https://panda.att.com.mx/ODKServer/view/binaryData?blobKey=FSSuministroFluidosv3%5B%40version%3Dnull+and+%40uiVersion%3Dnull%5D%2Fdata%5B%40key%3Duuid%3A167ca13f-5e18-44c6-87b1-aa2d91b44f8d%5D%2FgroupInfoFuel%5B%40ordinal%3D1%5D%2FpicFuelRecibeInterno","Descargar")</f>
        <v>Descargar</v>
      </c>
    </row>
    <row r="428" spans="1:18" x14ac:dyDescent="0.3">
      <c r="A428">
        <v>1603425</v>
      </c>
      <c r="B428" t="s">
        <v>18</v>
      </c>
      <c r="C428" t="s">
        <v>34</v>
      </c>
      <c r="D428" t="s">
        <v>51</v>
      </c>
      <c r="E428" t="s">
        <v>631</v>
      </c>
      <c r="F428" t="s">
        <v>22</v>
      </c>
      <c r="G428" t="s">
        <v>23</v>
      </c>
      <c r="H428" t="s">
        <v>24</v>
      </c>
      <c r="I428" t="s">
        <v>25</v>
      </c>
      <c r="J428" t="s">
        <v>632</v>
      </c>
      <c r="K428">
        <v>22</v>
      </c>
      <c r="L428">
        <v>8</v>
      </c>
      <c r="M428">
        <v>2025</v>
      </c>
      <c r="N428" t="s">
        <v>27</v>
      </c>
      <c r="O428">
        <v>170</v>
      </c>
      <c r="P428">
        <v>170</v>
      </c>
      <c r="R428" s="3" t="str">
        <f>HYPERLINK("https://panda.att.com.mx/ODKServer/view/binaryData?blobKey=FSSuministroFluidosv3%5B%40version%3Dnull+and+%40uiVersion%3Dnull%5D%2Fdata%5B%40key%3Duuid%3A9473ae10-be86-4002-b23e-db42fa462c12%5D%2FgroupInfoFuel%5B%40ordinal%3D1%5D%2FpicFuelRecibeInterno","Descargar")</f>
        <v>Descargar</v>
      </c>
    </row>
    <row r="429" spans="1:18" x14ac:dyDescent="0.3">
      <c r="A429">
        <v>1603424</v>
      </c>
      <c r="B429" t="s">
        <v>18</v>
      </c>
      <c r="C429" t="s">
        <v>34</v>
      </c>
      <c r="D429" t="s">
        <v>51</v>
      </c>
      <c r="E429" t="s">
        <v>52</v>
      </c>
      <c r="F429" t="s">
        <v>22</v>
      </c>
      <c r="G429" t="s">
        <v>23</v>
      </c>
      <c r="H429" t="s">
        <v>24</v>
      </c>
      <c r="I429" t="s">
        <v>25</v>
      </c>
      <c r="J429" t="s">
        <v>633</v>
      </c>
      <c r="K429">
        <v>23</v>
      </c>
      <c r="L429">
        <v>8</v>
      </c>
      <c r="M429">
        <v>2025</v>
      </c>
      <c r="N429" t="s">
        <v>27</v>
      </c>
      <c r="O429">
        <v>100</v>
      </c>
      <c r="P429">
        <v>100</v>
      </c>
      <c r="R429" s="3" t="str">
        <f>HYPERLINK("https://panda.att.com.mx/ODKServer/view/binaryData?blobKey=FSSuministroFluidosv3%5B%40version%3Dnull+and+%40uiVersion%3Dnull%5D%2Fdata%5B%40key%3Duuid%3Ac3d52681-cf44-48a7-91a9-ea98d5167278%5D%2FgroupInfoFuel%5B%40ordinal%3D1%5D%2FpicFuelRecibeInterno","Descargar")</f>
        <v>Descargar</v>
      </c>
    </row>
    <row r="430" spans="1:18" x14ac:dyDescent="0.3">
      <c r="A430">
        <v>1603416</v>
      </c>
      <c r="B430" t="s">
        <v>18</v>
      </c>
      <c r="C430" t="s">
        <v>55</v>
      </c>
      <c r="D430" t="s">
        <v>64</v>
      </c>
      <c r="E430" t="s">
        <v>634</v>
      </c>
      <c r="F430" t="s">
        <v>22</v>
      </c>
      <c r="G430" t="s">
        <v>23</v>
      </c>
      <c r="H430" t="s">
        <v>58</v>
      </c>
      <c r="I430" t="s">
        <v>25</v>
      </c>
      <c r="J430" t="s">
        <v>635</v>
      </c>
      <c r="K430">
        <v>24</v>
      </c>
      <c r="L430">
        <v>8</v>
      </c>
      <c r="M430">
        <v>2025</v>
      </c>
      <c r="N430" t="s">
        <v>27</v>
      </c>
      <c r="O430">
        <v>250</v>
      </c>
      <c r="P430">
        <v>250</v>
      </c>
      <c r="R430" s="3" t="str">
        <f>HYPERLINK("https://panda.att.com.mx/ODKServer/view/binaryData?blobKey=FSSuministroFluidosv3%5B%40version%3Dnull+and+%40uiVersion%3Dnull%5D%2Fdata%5B%40key%3Duuid%3A4474e6af-fe0d-45ee-b770-37faad74b49c%5D%2FgroupInfoFuel%5B%40ordinal%3D1%5D%2FpicFuelRecibeInterno","Descargar")</f>
        <v>Descargar</v>
      </c>
    </row>
    <row r="431" spans="1:18" x14ac:dyDescent="0.3">
      <c r="A431">
        <v>1603393</v>
      </c>
      <c r="B431" t="s">
        <v>18</v>
      </c>
      <c r="C431" t="s">
        <v>59</v>
      </c>
      <c r="D431" t="s">
        <v>636</v>
      </c>
      <c r="E431" t="s">
        <v>637</v>
      </c>
      <c r="F431" t="s">
        <v>22</v>
      </c>
      <c r="G431" t="s">
        <v>23</v>
      </c>
      <c r="H431" t="s">
        <v>37</v>
      </c>
      <c r="I431" t="s">
        <v>25</v>
      </c>
      <c r="J431" t="s">
        <v>638</v>
      </c>
      <c r="K431">
        <v>23</v>
      </c>
      <c r="L431">
        <v>8</v>
      </c>
      <c r="M431">
        <v>2025</v>
      </c>
      <c r="N431" t="s">
        <v>27</v>
      </c>
      <c r="O431">
        <v>330</v>
      </c>
      <c r="P431">
        <v>330</v>
      </c>
      <c r="R431" s="3" t="str">
        <f>HYPERLINK("https://panda.att.com.mx/ODKServer/view/binaryData?blobKey=FSSuministroFluidosv3%5B%40version%3Dnull+and+%40uiVersion%3Dnull%5D%2Fdata%5B%40key%3Duuid%3Ac343effa-10b7-43a5-be32-42f4c79f0d05%5D%2FgroupInfoFuel%5B%40ordinal%3D1%5D%2FpicFuelRecibeInterno","Descargar")</f>
        <v>Descargar</v>
      </c>
    </row>
    <row r="432" spans="1:18" x14ac:dyDescent="0.3">
      <c r="A432">
        <v>1603377</v>
      </c>
      <c r="B432" t="s">
        <v>18</v>
      </c>
      <c r="C432" t="s">
        <v>150</v>
      </c>
      <c r="D432" t="s">
        <v>151</v>
      </c>
      <c r="E432" t="s">
        <v>207</v>
      </c>
      <c r="F432" t="s">
        <v>22</v>
      </c>
      <c r="G432" t="s">
        <v>23</v>
      </c>
      <c r="H432" t="s">
        <v>58</v>
      </c>
      <c r="I432" t="s">
        <v>25</v>
      </c>
      <c r="J432" t="s">
        <v>639</v>
      </c>
      <c r="K432">
        <v>24</v>
      </c>
      <c r="L432">
        <v>8</v>
      </c>
      <c r="M432">
        <v>2025</v>
      </c>
      <c r="N432" t="s">
        <v>27</v>
      </c>
      <c r="O432">
        <v>200</v>
      </c>
      <c r="P432">
        <v>200</v>
      </c>
      <c r="R432" s="3" t="str">
        <f>HYPERLINK("https://panda.att.com.mx/ODKServer/view/binaryData?blobKey=FSSuministroFluidosv3%5B%40version%3Dnull+and+%40uiVersion%3Dnull%5D%2Fdata%5B%40key%3Duuid%3Aa90afc7a-8c2e-4f0d-94bc-d9ce39e49de2%5D%2FgroupInfoFuel%5B%40ordinal%3D1%5D%2FpicFuelRecibeInterno","Descargar")</f>
        <v>Descargar</v>
      </c>
    </row>
    <row r="433" spans="1:18" x14ac:dyDescent="0.3">
      <c r="A433">
        <v>1603373</v>
      </c>
      <c r="B433" t="s">
        <v>18</v>
      </c>
      <c r="C433" t="s">
        <v>68</v>
      </c>
      <c r="D433" t="s">
        <v>332</v>
      </c>
      <c r="E433" t="s">
        <v>640</v>
      </c>
      <c r="F433" t="s">
        <v>22</v>
      </c>
      <c r="G433" t="s">
        <v>23</v>
      </c>
      <c r="H433" t="s">
        <v>37</v>
      </c>
      <c r="I433" t="s">
        <v>25</v>
      </c>
      <c r="J433" t="s">
        <v>641</v>
      </c>
      <c r="K433">
        <v>21</v>
      </c>
      <c r="L433">
        <v>8</v>
      </c>
      <c r="M433">
        <v>2025</v>
      </c>
      <c r="N433" t="s">
        <v>27</v>
      </c>
      <c r="O433">
        <v>150</v>
      </c>
      <c r="P433">
        <v>150</v>
      </c>
      <c r="R433" s="3" t="str">
        <f>HYPERLINK("https://panda.att.com.mx/ODKServer/view/binaryData?blobKey=FSSuministroFluidosv3%5B%40version%3Dnull+and+%40uiVersion%3Dnull%5D%2Fdata%5B%40key%3Duuid%3Aecc6f2d4-3fd9-4a3d-9423-f73a33cf2dfa%5D%2FgroupInfoFuel%5B%40ordinal%3D1%5D%2FpicFuelRecibeInterno","Descargar")</f>
        <v>Descargar</v>
      </c>
    </row>
    <row r="434" spans="1:18" x14ac:dyDescent="0.3">
      <c r="A434">
        <v>1603347</v>
      </c>
      <c r="B434" t="s">
        <v>18</v>
      </c>
      <c r="C434" t="s">
        <v>59</v>
      </c>
      <c r="D434" t="s">
        <v>636</v>
      </c>
      <c r="E434" t="s">
        <v>642</v>
      </c>
      <c r="F434" t="s">
        <v>22</v>
      </c>
      <c r="G434" t="s">
        <v>23</v>
      </c>
      <c r="H434" t="s">
        <v>37</v>
      </c>
      <c r="I434" t="s">
        <v>25</v>
      </c>
      <c r="J434" t="s">
        <v>643</v>
      </c>
      <c r="K434">
        <v>23</v>
      </c>
      <c r="L434">
        <v>8</v>
      </c>
      <c r="M434">
        <v>2025</v>
      </c>
      <c r="N434" t="s">
        <v>27</v>
      </c>
      <c r="O434">
        <v>150</v>
      </c>
      <c r="P434">
        <v>150</v>
      </c>
      <c r="R434" s="3" t="str">
        <f>HYPERLINK("https://panda.att.com.mx/ODKServer/view/binaryData?blobKey=FSSuministroFluidosv3%5B%40version%3Dnull+and+%40uiVersion%3Dnull%5D%2Fdata%5B%40key%3Duuid%3A37443152-3e61-4a65-9c34-1750a5fc1b52%5D%2FgroupInfoFuel%5B%40ordinal%3D1%5D%2FpicFuelRecibeInterno","Descargar")</f>
        <v>Descargar</v>
      </c>
    </row>
    <row r="435" spans="1:18" x14ac:dyDescent="0.3">
      <c r="A435">
        <v>1603339</v>
      </c>
      <c r="B435" t="s">
        <v>18</v>
      </c>
      <c r="C435" t="s">
        <v>34</v>
      </c>
      <c r="D435" t="s">
        <v>53</v>
      </c>
      <c r="E435" t="s">
        <v>491</v>
      </c>
      <c r="F435" t="s">
        <v>22</v>
      </c>
      <c r="G435" t="s">
        <v>23</v>
      </c>
      <c r="H435" t="s">
        <v>37</v>
      </c>
      <c r="I435" t="s">
        <v>25</v>
      </c>
      <c r="J435" t="s">
        <v>644</v>
      </c>
      <c r="K435">
        <v>23</v>
      </c>
      <c r="L435">
        <v>8</v>
      </c>
      <c r="M435">
        <v>2025</v>
      </c>
      <c r="N435" t="s">
        <v>44</v>
      </c>
      <c r="O435">
        <v>60</v>
      </c>
      <c r="P435">
        <v>60</v>
      </c>
      <c r="R435" s="3" t="str">
        <f>HYPERLINK("https://panda.att.com.mx/ODKServer/view/binaryData?blobKey=FSSuministroFluidosv3%5B%40version%3Dnull+and+%40uiVersion%3Dnull%5D%2Fdata%5B%40key%3Duuid%3A34815ab5-9809-447a-a464-44c950b68e14%5D%2FgroupInfoFuel%5B%40ordinal%3D1%5D%2FpicFuelRecibeInterno","Descargar")</f>
        <v>Descargar</v>
      </c>
    </row>
    <row r="436" spans="1:18" x14ac:dyDescent="0.3">
      <c r="A436">
        <v>1603337</v>
      </c>
      <c r="B436" t="s">
        <v>18</v>
      </c>
      <c r="C436" t="s">
        <v>34</v>
      </c>
      <c r="D436" t="s">
        <v>187</v>
      </c>
      <c r="E436" t="s">
        <v>645</v>
      </c>
      <c r="F436" t="s">
        <v>22</v>
      </c>
      <c r="G436" t="s">
        <v>23</v>
      </c>
      <c r="H436" t="s">
        <v>24</v>
      </c>
      <c r="I436" t="s">
        <v>25</v>
      </c>
      <c r="J436" t="s">
        <v>646</v>
      </c>
      <c r="K436">
        <v>20</v>
      </c>
      <c r="L436">
        <v>8</v>
      </c>
      <c r="M436">
        <v>2025</v>
      </c>
      <c r="N436" t="s">
        <v>44</v>
      </c>
      <c r="O436">
        <v>30</v>
      </c>
      <c r="P436">
        <v>30</v>
      </c>
      <c r="R436" s="3" t="str">
        <f>HYPERLINK("https://panda.att.com.mx/ODKServer/view/binaryData?blobKey=FSSuministroFluidosv3%5B%40version%3Dnull+and+%40uiVersion%3Dnull%5D%2Fdata%5B%40key%3Duuid%3A436290ea-d1f0-41a8-b0ea-5308b3d16fcd%5D%2FgroupInfoFuel%5B%40ordinal%3D1%5D%2FpicFuelRecibeInterno","Descargar")</f>
        <v>Descargar</v>
      </c>
    </row>
    <row r="437" spans="1:18" x14ac:dyDescent="0.3">
      <c r="A437">
        <v>1603336</v>
      </c>
      <c r="B437" t="s">
        <v>18</v>
      </c>
      <c r="C437" t="s">
        <v>34</v>
      </c>
      <c r="D437" t="s">
        <v>187</v>
      </c>
      <c r="E437" t="s">
        <v>645</v>
      </c>
      <c r="F437" t="s">
        <v>22</v>
      </c>
      <c r="G437" t="s">
        <v>23</v>
      </c>
      <c r="H437" t="s">
        <v>24</v>
      </c>
      <c r="I437" t="s">
        <v>25</v>
      </c>
      <c r="J437" t="s">
        <v>647</v>
      </c>
      <c r="K437">
        <v>20</v>
      </c>
      <c r="L437">
        <v>8</v>
      </c>
      <c r="M437">
        <v>2025</v>
      </c>
      <c r="N437" t="s">
        <v>44</v>
      </c>
      <c r="O437">
        <v>30</v>
      </c>
      <c r="P437">
        <v>30</v>
      </c>
      <c r="R437" s="3" t="str">
        <f>HYPERLINK("https://panda.att.com.mx/ODKServer/view/binaryData?blobKey=FSSuministroFluidosv3%5B%40version%3Dnull+and+%40uiVersion%3Dnull%5D%2Fdata%5B%40key%3Duuid%3A8fa432fb-3f1b-42f8-8fd9-22e7f0636946%5D%2FgroupInfoFuel%5B%40ordinal%3D1%5D%2FpicFuelRecibeInterno","Descargar")</f>
        <v>Descargar</v>
      </c>
    </row>
    <row r="438" spans="1:18" x14ac:dyDescent="0.3">
      <c r="A438">
        <v>1603334</v>
      </c>
      <c r="B438" t="s">
        <v>18</v>
      </c>
      <c r="C438" t="s">
        <v>59</v>
      </c>
      <c r="D438" t="s">
        <v>446</v>
      </c>
      <c r="E438" t="s">
        <v>532</v>
      </c>
      <c r="F438" t="s">
        <v>22</v>
      </c>
      <c r="G438" t="s">
        <v>23</v>
      </c>
      <c r="H438" t="s">
        <v>37</v>
      </c>
      <c r="I438" t="s">
        <v>25</v>
      </c>
      <c r="J438" t="s">
        <v>648</v>
      </c>
      <c r="K438">
        <v>21</v>
      </c>
      <c r="L438">
        <v>8</v>
      </c>
      <c r="M438">
        <v>2025</v>
      </c>
      <c r="N438" t="s">
        <v>27</v>
      </c>
      <c r="O438">
        <v>150</v>
      </c>
      <c r="P438">
        <v>150</v>
      </c>
      <c r="R438" s="3" t="str">
        <f>HYPERLINK("https://panda.att.com.mx/ODKServer/view/binaryData?blobKey=FSSuministroFluidosv3%5B%40version%3Dnull+and+%40uiVersion%3Dnull%5D%2Fdata%5B%40key%3Duuid%3A1a02fca5-3d9b-406d-a1b1-2f790067126c%5D%2FgroupInfoFuel%5B%40ordinal%3D1%5D%2FpicFuelRecibeInterno","Descargar")</f>
        <v>Descargar</v>
      </c>
    </row>
    <row r="439" spans="1:18" x14ac:dyDescent="0.3">
      <c r="A439">
        <v>1603331</v>
      </c>
      <c r="B439" t="s">
        <v>18</v>
      </c>
      <c r="C439" t="s">
        <v>34</v>
      </c>
      <c r="D439" t="s">
        <v>53</v>
      </c>
      <c r="E439" t="s">
        <v>649</v>
      </c>
      <c r="F439" t="s">
        <v>22</v>
      </c>
      <c r="G439" t="s">
        <v>23</v>
      </c>
      <c r="H439" t="s">
        <v>37</v>
      </c>
      <c r="I439" t="s">
        <v>25</v>
      </c>
      <c r="J439" t="s">
        <v>650</v>
      </c>
      <c r="K439">
        <v>23</v>
      </c>
      <c r="L439">
        <v>8</v>
      </c>
      <c r="M439">
        <v>2025</v>
      </c>
      <c r="N439" t="s">
        <v>27</v>
      </c>
      <c r="O439">
        <v>180</v>
      </c>
      <c r="P439">
        <v>180</v>
      </c>
      <c r="R439" s="3" t="str">
        <f>HYPERLINK("https://panda.att.com.mx/ODKServer/view/binaryData?blobKey=FSSuministroFluidosv3%5B%40version%3Dnull+and+%40uiVersion%3Dnull%5D%2Fdata%5B%40key%3Duuid%3A7e438bbf-0d3f-4548-933f-aaa4c48905a3%5D%2FgroupInfoFuel%5B%40ordinal%3D1%5D%2FpicFuelRecibeInterno","Descargar")</f>
        <v>Descargar</v>
      </c>
    </row>
    <row r="440" spans="1:18" x14ac:dyDescent="0.3">
      <c r="A440">
        <v>1603316</v>
      </c>
      <c r="B440" t="s">
        <v>18</v>
      </c>
      <c r="C440" t="s">
        <v>100</v>
      </c>
      <c r="D440" t="s">
        <v>651</v>
      </c>
      <c r="E440" t="s">
        <v>652</v>
      </c>
      <c r="F440" t="s">
        <v>22</v>
      </c>
      <c r="G440" t="s">
        <v>23</v>
      </c>
      <c r="H440" t="s">
        <v>58</v>
      </c>
      <c r="I440" t="s">
        <v>25</v>
      </c>
      <c r="J440" t="s">
        <v>653</v>
      </c>
      <c r="K440">
        <v>22</v>
      </c>
      <c r="L440">
        <v>8</v>
      </c>
      <c r="M440">
        <v>2025</v>
      </c>
      <c r="N440" t="s">
        <v>27</v>
      </c>
      <c r="O440">
        <v>400</v>
      </c>
      <c r="P440">
        <v>400</v>
      </c>
      <c r="R440" s="3" t="str">
        <f>HYPERLINK("https://panda.att.com.mx/ODKServer/view/binaryData?blobKey=FSSuministroFluidosv3%5B%40version%3Dnull+and+%40uiVersion%3Dnull%5D%2Fdata%5B%40key%3Duuid%3A94794a02-82e0-489f-bd03-c3d80ee0dae5%5D%2FgroupInfoFuel%5B%40ordinal%3D1%5D%2FpicFuelRecibeInterno","Descargar")</f>
        <v>Descargar</v>
      </c>
    </row>
    <row r="441" spans="1:18" x14ac:dyDescent="0.3">
      <c r="A441">
        <v>1603315</v>
      </c>
      <c r="B441" t="s">
        <v>18</v>
      </c>
      <c r="C441" t="s">
        <v>34</v>
      </c>
      <c r="D441" t="s">
        <v>53</v>
      </c>
      <c r="E441" t="s">
        <v>285</v>
      </c>
      <c r="F441" t="s">
        <v>22</v>
      </c>
      <c r="G441" t="s">
        <v>23</v>
      </c>
      <c r="H441" t="s">
        <v>37</v>
      </c>
      <c r="I441" t="s">
        <v>25</v>
      </c>
      <c r="J441" t="s">
        <v>654</v>
      </c>
      <c r="K441">
        <v>23</v>
      </c>
      <c r="L441">
        <v>8</v>
      </c>
      <c r="M441">
        <v>2025</v>
      </c>
      <c r="N441" t="s">
        <v>27</v>
      </c>
      <c r="O441">
        <v>169</v>
      </c>
      <c r="P441">
        <v>169</v>
      </c>
      <c r="R441" s="3" t="str">
        <f>HYPERLINK("https://panda.att.com.mx/ODKServer/view/binaryData?blobKey=FSSuministroFluidosv3%5B%40version%3Dnull+and+%40uiVersion%3Dnull%5D%2Fdata%5B%40key%3Duuid%3A8e131dc8-bdc7-452b-a909-8f99ea7d4ccd%5D%2FgroupInfoFuel%5B%40ordinal%3D1%5D%2FpicFuelRecibeInterno","Descargar")</f>
        <v>Descargar</v>
      </c>
    </row>
    <row r="442" spans="1:18" x14ac:dyDescent="0.3">
      <c r="A442">
        <v>1603285</v>
      </c>
      <c r="B442" t="s">
        <v>18</v>
      </c>
      <c r="C442" t="s">
        <v>28</v>
      </c>
      <c r="D442" t="s">
        <v>66</v>
      </c>
      <c r="E442" t="s">
        <v>655</v>
      </c>
      <c r="F442" t="s">
        <v>22</v>
      </c>
      <c r="G442" t="s">
        <v>23</v>
      </c>
      <c r="H442" t="s">
        <v>24</v>
      </c>
      <c r="I442" t="s">
        <v>25</v>
      </c>
      <c r="J442" t="s">
        <v>656</v>
      </c>
      <c r="K442">
        <v>23</v>
      </c>
      <c r="L442">
        <v>8</v>
      </c>
      <c r="M442">
        <v>2025</v>
      </c>
      <c r="N442" t="s">
        <v>44</v>
      </c>
      <c r="O442">
        <v>20</v>
      </c>
      <c r="P442">
        <v>20</v>
      </c>
      <c r="R442" s="3" t="str">
        <f>HYPERLINK("https://panda.att.com.mx/ODKServer/view/binaryData?blobKey=FSSuministroFluidosv3%5B%40version%3Dnull+and+%40uiVersion%3Dnull%5D%2Fdata%5B%40key%3Duuid%3Ac465bf09-838b-4348-a3ee-d14c81e6a8ae%5D%2FgroupInfoFuel%5B%40ordinal%3D1%5D%2FpicFuelRecibeInterno","Descargar")</f>
        <v>Descargar</v>
      </c>
    </row>
    <row r="443" spans="1:18" x14ac:dyDescent="0.3">
      <c r="A443">
        <v>1603249</v>
      </c>
      <c r="B443" t="s">
        <v>18</v>
      </c>
      <c r="C443" t="s">
        <v>100</v>
      </c>
      <c r="D443" t="s">
        <v>101</v>
      </c>
      <c r="E443" t="s">
        <v>126</v>
      </c>
      <c r="F443" t="s">
        <v>22</v>
      </c>
      <c r="G443" t="s">
        <v>83</v>
      </c>
      <c r="H443" t="s">
        <v>58</v>
      </c>
      <c r="I443" t="s">
        <v>25</v>
      </c>
      <c r="J443" t="s">
        <v>657</v>
      </c>
      <c r="K443">
        <v>23</v>
      </c>
      <c r="L443">
        <v>8</v>
      </c>
      <c r="M443">
        <v>2025</v>
      </c>
      <c r="N443" t="s">
        <v>27</v>
      </c>
      <c r="O443">
        <v>300</v>
      </c>
      <c r="P443">
        <v>300</v>
      </c>
      <c r="R443" s="3" t="str">
        <f>HYPERLINK("https://panda.att.com.mx/ODKServer/view/binaryData?blobKey=FSSuministroFluidosv3%5B%40version%3Dnull+and+%40uiVersion%3Dnull%5D%2Fdata%5B%40key%3Duuid%3A6c94e9c7-3d2e-4ab3-bff4-0712e4f762cb%5D%2FgroupInfoFuel%5B%40ordinal%3D1%5D%2FpicFuelRecibeInterno","Descargar")</f>
        <v>Descargar</v>
      </c>
    </row>
    <row r="444" spans="1:18" x14ac:dyDescent="0.3">
      <c r="A444">
        <v>1603233</v>
      </c>
      <c r="B444" t="s">
        <v>18</v>
      </c>
      <c r="C444" t="s">
        <v>59</v>
      </c>
      <c r="D444" t="s">
        <v>597</v>
      </c>
      <c r="E444" t="s">
        <v>658</v>
      </c>
      <c r="F444" t="s">
        <v>22</v>
      </c>
      <c r="G444" t="s">
        <v>23</v>
      </c>
      <c r="H444" t="s">
        <v>37</v>
      </c>
      <c r="I444" t="s">
        <v>25</v>
      </c>
      <c r="J444" t="s">
        <v>659</v>
      </c>
      <c r="K444">
        <v>23</v>
      </c>
      <c r="L444">
        <v>8</v>
      </c>
      <c r="M444">
        <v>2025</v>
      </c>
      <c r="N444" t="s">
        <v>27</v>
      </c>
      <c r="O444">
        <v>120</v>
      </c>
      <c r="P444">
        <v>120</v>
      </c>
      <c r="R444" s="3" t="str">
        <f>HYPERLINK("https://panda.att.com.mx/ODKServer/view/binaryData?blobKey=FSSuministroFluidosv3%5B%40version%3Dnull+and+%40uiVersion%3Dnull%5D%2Fdata%5B%40key%3Duuid%3A4f7a766b-e5b5-4853-a9d1-8805fb8ab129%5D%2FgroupInfoFuel%5B%40ordinal%3D1%5D%2FpicFuelRecibeInterno","Descargar")</f>
        <v>Descargar</v>
      </c>
    </row>
    <row r="445" spans="1:18" x14ac:dyDescent="0.3">
      <c r="A445">
        <v>1603204</v>
      </c>
      <c r="B445" t="s">
        <v>18</v>
      </c>
      <c r="C445" t="s">
        <v>59</v>
      </c>
      <c r="D445" t="s">
        <v>597</v>
      </c>
      <c r="E445" t="s">
        <v>658</v>
      </c>
      <c r="F445" t="s">
        <v>22</v>
      </c>
      <c r="G445" t="s">
        <v>23</v>
      </c>
      <c r="H445" t="s">
        <v>37</v>
      </c>
      <c r="I445" t="s">
        <v>25</v>
      </c>
      <c r="J445" t="s">
        <v>660</v>
      </c>
      <c r="K445">
        <v>23</v>
      </c>
      <c r="L445">
        <v>8</v>
      </c>
      <c r="M445">
        <v>2025</v>
      </c>
      <c r="N445" t="s">
        <v>27</v>
      </c>
      <c r="O445">
        <v>80</v>
      </c>
      <c r="P445">
        <v>80</v>
      </c>
      <c r="R445" s="3" t="str">
        <f>HYPERLINK("https://panda.att.com.mx/ODKServer/view/binaryData?blobKey=FSSuministroFluidosv3%5B%40version%3Dnull+and+%40uiVersion%3Dnull%5D%2Fdata%5B%40key%3Duuid%3A1087b94d-45da-414a-91d5-69366489e34d%5D%2FgroupInfoFuel%5B%40ordinal%3D1%5D%2FpicFuelRecibeInterno","Descargar")</f>
        <v>Descargar</v>
      </c>
    </row>
    <row r="446" spans="1:18" x14ac:dyDescent="0.3">
      <c r="A446">
        <v>1603133</v>
      </c>
      <c r="B446" t="s">
        <v>18</v>
      </c>
      <c r="C446" t="s">
        <v>19</v>
      </c>
      <c r="D446" t="s">
        <v>175</v>
      </c>
      <c r="E446" t="s">
        <v>527</v>
      </c>
      <c r="F446" t="s">
        <v>22</v>
      </c>
      <c r="G446" t="s">
        <v>23</v>
      </c>
      <c r="H446" t="s">
        <v>24</v>
      </c>
      <c r="I446" t="s">
        <v>25</v>
      </c>
      <c r="J446" t="s">
        <v>661</v>
      </c>
      <c r="K446">
        <v>15</v>
      </c>
      <c r="L446">
        <v>8</v>
      </c>
      <c r="M446">
        <v>2025</v>
      </c>
      <c r="N446" t="s">
        <v>27</v>
      </c>
      <c r="O446">
        <v>210</v>
      </c>
      <c r="P446">
        <v>210</v>
      </c>
      <c r="R446" s="3" t="str">
        <f>HYPERLINK("https://panda.att.com.mx/ODKServer/view/binaryData?blobKey=FSSuministroFluidosv3%5B%40version%3Dnull+and+%40uiVersion%3Dnull%5D%2Fdata%5B%40key%3Duuid%3Aea30e287-ef9a-444d-8cf4-46e5f86df4c2%5D%2FgroupInfoFuel%5B%40ordinal%3D1%5D%2FpicFuelRecibeInterno","Descargar")</f>
        <v>Descargar</v>
      </c>
    </row>
    <row r="447" spans="1:18" x14ac:dyDescent="0.3">
      <c r="A447">
        <v>1603124</v>
      </c>
      <c r="B447" t="s">
        <v>18</v>
      </c>
      <c r="C447" t="s">
        <v>19</v>
      </c>
      <c r="D447" t="s">
        <v>62</v>
      </c>
      <c r="E447" t="s">
        <v>426</v>
      </c>
      <c r="F447" t="s">
        <v>22</v>
      </c>
      <c r="G447" t="s">
        <v>23</v>
      </c>
      <c r="H447" t="s">
        <v>24</v>
      </c>
      <c r="I447" t="s">
        <v>25</v>
      </c>
      <c r="J447" t="s">
        <v>662</v>
      </c>
      <c r="K447">
        <v>19</v>
      </c>
      <c r="L447">
        <v>8</v>
      </c>
      <c r="M447">
        <v>2025</v>
      </c>
      <c r="N447" t="s">
        <v>27</v>
      </c>
      <c r="O447">
        <v>300</v>
      </c>
      <c r="P447">
        <v>300</v>
      </c>
      <c r="R447" s="3" t="str">
        <f>HYPERLINK("https://panda.att.com.mx/ODKServer/view/binaryData?blobKey=FSSuministroFluidosv3%5B%40version%3Dnull+and+%40uiVersion%3Dnull%5D%2Fdata%5B%40key%3Duuid%3A7242ea5a-5a63-4a19-b533-2a05fe9bb958%5D%2FgroupInfoFuel%5B%40ordinal%3D1%5D%2FpicFuelRecibeInterno","Descargar")</f>
        <v>Descargar</v>
      </c>
    </row>
    <row r="448" spans="1:18" x14ac:dyDescent="0.3">
      <c r="A448">
        <v>1603099</v>
      </c>
      <c r="B448" t="s">
        <v>18</v>
      </c>
      <c r="C448" t="s">
        <v>19</v>
      </c>
      <c r="D448" t="s">
        <v>175</v>
      </c>
      <c r="E448" t="s">
        <v>527</v>
      </c>
      <c r="F448" t="s">
        <v>22</v>
      </c>
      <c r="G448" t="s">
        <v>23</v>
      </c>
      <c r="H448" t="s">
        <v>24</v>
      </c>
      <c r="I448" t="s">
        <v>25</v>
      </c>
      <c r="J448" t="s">
        <v>663</v>
      </c>
      <c r="K448">
        <v>18</v>
      </c>
      <c r="L448">
        <v>8</v>
      </c>
      <c r="M448">
        <v>2025</v>
      </c>
      <c r="N448" t="s">
        <v>27</v>
      </c>
      <c r="O448">
        <v>300</v>
      </c>
      <c r="P448">
        <v>300</v>
      </c>
      <c r="R448" s="3" t="str">
        <f>HYPERLINK("https://panda.att.com.mx/ODKServer/view/binaryData?blobKey=FSSuministroFluidosv3%5B%40version%3Dnull+and+%40uiVersion%3Dnull%5D%2Fdata%5B%40key%3Duuid%3Adb001eaa-0f7b-49f0-a7c2-afb2c253ad38%5D%2FgroupInfoFuel%5B%40ordinal%3D1%5D%2FpicFuelRecibeInterno","Descargar")</f>
        <v>Descargar</v>
      </c>
    </row>
    <row r="449" spans="1:18" x14ac:dyDescent="0.3">
      <c r="A449">
        <v>1603051</v>
      </c>
      <c r="B449" t="s">
        <v>18</v>
      </c>
      <c r="C449" t="s">
        <v>19</v>
      </c>
      <c r="D449" t="s">
        <v>156</v>
      </c>
      <c r="E449" t="s">
        <v>516</v>
      </c>
      <c r="F449" t="s">
        <v>22</v>
      </c>
      <c r="G449" t="s">
        <v>23</v>
      </c>
      <c r="H449" t="s">
        <v>24</v>
      </c>
      <c r="I449" t="s">
        <v>25</v>
      </c>
      <c r="J449" t="s">
        <v>664</v>
      </c>
      <c r="K449">
        <v>21</v>
      </c>
      <c r="L449">
        <v>8</v>
      </c>
      <c r="M449">
        <v>2025</v>
      </c>
      <c r="N449" t="s">
        <v>44</v>
      </c>
      <c r="O449">
        <v>42</v>
      </c>
      <c r="P449">
        <v>42</v>
      </c>
      <c r="R449" s="3" t="str">
        <f>HYPERLINK("https://panda.att.com.mx/ODKServer/view/binaryData?blobKey=FSSuministroFluidosv3%5B%40version%3Dnull+and+%40uiVersion%3Dnull%5D%2Fdata%5B%40key%3Duuid%3A9a666702-f513-4a83-a971-376dae67e43e%5D%2FgroupInfoFuel%5B%40ordinal%3D1%5D%2FpicFuelRecibeInterno","Descargar")</f>
        <v>Descargar</v>
      </c>
    </row>
    <row r="450" spans="1:18" x14ac:dyDescent="0.3">
      <c r="A450">
        <v>1603050</v>
      </c>
      <c r="B450" t="s">
        <v>18</v>
      </c>
      <c r="C450" t="s">
        <v>19</v>
      </c>
      <c r="D450" t="s">
        <v>156</v>
      </c>
      <c r="E450" t="s">
        <v>516</v>
      </c>
      <c r="F450" t="s">
        <v>22</v>
      </c>
      <c r="G450" t="s">
        <v>23</v>
      </c>
      <c r="H450" t="s">
        <v>24</v>
      </c>
      <c r="I450" t="s">
        <v>25</v>
      </c>
      <c r="J450" t="s">
        <v>665</v>
      </c>
      <c r="K450">
        <v>22</v>
      </c>
      <c r="L450">
        <v>8</v>
      </c>
      <c r="M450">
        <v>2025</v>
      </c>
      <c r="N450" t="s">
        <v>44</v>
      </c>
      <c r="O450">
        <v>12</v>
      </c>
      <c r="P450">
        <v>12</v>
      </c>
      <c r="R450" s="3" t="str">
        <f>HYPERLINK("https://panda.att.com.mx/ODKServer/view/binaryData?blobKey=FSSuministroFluidosv3%5B%40version%3Dnull+and+%40uiVersion%3Dnull%5D%2Fdata%5B%40key%3Duuid%3A0ee6b823-a137-4c7e-9bfb-41c8c69849e7%5D%2FgroupInfoFuel%5B%40ordinal%3D1%5D%2FpicFuelRecibeInterno","Descargar")</f>
        <v>Descargar</v>
      </c>
    </row>
    <row r="451" spans="1:18" x14ac:dyDescent="0.3">
      <c r="A451">
        <v>1603043</v>
      </c>
      <c r="B451" t="s">
        <v>18</v>
      </c>
      <c r="C451" t="s">
        <v>19</v>
      </c>
      <c r="D451" t="s">
        <v>45</v>
      </c>
      <c r="E451" t="s">
        <v>666</v>
      </c>
      <c r="F451" t="s">
        <v>22</v>
      </c>
      <c r="G451" t="s">
        <v>23</v>
      </c>
      <c r="H451" t="s">
        <v>24</v>
      </c>
      <c r="I451" t="s">
        <v>25</v>
      </c>
      <c r="J451" t="s">
        <v>667</v>
      </c>
      <c r="K451">
        <v>22</v>
      </c>
      <c r="L451">
        <v>8</v>
      </c>
      <c r="M451">
        <v>2025</v>
      </c>
      <c r="N451" t="s">
        <v>27</v>
      </c>
      <c r="O451">
        <v>350</v>
      </c>
      <c r="P451">
        <v>350</v>
      </c>
      <c r="R451" s="3" t="str">
        <f>HYPERLINK("https://panda.att.com.mx/ODKServer/view/binaryData?blobKey=FSSuministroFluidosv3%5B%40version%3Dnull+and+%40uiVersion%3Dnull%5D%2Fdata%5B%40key%3Duuid%3A0a4ae91a-1377-444a-9783-e2cb52a0e678%5D%2FgroupInfoFuel%5B%40ordinal%3D1%5D%2FpicFuelRecibeInterno","Descargar")</f>
        <v>Descargar</v>
      </c>
    </row>
    <row r="452" spans="1:18" x14ac:dyDescent="0.3">
      <c r="A452">
        <v>1605069</v>
      </c>
      <c r="B452" t="s">
        <v>18</v>
      </c>
      <c r="C452" t="s">
        <v>55</v>
      </c>
      <c r="D452" t="s">
        <v>56</v>
      </c>
      <c r="E452" t="s">
        <v>668</v>
      </c>
      <c r="F452" t="s">
        <v>22</v>
      </c>
      <c r="G452" t="s">
        <v>23</v>
      </c>
      <c r="H452" t="s">
        <v>58</v>
      </c>
      <c r="I452" t="s">
        <v>25</v>
      </c>
      <c r="J452" t="s">
        <v>669</v>
      </c>
      <c r="K452">
        <v>24</v>
      </c>
      <c r="L452">
        <v>8</v>
      </c>
      <c r="M452">
        <v>2025</v>
      </c>
      <c r="N452" t="s">
        <v>27</v>
      </c>
      <c r="O452">
        <v>100</v>
      </c>
      <c r="P452">
        <v>100</v>
      </c>
      <c r="R452" s="3" t="str">
        <f>HYPERLINK("https://panda.att.com.mx/ODKServer/view/binaryData?blobKey=FSSuministroFluidosv3%5B%40version%3Dnull+and+%40uiVersion%3Dnull%5D%2Fdata%5B%40key%3Duuid%3Ab11ff78f-2b04-4639-a0a1-ac4404f3d142%5D%2FgroupInfoFuel%5B%40ordinal%3D1%5D%2FpicFuelRecibeInterno","Descargar")</f>
        <v>Descargar</v>
      </c>
    </row>
    <row r="453" spans="1:18" x14ac:dyDescent="0.3">
      <c r="A453">
        <v>1605062</v>
      </c>
      <c r="B453" t="s">
        <v>18</v>
      </c>
      <c r="C453" t="s">
        <v>55</v>
      </c>
      <c r="D453" t="s">
        <v>56</v>
      </c>
      <c r="E453" t="s">
        <v>81</v>
      </c>
      <c r="F453" t="s">
        <v>22</v>
      </c>
      <c r="G453" t="s">
        <v>23</v>
      </c>
      <c r="H453" t="s">
        <v>58</v>
      </c>
      <c r="I453" t="s">
        <v>25</v>
      </c>
      <c r="J453" t="s">
        <v>670</v>
      </c>
      <c r="K453">
        <v>21</v>
      </c>
      <c r="L453">
        <v>8</v>
      </c>
      <c r="M453">
        <v>2025</v>
      </c>
      <c r="N453" t="s">
        <v>27</v>
      </c>
      <c r="O453">
        <v>150</v>
      </c>
      <c r="P453">
        <v>150</v>
      </c>
      <c r="R453" s="3" t="str">
        <f>HYPERLINK("https://panda.att.com.mx/ODKServer/view/binaryData?blobKey=FSSuministroFluidosv3%5B%40version%3Dnull+and+%40uiVersion%3Dnull%5D%2Fdata%5B%40key%3Duuid%3A2585ddec-2f49-43b0-9675-2acc56727f37%5D%2FgroupInfoFuel%5B%40ordinal%3D1%5D%2FpicFuelRecibeInterno","Descargar")</f>
        <v>Descargar</v>
      </c>
    </row>
    <row r="454" spans="1:18" x14ac:dyDescent="0.3">
      <c r="A454">
        <v>1605061</v>
      </c>
      <c r="B454" t="s">
        <v>18</v>
      </c>
      <c r="C454" t="s">
        <v>34</v>
      </c>
      <c r="D454" t="s">
        <v>53</v>
      </c>
      <c r="E454" t="s">
        <v>300</v>
      </c>
      <c r="F454" t="s">
        <v>22</v>
      </c>
      <c r="G454" t="s">
        <v>23</v>
      </c>
      <c r="H454" t="s">
        <v>24</v>
      </c>
      <c r="I454" t="s">
        <v>25</v>
      </c>
      <c r="J454" t="s">
        <v>671</v>
      </c>
      <c r="K454">
        <v>26</v>
      </c>
      <c r="L454">
        <v>8</v>
      </c>
      <c r="M454">
        <v>2025</v>
      </c>
      <c r="N454" t="s">
        <v>27</v>
      </c>
      <c r="O454">
        <v>150</v>
      </c>
      <c r="P454">
        <v>150</v>
      </c>
      <c r="R454" s="3" t="str">
        <f>HYPERLINK("https://panda.att.com.mx/ODKServer/view/binaryData?blobKey=FSSuministroFluidosv3%5B%40version%3Dnull+and+%40uiVersion%3Dnull%5D%2Fdata%5B%40key%3Duuid%3A2a39657c-0729-45db-b8c2-2ebeedbca6ff%5D%2FgroupInfoFuel%5B%40ordinal%3D1%5D%2FpicFuelRecibeInterno","Descargar")</f>
        <v>Descargar</v>
      </c>
    </row>
    <row r="455" spans="1:18" x14ac:dyDescent="0.3">
      <c r="A455">
        <v>1605052</v>
      </c>
      <c r="B455" t="s">
        <v>18</v>
      </c>
      <c r="C455" t="s">
        <v>55</v>
      </c>
      <c r="D455" t="s">
        <v>56</v>
      </c>
      <c r="E455" t="s">
        <v>324</v>
      </c>
      <c r="F455" t="s">
        <v>22</v>
      </c>
      <c r="G455" t="s">
        <v>23</v>
      </c>
      <c r="H455" t="s">
        <v>58</v>
      </c>
      <c r="I455" t="s">
        <v>25</v>
      </c>
      <c r="J455" t="s">
        <v>672</v>
      </c>
      <c r="K455">
        <v>23</v>
      </c>
      <c r="L455">
        <v>8</v>
      </c>
      <c r="M455">
        <v>2025</v>
      </c>
      <c r="N455" t="s">
        <v>27</v>
      </c>
      <c r="O455">
        <v>50</v>
      </c>
      <c r="P455">
        <v>50</v>
      </c>
      <c r="R455" s="3" t="str">
        <f>HYPERLINK("https://panda.att.com.mx/ODKServer/view/binaryData?blobKey=FSSuministroFluidosv3%5B%40version%3Dnull+and+%40uiVersion%3Dnull%5D%2Fdata%5B%40key%3Duuid%3A75b240b0-bd74-4dae-903c-06dfc43923ea%5D%2FgroupInfoFuel%5B%40ordinal%3D1%5D%2FpicFuelRecibeInterno","Descargar")</f>
        <v>Descargar</v>
      </c>
    </row>
    <row r="456" spans="1:18" x14ac:dyDescent="0.3">
      <c r="A456">
        <v>1605051</v>
      </c>
      <c r="B456" t="s">
        <v>18</v>
      </c>
      <c r="C456" t="s">
        <v>55</v>
      </c>
      <c r="D456" t="s">
        <v>56</v>
      </c>
      <c r="E456" t="s">
        <v>324</v>
      </c>
      <c r="F456" t="s">
        <v>22</v>
      </c>
      <c r="G456" t="s">
        <v>23</v>
      </c>
      <c r="H456" t="s">
        <v>58</v>
      </c>
      <c r="I456" t="s">
        <v>25</v>
      </c>
      <c r="J456" t="s">
        <v>673</v>
      </c>
      <c r="K456">
        <v>24</v>
      </c>
      <c r="L456">
        <v>8</v>
      </c>
      <c r="M456">
        <v>2025</v>
      </c>
      <c r="N456" t="s">
        <v>27</v>
      </c>
      <c r="O456">
        <v>100</v>
      </c>
      <c r="P456">
        <v>100</v>
      </c>
      <c r="R456" s="3" t="str">
        <f>HYPERLINK("https://panda.att.com.mx/ODKServer/view/binaryData?blobKey=FSSuministroFluidosv3%5B%40version%3Dnull+and+%40uiVersion%3Dnull%5D%2Fdata%5B%40key%3Duuid%3A70302fc9-5f7b-4e2c-91fe-7bed826212e7%5D%2FgroupInfoFuel%5B%40ordinal%3D1%5D%2FpicFuelRecibeInterno","Descargar")</f>
        <v>Descargar</v>
      </c>
    </row>
    <row r="457" spans="1:18" x14ac:dyDescent="0.3">
      <c r="A457">
        <v>1605043</v>
      </c>
      <c r="B457" t="s">
        <v>18</v>
      </c>
      <c r="C457" t="s">
        <v>167</v>
      </c>
      <c r="D457" t="s">
        <v>215</v>
      </c>
      <c r="E457" t="s">
        <v>674</v>
      </c>
      <c r="F457" t="s">
        <v>22</v>
      </c>
      <c r="G457" t="s">
        <v>23</v>
      </c>
      <c r="H457" t="s">
        <v>58</v>
      </c>
      <c r="I457" t="s">
        <v>25</v>
      </c>
      <c r="J457" t="s">
        <v>675</v>
      </c>
      <c r="K457">
        <v>26</v>
      </c>
      <c r="L457">
        <v>8</v>
      </c>
      <c r="M457">
        <v>2025</v>
      </c>
      <c r="N457" t="s">
        <v>27</v>
      </c>
      <c r="O457">
        <v>40</v>
      </c>
      <c r="P457">
        <v>40</v>
      </c>
      <c r="R457" s="3" t="str">
        <f>HYPERLINK("https://panda.att.com.mx/ODKServer/view/binaryData?blobKey=FSSuministroFluidosv3%5B%40version%3Dnull+and+%40uiVersion%3Dnull%5D%2Fdata%5B%40key%3Duuid%3Af4ac8a08-9335-4532-9ad0-a9dd25d85ada%5D%2FgroupInfoFuel%5B%40ordinal%3D1%5D%2FpicFuelRecibeInterno","Descargar")</f>
        <v>Descargar</v>
      </c>
    </row>
    <row r="458" spans="1:18" x14ac:dyDescent="0.3">
      <c r="A458">
        <v>1605042</v>
      </c>
      <c r="B458" t="s">
        <v>18</v>
      </c>
      <c r="C458" t="s">
        <v>55</v>
      </c>
      <c r="D458" t="s">
        <v>56</v>
      </c>
      <c r="E458" t="s">
        <v>81</v>
      </c>
      <c r="F458" t="s">
        <v>22</v>
      </c>
      <c r="G458" t="s">
        <v>23</v>
      </c>
      <c r="H458" t="s">
        <v>58</v>
      </c>
      <c r="I458" t="s">
        <v>25</v>
      </c>
      <c r="J458" t="s">
        <v>676</v>
      </c>
      <c r="K458">
        <v>24</v>
      </c>
      <c r="L458">
        <v>8</v>
      </c>
      <c r="M458">
        <v>2025</v>
      </c>
      <c r="N458" t="s">
        <v>27</v>
      </c>
      <c r="O458">
        <v>100</v>
      </c>
      <c r="P458">
        <v>100</v>
      </c>
      <c r="R458" s="3" t="str">
        <f>HYPERLINK("https://panda.att.com.mx/ODKServer/view/binaryData?blobKey=FSSuministroFluidosv3%5B%40version%3Dnull+and+%40uiVersion%3Dnull%5D%2Fdata%5B%40key%3Duuid%3Aae544474-10d6-490d-aeb8-4fad4bba6b8a%5D%2FgroupInfoFuel%5B%40ordinal%3D1%5D%2FpicFuelRecibeInterno","Descargar")</f>
        <v>Descargar</v>
      </c>
    </row>
    <row r="459" spans="1:18" x14ac:dyDescent="0.3">
      <c r="A459">
        <v>1605041</v>
      </c>
      <c r="B459" t="s">
        <v>18</v>
      </c>
      <c r="C459" t="s">
        <v>150</v>
      </c>
      <c r="D459" t="s">
        <v>154</v>
      </c>
      <c r="E459" t="s">
        <v>677</v>
      </c>
      <c r="F459" t="s">
        <v>22</v>
      </c>
      <c r="G459" t="s">
        <v>47</v>
      </c>
      <c r="H459" t="s">
        <v>58</v>
      </c>
      <c r="I459" t="s">
        <v>25</v>
      </c>
      <c r="J459" t="s">
        <v>678</v>
      </c>
      <c r="K459">
        <v>26</v>
      </c>
      <c r="L459">
        <v>8</v>
      </c>
      <c r="M459">
        <v>2025</v>
      </c>
      <c r="N459" t="s">
        <v>27</v>
      </c>
      <c r="O459">
        <v>220</v>
      </c>
      <c r="P459">
        <v>220</v>
      </c>
      <c r="R459" s="3" t="str">
        <f>HYPERLINK("https://panda.att.com.mx/ODKServer/view/binaryData?blobKey=FSSuministroFluidosv3%5B%40version%3Dnull+and+%40uiVersion%3Dnull%5D%2Fdata%5B%40key%3Duuid%3A13d29d34-c950-4f84-9600-6a3ed28d502f%5D%2FgroupInfoFuel%5B%40ordinal%3D1%5D%2FpicFuelRecibeInterno","Descargar")</f>
        <v>Descargar</v>
      </c>
    </row>
    <row r="460" spans="1:18" x14ac:dyDescent="0.3">
      <c r="A460">
        <v>1604987</v>
      </c>
      <c r="B460" t="s">
        <v>18</v>
      </c>
      <c r="C460" t="s">
        <v>68</v>
      </c>
      <c r="D460" t="s">
        <v>116</v>
      </c>
      <c r="E460" t="s">
        <v>679</v>
      </c>
      <c r="F460" t="s">
        <v>22</v>
      </c>
      <c r="G460" t="s">
        <v>23</v>
      </c>
      <c r="H460" t="s">
        <v>37</v>
      </c>
      <c r="I460" t="s">
        <v>25</v>
      </c>
      <c r="J460" t="s">
        <v>680</v>
      </c>
      <c r="K460">
        <v>26</v>
      </c>
      <c r="L460">
        <v>8</v>
      </c>
      <c r="M460">
        <v>2025</v>
      </c>
      <c r="N460" t="s">
        <v>27</v>
      </c>
      <c r="O460">
        <v>200</v>
      </c>
      <c r="Q460">
        <v>200</v>
      </c>
      <c r="R460" s="3" t="str">
        <f>HYPERLINK("https://panda.att.com.mx/ODKServer/view/binaryData?blobKey=FSSuministroFluidosv3%5B%40version%3Dnull+and+%40uiVersion%3Dnull%5D%2Fdata%5B%40key%3Duuid%3Abbd92702-cf40-4bb2-9b8e-d30bd491cce4%5D%2FgroupInfoFuel%5B%40ordinal%3D1%5D%2FpicFuelRecibeInterno","Descargar")</f>
        <v>Descargar</v>
      </c>
    </row>
    <row r="461" spans="1:18" x14ac:dyDescent="0.3">
      <c r="A461">
        <v>1604973</v>
      </c>
      <c r="B461" t="s">
        <v>18</v>
      </c>
      <c r="C461" t="s">
        <v>19</v>
      </c>
      <c r="D461" t="s">
        <v>62</v>
      </c>
      <c r="E461" t="s">
        <v>681</v>
      </c>
      <c r="F461" t="s">
        <v>22</v>
      </c>
      <c r="G461" t="s">
        <v>23</v>
      </c>
      <c r="H461" t="s">
        <v>24</v>
      </c>
      <c r="I461" t="s">
        <v>25</v>
      </c>
      <c r="J461" t="s">
        <v>682</v>
      </c>
      <c r="K461">
        <v>26</v>
      </c>
      <c r="L461">
        <v>8</v>
      </c>
      <c r="M461">
        <v>2025</v>
      </c>
      <c r="N461" t="s">
        <v>44</v>
      </c>
      <c r="O461">
        <v>15</v>
      </c>
      <c r="P461">
        <v>15</v>
      </c>
      <c r="R461" s="3" t="str">
        <f>HYPERLINK("https://panda.att.com.mx/ODKServer/view/binaryData?blobKey=FSSuministroFluidosv3%5B%40version%3Dnull+and+%40uiVersion%3Dnull%5D%2Fdata%5B%40key%3Duuid%3A1de44165-824f-46f9-b9f2-4d9e2adffcae%5D%2FgroupInfoFuel%5B%40ordinal%3D1%5D%2FpicFuelRecibeInterno","Descargar")</f>
        <v>Descargar</v>
      </c>
    </row>
    <row r="462" spans="1:18" x14ac:dyDescent="0.3">
      <c r="A462">
        <v>1604961</v>
      </c>
      <c r="B462" t="s">
        <v>18</v>
      </c>
      <c r="C462" t="s">
        <v>19</v>
      </c>
      <c r="D462" t="s">
        <v>200</v>
      </c>
      <c r="E462" t="s">
        <v>683</v>
      </c>
      <c r="F462" t="s">
        <v>22</v>
      </c>
      <c r="G462" t="s">
        <v>23</v>
      </c>
      <c r="H462" t="s">
        <v>24</v>
      </c>
      <c r="I462" t="s">
        <v>25</v>
      </c>
      <c r="J462" t="s">
        <v>684</v>
      </c>
      <c r="K462">
        <v>24</v>
      </c>
      <c r="L462">
        <v>8</v>
      </c>
      <c r="M462">
        <v>2025</v>
      </c>
      <c r="N462" t="s">
        <v>44</v>
      </c>
      <c r="O462">
        <v>40</v>
      </c>
      <c r="Q462">
        <v>40</v>
      </c>
      <c r="R462" s="3" t="str">
        <f>HYPERLINK("https://panda.att.com.mx/ODKServer/view/binaryData?blobKey=FSSuministroFluidosv3%5B%40version%3Dnull+and+%40uiVersion%3Dnull%5D%2Fdata%5B%40key%3Duuid%3Aaf27bcfc-86a9-4c68-88ec-5b1207f20731%5D%2FgroupInfoFuel%5B%40ordinal%3D1%5D%2FpicFuelRecibeInterno","Descargar")</f>
        <v>Descargar</v>
      </c>
    </row>
    <row r="463" spans="1:18" x14ac:dyDescent="0.3">
      <c r="A463">
        <v>1604920</v>
      </c>
      <c r="B463" t="s">
        <v>18</v>
      </c>
      <c r="C463" t="s">
        <v>19</v>
      </c>
      <c r="D463" t="s">
        <v>200</v>
      </c>
      <c r="E463" t="s">
        <v>685</v>
      </c>
      <c r="F463" t="s">
        <v>22</v>
      </c>
      <c r="G463" t="s">
        <v>23</v>
      </c>
      <c r="H463" t="s">
        <v>24</v>
      </c>
      <c r="I463" t="s">
        <v>25</v>
      </c>
      <c r="J463" t="s">
        <v>686</v>
      </c>
      <c r="K463">
        <v>26</v>
      </c>
      <c r="L463">
        <v>8</v>
      </c>
      <c r="M463">
        <v>2025</v>
      </c>
      <c r="N463" t="s">
        <v>44</v>
      </c>
      <c r="O463">
        <v>35</v>
      </c>
      <c r="P463">
        <v>35</v>
      </c>
      <c r="R463" s="3" t="str">
        <f>HYPERLINK("https://panda.att.com.mx/ODKServer/view/binaryData?blobKey=FSSuministroFluidosv3%5B%40version%3Dnull+and+%40uiVersion%3Dnull%5D%2Fdata%5B%40key%3Duuid%3Aefd1704b-3758-4584-94b9-859cbd3b9171%5D%2FgroupInfoFuel%5B%40ordinal%3D1%5D%2FpicFuelRecibeInterno","Descargar")</f>
        <v>Descargar</v>
      </c>
    </row>
    <row r="464" spans="1:18" x14ac:dyDescent="0.3">
      <c r="A464">
        <v>1604842</v>
      </c>
      <c r="B464" t="s">
        <v>18</v>
      </c>
      <c r="C464" t="s">
        <v>34</v>
      </c>
      <c r="D464" t="s">
        <v>53</v>
      </c>
      <c r="E464" t="s">
        <v>54</v>
      </c>
      <c r="F464" t="s">
        <v>22</v>
      </c>
      <c r="G464" t="s">
        <v>23</v>
      </c>
      <c r="H464" t="s">
        <v>37</v>
      </c>
      <c r="I464" t="s">
        <v>25</v>
      </c>
      <c r="J464" t="s">
        <v>687</v>
      </c>
      <c r="K464">
        <v>25</v>
      </c>
      <c r="L464">
        <v>8</v>
      </c>
      <c r="M464">
        <v>2025</v>
      </c>
      <c r="N464" t="s">
        <v>27</v>
      </c>
      <c r="O464">
        <v>400</v>
      </c>
      <c r="Q464">
        <v>400</v>
      </c>
      <c r="R464" s="3" t="str">
        <f>HYPERLINK("https://panda.att.com.mx/ODKServer/view/binaryData?blobKey=FSSuministroFluidosv3%5B%40version%3Dnull+and+%40uiVersion%3Dnull%5D%2Fdata%5B%40key%3Duuid%3A6902c099-ac5c-4662-9f18-88b958caf65d%5D%2FgroupInfoFuel%5B%40ordinal%3D1%5D%2FpicFuelRecibeInterno","Descargar")</f>
        <v>Descargar</v>
      </c>
    </row>
    <row r="465" spans="1:18" x14ac:dyDescent="0.3">
      <c r="A465">
        <v>1604825</v>
      </c>
      <c r="B465" t="s">
        <v>18</v>
      </c>
      <c r="C465" t="s">
        <v>183</v>
      </c>
      <c r="D465" t="s">
        <v>688</v>
      </c>
      <c r="E465" t="s">
        <v>689</v>
      </c>
      <c r="F465" t="s">
        <v>22</v>
      </c>
      <c r="G465" t="s">
        <v>23</v>
      </c>
      <c r="H465" t="s">
        <v>37</v>
      </c>
      <c r="I465" t="s">
        <v>25</v>
      </c>
      <c r="J465" t="s">
        <v>690</v>
      </c>
      <c r="K465">
        <v>26</v>
      </c>
      <c r="L465">
        <v>8</v>
      </c>
      <c r="M465">
        <v>2025</v>
      </c>
      <c r="N465" t="s">
        <v>27</v>
      </c>
      <c r="O465">
        <v>100</v>
      </c>
      <c r="P465">
        <v>100</v>
      </c>
      <c r="R465" s="3" t="str">
        <f>HYPERLINK("https://panda.att.com.mx/ODKServer/view/binaryData?blobKey=FSSuministroFluidosv3%5B%40version%3Dnull+and+%40uiVersion%3Dnull%5D%2Fdata%5B%40key%3Duuid%3A7300d493-2779-4cd4-a185-59bae64cf5f1%5D%2FgroupInfoFuel%5B%40ordinal%3D1%5D%2FpicFuelRecibeInterno","Descargar")</f>
        <v>Descargar</v>
      </c>
    </row>
    <row r="466" spans="1:18" x14ac:dyDescent="0.3">
      <c r="A466">
        <v>1604812</v>
      </c>
      <c r="B466" t="s">
        <v>18</v>
      </c>
      <c r="C466" t="s">
        <v>34</v>
      </c>
      <c r="D466" t="s">
        <v>53</v>
      </c>
      <c r="E466" t="s">
        <v>327</v>
      </c>
      <c r="F466" t="s">
        <v>22</v>
      </c>
      <c r="G466" t="s">
        <v>23</v>
      </c>
      <c r="H466" t="s">
        <v>37</v>
      </c>
      <c r="I466" t="s">
        <v>25</v>
      </c>
      <c r="J466" t="s">
        <v>691</v>
      </c>
      <c r="K466">
        <v>26</v>
      </c>
      <c r="L466">
        <v>8</v>
      </c>
      <c r="M466">
        <v>2025</v>
      </c>
      <c r="N466" t="s">
        <v>27</v>
      </c>
      <c r="O466">
        <v>500</v>
      </c>
      <c r="P466">
        <v>500</v>
      </c>
      <c r="R466" s="3" t="str">
        <f>HYPERLINK("https://panda.att.com.mx/ODKServer/view/binaryData?blobKey=FSSuministroFluidosv3%5B%40version%3Dnull+and+%40uiVersion%3Dnull%5D%2Fdata%5B%40key%3Duuid%3A4f9ffb8c-d3b9-47be-8730-431eea8603e4%5D%2FgroupInfoFuel%5B%40ordinal%3D1%5D%2FpicFuelRecibeInterno","Descargar")</f>
        <v>Descargar</v>
      </c>
    </row>
    <row r="467" spans="1:18" x14ac:dyDescent="0.3">
      <c r="A467">
        <v>1604781</v>
      </c>
      <c r="B467" t="s">
        <v>18</v>
      </c>
      <c r="C467" t="s">
        <v>19</v>
      </c>
      <c r="D467" t="s">
        <v>45</v>
      </c>
      <c r="E467" t="s">
        <v>692</v>
      </c>
      <c r="F467" t="s">
        <v>22</v>
      </c>
      <c r="G467" t="s">
        <v>23</v>
      </c>
      <c r="H467" t="s">
        <v>37</v>
      </c>
      <c r="I467" t="s">
        <v>25</v>
      </c>
      <c r="J467" s="2">
        <v>45869.628958333327</v>
      </c>
      <c r="K467">
        <v>31</v>
      </c>
      <c r="L467">
        <v>7</v>
      </c>
      <c r="M467">
        <v>2025</v>
      </c>
      <c r="N467" t="s">
        <v>27</v>
      </c>
      <c r="O467">
        <v>150</v>
      </c>
      <c r="P467">
        <v>150</v>
      </c>
      <c r="R467" s="3" t="str">
        <f>HYPERLINK("https://panda.att.com.mx/ODKServer/view/binaryData?blobKey=FSSuministroFluidosv3%5B%40version%3Dnull+and+%40uiVersion%3Dnull%5D%2Fdata%5B%40key%3Duuid%3Aa2cb2371-3784-4801-b612-04ed9a0b1b8d%5D%2FgroupInfoFuel%5B%40ordinal%3D1%5D%2FpicFuelRecibeInterno","Descargar")</f>
        <v>Descargar</v>
      </c>
    </row>
    <row r="468" spans="1:18" x14ac:dyDescent="0.3">
      <c r="A468">
        <v>1604769</v>
      </c>
      <c r="B468" t="s">
        <v>18</v>
      </c>
      <c r="C468" t="s">
        <v>55</v>
      </c>
      <c r="D468" t="s">
        <v>56</v>
      </c>
      <c r="E468" t="s">
        <v>105</v>
      </c>
      <c r="F468" t="s">
        <v>22</v>
      </c>
      <c r="G468" t="s">
        <v>23</v>
      </c>
      <c r="H468" t="s">
        <v>58</v>
      </c>
      <c r="I468" t="s">
        <v>25</v>
      </c>
      <c r="J468" t="s">
        <v>693</v>
      </c>
      <c r="K468">
        <v>25</v>
      </c>
      <c r="L468">
        <v>8</v>
      </c>
      <c r="M468">
        <v>2025</v>
      </c>
      <c r="N468" t="s">
        <v>27</v>
      </c>
      <c r="O468">
        <v>200</v>
      </c>
      <c r="P468">
        <v>200</v>
      </c>
      <c r="R468" s="3" t="str">
        <f>HYPERLINK("https://panda.att.com.mx/ODKServer/view/binaryData?blobKey=FSSuministroFluidosv3%5B%40version%3Dnull+and+%40uiVersion%3Dnull%5D%2Fdata%5B%40key%3Duuid%3A812edc84-a28c-4137-aeb9-5c448eccb567%5D%2FgroupInfoFuel%5B%40ordinal%3D1%5D%2FpicFuelRecibeInterno","Descargar")</f>
        <v>Descargar</v>
      </c>
    </row>
    <row r="469" spans="1:18" x14ac:dyDescent="0.3">
      <c r="A469">
        <v>1604749</v>
      </c>
      <c r="B469" t="s">
        <v>18</v>
      </c>
      <c r="C469" t="s">
        <v>19</v>
      </c>
      <c r="D469" t="s">
        <v>62</v>
      </c>
      <c r="E469" t="s">
        <v>681</v>
      </c>
      <c r="F469" t="s">
        <v>22</v>
      </c>
      <c r="G469" t="s">
        <v>23</v>
      </c>
      <c r="H469" t="s">
        <v>24</v>
      </c>
      <c r="I469" t="s">
        <v>25</v>
      </c>
      <c r="J469" t="s">
        <v>694</v>
      </c>
      <c r="K469">
        <v>25</v>
      </c>
      <c r="L469">
        <v>8</v>
      </c>
      <c r="M469">
        <v>2025</v>
      </c>
      <c r="N469" t="s">
        <v>44</v>
      </c>
      <c r="O469">
        <v>30</v>
      </c>
      <c r="P469">
        <v>30</v>
      </c>
      <c r="R469" s="3" t="str">
        <f>HYPERLINK("https://panda.att.com.mx/ODKServer/view/binaryData?blobKey=FSSuministroFluidosv3%5B%40version%3Dnull+and+%40uiVersion%3Dnull%5D%2Fdata%5B%40key%3Duuid%3Aececd766-cf50-46dc-a72b-f23d6d781c1a%5D%2FgroupInfoFuel%5B%40ordinal%3D1%5D%2FpicFuelRecibeInterno","Descargar")</f>
        <v>Descargar</v>
      </c>
    </row>
    <row r="470" spans="1:18" x14ac:dyDescent="0.3">
      <c r="A470">
        <v>1604707</v>
      </c>
      <c r="B470" t="s">
        <v>18</v>
      </c>
      <c r="C470" t="s">
        <v>68</v>
      </c>
      <c r="D470" t="s">
        <v>116</v>
      </c>
      <c r="E470" t="s">
        <v>695</v>
      </c>
      <c r="F470" t="s">
        <v>22</v>
      </c>
      <c r="G470" t="s">
        <v>23</v>
      </c>
      <c r="H470" t="s">
        <v>37</v>
      </c>
      <c r="I470" t="s">
        <v>25</v>
      </c>
      <c r="J470" t="s">
        <v>696</v>
      </c>
      <c r="K470">
        <v>26</v>
      </c>
      <c r="L470">
        <v>8</v>
      </c>
      <c r="M470">
        <v>2025</v>
      </c>
      <c r="N470" t="s">
        <v>27</v>
      </c>
      <c r="O470">
        <v>200</v>
      </c>
      <c r="P470">
        <v>200</v>
      </c>
      <c r="R470" s="3" t="str">
        <f>HYPERLINK("https://panda.att.com.mx/ODKServer/view/binaryData?blobKey=FSSuministroFluidosv3%5B%40version%3Dnull+and+%40uiVersion%3Dnull%5D%2Fdata%5B%40key%3Duuid%3Adcbf82d1-9161-40d9-af43-d0912569e5a4%5D%2FgroupInfoFuel%5B%40ordinal%3D1%5D%2FpicFuelRecibeInterno","Descargar")</f>
        <v>Descargar</v>
      </c>
    </row>
    <row r="471" spans="1:18" x14ac:dyDescent="0.3">
      <c r="A471">
        <v>1604687</v>
      </c>
      <c r="B471" t="s">
        <v>18</v>
      </c>
      <c r="C471" t="s">
        <v>183</v>
      </c>
      <c r="D471" t="s">
        <v>697</v>
      </c>
      <c r="E471" t="s">
        <v>698</v>
      </c>
      <c r="F471" t="s">
        <v>22</v>
      </c>
      <c r="G471" t="s">
        <v>23</v>
      </c>
      <c r="H471" t="s">
        <v>24</v>
      </c>
      <c r="I471" t="s">
        <v>25</v>
      </c>
      <c r="J471" t="s">
        <v>699</v>
      </c>
      <c r="K471">
        <v>17</v>
      </c>
      <c r="L471">
        <v>8</v>
      </c>
      <c r="M471">
        <v>2025</v>
      </c>
      <c r="N471" t="s">
        <v>44</v>
      </c>
      <c r="O471">
        <v>23</v>
      </c>
      <c r="P471">
        <v>23</v>
      </c>
      <c r="R471" s="3" t="str">
        <f>HYPERLINK("https://panda.att.com.mx/ODKServer/view/binaryData?blobKey=FSSuministroFluidosv3%5B%40version%3Dnull+and+%40uiVersion%3Dnull%5D%2Fdata%5B%40key%3Duuid%3A873843a2-891f-4b15-9428-b46dbfd66c63%5D%2FgroupInfoFuel%5B%40ordinal%3D1%5D%2FpicFuelRecibeInterno","Descargar")</f>
        <v>Descargar</v>
      </c>
    </row>
    <row r="472" spans="1:18" x14ac:dyDescent="0.3">
      <c r="A472">
        <v>1604649</v>
      </c>
      <c r="B472" t="s">
        <v>18</v>
      </c>
      <c r="C472" t="s">
        <v>28</v>
      </c>
      <c r="D472" t="s">
        <v>66</v>
      </c>
      <c r="E472" t="s">
        <v>414</v>
      </c>
      <c r="F472" t="s">
        <v>22</v>
      </c>
      <c r="G472" t="s">
        <v>23</v>
      </c>
      <c r="H472" t="s">
        <v>24</v>
      </c>
      <c r="I472" t="s">
        <v>25</v>
      </c>
      <c r="J472" t="s">
        <v>700</v>
      </c>
      <c r="K472">
        <v>25</v>
      </c>
      <c r="L472">
        <v>8</v>
      </c>
      <c r="M472">
        <v>2025</v>
      </c>
      <c r="N472" t="s">
        <v>27</v>
      </c>
      <c r="O472">
        <v>50</v>
      </c>
      <c r="P472">
        <v>50</v>
      </c>
      <c r="R472" s="3" t="str">
        <f>HYPERLINK("https://panda.att.com.mx/ODKServer/view/binaryData?blobKey=FSSuministroFluidosv3%5B%40version%3Dnull+and+%40uiVersion%3Dnull%5D%2Fdata%5B%40key%3Duuid%3Ad32f229b-144b-4ae6-bd59-aefa981898d9%5D%2FgroupInfoFuel%5B%40ordinal%3D1%5D%2FpicFuelRecibeInterno","Descargar")</f>
        <v>Descargar</v>
      </c>
    </row>
    <row r="473" spans="1:18" x14ac:dyDescent="0.3">
      <c r="A473">
        <v>1604642</v>
      </c>
      <c r="B473" t="s">
        <v>18</v>
      </c>
      <c r="C473" t="s">
        <v>28</v>
      </c>
      <c r="D473" t="s">
        <v>181</v>
      </c>
      <c r="E473" t="s">
        <v>701</v>
      </c>
      <c r="F473" t="s">
        <v>22</v>
      </c>
      <c r="G473" t="s">
        <v>23</v>
      </c>
      <c r="H473" t="s">
        <v>24</v>
      </c>
      <c r="I473" t="s">
        <v>25</v>
      </c>
      <c r="J473" t="s">
        <v>702</v>
      </c>
      <c r="K473">
        <v>19</v>
      </c>
      <c r="L473">
        <v>8</v>
      </c>
      <c r="M473">
        <v>2025</v>
      </c>
      <c r="N473" t="s">
        <v>27</v>
      </c>
      <c r="O473">
        <v>200</v>
      </c>
      <c r="P473">
        <v>200</v>
      </c>
      <c r="R473" s="3" t="str">
        <f>HYPERLINK("https://panda.att.com.mx/ODKServer/view/binaryData?blobKey=FSSuministroFluidosv3%5B%40version%3Dnull+and+%40uiVersion%3Dnull%5D%2Fdata%5B%40key%3Duuid%3A6a2ecea3-0063-4660-949d-0bc04c806fa6%5D%2FgroupInfoFuel%5B%40ordinal%3D1%5D%2FpicFuelRecibeInterno","Descargar")</f>
        <v>Descargar</v>
      </c>
    </row>
    <row r="474" spans="1:18" x14ac:dyDescent="0.3">
      <c r="A474">
        <v>1604639</v>
      </c>
      <c r="B474" t="s">
        <v>18</v>
      </c>
      <c r="C474" t="s">
        <v>28</v>
      </c>
      <c r="D474" t="s">
        <v>315</v>
      </c>
      <c r="E474" t="s">
        <v>703</v>
      </c>
      <c r="F474" t="s">
        <v>22</v>
      </c>
      <c r="G474" t="s">
        <v>23</v>
      </c>
      <c r="H474" t="s">
        <v>24</v>
      </c>
      <c r="I474" t="s">
        <v>25</v>
      </c>
      <c r="J474" t="s">
        <v>704</v>
      </c>
      <c r="K474">
        <v>26</v>
      </c>
      <c r="L474">
        <v>8</v>
      </c>
      <c r="M474">
        <v>2025</v>
      </c>
      <c r="N474" t="s">
        <v>27</v>
      </c>
      <c r="O474">
        <v>250</v>
      </c>
      <c r="P474">
        <v>250</v>
      </c>
      <c r="R474" s="3" t="str">
        <f>HYPERLINK("https://panda.att.com.mx/ODKServer/view/binaryData?blobKey=FSSuministroFluidosv3%5B%40version%3Dnull+and+%40uiVersion%3Dnull%5D%2Fdata%5B%40key%3Duuid%3A49e277db-dfac-4899-95f6-445d17198ed1%5D%2FgroupInfoFuel%5B%40ordinal%3D1%5D%2FpicFuelRecibeInterno","Descargar")</f>
        <v>Descargar</v>
      </c>
    </row>
    <row r="475" spans="1:18" x14ac:dyDescent="0.3">
      <c r="A475">
        <v>1604583</v>
      </c>
      <c r="B475" t="s">
        <v>18</v>
      </c>
      <c r="C475" t="s">
        <v>167</v>
      </c>
      <c r="D475" t="s">
        <v>509</v>
      </c>
      <c r="E475" t="s">
        <v>705</v>
      </c>
      <c r="F475" t="s">
        <v>22</v>
      </c>
      <c r="G475" t="s">
        <v>23</v>
      </c>
      <c r="H475" t="s">
        <v>58</v>
      </c>
      <c r="I475" t="s">
        <v>25</v>
      </c>
      <c r="J475" t="s">
        <v>706</v>
      </c>
      <c r="K475">
        <v>23</v>
      </c>
      <c r="L475">
        <v>8</v>
      </c>
      <c r="M475">
        <v>2025</v>
      </c>
      <c r="N475" t="s">
        <v>27</v>
      </c>
      <c r="O475">
        <v>250</v>
      </c>
      <c r="P475">
        <v>250</v>
      </c>
      <c r="R475" s="3" t="str">
        <f>HYPERLINK("https://panda.att.com.mx/ODKServer/view/binaryData?blobKey=FSSuministroFluidosv3%5B%40version%3Dnull+and+%40uiVersion%3Dnull%5D%2Fdata%5B%40key%3Duuid%3A77957c2b-8b2a-4274-b6a3-cc6ceb2b1ef3%5D%2FgroupInfoFuel%5B%40ordinal%3D1%5D%2FpicFuelRecibeInterno","Descargar")</f>
        <v>Descargar</v>
      </c>
    </row>
    <row r="476" spans="1:18" x14ac:dyDescent="0.3">
      <c r="A476">
        <v>1604460</v>
      </c>
      <c r="B476" t="s">
        <v>18</v>
      </c>
      <c r="C476" t="s">
        <v>28</v>
      </c>
      <c r="D476" t="s">
        <v>66</v>
      </c>
      <c r="E476" t="s">
        <v>707</v>
      </c>
      <c r="F476" t="s">
        <v>22</v>
      </c>
      <c r="G476" t="s">
        <v>23</v>
      </c>
      <c r="H476" t="s">
        <v>24</v>
      </c>
      <c r="I476" t="s">
        <v>25</v>
      </c>
      <c r="J476" t="s">
        <v>708</v>
      </c>
      <c r="K476">
        <v>25</v>
      </c>
      <c r="L476">
        <v>8</v>
      </c>
      <c r="M476">
        <v>2025</v>
      </c>
      <c r="N476" t="s">
        <v>27</v>
      </c>
      <c r="O476">
        <v>50</v>
      </c>
      <c r="P476">
        <v>50</v>
      </c>
      <c r="R476" s="3" t="str">
        <f>HYPERLINK("https://panda.att.com.mx/ODKServer/view/binaryData?blobKey=FSSuministroFluidosv3%5B%40version%3Dnull+and+%40uiVersion%3Dnull%5D%2Fdata%5B%40key%3Duuid%3A66aba8ab-2c3a-4f3f-9ce5-d1b3c83fa4ce%5D%2FgroupInfoFuel%5B%40ordinal%3D1%5D%2FpicFuelRecibeInterno","Descargar")</f>
        <v>Descargar</v>
      </c>
    </row>
    <row r="477" spans="1:18" x14ac:dyDescent="0.3">
      <c r="A477">
        <v>1604453</v>
      </c>
      <c r="B477" t="s">
        <v>18</v>
      </c>
      <c r="C477" t="s">
        <v>167</v>
      </c>
      <c r="D477" t="s">
        <v>268</v>
      </c>
      <c r="E477" t="s">
        <v>709</v>
      </c>
      <c r="F477" t="s">
        <v>22</v>
      </c>
      <c r="G477" t="s">
        <v>23</v>
      </c>
      <c r="H477" t="s">
        <v>58</v>
      </c>
      <c r="I477" t="s">
        <v>25</v>
      </c>
      <c r="J477" t="s">
        <v>710</v>
      </c>
      <c r="K477">
        <v>25</v>
      </c>
      <c r="L477">
        <v>8</v>
      </c>
      <c r="M477">
        <v>2025</v>
      </c>
      <c r="N477" t="s">
        <v>27</v>
      </c>
      <c r="O477">
        <v>200</v>
      </c>
      <c r="P477">
        <v>200</v>
      </c>
      <c r="R477" s="3" t="str">
        <f>HYPERLINK("https://panda.att.com.mx/ODKServer/view/binaryData?blobKey=FSSuministroFluidosv3%5B%40version%3Dnull+and+%40uiVersion%3Dnull%5D%2Fdata%5B%40key%3Duuid%3A8b23f6e8-31c6-4adb-bd0c-10e5843fc16d%5D%2FgroupInfoFuel%5B%40ordinal%3D1%5D%2FpicFuelRecibeInterno","Descargar")</f>
        <v>Descargar</v>
      </c>
    </row>
    <row r="478" spans="1:18" x14ac:dyDescent="0.3">
      <c r="A478">
        <v>1604438</v>
      </c>
      <c r="B478" t="s">
        <v>18</v>
      </c>
      <c r="C478" t="s">
        <v>150</v>
      </c>
      <c r="D478" t="s">
        <v>164</v>
      </c>
      <c r="E478" t="s">
        <v>165</v>
      </c>
      <c r="F478" t="s">
        <v>22</v>
      </c>
      <c r="G478" t="s">
        <v>23</v>
      </c>
      <c r="H478" t="s">
        <v>58</v>
      </c>
      <c r="I478" t="s">
        <v>25</v>
      </c>
      <c r="J478" t="s">
        <v>711</v>
      </c>
      <c r="K478">
        <v>26</v>
      </c>
      <c r="L478">
        <v>8</v>
      </c>
      <c r="M478">
        <v>2025</v>
      </c>
      <c r="N478" t="s">
        <v>27</v>
      </c>
      <c r="O478">
        <v>400</v>
      </c>
      <c r="P478">
        <v>400</v>
      </c>
      <c r="R478" s="3" t="str">
        <f>HYPERLINK("https://panda.att.com.mx/ODKServer/view/binaryData?blobKey=FSSuministroFluidosv3%5B%40version%3Dnull+and+%40uiVersion%3Dnull%5D%2Fdata%5B%40key%3Duuid%3A5122eb83-e129-44cd-a512-5d2b5b1a928c%5D%2FgroupInfoFuel%5B%40ordinal%3D1%5D%2FpicFuelRecibeInterno","Descargar")</f>
        <v>Descargar</v>
      </c>
    </row>
    <row r="479" spans="1:18" x14ac:dyDescent="0.3">
      <c r="A479">
        <v>1604339</v>
      </c>
      <c r="B479" t="s">
        <v>18</v>
      </c>
      <c r="C479" t="s">
        <v>167</v>
      </c>
      <c r="D479" t="s">
        <v>313</v>
      </c>
      <c r="E479" t="s">
        <v>712</v>
      </c>
      <c r="F479" t="s">
        <v>22</v>
      </c>
      <c r="G479" t="s">
        <v>23</v>
      </c>
      <c r="H479" t="s">
        <v>58</v>
      </c>
      <c r="I479" t="s">
        <v>25</v>
      </c>
      <c r="J479" t="s">
        <v>713</v>
      </c>
      <c r="K479">
        <v>25</v>
      </c>
      <c r="L479">
        <v>8</v>
      </c>
      <c r="M479">
        <v>2025</v>
      </c>
      <c r="N479" t="s">
        <v>27</v>
      </c>
      <c r="O479">
        <v>300</v>
      </c>
      <c r="P479">
        <v>300</v>
      </c>
      <c r="R479" s="3" t="str">
        <f>HYPERLINK("https://panda.att.com.mx/ODKServer/view/binaryData?blobKey=FSSuministroFluidosv3%5B%40version%3Dnull+and+%40uiVersion%3Dnull%5D%2Fdata%5B%40key%3Duuid%3Aa901bc4c-3057-4d08-9956-55a270d6606e%5D%2FgroupInfoFuel%5B%40ordinal%3D1%5D%2FpicFuelRecibeInterno","Descargar")</f>
        <v>Descargar</v>
      </c>
    </row>
    <row r="480" spans="1:18" x14ac:dyDescent="0.3">
      <c r="A480">
        <v>1604332</v>
      </c>
      <c r="B480" t="s">
        <v>18</v>
      </c>
      <c r="C480" t="s">
        <v>59</v>
      </c>
      <c r="D480" t="s">
        <v>574</v>
      </c>
      <c r="E480" t="s">
        <v>714</v>
      </c>
      <c r="F480" t="s">
        <v>22</v>
      </c>
      <c r="G480" t="s">
        <v>23</v>
      </c>
      <c r="H480" t="s">
        <v>37</v>
      </c>
      <c r="I480" t="s">
        <v>25</v>
      </c>
      <c r="J480" t="s">
        <v>715</v>
      </c>
      <c r="K480">
        <v>25</v>
      </c>
      <c r="L480">
        <v>8</v>
      </c>
      <c r="M480">
        <v>2025</v>
      </c>
      <c r="N480" t="s">
        <v>27</v>
      </c>
      <c r="O480">
        <v>300</v>
      </c>
      <c r="Q480">
        <v>300</v>
      </c>
      <c r="R480" s="3" t="str">
        <f>HYPERLINK("https://panda.att.com.mx/ODKServer/view/binaryData?blobKey=FSSuministroFluidosv3%5B%40version%3Dnull+and+%40uiVersion%3Dnull%5D%2Fdata%5B%40key%3Duuid%3A4099ca1f-a478-4532-b982-5a15632c33bf%5D%2FgroupInfoFuel%5B%40ordinal%3D1%5D%2FpicFuelRecibeInterno","Descargar")</f>
        <v>Descargar</v>
      </c>
    </row>
    <row r="481" spans="1:18" x14ac:dyDescent="0.3">
      <c r="A481">
        <v>1604325</v>
      </c>
      <c r="B481" t="s">
        <v>18</v>
      </c>
      <c r="C481" t="s">
        <v>100</v>
      </c>
      <c r="D481" t="s">
        <v>716</v>
      </c>
      <c r="E481" t="s">
        <v>717</v>
      </c>
      <c r="F481" t="s">
        <v>22</v>
      </c>
      <c r="G481" t="s">
        <v>83</v>
      </c>
      <c r="H481" t="s">
        <v>58</v>
      </c>
      <c r="I481" t="s">
        <v>25</v>
      </c>
      <c r="J481" t="s">
        <v>718</v>
      </c>
      <c r="K481">
        <v>25</v>
      </c>
      <c r="L481">
        <v>8</v>
      </c>
      <c r="M481">
        <v>2025</v>
      </c>
      <c r="N481" t="s">
        <v>27</v>
      </c>
      <c r="O481">
        <v>128</v>
      </c>
      <c r="P481">
        <v>128</v>
      </c>
      <c r="R481" s="3" t="str">
        <f>HYPERLINK("https://panda.att.com.mx/ODKServer/view/binaryData?blobKey=FSSuministroFluidosv3%5B%40version%3Dnull+and+%40uiVersion%3Dnull%5D%2Fdata%5B%40key%3Duuid%3A80f1f2a5-7a24-47ce-ae19-c8a2d4bbf8ff%5D%2FgroupInfoFuel%5B%40ordinal%3D1%5D%2FpicFuelRecibeInterno","Descargar")</f>
        <v>Descargar</v>
      </c>
    </row>
    <row r="482" spans="1:18" x14ac:dyDescent="0.3">
      <c r="A482">
        <v>1604284</v>
      </c>
      <c r="B482" t="s">
        <v>18</v>
      </c>
      <c r="C482" t="s">
        <v>34</v>
      </c>
      <c r="D482" t="s">
        <v>53</v>
      </c>
      <c r="E482" t="s">
        <v>649</v>
      </c>
      <c r="F482" t="s">
        <v>22</v>
      </c>
      <c r="G482" t="s">
        <v>23</v>
      </c>
      <c r="H482" t="s">
        <v>37</v>
      </c>
      <c r="I482" t="s">
        <v>25</v>
      </c>
      <c r="J482" t="s">
        <v>719</v>
      </c>
      <c r="K482">
        <v>25</v>
      </c>
      <c r="L482">
        <v>8</v>
      </c>
      <c r="M482">
        <v>2025</v>
      </c>
      <c r="N482" t="s">
        <v>27</v>
      </c>
      <c r="O482">
        <v>180</v>
      </c>
      <c r="P482">
        <v>180</v>
      </c>
      <c r="R482" s="3" t="str">
        <f>HYPERLINK("https://panda.att.com.mx/ODKServer/view/binaryData?blobKey=FSSuministroFluidosv3%5B%40version%3Dnull+and+%40uiVersion%3Dnull%5D%2Fdata%5B%40key%3Duuid%3Afc3c6de6-f1a3-4bb2-998b-9546bb7ffe5a%5D%2FgroupInfoFuel%5B%40ordinal%3D1%5D%2FpicFuelRecibeInterno","Descargar")</f>
        <v>Descargar</v>
      </c>
    </row>
    <row r="483" spans="1:18" x14ac:dyDescent="0.3">
      <c r="A483">
        <v>1604256</v>
      </c>
      <c r="B483" t="s">
        <v>18</v>
      </c>
      <c r="C483" t="s">
        <v>19</v>
      </c>
      <c r="D483" t="s">
        <v>20</v>
      </c>
      <c r="E483" t="s">
        <v>21</v>
      </c>
      <c r="F483" t="s">
        <v>22</v>
      </c>
      <c r="G483" t="s">
        <v>23</v>
      </c>
      <c r="H483" t="s">
        <v>24</v>
      </c>
      <c r="I483" t="s">
        <v>25</v>
      </c>
      <c r="J483" t="s">
        <v>720</v>
      </c>
      <c r="K483">
        <v>23</v>
      </c>
      <c r="L483">
        <v>8</v>
      </c>
      <c r="M483">
        <v>2025</v>
      </c>
      <c r="N483" t="s">
        <v>27</v>
      </c>
      <c r="O483">
        <v>300</v>
      </c>
      <c r="P483">
        <v>300</v>
      </c>
      <c r="R483" s="3" t="str">
        <f>HYPERLINK("https://panda.att.com.mx/ODKServer/view/binaryData?blobKey=FSSuministroFluidosv3%5B%40version%3Dnull+and+%40uiVersion%3Dnull%5D%2Fdata%5B%40key%3Duuid%3A40ab4f1c-fdfd-46c6-89f0-590d6a16eb10%5D%2FgroupInfoFuel%5B%40ordinal%3D1%5D%2FpicFuelRecibeInterno","Descargar")</f>
        <v>Descargar</v>
      </c>
    </row>
    <row r="484" spans="1:18" x14ac:dyDescent="0.3">
      <c r="A484">
        <v>1604211</v>
      </c>
      <c r="B484" t="s">
        <v>18</v>
      </c>
      <c r="C484" t="s">
        <v>100</v>
      </c>
      <c r="D484" t="s">
        <v>101</v>
      </c>
      <c r="E484" t="s">
        <v>312</v>
      </c>
      <c r="F484" t="s">
        <v>22</v>
      </c>
      <c r="G484" t="s">
        <v>23</v>
      </c>
      <c r="H484" t="s">
        <v>58</v>
      </c>
      <c r="I484" t="s">
        <v>25</v>
      </c>
      <c r="J484" t="s">
        <v>721</v>
      </c>
      <c r="K484">
        <v>25</v>
      </c>
      <c r="L484">
        <v>8</v>
      </c>
      <c r="M484">
        <v>2025</v>
      </c>
      <c r="N484" t="s">
        <v>27</v>
      </c>
      <c r="O484">
        <v>300</v>
      </c>
      <c r="P484">
        <v>300</v>
      </c>
      <c r="R484" s="3" t="str">
        <f>HYPERLINK("https://panda.att.com.mx/ODKServer/view/binaryData?blobKey=FSSuministroFluidosv3%5B%40version%3Dnull+and+%40uiVersion%3Dnull%5D%2Fdata%5B%40key%3Duuid%3Afa1e1387-77b2-4cca-a520-33f68c929294%5D%2FgroupInfoFuel%5B%40ordinal%3D1%5D%2FpicFuelRecibeInterno","Descargar")</f>
        <v>Descargar</v>
      </c>
    </row>
    <row r="485" spans="1:18" x14ac:dyDescent="0.3">
      <c r="A485">
        <v>1604210</v>
      </c>
      <c r="B485" t="s">
        <v>18</v>
      </c>
      <c r="C485" t="s">
        <v>19</v>
      </c>
      <c r="D485" t="s">
        <v>347</v>
      </c>
      <c r="E485" t="s">
        <v>364</v>
      </c>
      <c r="F485" t="s">
        <v>22</v>
      </c>
      <c r="G485" t="s">
        <v>83</v>
      </c>
      <c r="H485" t="s">
        <v>24</v>
      </c>
      <c r="I485" t="s">
        <v>25</v>
      </c>
      <c r="J485" t="s">
        <v>722</v>
      </c>
      <c r="K485">
        <v>1</v>
      </c>
      <c r="L485">
        <v>8</v>
      </c>
      <c r="M485">
        <v>2025</v>
      </c>
      <c r="N485" t="s">
        <v>27</v>
      </c>
      <c r="O485">
        <v>300</v>
      </c>
      <c r="P485">
        <v>300</v>
      </c>
      <c r="R485" s="3" t="str">
        <f>HYPERLINK("https://panda.att.com.mx/ODKServer/view/binaryData?blobKey=FSSuministroFluidosv3%5B%40version%3Dnull+and+%40uiVersion%3Dnull%5D%2Fdata%5B%40key%3Duuid%3A6a3785ae-a494-4953-ab1f-c50c2064c269%5D%2FgroupInfoFuel%5B%40ordinal%3D1%5D%2FpicFuelRecibeInterno","Descargar")</f>
        <v>Descargar</v>
      </c>
    </row>
    <row r="486" spans="1:18" x14ac:dyDescent="0.3">
      <c r="A486">
        <v>1604209</v>
      </c>
      <c r="B486" t="s">
        <v>18</v>
      </c>
      <c r="C486" t="s">
        <v>19</v>
      </c>
      <c r="D486" t="s">
        <v>347</v>
      </c>
      <c r="E486" t="s">
        <v>364</v>
      </c>
      <c r="F486" t="s">
        <v>22</v>
      </c>
      <c r="G486" t="s">
        <v>83</v>
      </c>
      <c r="H486" t="s">
        <v>24</v>
      </c>
      <c r="I486" t="s">
        <v>25</v>
      </c>
      <c r="J486" s="2">
        <v>45867.40185185185</v>
      </c>
      <c r="K486">
        <v>29</v>
      </c>
      <c r="L486">
        <v>7</v>
      </c>
      <c r="M486">
        <v>2025</v>
      </c>
      <c r="N486" t="s">
        <v>27</v>
      </c>
      <c r="O486">
        <v>300</v>
      </c>
      <c r="P486">
        <v>300</v>
      </c>
      <c r="R486" s="3" t="str">
        <f>HYPERLINK("https://panda.att.com.mx/ODKServer/view/binaryData?blobKey=FSSuministroFluidosv3%5B%40version%3Dnull+and+%40uiVersion%3Dnull%5D%2Fdata%5B%40key%3Duuid%3A233b0a29-5f50-4f66-aa83-667bbe5b0df4%5D%2FgroupInfoFuel%5B%40ordinal%3D1%5D%2FpicFuelRecibeInterno","Descargar")</f>
        <v>Descargar</v>
      </c>
    </row>
    <row r="487" spans="1:18" x14ac:dyDescent="0.3">
      <c r="A487">
        <v>1604203</v>
      </c>
      <c r="B487" t="s">
        <v>18</v>
      </c>
      <c r="C487" t="s">
        <v>19</v>
      </c>
      <c r="D487" t="s">
        <v>347</v>
      </c>
      <c r="E487" t="s">
        <v>364</v>
      </c>
      <c r="F487" t="s">
        <v>22</v>
      </c>
      <c r="G487" t="s">
        <v>83</v>
      </c>
      <c r="H487" t="s">
        <v>24</v>
      </c>
      <c r="I487" t="s">
        <v>25</v>
      </c>
      <c r="J487" s="2">
        <v>45864.300115740742</v>
      </c>
      <c r="K487">
        <v>26</v>
      </c>
      <c r="L487">
        <v>7</v>
      </c>
      <c r="M487">
        <v>2025</v>
      </c>
      <c r="N487" t="s">
        <v>27</v>
      </c>
      <c r="O487">
        <v>300</v>
      </c>
      <c r="P487">
        <v>300</v>
      </c>
      <c r="R487" s="3" t="str">
        <f>HYPERLINK("https://panda.att.com.mx/ODKServer/view/binaryData?blobKey=FSSuministroFluidosv3%5B%40version%3Dnull+and+%40uiVersion%3Dnull%5D%2Fdata%5B%40key%3Duuid%3A99786450-0734-4c3e-a96c-fff7e4b7a3af%5D%2FgroupInfoFuel%5B%40ordinal%3D1%5D%2FpicFuelRecibeInterno","Descargar")</f>
        <v>Descargar</v>
      </c>
    </row>
    <row r="488" spans="1:18" x14ac:dyDescent="0.3">
      <c r="A488">
        <v>1604182</v>
      </c>
      <c r="B488" t="s">
        <v>18</v>
      </c>
      <c r="C488" t="s">
        <v>68</v>
      </c>
      <c r="D488" t="s">
        <v>116</v>
      </c>
      <c r="E488" t="s">
        <v>723</v>
      </c>
      <c r="F488" t="s">
        <v>22</v>
      </c>
      <c r="G488" t="s">
        <v>23</v>
      </c>
      <c r="H488" t="s">
        <v>37</v>
      </c>
      <c r="I488" t="s">
        <v>25</v>
      </c>
      <c r="J488" t="s">
        <v>724</v>
      </c>
      <c r="K488">
        <v>25</v>
      </c>
      <c r="L488">
        <v>8</v>
      </c>
      <c r="M488">
        <v>2025</v>
      </c>
      <c r="N488" t="s">
        <v>27</v>
      </c>
      <c r="O488">
        <v>200</v>
      </c>
      <c r="Q488">
        <v>200</v>
      </c>
      <c r="R488" s="3" t="str">
        <f>HYPERLINK("https://panda.att.com.mx/ODKServer/view/binaryData?blobKey=FSSuministroFluidosv3%5B%40version%3Dnull+and+%40uiVersion%3Dnull%5D%2Fdata%5B%40key%3Duuid%3A40623f4e-3f70-4d6e-a2c4-439ce774a0ca%5D%2FgroupInfoFuel%5B%40ordinal%3D1%5D%2FpicFuelRecibeInterno","Descargar")</f>
        <v>Descargar</v>
      </c>
    </row>
    <row r="489" spans="1:18" x14ac:dyDescent="0.3">
      <c r="A489">
        <v>1604165</v>
      </c>
      <c r="B489" t="s">
        <v>18</v>
      </c>
      <c r="C489" t="s">
        <v>59</v>
      </c>
      <c r="D489" t="s">
        <v>487</v>
      </c>
      <c r="E489" t="s">
        <v>488</v>
      </c>
      <c r="F489" t="s">
        <v>22</v>
      </c>
      <c r="G489" t="s">
        <v>83</v>
      </c>
      <c r="H489" t="s">
        <v>37</v>
      </c>
      <c r="I489" t="s">
        <v>25</v>
      </c>
      <c r="J489" t="s">
        <v>725</v>
      </c>
      <c r="K489">
        <v>25</v>
      </c>
      <c r="L489">
        <v>8</v>
      </c>
      <c r="M489">
        <v>2025</v>
      </c>
      <c r="N489" t="s">
        <v>27</v>
      </c>
      <c r="O489">
        <v>600</v>
      </c>
      <c r="Q489">
        <v>600</v>
      </c>
      <c r="R489" s="3" t="str">
        <f>HYPERLINK("https://panda.att.com.mx/ODKServer/view/binaryData?blobKey=FSSuministroFluidosv3%5B%40version%3Dnull+and+%40uiVersion%3Dnull%5D%2Fdata%5B%40key%3Duuid%3A517b225b-a933-4091-bd1f-1a32c2f2d27e%5D%2FgroupInfoFuel%5B%40ordinal%3D1%5D%2FpicFuelRecibeInterno","Descargar")</f>
        <v>Descargar</v>
      </c>
    </row>
    <row r="490" spans="1:18" x14ac:dyDescent="0.3">
      <c r="A490">
        <v>1603930</v>
      </c>
      <c r="B490" t="s">
        <v>18</v>
      </c>
      <c r="C490" t="s">
        <v>19</v>
      </c>
      <c r="D490" t="s">
        <v>45</v>
      </c>
      <c r="E490" t="s">
        <v>186</v>
      </c>
      <c r="F490" t="s">
        <v>22</v>
      </c>
      <c r="G490" t="s">
        <v>23</v>
      </c>
      <c r="H490" t="s">
        <v>24</v>
      </c>
      <c r="I490" t="s">
        <v>25</v>
      </c>
      <c r="J490" t="s">
        <v>726</v>
      </c>
      <c r="K490">
        <v>25</v>
      </c>
      <c r="L490">
        <v>8</v>
      </c>
      <c r="M490">
        <v>2025</v>
      </c>
      <c r="N490" t="s">
        <v>27</v>
      </c>
      <c r="O490">
        <v>300</v>
      </c>
      <c r="P490">
        <v>300</v>
      </c>
      <c r="R490" s="3" t="str">
        <f>HYPERLINK("https://panda.att.com.mx/ODKServer/view/binaryData?blobKey=FSSuministroFluidosv3%5B%40version%3Dnull+and+%40uiVersion%3Dnull%5D%2Fdata%5B%40key%3Duuid%3A1d8c9f6e-e4d2-4154-a875-1852fc6adbf5%5D%2FgroupInfoFuel%5B%40ordinal%3D1%5D%2FpicFuelRecibeInterno","Descargar")</f>
        <v>Descargar</v>
      </c>
    </row>
    <row r="491" spans="1:18" x14ac:dyDescent="0.3">
      <c r="A491">
        <v>1603892</v>
      </c>
      <c r="B491" t="s">
        <v>18</v>
      </c>
      <c r="C491" t="s">
        <v>167</v>
      </c>
      <c r="D491" t="s">
        <v>268</v>
      </c>
      <c r="E491" t="s">
        <v>727</v>
      </c>
      <c r="F491" t="s">
        <v>22</v>
      </c>
      <c r="G491" t="s">
        <v>23</v>
      </c>
      <c r="H491" t="s">
        <v>58</v>
      </c>
      <c r="I491" t="s">
        <v>25</v>
      </c>
      <c r="J491" t="s">
        <v>728</v>
      </c>
      <c r="K491">
        <v>25</v>
      </c>
      <c r="L491">
        <v>8</v>
      </c>
      <c r="M491">
        <v>2025</v>
      </c>
      <c r="N491" t="s">
        <v>27</v>
      </c>
      <c r="O491">
        <v>200</v>
      </c>
      <c r="P491">
        <v>200</v>
      </c>
      <c r="R491" s="3" t="str">
        <f>HYPERLINK("https://panda.att.com.mx/ODKServer/view/binaryData?blobKey=FSSuministroFluidosv3%5B%40version%3Dnull+and+%40uiVersion%3Dnull%5D%2Fdata%5B%40key%3Duuid%3Aa19d3ce0-2e32-4739-8371-4a4c861d096d%5D%2FgroupInfoFuel%5B%40ordinal%3D1%5D%2FpicFuelRecibeInterno","Descargar")</f>
        <v>Descargar</v>
      </c>
    </row>
    <row r="492" spans="1:18" x14ac:dyDescent="0.3">
      <c r="A492">
        <v>1603886</v>
      </c>
      <c r="B492" t="s">
        <v>18</v>
      </c>
      <c r="C492" t="s">
        <v>167</v>
      </c>
      <c r="D492" t="s">
        <v>268</v>
      </c>
      <c r="E492" t="s">
        <v>729</v>
      </c>
      <c r="F492" t="s">
        <v>22</v>
      </c>
      <c r="G492" t="s">
        <v>23</v>
      </c>
      <c r="H492" t="s">
        <v>58</v>
      </c>
      <c r="I492" t="s">
        <v>25</v>
      </c>
      <c r="J492" t="s">
        <v>730</v>
      </c>
      <c r="K492">
        <v>21</v>
      </c>
      <c r="L492">
        <v>8</v>
      </c>
      <c r="M492">
        <v>2025</v>
      </c>
      <c r="N492" t="s">
        <v>27</v>
      </c>
      <c r="O492">
        <v>50</v>
      </c>
      <c r="P492">
        <v>50</v>
      </c>
      <c r="R492" s="3" t="str">
        <f>HYPERLINK("https://panda.att.com.mx/ODKServer/view/binaryData?blobKey=FSSuministroFluidosv3%5B%40version%3Dnull+and+%40uiVersion%3Dnull%5D%2Fdata%5B%40key%3Duuid%3A81adcd28-0017-4db7-825d-e136eba07681%5D%2FgroupInfoFuel%5B%40ordinal%3D1%5D%2FpicFuelRecibeInterno","Descargar")</f>
        <v>Descargar</v>
      </c>
    </row>
    <row r="493" spans="1:18" x14ac:dyDescent="0.3">
      <c r="A493">
        <v>1603707</v>
      </c>
      <c r="B493" t="s">
        <v>18</v>
      </c>
      <c r="C493" t="s">
        <v>68</v>
      </c>
      <c r="D493" t="s">
        <v>258</v>
      </c>
      <c r="E493" t="s">
        <v>731</v>
      </c>
      <c r="F493" t="s">
        <v>22</v>
      </c>
      <c r="G493" t="s">
        <v>23</v>
      </c>
      <c r="H493" t="s">
        <v>37</v>
      </c>
      <c r="I493" t="s">
        <v>25</v>
      </c>
      <c r="J493" t="s">
        <v>732</v>
      </c>
      <c r="K493">
        <v>24</v>
      </c>
      <c r="L493">
        <v>8</v>
      </c>
      <c r="M493">
        <v>2025</v>
      </c>
      <c r="N493" t="s">
        <v>27</v>
      </c>
      <c r="O493">
        <v>304</v>
      </c>
      <c r="P493">
        <v>304</v>
      </c>
      <c r="R493" s="3" t="str">
        <f>HYPERLINK("https://panda.att.com.mx/ODKServer/view/binaryData?blobKey=FSSuministroFluidosv3%5B%40version%3Dnull+and+%40uiVersion%3Dnull%5D%2Fdata%5B%40key%3Duuid%3A3e50e28e-3244-44b5-ba4d-4cb290724b3d%5D%2FgroupInfoFuel%5B%40ordinal%3D1%5D%2FpicFuelRecibeInterno","Descargar")</f>
        <v>Descargar</v>
      </c>
    </row>
    <row r="494" spans="1:18" x14ac:dyDescent="0.3">
      <c r="A494">
        <v>1603616</v>
      </c>
      <c r="B494" t="s">
        <v>18</v>
      </c>
      <c r="C494" t="s">
        <v>19</v>
      </c>
      <c r="D494" t="s">
        <v>42</v>
      </c>
      <c r="E494" t="s">
        <v>733</v>
      </c>
      <c r="F494" t="s">
        <v>22</v>
      </c>
      <c r="G494" t="s">
        <v>23</v>
      </c>
      <c r="H494" t="s">
        <v>24</v>
      </c>
      <c r="I494" t="s">
        <v>25</v>
      </c>
      <c r="J494" t="s">
        <v>734</v>
      </c>
      <c r="K494">
        <v>24</v>
      </c>
      <c r="L494">
        <v>8</v>
      </c>
      <c r="M494">
        <v>2025</v>
      </c>
      <c r="N494" t="s">
        <v>44</v>
      </c>
      <c r="O494">
        <v>30</v>
      </c>
      <c r="P494">
        <v>30</v>
      </c>
      <c r="R494" s="3" t="str">
        <f>HYPERLINK("https://panda.att.com.mx/ODKServer/view/binaryData?blobKey=FSSuministroFluidosv3%5B%40version%3Dnull+and+%40uiVersion%3Dnull%5D%2Fdata%5B%40key%3Duuid%3Ac9772c92-cd1d-41e2-9a5e-7a2b64f18d83%5D%2FgroupInfoFuel%5B%40ordinal%3D1%5D%2FpicFuelRecibeInterno","Descargar")</f>
        <v>Descargar</v>
      </c>
    </row>
    <row r="495" spans="1:18" x14ac:dyDescent="0.3">
      <c r="A495">
        <v>1603546</v>
      </c>
      <c r="B495" t="s">
        <v>18</v>
      </c>
      <c r="C495" t="s">
        <v>19</v>
      </c>
      <c r="D495" t="s">
        <v>20</v>
      </c>
      <c r="E495" t="s">
        <v>735</v>
      </c>
      <c r="F495" t="s">
        <v>22</v>
      </c>
      <c r="G495" t="s">
        <v>23</v>
      </c>
      <c r="H495" t="s">
        <v>24</v>
      </c>
      <c r="I495" t="s">
        <v>25</v>
      </c>
      <c r="J495" t="s">
        <v>736</v>
      </c>
      <c r="K495">
        <v>22</v>
      </c>
      <c r="L495">
        <v>8</v>
      </c>
      <c r="M495">
        <v>2025</v>
      </c>
      <c r="N495" t="s">
        <v>27</v>
      </c>
      <c r="O495">
        <v>150</v>
      </c>
      <c r="P495">
        <v>150</v>
      </c>
      <c r="R495" s="3" t="str">
        <f>HYPERLINK("https://panda.att.com.mx/ODKServer/view/binaryData?blobKey=FSSuministroFluidosv3%5B%40version%3Dnull+and+%40uiVersion%3Dnull%5D%2Fdata%5B%40key%3Duuid%3A4bc259ec-0213-4f6c-92fb-2917d22d8944%5D%2FgroupInfoFuel%5B%40ordinal%3D1%5D%2FpicFuelRecibeInterno","Descargar")</f>
        <v>Descargar</v>
      </c>
    </row>
    <row r="496" spans="1:18" x14ac:dyDescent="0.3">
      <c r="A496">
        <v>1603535</v>
      </c>
      <c r="B496" t="s">
        <v>18</v>
      </c>
      <c r="C496" t="s">
        <v>19</v>
      </c>
      <c r="D496" t="s">
        <v>45</v>
      </c>
      <c r="E496" t="s">
        <v>186</v>
      </c>
      <c r="F496" t="s">
        <v>22</v>
      </c>
      <c r="G496" t="s">
        <v>23</v>
      </c>
      <c r="H496" t="s">
        <v>24</v>
      </c>
      <c r="I496" t="s">
        <v>25</v>
      </c>
      <c r="J496" t="s">
        <v>737</v>
      </c>
      <c r="K496">
        <v>25</v>
      </c>
      <c r="L496">
        <v>8</v>
      </c>
      <c r="M496">
        <v>2025</v>
      </c>
      <c r="N496" t="s">
        <v>27</v>
      </c>
      <c r="O496">
        <v>300</v>
      </c>
      <c r="P496">
        <v>300</v>
      </c>
      <c r="R496" s="3" t="str">
        <f>HYPERLINK("https://panda.att.com.mx/ODKServer/view/binaryData?blobKey=FSSuministroFluidosv3%5B%40version%3Dnull+and+%40uiVersion%3Dnull%5D%2Fdata%5B%40key%3Duuid%3Ad5ab75d3-3459-4e49-a822-b014fa7fa2d7%5D%2FgroupInfoFuel%5B%40ordinal%3D1%5D%2FpicFuelRecibeInterno","Descargar")</f>
        <v>Descargar</v>
      </c>
    </row>
    <row r="497" spans="1:18" x14ac:dyDescent="0.3">
      <c r="A497">
        <v>1603495</v>
      </c>
      <c r="B497" t="s">
        <v>18</v>
      </c>
      <c r="C497" t="s">
        <v>68</v>
      </c>
      <c r="D497" t="s">
        <v>258</v>
      </c>
      <c r="E497" t="s">
        <v>738</v>
      </c>
      <c r="F497" t="s">
        <v>22</v>
      </c>
      <c r="G497" t="s">
        <v>23</v>
      </c>
      <c r="H497" t="s">
        <v>37</v>
      </c>
      <c r="I497" t="s">
        <v>25</v>
      </c>
      <c r="J497" t="s">
        <v>739</v>
      </c>
      <c r="K497">
        <v>24</v>
      </c>
      <c r="L497">
        <v>8</v>
      </c>
      <c r="M497">
        <v>2025</v>
      </c>
      <c r="N497" t="s">
        <v>27</v>
      </c>
      <c r="O497">
        <v>300</v>
      </c>
      <c r="P497">
        <v>300</v>
      </c>
      <c r="R497" s="3" t="str">
        <f>HYPERLINK("https://panda.att.com.mx/ODKServer/view/binaryData?blobKey=FSSuministroFluidosv3%5B%40version%3Dnull+and+%40uiVersion%3Dnull%5D%2Fdata%5B%40key%3Duuid%3Af4e55c96-4a3e-4032-bf2c-c9cc5545d19d%5D%2FgroupInfoFuel%5B%40ordinal%3D1%5D%2FpicFuelRecibeInterno","Descargar")</f>
        <v>Descargar</v>
      </c>
    </row>
    <row r="498" spans="1:18" x14ac:dyDescent="0.3">
      <c r="A498">
        <v>1603475</v>
      </c>
      <c r="B498" t="s">
        <v>18</v>
      </c>
      <c r="C498" t="s">
        <v>59</v>
      </c>
      <c r="D498" t="s">
        <v>574</v>
      </c>
      <c r="E498" t="s">
        <v>740</v>
      </c>
      <c r="F498" t="s">
        <v>22</v>
      </c>
      <c r="G498" t="s">
        <v>23</v>
      </c>
      <c r="H498" t="s">
        <v>37</v>
      </c>
      <c r="I498" t="s">
        <v>25</v>
      </c>
      <c r="J498" t="s">
        <v>741</v>
      </c>
      <c r="K498">
        <v>24</v>
      </c>
      <c r="L498">
        <v>8</v>
      </c>
      <c r="M498">
        <v>2025</v>
      </c>
      <c r="N498" t="s">
        <v>27</v>
      </c>
      <c r="O498">
        <v>70</v>
      </c>
      <c r="P498">
        <v>70</v>
      </c>
      <c r="R498" s="3" t="str">
        <f>HYPERLINK("https://panda.att.com.mx/ODKServer/view/binaryData?blobKey=FSSuministroFluidosv3%5B%40version%3Dnull+and+%40uiVersion%3Dnull%5D%2Fdata%5B%40key%3Duuid%3A1b25ad0a-72ab-4f7e-8df7-e3b5da4ef621%5D%2FgroupInfoFuel%5B%40ordinal%3D1%5D%2FpicFuelRecibeInterno","Descargar")</f>
        <v>Descargar</v>
      </c>
    </row>
    <row r="499" spans="1:18" x14ac:dyDescent="0.3">
      <c r="A499">
        <v>1603453</v>
      </c>
      <c r="B499" t="s">
        <v>18</v>
      </c>
      <c r="C499" t="s">
        <v>34</v>
      </c>
      <c r="D499" t="s">
        <v>187</v>
      </c>
      <c r="E499" t="s">
        <v>742</v>
      </c>
      <c r="F499" t="s">
        <v>22</v>
      </c>
      <c r="G499" t="s">
        <v>23</v>
      </c>
      <c r="H499" t="s">
        <v>24</v>
      </c>
      <c r="I499" t="s">
        <v>25</v>
      </c>
      <c r="J499" t="s">
        <v>743</v>
      </c>
      <c r="K499">
        <v>21</v>
      </c>
      <c r="L499">
        <v>8</v>
      </c>
      <c r="M499">
        <v>2025</v>
      </c>
      <c r="N499" t="s">
        <v>44</v>
      </c>
      <c r="O499">
        <v>40</v>
      </c>
      <c r="P499">
        <v>40</v>
      </c>
      <c r="R499" s="3" t="str">
        <f>HYPERLINK("https://panda.att.com.mx/ODKServer/view/binaryData?blobKey=FSSuministroFluidosv3%5B%40version%3Dnull+and+%40uiVersion%3Dnull%5D%2Fdata%5B%40key%3Duuid%3A0be39735-8c2a-4ecf-a9bc-cd290745fc1b%5D%2FgroupInfoFuel%5B%40ordinal%3D1%5D%2FpicFuelRecibeInterno","Descargar")</f>
        <v>Descargar</v>
      </c>
    </row>
    <row r="500" spans="1:18" x14ac:dyDescent="0.3">
      <c r="A500">
        <v>1603447</v>
      </c>
      <c r="B500" t="s">
        <v>18</v>
      </c>
      <c r="C500" t="s">
        <v>55</v>
      </c>
      <c r="D500" t="s">
        <v>56</v>
      </c>
      <c r="E500" t="s">
        <v>320</v>
      </c>
      <c r="F500" t="s">
        <v>22</v>
      </c>
      <c r="G500" t="s">
        <v>23</v>
      </c>
      <c r="H500" t="s">
        <v>58</v>
      </c>
      <c r="I500" t="s">
        <v>25</v>
      </c>
      <c r="J500" t="s">
        <v>744</v>
      </c>
      <c r="K500">
        <v>23</v>
      </c>
      <c r="L500">
        <v>8</v>
      </c>
      <c r="M500">
        <v>2025</v>
      </c>
      <c r="N500" t="s">
        <v>27</v>
      </c>
      <c r="O500">
        <v>300</v>
      </c>
      <c r="P500">
        <v>300</v>
      </c>
      <c r="R500" s="3" t="str">
        <f>HYPERLINK("https://panda.att.com.mx/ODKServer/view/binaryData?blobKey=FSSuministroFluidosv3%5B%40version%3Dnull+and+%40uiVersion%3Dnull%5D%2Fdata%5B%40key%3Duuid%3A697c73eb-3565-4513-9ca4-c678053f65ea%5D%2FgroupInfoFuel%5B%40ordinal%3D1%5D%2FpicFuelRecibeInterno","Descargar")</f>
        <v>Descargar</v>
      </c>
    </row>
    <row r="501" spans="1:18" x14ac:dyDescent="0.3">
      <c r="A501">
        <v>1603444</v>
      </c>
      <c r="B501" t="s">
        <v>18</v>
      </c>
      <c r="C501" t="s">
        <v>55</v>
      </c>
      <c r="D501" t="s">
        <v>56</v>
      </c>
      <c r="E501" t="s">
        <v>81</v>
      </c>
      <c r="F501" t="s">
        <v>22</v>
      </c>
      <c r="G501" t="s">
        <v>23</v>
      </c>
      <c r="H501" t="s">
        <v>58</v>
      </c>
      <c r="I501" t="s">
        <v>25</v>
      </c>
      <c r="J501" t="s">
        <v>745</v>
      </c>
      <c r="K501">
        <v>23</v>
      </c>
      <c r="L501">
        <v>8</v>
      </c>
      <c r="M501">
        <v>2025</v>
      </c>
      <c r="N501" t="s">
        <v>27</v>
      </c>
      <c r="O501">
        <v>150</v>
      </c>
      <c r="P501">
        <v>150</v>
      </c>
      <c r="R501" s="3" t="str">
        <f>HYPERLINK("https://panda.att.com.mx/ODKServer/view/binaryData?blobKey=FSSuministroFluidosv3%5B%40version%3Dnull+and+%40uiVersion%3Dnull%5D%2Fdata%5B%40key%3Duuid%3A6c8bbadd-5a71-4b47-ac43-3a204f45ed22%5D%2FgroupInfoFuel%5B%40ordinal%3D1%5D%2FpicFuelRecibeInterno","Descargar")</f>
        <v>Descargar</v>
      </c>
    </row>
    <row r="502" spans="1:18" x14ac:dyDescent="0.3">
      <c r="A502">
        <v>1602467</v>
      </c>
      <c r="B502" t="s">
        <v>18</v>
      </c>
      <c r="C502" t="s">
        <v>68</v>
      </c>
      <c r="D502" t="s">
        <v>69</v>
      </c>
      <c r="E502" t="s">
        <v>70</v>
      </c>
      <c r="F502" t="s">
        <v>22</v>
      </c>
      <c r="G502" t="s">
        <v>23</v>
      </c>
      <c r="H502" t="s">
        <v>37</v>
      </c>
      <c r="I502" t="s">
        <v>25</v>
      </c>
      <c r="J502" t="s">
        <v>746</v>
      </c>
      <c r="K502">
        <v>20</v>
      </c>
      <c r="L502">
        <v>8</v>
      </c>
      <c r="M502">
        <v>2025</v>
      </c>
      <c r="N502" t="s">
        <v>27</v>
      </c>
      <c r="O502">
        <v>80</v>
      </c>
      <c r="P502">
        <v>80</v>
      </c>
      <c r="R502" s="3" t="str">
        <f>HYPERLINK("https://panda.att.com.mx/ODKServer/view/binaryData?blobKey=FSSuministroFluidosv3%5B%40version%3Dnull+and+%40uiVersion%3Dnull%5D%2Fdata%5B%40key%3Duuid%3A2c1c1c72-eb00-48bc-9ff2-6d30703c5356%5D%2FgroupInfoFuel%5B%40ordinal%3D1%5D%2FpicFuelRecibeInterno","Descargar")</f>
        <v>Descargar</v>
      </c>
    </row>
    <row r="503" spans="1:18" x14ac:dyDescent="0.3">
      <c r="A503">
        <v>1602431</v>
      </c>
      <c r="B503" t="s">
        <v>18</v>
      </c>
      <c r="C503" t="s">
        <v>183</v>
      </c>
      <c r="D503" t="s">
        <v>747</v>
      </c>
      <c r="E503" t="s">
        <v>748</v>
      </c>
      <c r="F503" t="s">
        <v>22</v>
      </c>
      <c r="G503" t="s">
        <v>23</v>
      </c>
      <c r="H503" t="s">
        <v>37</v>
      </c>
      <c r="I503" t="s">
        <v>25</v>
      </c>
      <c r="J503" t="s">
        <v>749</v>
      </c>
      <c r="K503">
        <v>21</v>
      </c>
      <c r="L503">
        <v>8</v>
      </c>
      <c r="M503">
        <v>2025</v>
      </c>
      <c r="N503" t="s">
        <v>27</v>
      </c>
      <c r="O503">
        <v>450</v>
      </c>
      <c r="P503">
        <v>450</v>
      </c>
      <c r="R503" s="3" t="str">
        <f>HYPERLINK("https://panda.att.com.mx/ODKServer/view/binaryData?blobKey=FSSuministroFluidosv3%5B%40version%3Dnull+and+%40uiVersion%3Dnull%5D%2Fdata%5B%40key%3Duuid%3A834f94cc-2477-4c5f-9de4-e9f3b1fab112%5D%2FgroupInfoFuel%5B%40ordinal%3D1%5D%2FpicFuelRecibeInterno","Descargar")</f>
        <v>Descargar</v>
      </c>
    </row>
    <row r="504" spans="1:18" x14ac:dyDescent="0.3">
      <c r="A504">
        <v>1602414</v>
      </c>
      <c r="B504" t="s">
        <v>18</v>
      </c>
      <c r="C504" t="s">
        <v>100</v>
      </c>
      <c r="D504" t="s">
        <v>651</v>
      </c>
      <c r="E504" t="s">
        <v>750</v>
      </c>
      <c r="F504" t="s">
        <v>22</v>
      </c>
      <c r="G504" t="s">
        <v>83</v>
      </c>
      <c r="H504" t="s">
        <v>58</v>
      </c>
      <c r="I504" t="s">
        <v>25</v>
      </c>
      <c r="J504" t="s">
        <v>751</v>
      </c>
      <c r="K504">
        <v>21</v>
      </c>
      <c r="L504">
        <v>8</v>
      </c>
      <c r="M504">
        <v>2025</v>
      </c>
      <c r="N504" t="s">
        <v>27</v>
      </c>
      <c r="O504">
        <v>200</v>
      </c>
      <c r="P504">
        <v>200</v>
      </c>
      <c r="R504" s="3" t="str">
        <f>HYPERLINK("https://panda.att.com.mx/ODKServer/view/binaryData?blobKey=FSSuministroFluidosv3%5B%40version%3Dnull+and+%40uiVersion%3Dnull%5D%2Fdata%5B%40key%3Duuid%3Ae994663d-2e73-4674-bbf7-5388eddcaf8e%5D%2FgroupInfoFuel%5B%40ordinal%3D1%5D%2FpicFuelRecibeInterno","Descargar")</f>
        <v>Descargar</v>
      </c>
    </row>
    <row r="505" spans="1:18" x14ac:dyDescent="0.3">
      <c r="A505">
        <v>1602375</v>
      </c>
      <c r="B505" t="s">
        <v>18</v>
      </c>
      <c r="C505" t="s">
        <v>19</v>
      </c>
      <c r="D505" t="s">
        <v>45</v>
      </c>
      <c r="E505" t="s">
        <v>752</v>
      </c>
      <c r="F505" t="s">
        <v>22</v>
      </c>
      <c r="G505" t="s">
        <v>23</v>
      </c>
      <c r="H505" t="s">
        <v>24</v>
      </c>
      <c r="I505" t="s">
        <v>25</v>
      </c>
      <c r="J505" t="s">
        <v>753</v>
      </c>
      <c r="K505">
        <v>21</v>
      </c>
      <c r="L505">
        <v>8</v>
      </c>
      <c r="M505">
        <v>2025</v>
      </c>
      <c r="N505" t="s">
        <v>27</v>
      </c>
      <c r="O505">
        <v>400</v>
      </c>
      <c r="P505">
        <v>400</v>
      </c>
      <c r="R505" s="3" t="str">
        <f>HYPERLINK("https://panda.att.com.mx/ODKServer/view/binaryData?blobKey=FSSuministroFluidosv3%5B%40version%3Dnull+and+%40uiVersion%3Dnull%5D%2Fdata%5B%40key%3Duuid%3A4209e984-e9b1-4785-9e33-e608096b16a1%5D%2FgroupInfoFuel%5B%40ordinal%3D1%5D%2FpicFuelRecibeInterno","Descargar")</f>
        <v>Descargar</v>
      </c>
    </row>
    <row r="506" spans="1:18" x14ac:dyDescent="0.3">
      <c r="A506">
        <v>1602374</v>
      </c>
      <c r="B506" t="s">
        <v>18</v>
      </c>
      <c r="C506" t="s">
        <v>59</v>
      </c>
      <c r="D506" t="s">
        <v>60</v>
      </c>
      <c r="E506" t="s">
        <v>754</v>
      </c>
      <c r="F506" t="s">
        <v>22</v>
      </c>
      <c r="G506" t="s">
        <v>23</v>
      </c>
      <c r="H506" t="s">
        <v>37</v>
      </c>
      <c r="I506" t="s">
        <v>25</v>
      </c>
      <c r="J506" t="s">
        <v>755</v>
      </c>
      <c r="K506">
        <v>14</v>
      </c>
      <c r="L506">
        <v>8</v>
      </c>
      <c r="M506">
        <v>2025</v>
      </c>
      <c r="N506" t="s">
        <v>27</v>
      </c>
      <c r="O506">
        <v>440</v>
      </c>
      <c r="P506">
        <v>440</v>
      </c>
      <c r="R506" s="3" t="str">
        <f>HYPERLINK("https://panda.att.com.mx/ODKServer/view/binaryData?blobKey=FSSuministroFluidosv3%5B%40version%3Dnull+and+%40uiVersion%3Dnull%5D%2Fdata%5B%40key%3Duuid%3A6e65b9c3-5d21-43f7-9b88-e2b05d5a5b19%5D%2FgroupInfoFuel%5B%40ordinal%3D1%5D%2FpicFuelRecibeInterno","Descargar")</f>
        <v>Descargar</v>
      </c>
    </row>
    <row r="507" spans="1:18" x14ac:dyDescent="0.3">
      <c r="A507">
        <v>1602363</v>
      </c>
      <c r="B507" t="s">
        <v>18</v>
      </c>
      <c r="C507" t="s">
        <v>59</v>
      </c>
      <c r="D507" t="s">
        <v>487</v>
      </c>
      <c r="E507" t="s">
        <v>488</v>
      </c>
      <c r="F507" t="s">
        <v>22</v>
      </c>
      <c r="G507" t="s">
        <v>83</v>
      </c>
      <c r="H507" t="s">
        <v>37</v>
      </c>
      <c r="I507" t="s">
        <v>25</v>
      </c>
      <c r="J507" t="s">
        <v>756</v>
      </c>
      <c r="K507">
        <v>15</v>
      </c>
      <c r="L507">
        <v>8</v>
      </c>
      <c r="M507">
        <v>2025</v>
      </c>
      <c r="N507" t="s">
        <v>27</v>
      </c>
      <c r="O507">
        <v>600</v>
      </c>
      <c r="Q507">
        <v>600</v>
      </c>
      <c r="R507" s="3" t="str">
        <f>HYPERLINK("https://panda.att.com.mx/ODKServer/view/binaryData?blobKey=FSSuministroFluidosv3%5B%40version%3Dnull+and+%40uiVersion%3Dnull%5D%2Fdata%5B%40key%3Duuid%3A8a5d80e4-31a5-4400-8db0-a08a8b85cadb%5D%2FgroupInfoFuel%5B%40ordinal%3D1%5D%2FpicFuelRecibeInterno","Descargar")</f>
        <v>Descargar</v>
      </c>
    </row>
    <row r="508" spans="1:18" x14ac:dyDescent="0.3">
      <c r="A508">
        <v>1602362</v>
      </c>
      <c r="B508" t="s">
        <v>18</v>
      </c>
      <c r="C508" t="s">
        <v>100</v>
      </c>
      <c r="D508" t="s">
        <v>757</v>
      </c>
      <c r="E508" t="s">
        <v>758</v>
      </c>
      <c r="F508" t="s">
        <v>22</v>
      </c>
      <c r="G508" t="s">
        <v>23</v>
      </c>
      <c r="H508" t="s">
        <v>58</v>
      </c>
      <c r="I508" t="s">
        <v>25</v>
      </c>
      <c r="J508" t="s">
        <v>759</v>
      </c>
      <c r="K508">
        <v>21</v>
      </c>
      <c r="L508">
        <v>8</v>
      </c>
      <c r="M508">
        <v>2025</v>
      </c>
      <c r="N508" t="s">
        <v>44</v>
      </c>
      <c r="O508">
        <v>50</v>
      </c>
      <c r="P508">
        <v>50</v>
      </c>
      <c r="R508" s="3" t="str">
        <f>HYPERLINK("https://panda.att.com.mx/ODKServer/view/binaryData?blobKey=FSSuministroFluidosv3%5B%40version%3Dnull+and+%40uiVersion%3Dnull%5D%2Fdata%5B%40key%3Duuid%3Adb6a80ac-446a-4e6b-a9a0-ff52c4512f56%5D%2FgroupInfoFuel%5B%40ordinal%3D1%5D%2FpicFuelRecibeInterno","Descargar")</f>
        <v>Descargar</v>
      </c>
    </row>
    <row r="509" spans="1:18" x14ac:dyDescent="0.3">
      <c r="A509">
        <v>1602340</v>
      </c>
      <c r="B509" t="s">
        <v>18</v>
      </c>
      <c r="C509" t="s">
        <v>34</v>
      </c>
      <c r="D509" t="s">
        <v>53</v>
      </c>
      <c r="E509" t="s">
        <v>649</v>
      </c>
      <c r="F509" t="s">
        <v>22</v>
      </c>
      <c r="G509" t="s">
        <v>23</v>
      </c>
      <c r="H509" t="s">
        <v>37</v>
      </c>
      <c r="I509" t="s">
        <v>25</v>
      </c>
      <c r="J509" t="s">
        <v>760</v>
      </c>
      <c r="K509">
        <v>21</v>
      </c>
      <c r="L509">
        <v>8</v>
      </c>
      <c r="M509">
        <v>2025</v>
      </c>
      <c r="N509" t="s">
        <v>27</v>
      </c>
      <c r="O509">
        <v>180</v>
      </c>
      <c r="P509">
        <v>180</v>
      </c>
      <c r="R509" s="3" t="str">
        <f>HYPERLINK("https://panda.att.com.mx/ODKServer/view/binaryData?blobKey=FSSuministroFluidosv3%5B%40version%3Dnull+and+%40uiVersion%3Dnull%5D%2Fdata%5B%40key%3Duuid%3A957487b8-8224-4fa6-ba2e-a4e697c69479%5D%2FgroupInfoFuel%5B%40ordinal%3D1%5D%2FpicFuelRecibeInterno","Descargar")</f>
        <v>Descargar</v>
      </c>
    </row>
    <row r="510" spans="1:18" x14ac:dyDescent="0.3">
      <c r="A510">
        <v>1602325</v>
      </c>
      <c r="B510" t="s">
        <v>18</v>
      </c>
      <c r="C510" t="s">
        <v>19</v>
      </c>
      <c r="D510" t="s">
        <v>170</v>
      </c>
      <c r="E510" t="s">
        <v>609</v>
      </c>
      <c r="F510" t="s">
        <v>22</v>
      </c>
      <c r="G510" t="s">
        <v>23</v>
      </c>
      <c r="H510" t="s">
        <v>24</v>
      </c>
      <c r="I510" t="s">
        <v>25</v>
      </c>
      <c r="J510" t="s">
        <v>761</v>
      </c>
      <c r="K510">
        <v>21</v>
      </c>
      <c r="L510">
        <v>8</v>
      </c>
      <c r="M510">
        <v>2025</v>
      </c>
      <c r="N510" t="s">
        <v>27</v>
      </c>
      <c r="O510">
        <v>200</v>
      </c>
      <c r="P510">
        <v>200</v>
      </c>
      <c r="R510" s="3" t="str">
        <f>HYPERLINK("https://panda.att.com.mx/ODKServer/view/binaryData?blobKey=FSSuministroFluidosv3%5B%40version%3Dnull+and+%40uiVersion%3Dnull%5D%2Fdata%5B%40key%3Duuid%3Aa65ab5ce-3f9d-41b7-b6a2-d5d26ac39a94%5D%2FgroupInfoFuel%5B%40ordinal%3D1%5D%2FpicFuelRecibeInterno","Descargar")</f>
        <v>Descargar</v>
      </c>
    </row>
    <row r="511" spans="1:18" x14ac:dyDescent="0.3">
      <c r="A511">
        <v>1602301</v>
      </c>
      <c r="B511" t="s">
        <v>18</v>
      </c>
      <c r="C511" t="s">
        <v>68</v>
      </c>
      <c r="D511" t="s">
        <v>762</v>
      </c>
      <c r="E511" t="s">
        <v>763</v>
      </c>
      <c r="F511" t="s">
        <v>22</v>
      </c>
      <c r="G511" t="s">
        <v>23</v>
      </c>
      <c r="H511" t="s">
        <v>37</v>
      </c>
      <c r="I511" t="s">
        <v>25</v>
      </c>
      <c r="J511" t="s">
        <v>764</v>
      </c>
      <c r="K511">
        <v>21</v>
      </c>
      <c r="L511">
        <v>8</v>
      </c>
      <c r="M511">
        <v>2025</v>
      </c>
      <c r="N511" t="s">
        <v>27</v>
      </c>
      <c r="O511">
        <v>150</v>
      </c>
      <c r="P511">
        <v>150</v>
      </c>
      <c r="R511" s="3" t="str">
        <f>HYPERLINK("https://panda.att.com.mx/ODKServer/view/binaryData?blobKey=FSSuministroFluidosv3%5B%40version%3Dnull+and+%40uiVersion%3Dnull%5D%2Fdata%5B%40key%3Duuid%3A95def616-8528-4ddb-a49a-5b3508667da9%5D%2FgroupInfoFuel%5B%40ordinal%3D1%5D%2FpicFuelRecibeInterno","Descargar")</f>
        <v>Descargar</v>
      </c>
    </row>
    <row r="512" spans="1:18" x14ac:dyDescent="0.3">
      <c r="A512">
        <v>1602236</v>
      </c>
      <c r="B512" t="s">
        <v>18</v>
      </c>
      <c r="C512" t="s">
        <v>167</v>
      </c>
      <c r="D512" t="s">
        <v>509</v>
      </c>
      <c r="E512" t="s">
        <v>510</v>
      </c>
      <c r="F512" t="s">
        <v>22</v>
      </c>
      <c r="G512" t="s">
        <v>23</v>
      </c>
      <c r="H512" t="s">
        <v>58</v>
      </c>
      <c r="I512" t="s">
        <v>25</v>
      </c>
      <c r="J512" t="s">
        <v>765</v>
      </c>
      <c r="K512">
        <v>18</v>
      </c>
      <c r="L512">
        <v>8</v>
      </c>
      <c r="M512">
        <v>2025</v>
      </c>
      <c r="N512" t="s">
        <v>27</v>
      </c>
      <c r="O512">
        <v>100</v>
      </c>
      <c r="P512">
        <v>100</v>
      </c>
      <c r="R512" s="3" t="str">
        <f>HYPERLINK("https://panda.att.com.mx/ODKServer/view/binaryData?blobKey=FSSuministroFluidosv3%5B%40version%3Dnull+and+%40uiVersion%3Dnull%5D%2Fdata%5B%40key%3Duuid%3A989e4f13-22ed-41e5-871a-e9e051981531%5D%2FgroupInfoFuel%5B%40ordinal%3D1%5D%2FpicFuelRecibeInterno","Descargar")</f>
        <v>Descargar</v>
      </c>
    </row>
    <row r="513" spans="1:18" x14ac:dyDescent="0.3">
      <c r="A513">
        <v>1602209</v>
      </c>
      <c r="B513" t="s">
        <v>18</v>
      </c>
      <c r="C513" t="s">
        <v>68</v>
      </c>
      <c r="D513" t="s">
        <v>461</v>
      </c>
      <c r="E513" t="s">
        <v>766</v>
      </c>
      <c r="F513" t="s">
        <v>22</v>
      </c>
      <c r="G513" t="s">
        <v>23</v>
      </c>
      <c r="H513" t="s">
        <v>37</v>
      </c>
      <c r="I513" t="s">
        <v>25</v>
      </c>
      <c r="J513" t="s">
        <v>767</v>
      </c>
      <c r="K513">
        <v>21</v>
      </c>
      <c r="L513">
        <v>8</v>
      </c>
      <c r="M513">
        <v>2025</v>
      </c>
      <c r="N513" t="s">
        <v>27</v>
      </c>
      <c r="O513">
        <v>150</v>
      </c>
      <c r="P513">
        <v>150</v>
      </c>
      <c r="R513" s="3" t="str">
        <f>HYPERLINK("https://panda.att.com.mx/ODKServer/view/binaryData?blobKey=FSSuministroFluidosv3%5B%40version%3Dnull+and+%40uiVersion%3Dnull%5D%2Fdata%5B%40key%3Duuid%3A6a1175e9-74ed-4a78-9bdd-52859e6d5741%5D%2FgroupInfoFuel%5B%40ordinal%3D1%5D%2FpicFuelRecibeInterno","Descargar")</f>
        <v>Descargar</v>
      </c>
    </row>
    <row r="514" spans="1:18" x14ac:dyDescent="0.3">
      <c r="A514">
        <v>1602100</v>
      </c>
      <c r="B514" t="s">
        <v>18</v>
      </c>
      <c r="C514" t="s">
        <v>167</v>
      </c>
      <c r="D514" t="s">
        <v>768</v>
      </c>
      <c r="E514" t="s">
        <v>769</v>
      </c>
      <c r="F514" t="s">
        <v>22</v>
      </c>
      <c r="G514" t="s">
        <v>23</v>
      </c>
      <c r="H514" t="s">
        <v>58</v>
      </c>
      <c r="I514" t="s">
        <v>25</v>
      </c>
      <c r="J514" t="s">
        <v>770</v>
      </c>
      <c r="K514">
        <v>21</v>
      </c>
      <c r="L514">
        <v>8</v>
      </c>
      <c r="M514">
        <v>2025</v>
      </c>
      <c r="N514" t="s">
        <v>27</v>
      </c>
      <c r="O514">
        <v>198.2</v>
      </c>
      <c r="P514">
        <v>198.2</v>
      </c>
      <c r="R514" s="3" t="str">
        <f>HYPERLINK("https://panda.att.com.mx/ODKServer/view/binaryData?blobKey=FSSuministroFluidosv3%5B%40version%3Dnull+and+%40uiVersion%3Dnull%5D%2Fdata%5B%40key%3Duuid%3A40ddfea0-69e4-4eae-ad54-92c1edd80b85%5D%2FgroupInfoFuel%5B%40ordinal%3D1%5D%2FpicFuelRecibeInterno","Descargar")</f>
        <v>Descargar</v>
      </c>
    </row>
    <row r="515" spans="1:18" x14ac:dyDescent="0.3">
      <c r="A515">
        <v>1602062</v>
      </c>
      <c r="B515" t="s">
        <v>18</v>
      </c>
      <c r="C515" t="s">
        <v>19</v>
      </c>
      <c r="D515" t="s">
        <v>45</v>
      </c>
      <c r="E515" t="s">
        <v>130</v>
      </c>
      <c r="F515" t="s">
        <v>22</v>
      </c>
      <c r="G515" t="s">
        <v>23</v>
      </c>
      <c r="H515" t="s">
        <v>24</v>
      </c>
      <c r="I515" t="s">
        <v>25</v>
      </c>
      <c r="J515" t="s">
        <v>771</v>
      </c>
      <c r="K515">
        <v>21</v>
      </c>
      <c r="L515">
        <v>8</v>
      </c>
      <c r="M515">
        <v>2025</v>
      </c>
      <c r="N515" t="s">
        <v>27</v>
      </c>
      <c r="O515">
        <v>300</v>
      </c>
      <c r="P515">
        <v>300</v>
      </c>
      <c r="R515" s="3" t="str">
        <f>HYPERLINK("https://panda.att.com.mx/ODKServer/view/binaryData?blobKey=FSSuministroFluidosv3%5B%40version%3Dnull+and+%40uiVersion%3Dnull%5D%2Fdata%5B%40key%3Duuid%3Ab4de92a7-3796-4782-a221-417707436d3d%5D%2FgroupInfoFuel%5B%40ordinal%3D1%5D%2FpicFuelRecibeInterno","Descargar")</f>
        <v>Descargar</v>
      </c>
    </row>
    <row r="516" spans="1:18" x14ac:dyDescent="0.3">
      <c r="A516">
        <v>1601976</v>
      </c>
      <c r="B516" t="s">
        <v>18</v>
      </c>
      <c r="C516" t="s">
        <v>59</v>
      </c>
      <c r="D516" t="s">
        <v>772</v>
      </c>
      <c r="E516" t="s">
        <v>773</v>
      </c>
      <c r="F516" t="s">
        <v>22</v>
      </c>
      <c r="G516" t="s">
        <v>23</v>
      </c>
      <c r="H516" t="s">
        <v>37</v>
      </c>
      <c r="I516" t="s">
        <v>25</v>
      </c>
      <c r="J516" t="s">
        <v>774</v>
      </c>
      <c r="K516">
        <v>14</v>
      </c>
      <c r="L516">
        <v>8</v>
      </c>
      <c r="M516">
        <v>2025</v>
      </c>
      <c r="N516" t="s">
        <v>27</v>
      </c>
      <c r="O516">
        <v>115</v>
      </c>
      <c r="Q516">
        <v>115</v>
      </c>
      <c r="R516" s="3" t="str">
        <f>HYPERLINK("https://panda.att.com.mx/ODKServer/view/binaryData?blobKey=FSSuministroFluidosv3%5B%40version%3Dnull+and+%40uiVersion%3Dnull%5D%2Fdata%5B%40key%3Duuid%3Ae86cb7dc-9dc8-431e-b094-8d4273c361b9%5D%2FgroupInfoFuel%5B%40ordinal%3D1%5D%2FpicFuelRecibeInterno","Descargar")</f>
        <v>Descargar</v>
      </c>
    </row>
    <row r="517" spans="1:18" x14ac:dyDescent="0.3">
      <c r="A517">
        <v>1601964</v>
      </c>
      <c r="B517" t="s">
        <v>18</v>
      </c>
      <c r="C517" t="s">
        <v>68</v>
      </c>
      <c r="D517" t="s">
        <v>461</v>
      </c>
      <c r="E517" t="s">
        <v>775</v>
      </c>
      <c r="F517" t="s">
        <v>22</v>
      </c>
      <c r="G517" t="s">
        <v>23</v>
      </c>
      <c r="H517" t="s">
        <v>37</v>
      </c>
      <c r="I517" t="s">
        <v>25</v>
      </c>
      <c r="J517" t="s">
        <v>776</v>
      </c>
      <c r="K517">
        <v>21</v>
      </c>
      <c r="L517">
        <v>8</v>
      </c>
      <c r="M517">
        <v>2025</v>
      </c>
      <c r="N517" t="s">
        <v>27</v>
      </c>
      <c r="O517">
        <v>150</v>
      </c>
      <c r="P517">
        <v>150</v>
      </c>
      <c r="R517" s="3" t="str">
        <f>HYPERLINK("https://panda.att.com.mx/ODKServer/view/binaryData?blobKey=FSSuministroFluidosv3%5B%40version%3Dnull+and+%40uiVersion%3Dnull%5D%2Fdata%5B%40key%3Duuid%3Afa11f1ec-1f36-4df9-8f37-84950d6417a5%5D%2FgroupInfoFuel%5B%40ordinal%3D1%5D%2FpicFuelRecibeInterno","Descargar")</f>
        <v>Descargar</v>
      </c>
    </row>
    <row r="518" spans="1:18" x14ac:dyDescent="0.3">
      <c r="A518">
        <v>1601899</v>
      </c>
      <c r="B518" t="s">
        <v>18</v>
      </c>
      <c r="C518" t="s">
        <v>68</v>
      </c>
      <c r="D518" t="s">
        <v>777</v>
      </c>
      <c r="E518" t="s">
        <v>778</v>
      </c>
      <c r="F518" t="s">
        <v>22</v>
      </c>
      <c r="G518" t="s">
        <v>23</v>
      </c>
      <c r="H518" t="s">
        <v>37</v>
      </c>
      <c r="I518" t="s">
        <v>25</v>
      </c>
      <c r="J518" t="s">
        <v>779</v>
      </c>
      <c r="K518">
        <v>21</v>
      </c>
      <c r="L518">
        <v>8</v>
      </c>
      <c r="M518">
        <v>2025</v>
      </c>
      <c r="N518" t="s">
        <v>27</v>
      </c>
      <c r="O518">
        <v>100</v>
      </c>
      <c r="P518">
        <v>100</v>
      </c>
      <c r="R518" s="3" t="str">
        <f>HYPERLINK("https://panda.att.com.mx/ODKServer/view/binaryData?blobKey=FSSuministroFluidosv3%5B%40version%3Dnull+and+%40uiVersion%3Dnull%5D%2Fdata%5B%40key%3Duuid%3A6271a126-7d97-493b-8530-06b80c3de1a1%5D%2FgroupInfoFuel%5B%40ordinal%3D1%5D%2FpicFuelRecibeInterno","Descargar")</f>
        <v>Descargar</v>
      </c>
    </row>
    <row r="519" spans="1:18" x14ac:dyDescent="0.3">
      <c r="A519">
        <v>1601898</v>
      </c>
      <c r="B519" t="s">
        <v>18</v>
      </c>
      <c r="C519" t="s">
        <v>55</v>
      </c>
      <c r="D519" t="s">
        <v>210</v>
      </c>
      <c r="E519" t="s">
        <v>780</v>
      </c>
      <c r="F519" t="s">
        <v>22</v>
      </c>
      <c r="G519" t="s">
        <v>23</v>
      </c>
      <c r="H519" t="s">
        <v>58</v>
      </c>
      <c r="I519" t="s">
        <v>25</v>
      </c>
      <c r="J519" t="s">
        <v>781</v>
      </c>
      <c r="K519">
        <v>20</v>
      </c>
      <c r="L519">
        <v>8</v>
      </c>
      <c r="M519">
        <v>2025</v>
      </c>
      <c r="N519" t="s">
        <v>27</v>
      </c>
      <c r="O519">
        <v>250</v>
      </c>
      <c r="P519">
        <v>250</v>
      </c>
      <c r="R519" s="3" t="str">
        <f>HYPERLINK("https://panda.att.com.mx/ODKServer/view/binaryData?blobKey=FSSuministroFluidosv3%5B%40version%3Dnull+and+%40uiVersion%3Dnull%5D%2Fdata%5B%40key%3Duuid%3A8d86afe9-1a7c-4dcc-a933-ee1671383e51%5D%2FgroupInfoFuel%5B%40ordinal%3D1%5D%2FpicFuelRecibeInterno","Descargar")</f>
        <v>Descargar</v>
      </c>
    </row>
    <row r="520" spans="1:18" x14ac:dyDescent="0.3">
      <c r="A520">
        <v>1601887</v>
      </c>
      <c r="B520" t="s">
        <v>18</v>
      </c>
      <c r="C520" t="s">
        <v>19</v>
      </c>
      <c r="D520" t="s">
        <v>45</v>
      </c>
      <c r="E520" t="s">
        <v>186</v>
      </c>
      <c r="F520" t="s">
        <v>22</v>
      </c>
      <c r="G520" t="s">
        <v>23</v>
      </c>
      <c r="H520" t="s">
        <v>24</v>
      </c>
      <c r="I520" t="s">
        <v>25</v>
      </c>
      <c r="J520" t="s">
        <v>782</v>
      </c>
      <c r="K520">
        <v>21</v>
      </c>
      <c r="L520">
        <v>8</v>
      </c>
      <c r="M520">
        <v>2025</v>
      </c>
      <c r="N520" t="s">
        <v>27</v>
      </c>
      <c r="O520">
        <v>300</v>
      </c>
      <c r="P520">
        <v>300</v>
      </c>
      <c r="R520" s="3" t="str">
        <f>HYPERLINK("https://panda.att.com.mx/ODKServer/view/binaryData?blobKey=FSSuministroFluidosv3%5B%40version%3Dnull+and+%40uiVersion%3Dnull%5D%2Fdata%5B%40key%3Duuid%3A83af2867-be44-472f-b007-e43fdd08cc4d%5D%2FgroupInfoFuel%5B%40ordinal%3D1%5D%2FpicFuelRecibeInterno","Descargar")</f>
        <v>Descargar</v>
      </c>
    </row>
    <row r="521" spans="1:18" x14ac:dyDescent="0.3">
      <c r="A521">
        <v>1601747</v>
      </c>
      <c r="B521" t="s">
        <v>18</v>
      </c>
      <c r="C521" t="s">
        <v>28</v>
      </c>
      <c r="D521" t="s">
        <v>261</v>
      </c>
      <c r="E521" t="s">
        <v>783</v>
      </c>
      <c r="G521" t="s">
        <v>23</v>
      </c>
      <c r="H521" t="s">
        <v>37</v>
      </c>
      <c r="I521" t="s">
        <v>25</v>
      </c>
      <c r="J521" t="s">
        <v>784</v>
      </c>
      <c r="K521">
        <v>19</v>
      </c>
      <c r="L521">
        <v>8</v>
      </c>
      <c r="M521">
        <v>2025</v>
      </c>
      <c r="N521" t="s">
        <v>44</v>
      </c>
      <c r="O521">
        <v>60</v>
      </c>
      <c r="P521">
        <v>60</v>
      </c>
      <c r="R521" s="3" t="str">
        <f>HYPERLINK("https://panda.att.com.mx/ODKServer/view/binaryData?blobKey=FSSuministroFluidosv3%5B%40version%3Dnull+and+%40uiVersion%3Dnull%5D%2Fdata%5B%40key%3Duuid%3Aa6028934-bedb-437f-85ea-1097652eb8e6%5D%2FgroupInfoFuel%5B%40ordinal%3D1%5D%2FpicFuelRecibeInterno","Descargar")</f>
        <v>Descargar</v>
      </c>
    </row>
    <row r="522" spans="1:18" x14ac:dyDescent="0.3">
      <c r="A522">
        <v>1601734</v>
      </c>
      <c r="B522" t="s">
        <v>18</v>
      </c>
      <c r="C522" t="s">
        <v>59</v>
      </c>
      <c r="D522" t="s">
        <v>60</v>
      </c>
      <c r="E522" t="s">
        <v>785</v>
      </c>
      <c r="F522" t="s">
        <v>22</v>
      </c>
      <c r="G522" t="s">
        <v>23</v>
      </c>
      <c r="H522" t="s">
        <v>37</v>
      </c>
      <c r="I522" t="s">
        <v>25</v>
      </c>
      <c r="J522" t="s">
        <v>786</v>
      </c>
      <c r="K522">
        <v>13</v>
      </c>
      <c r="L522">
        <v>8</v>
      </c>
      <c r="M522">
        <v>2025</v>
      </c>
      <c r="N522" t="s">
        <v>27</v>
      </c>
      <c r="O522">
        <v>300</v>
      </c>
      <c r="P522">
        <v>300</v>
      </c>
      <c r="R522" s="3" t="str">
        <f>HYPERLINK("https://panda.att.com.mx/ODKServer/view/binaryData?blobKey=FSSuministroFluidosv3%5B%40version%3Dnull+and+%40uiVersion%3Dnull%5D%2Fdata%5B%40key%3Duuid%3Abd3b2451-3c87-4095-bb18-5fa2e6091e97%5D%2FgroupInfoFuel%5B%40ordinal%3D1%5D%2FpicFuelRecibeInterno","Descargar")</f>
        <v>Descargar</v>
      </c>
    </row>
    <row r="523" spans="1:18" x14ac:dyDescent="0.3">
      <c r="A523">
        <v>1601601</v>
      </c>
      <c r="B523" t="s">
        <v>18</v>
      </c>
      <c r="C523" t="s">
        <v>55</v>
      </c>
      <c r="D523" t="s">
        <v>56</v>
      </c>
      <c r="E523" t="s">
        <v>624</v>
      </c>
      <c r="F523" t="s">
        <v>22</v>
      </c>
      <c r="G523" t="s">
        <v>23</v>
      </c>
      <c r="H523" t="s">
        <v>58</v>
      </c>
      <c r="I523" t="s">
        <v>25</v>
      </c>
      <c r="J523" t="s">
        <v>787</v>
      </c>
      <c r="K523">
        <v>15</v>
      </c>
      <c r="L523">
        <v>8</v>
      </c>
      <c r="M523">
        <v>2025</v>
      </c>
      <c r="N523" t="s">
        <v>27</v>
      </c>
      <c r="O523">
        <v>100</v>
      </c>
      <c r="P523">
        <v>100</v>
      </c>
      <c r="R523" s="3" t="str">
        <f>HYPERLINK("https://panda.att.com.mx/ODKServer/view/binaryData?blobKey=FSSuministroFluidosv3%5B%40version%3Dnull+and+%40uiVersion%3Dnull%5D%2Fdata%5B%40key%3Duuid%3A3aa48f27-f940-4cbe-9400-0e02564bfcd1%5D%2FgroupInfoFuel%5B%40ordinal%3D1%5D%2FpicFuelRecibeInterno","Descargar")</f>
        <v>Descargar</v>
      </c>
    </row>
    <row r="524" spans="1:18" x14ac:dyDescent="0.3">
      <c r="A524">
        <v>1601587</v>
      </c>
      <c r="B524" t="s">
        <v>18</v>
      </c>
      <c r="C524" t="s">
        <v>19</v>
      </c>
      <c r="D524" t="s">
        <v>347</v>
      </c>
      <c r="E524" t="s">
        <v>364</v>
      </c>
      <c r="F524" t="s">
        <v>22</v>
      </c>
      <c r="G524" t="s">
        <v>83</v>
      </c>
      <c r="H524" t="s">
        <v>24</v>
      </c>
      <c r="I524" t="s">
        <v>25</v>
      </c>
      <c r="J524" t="s">
        <v>788</v>
      </c>
      <c r="K524">
        <v>18</v>
      </c>
      <c r="L524">
        <v>8</v>
      </c>
      <c r="M524">
        <v>2025</v>
      </c>
      <c r="N524" t="s">
        <v>27</v>
      </c>
      <c r="O524">
        <v>300</v>
      </c>
      <c r="P524">
        <v>300</v>
      </c>
      <c r="R524" s="3" t="str">
        <f>HYPERLINK("https://panda.att.com.mx/ODKServer/view/binaryData?blobKey=FSSuministroFluidosv3%5B%40version%3Dnull+and+%40uiVersion%3Dnull%5D%2Fdata%5B%40key%3Duuid%3Aadb32a6a-ebfd-4eb7-b315-936d7ced655c%5D%2FgroupInfoFuel%5B%40ordinal%3D1%5D%2FpicFuelRecibeInterno","Descargar")</f>
        <v>Descargar</v>
      </c>
    </row>
    <row r="525" spans="1:18" x14ac:dyDescent="0.3">
      <c r="A525">
        <v>1601586</v>
      </c>
      <c r="B525" t="s">
        <v>18</v>
      </c>
      <c r="C525" t="s">
        <v>19</v>
      </c>
      <c r="D525" t="s">
        <v>347</v>
      </c>
      <c r="E525" t="s">
        <v>364</v>
      </c>
      <c r="F525" t="s">
        <v>22</v>
      </c>
      <c r="G525" t="s">
        <v>83</v>
      </c>
      <c r="H525" t="s">
        <v>24</v>
      </c>
      <c r="I525" t="s">
        <v>25</v>
      </c>
      <c r="J525" t="s">
        <v>789</v>
      </c>
      <c r="K525">
        <v>15</v>
      </c>
      <c r="L525">
        <v>8</v>
      </c>
      <c r="M525">
        <v>2025</v>
      </c>
      <c r="N525" t="s">
        <v>27</v>
      </c>
      <c r="O525">
        <v>300</v>
      </c>
      <c r="P525">
        <v>300</v>
      </c>
      <c r="R525" s="3" t="str">
        <f>HYPERLINK("https://panda.att.com.mx/ODKServer/view/binaryData?blobKey=FSSuministroFluidosv3%5B%40version%3Dnull+and+%40uiVersion%3Dnull%5D%2Fdata%5B%40key%3Duuid%3Ad8fa2a3e-dab8-4357-ac73-87cef568b31a%5D%2FgroupInfoFuel%5B%40ordinal%3D1%5D%2FpicFuelRecibeInterno","Descargar")</f>
        <v>Descargar</v>
      </c>
    </row>
    <row r="526" spans="1:18" x14ac:dyDescent="0.3">
      <c r="A526">
        <v>1601532</v>
      </c>
      <c r="B526" t="s">
        <v>18</v>
      </c>
      <c r="C526" t="s">
        <v>34</v>
      </c>
      <c r="D526" t="s">
        <v>121</v>
      </c>
      <c r="E526" t="s">
        <v>790</v>
      </c>
      <c r="F526" t="s">
        <v>22</v>
      </c>
      <c r="G526" t="s">
        <v>23</v>
      </c>
      <c r="H526" t="s">
        <v>37</v>
      </c>
      <c r="I526" t="s">
        <v>25</v>
      </c>
      <c r="J526" t="s">
        <v>791</v>
      </c>
      <c r="K526">
        <v>20</v>
      </c>
      <c r="L526">
        <v>8</v>
      </c>
      <c r="M526">
        <v>2025</v>
      </c>
      <c r="N526" t="s">
        <v>27</v>
      </c>
      <c r="O526">
        <v>350</v>
      </c>
      <c r="P526">
        <v>350</v>
      </c>
      <c r="R526" s="3" t="str">
        <f>HYPERLINK("https://panda.att.com.mx/ODKServer/view/binaryData?blobKey=FSSuministroFluidosv3%5B%40version%3Dnull+and+%40uiVersion%3Dnull%5D%2Fdata%5B%40key%3Duuid%3A88e897fd-0a55-4724-8218-d4c5eaefd9ff%5D%2FgroupInfoFuel%5B%40ordinal%3D1%5D%2FpicFuelRecibeInterno","Descargar")</f>
        <v>Descargar</v>
      </c>
    </row>
    <row r="527" spans="1:18" x14ac:dyDescent="0.3">
      <c r="A527">
        <v>1601525</v>
      </c>
      <c r="B527" t="s">
        <v>18</v>
      </c>
      <c r="C527" t="s">
        <v>19</v>
      </c>
      <c r="D527" t="s">
        <v>45</v>
      </c>
      <c r="E527" t="s">
        <v>752</v>
      </c>
      <c r="F527" t="s">
        <v>22</v>
      </c>
      <c r="G527" t="s">
        <v>23</v>
      </c>
      <c r="H527" t="s">
        <v>24</v>
      </c>
      <c r="I527" t="s">
        <v>25</v>
      </c>
      <c r="J527" t="s">
        <v>792</v>
      </c>
      <c r="K527">
        <v>16</v>
      </c>
      <c r="L527">
        <v>8</v>
      </c>
      <c r="M527">
        <v>2025</v>
      </c>
      <c r="N527" t="s">
        <v>27</v>
      </c>
      <c r="O527">
        <v>400</v>
      </c>
      <c r="P527">
        <v>400</v>
      </c>
      <c r="R527" s="3" t="str">
        <f>HYPERLINK("https://panda.att.com.mx/ODKServer/view/binaryData?blobKey=FSSuministroFluidosv3%5B%40version%3Dnull+and+%40uiVersion%3Dnull%5D%2Fdata%5B%40key%3Duuid%3Afd1bd014-e16e-4acb-af6c-ef9b5f631c29%5D%2FgroupInfoFuel%5B%40ordinal%3D1%5D%2FpicFuelRecibeInterno","Descargar")</f>
        <v>Descargar</v>
      </c>
    </row>
    <row r="528" spans="1:18" x14ac:dyDescent="0.3">
      <c r="A528">
        <v>1601524</v>
      </c>
      <c r="B528" t="s">
        <v>18</v>
      </c>
      <c r="C528" t="s">
        <v>19</v>
      </c>
      <c r="D528" t="s">
        <v>45</v>
      </c>
      <c r="E528" t="s">
        <v>752</v>
      </c>
      <c r="F528" t="s">
        <v>22</v>
      </c>
      <c r="G528" t="s">
        <v>23</v>
      </c>
      <c r="H528" t="s">
        <v>24</v>
      </c>
      <c r="I528" t="s">
        <v>25</v>
      </c>
      <c r="J528" t="s">
        <v>793</v>
      </c>
      <c r="K528">
        <v>11</v>
      </c>
      <c r="L528">
        <v>8</v>
      </c>
      <c r="M528">
        <v>2025</v>
      </c>
      <c r="N528" t="s">
        <v>27</v>
      </c>
      <c r="O528">
        <v>400</v>
      </c>
      <c r="P528">
        <v>400</v>
      </c>
      <c r="R528" s="3" t="str">
        <f>HYPERLINK("https://panda.att.com.mx/ODKServer/view/binaryData?blobKey=FSSuministroFluidosv3%5B%40version%3Dnull+and+%40uiVersion%3Dnull%5D%2Fdata%5B%40key%3Duuid%3A64767533-6a0d-4807-8e0c-a01047744f66%5D%2FgroupInfoFuel%5B%40ordinal%3D1%5D%2FpicFuelRecibeInterno","Descargar")</f>
        <v>Descargar</v>
      </c>
    </row>
    <row r="529" spans="1:18" x14ac:dyDescent="0.3">
      <c r="A529">
        <v>1601521</v>
      </c>
      <c r="B529" t="s">
        <v>18</v>
      </c>
      <c r="C529" t="s">
        <v>19</v>
      </c>
      <c r="D529" t="s">
        <v>45</v>
      </c>
      <c r="E529" t="s">
        <v>752</v>
      </c>
      <c r="F529" t="s">
        <v>22</v>
      </c>
      <c r="G529" t="s">
        <v>23</v>
      </c>
      <c r="H529" t="s">
        <v>24</v>
      </c>
      <c r="I529" t="s">
        <v>25</v>
      </c>
      <c r="J529" t="s">
        <v>794</v>
      </c>
      <c r="K529">
        <v>11</v>
      </c>
      <c r="L529">
        <v>8</v>
      </c>
      <c r="M529">
        <v>2025</v>
      </c>
      <c r="N529" t="s">
        <v>27</v>
      </c>
      <c r="O529">
        <v>300</v>
      </c>
      <c r="P529">
        <v>300</v>
      </c>
      <c r="R529" s="3" t="str">
        <f>HYPERLINK("https://panda.att.com.mx/ODKServer/view/binaryData?blobKey=FSSuministroFluidosv3%5B%40version%3Dnull+and+%40uiVersion%3Dnull%5D%2Fdata%5B%40key%3Duuid%3A42c3d3d0-e215-42d8-9a82-1952a066d515%5D%2FgroupInfoFuel%5B%40ordinal%3D1%5D%2FpicFuelRecibeInterno","Descargar")</f>
        <v>Descargar</v>
      </c>
    </row>
    <row r="530" spans="1:18" x14ac:dyDescent="0.3">
      <c r="A530">
        <v>1601520</v>
      </c>
      <c r="B530" t="s">
        <v>18</v>
      </c>
      <c r="C530" t="s">
        <v>19</v>
      </c>
      <c r="D530" t="s">
        <v>45</v>
      </c>
      <c r="E530" t="s">
        <v>795</v>
      </c>
      <c r="F530" t="s">
        <v>22</v>
      </c>
      <c r="G530" t="s">
        <v>23</v>
      </c>
      <c r="H530" t="s">
        <v>24</v>
      </c>
      <c r="I530" t="s">
        <v>25</v>
      </c>
      <c r="J530" t="s">
        <v>796</v>
      </c>
      <c r="K530">
        <v>6</v>
      </c>
      <c r="L530">
        <v>8</v>
      </c>
      <c r="M530">
        <v>2025</v>
      </c>
      <c r="N530" t="s">
        <v>27</v>
      </c>
      <c r="O530">
        <v>50</v>
      </c>
      <c r="P530">
        <v>50</v>
      </c>
      <c r="R530" s="3" t="str">
        <f>HYPERLINK("https://panda.att.com.mx/ODKServer/view/binaryData?blobKey=FSSuministroFluidosv3%5B%40version%3Dnull+and+%40uiVersion%3Dnull%5D%2Fdata%5B%40key%3Duuid%3Abfd34e82-dfdd-4fd7-8855-7e220bac8fb7%5D%2FgroupInfoFuel%5B%40ordinal%3D1%5D%2FpicFuelRecibeInterno","Descargar")</f>
        <v>Descargar</v>
      </c>
    </row>
    <row r="531" spans="1:18" x14ac:dyDescent="0.3">
      <c r="A531">
        <v>1601519</v>
      </c>
      <c r="B531" t="s">
        <v>18</v>
      </c>
      <c r="C531" t="s">
        <v>19</v>
      </c>
      <c r="D531" t="s">
        <v>45</v>
      </c>
      <c r="E531" t="s">
        <v>383</v>
      </c>
      <c r="F531" t="s">
        <v>22</v>
      </c>
      <c r="G531" t="s">
        <v>23</v>
      </c>
      <c r="H531" t="s">
        <v>24</v>
      </c>
      <c r="I531" t="s">
        <v>25</v>
      </c>
      <c r="J531" t="s">
        <v>797</v>
      </c>
      <c r="K531">
        <v>8</v>
      </c>
      <c r="L531">
        <v>8</v>
      </c>
      <c r="M531">
        <v>2025</v>
      </c>
      <c r="N531" t="s">
        <v>27</v>
      </c>
      <c r="O531">
        <v>300</v>
      </c>
      <c r="P531">
        <v>300</v>
      </c>
      <c r="R531" s="3" t="str">
        <f>HYPERLINK("https://panda.att.com.mx/ODKServer/view/binaryData?blobKey=FSSuministroFluidosv3%5B%40version%3Dnull+and+%40uiVersion%3Dnull%5D%2Fdata%5B%40key%3Duuid%3Af2d26623-a06a-4b6c-baa1-ccd8088d158e%5D%2FgroupInfoFuel%5B%40ordinal%3D1%5D%2FpicFuelRecibeInterno","Descargar")</f>
        <v>Descargar</v>
      </c>
    </row>
    <row r="532" spans="1:18" x14ac:dyDescent="0.3">
      <c r="A532">
        <v>1601450</v>
      </c>
      <c r="B532" t="s">
        <v>18</v>
      </c>
      <c r="C532" t="s">
        <v>55</v>
      </c>
      <c r="D532" t="s">
        <v>64</v>
      </c>
      <c r="E532" t="s">
        <v>798</v>
      </c>
      <c r="F532" t="s">
        <v>22</v>
      </c>
      <c r="G532" t="s">
        <v>23</v>
      </c>
      <c r="H532" t="s">
        <v>58</v>
      </c>
      <c r="I532" t="s">
        <v>25</v>
      </c>
      <c r="J532" t="s">
        <v>799</v>
      </c>
      <c r="K532">
        <v>20</v>
      </c>
      <c r="L532">
        <v>8</v>
      </c>
      <c r="M532">
        <v>2025</v>
      </c>
      <c r="N532" t="s">
        <v>27</v>
      </c>
      <c r="O532">
        <v>300</v>
      </c>
      <c r="P532">
        <v>300</v>
      </c>
      <c r="R532" s="3" t="str">
        <f>HYPERLINK("https://panda.att.com.mx/ODKServer/view/binaryData?blobKey=FSSuministroFluidosv3%5B%40version%3Dnull+and+%40uiVersion%3Dnull%5D%2Fdata%5B%40key%3Duuid%3Ad8b7f579-64a2-4623-939c-c6835a36b294%5D%2FgroupInfoFuel%5B%40ordinal%3D1%5D%2FpicFuelRecibeInterno","Descargar")</f>
        <v>Descargar</v>
      </c>
    </row>
    <row r="533" spans="1:18" x14ac:dyDescent="0.3">
      <c r="A533">
        <v>1601320</v>
      </c>
      <c r="B533" t="s">
        <v>18</v>
      </c>
      <c r="C533" t="s">
        <v>167</v>
      </c>
      <c r="D533" t="s">
        <v>168</v>
      </c>
      <c r="E533" t="s">
        <v>266</v>
      </c>
      <c r="F533" t="s">
        <v>22</v>
      </c>
      <c r="G533" t="s">
        <v>83</v>
      </c>
      <c r="H533" t="s">
        <v>58</v>
      </c>
      <c r="I533" t="s">
        <v>25</v>
      </c>
      <c r="J533" t="s">
        <v>800</v>
      </c>
      <c r="K533">
        <v>20</v>
      </c>
      <c r="L533">
        <v>8</v>
      </c>
      <c r="M533">
        <v>2025</v>
      </c>
      <c r="N533" t="s">
        <v>27</v>
      </c>
      <c r="O533">
        <v>450</v>
      </c>
      <c r="P533">
        <v>450</v>
      </c>
      <c r="R533" s="3" t="str">
        <f>HYPERLINK("https://panda.att.com.mx/ODKServer/view/binaryData?blobKey=FSSuministroFluidosv3%5B%40version%3Dnull+and+%40uiVersion%3Dnull%5D%2Fdata%5B%40key%3Duuid%3A28abd422-bfde-45ef-8b38-b8710686419b%5D%2FgroupInfoFuel%5B%40ordinal%3D1%5D%2FpicFuelRecibeInterno","Descargar")</f>
        <v>Descargar</v>
      </c>
    </row>
    <row r="534" spans="1:18" x14ac:dyDescent="0.3">
      <c r="A534">
        <v>1601305</v>
      </c>
      <c r="B534" t="s">
        <v>18</v>
      </c>
      <c r="C534" t="s">
        <v>34</v>
      </c>
      <c r="D534" t="s">
        <v>53</v>
      </c>
      <c r="E534" t="s">
        <v>285</v>
      </c>
      <c r="F534" t="s">
        <v>22</v>
      </c>
      <c r="G534" t="s">
        <v>23</v>
      </c>
      <c r="H534" t="s">
        <v>37</v>
      </c>
      <c r="I534" t="s">
        <v>25</v>
      </c>
      <c r="J534" t="s">
        <v>801</v>
      </c>
      <c r="K534">
        <v>20</v>
      </c>
      <c r="L534">
        <v>8</v>
      </c>
      <c r="M534">
        <v>2025</v>
      </c>
      <c r="N534" t="s">
        <v>27</v>
      </c>
      <c r="O534">
        <v>200</v>
      </c>
      <c r="P534">
        <v>200</v>
      </c>
      <c r="R534" s="3" t="str">
        <f>HYPERLINK("https://panda.att.com.mx/ODKServer/view/binaryData?blobKey=FSSuministroFluidosv3%5B%40version%3Dnull+and+%40uiVersion%3Dnull%5D%2Fdata%5B%40key%3Duuid%3A3842b84e-6566-451a-981e-9cc3d2641e8a%5D%2FgroupInfoFuel%5B%40ordinal%3D1%5D%2FpicFuelRecibeInterno","Descargar")</f>
        <v>Descargar</v>
      </c>
    </row>
    <row r="535" spans="1:18" x14ac:dyDescent="0.3">
      <c r="A535">
        <v>1601299</v>
      </c>
      <c r="B535" t="s">
        <v>18</v>
      </c>
      <c r="C535" t="s">
        <v>34</v>
      </c>
      <c r="D535" t="s">
        <v>121</v>
      </c>
      <c r="E535" t="s">
        <v>802</v>
      </c>
      <c r="F535" t="s">
        <v>33</v>
      </c>
      <c r="G535" t="s">
        <v>23</v>
      </c>
      <c r="H535" t="s">
        <v>37</v>
      </c>
      <c r="I535" t="s">
        <v>25</v>
      </c>
      <c r="J535" t="s">
        <v>803</v>
      </c>
      <c r="K535">
        <v>20</v>
      </c>
      <c r="L535">
        <v>8</v>
      </c>
      <c r="M535">
        <v>2025</v>
      </c>
      <c r="N535" t="s">
        <v>27</v>
      </c>
      <c r="O535">
        <v>200</v>
      </c>
      <c r="Q535">
        <v>200</v>
      </c>
      <c r="R535" s="3" t="str">
        <f>HYPERLINK("https://panda.att.com.mx/ODKServer/view/binaryData?blobKey=FSSuministroFluidosv3%5B%40version%3Dnull+and+%40uiVersion%3Dnull%5D%2Fdata%5B%40key%3Duuid%3A5a963c02-7dd0-4f2c-8cac-8a584eaef482%5D%2FgroupInfoFuel%5B%40ordinal%3D1%5D%2FpicFuelRecibeInterno","Descargar")</f>
        <v>Descargar</v>
      </c>
    </row>
    <row r="536" spans="1:18" x14ac:dyDescent="0.3">
      <c r="A536">
        <v>1601242</v>
      </c>
      <c r="B536" t="s">
        <v>18</v>
      </c>
      <c r="C536" t="s">
        <v>55</v>
      </c>
      <c r="D536" t="s">
        <v>56</v>
      </c>
      <c r="E536" t="s">
        <v>77</v>
      </c>
      <c r="F536" t="s">
        <v>22</v>
      </c>
      <c r="G536" t="s">
        <v>23</v>
      </c>
      <c r="H536" t="s">
        <v>58</v>
      </c>
      <c r="I536" t="s">
        <v>25</v>
      </c>
      <c r="J536" t="s">
        <v>804</v>
      </c>
      <c r="K536">
        <v>18</v>
      </c>
      <c r="L536">
        <v>8</v>
      </c>
      <c r="M536">
        <v>2025</v>
      </c>
      <c r="N536" t="s">
        <v>27</v>
      </c>
      <c r="O536">
        <v>300</v>
      </c>
      <c r="P536">
        <v>300</v>
      </c>
      <c r="R536" s="3" t="str">
        <f>HYPERLINK("https://panda.att.com.mx/ODKServer/view/binaryData?blobKey=FSSuministroFluidosv3%5B%40version%3Dnull+and+%40uiVersion%3Dnull%5D%2Fdata%5B%40key%3Duuid%3A56d58fe0-a108-4b2f-a879-00177716008e%5D%2FgroupInfoFuel%5B%40ordinal%3D1%5D%2FpicFuelRecibeInterno","Descargar")</f>
        <v>Descargar</v>
      </c>
    </row>
    <row r="537" spans="1:18" x14ac:dyDescent="0.3">
      <c r="A537">
        <v>1601213</v>
      </c>
      <c r="B537" t="s">
        <v>18</v>
      </c>
      <c r="C537" t="s">
        <v>55</v>
      </c>
      <c r="D537" t="s">
        <v>89</v>
      </c>
      <c r="E537" t="s">
        <v>90</v>
      </c>
      <c r="F537" t="s">
        <v>22</v>
      </c>
      <c r="G537" t="s">
        <v>23</v>
      </c>
      <c r="H537" t="s">
        <v>58</v>
      </c>
      <c r="I537" t="s">
        <v>25</v>
      </c>
      <c r="J537" t="s">
        <v>805</v>
      </c>
      <c r="K537">
        <v>20</v>
      </c>
      <c r="L537">
        <v>8</v>
      </c>
      <c r="M537">
        <v>2025</v>
      </c>
      <c r="N537" t="s">
        <v>27</v>
      </c>
      <c r="O537">
        <v>250</v>
      </c>
      <c r="P537">
        <v>250</v>
      </c>
      <c r="R537" s="3" t="str">
        <f>HYPERLINK("https://panda.att.com.mx/ODKServer/view/binaryData?blobKey=FSSuministroFluidosv3%5B%40version%3Dnull+and+%40uiVersion%3Dnull%5D%2Fdata%5B%40key%3Duuid%3A19e7e396-8ae8-4180-9d94-452579906c17%5D%2FgroupInfoFuel%5B%40ordinal%3D1%5D%2FpicFuelRecibeInterno","Descargar")</f>
        <v>Descargar</v>
      </c>
    </row>
    <row r="538" spans="1:18" x14ac:dyDescent="0.3">
      <c r="A538">
        <v>1601187</v>
      </c>
      <c r="B538" t="s">
        <v>18</v>
      </c>
      <c r="C538" t="s">
        <v>28</v>
      </c>
      <c r="D538" t="s">
        <v>118</v>
      </c>
      <c r="E538" t="s">
        <v>401</v>
      </c>
      <c r="F538" t="s">
        <v>22</v>
      </c>
      <c r="G538" t="s">
        <v>23</v>
      </c>
      <c r="H538" t="s">
        <v>24</v>
      </c>
      <c r="I538" t="s">
        <v>25</v>
      </c>
      <c r="J538" t="s">
        <v>806</v>
      </c>
      <c r="K538">
        <v>20</v>
      </c>
      <c r="L538">
        <v>8</v>
      </c>
      <c r="M538">
        <v>2025</v>
      </c>
      <c r="N538" t="s">
        <v>44</v>
      </c>
      <c r="O538">
        <v>40</v>
      </c>
      <c r="P538">
        <v>40</v>
      </c>
      <c r="R538" s="3" t="str">
        <f>HYPERLINK("https://panda.att.com.mx/ODKServer/view/binaryData?blobKey=FSSuministroFluidosv3%5B%40version%3Dnull+and+%40uiVersion%3Dnull%5D%2Fdata%5B%40key%3Duuid%3A2d8ebc01-5826-4a94-bcdd-790c9819e832%5D%2FgroupInfoFuel%5B%40ordinal%3D1%5D%2FpicFuelRecibeInterno","Descargar")</f>
        <v>Descargar</v>
      </c>
    </row>
    <row r="539" spans="1:18" x14ac:dyDescent="0.3">
      <c r="A539">
        <v>1601123</v>
      </c>
      <c r="B539" t="s">
        <v>18</v>
      </c>
      <c r="C539" t="s">
        <v>19</v>
      </c>
      <c r="D539" t="s">
        <v>45</v>
      </c>
      <c r="E539" t="s">
        <v>807</v>
      </c>
      <c r="F539" t="s">
        <v>22</v>
      </c>
      <c r="G539" t="s">
        <v>23</v>
      </c>
      <c r="H539" t="s">
        <v>24</v>
      </c>
      <c r="I539" t="s">
        <v>25</v>
      </c>
      <c r="J539" t="s">
        <v>808</v>
      </c>
      <c r="K539">
        <v>17</v>
      </c>
      <c r="L539">
        <v>8</v>
      </c>
      <c r="M539">
        <v>2025</v>
      </c>
      <c r="N539" t="s">
        <v>27</v>
      </c>
      <c r="O539">
        <v>200</v>
      </c>
      <c r="P539">
        <v>200</v>
      </c>
      <c r="R539" s="3" t="str">
        <f>HYPERLINK("https://panda.att.com.mx/ODKServer/view/binaryData?blobKey=FSSuministroFluidosv3%5B%40version%3Dnull+and+%40uiVersion%3Dnull%5D%2Fdata%5B%40key%3Duuid%3Af4b1afb3-9356-4251-b282-792492b167de%5D%2FgroupInfoFuel%5B%40ordinal%3D1%5D%2FpicFuelRecibeInterno","Descargar")</f>
        <v>Descargar</v>
      </c>
    </row>
    <row r="540" spans="1:18" x14ac:dyDescent="0.3">
      <c r="A540">
        <v>1601122</v>
      </c>
      <c r="B540" t="s">
        <v>18</v>
      </c>
      <c r="C540" t="s">
        <v>68</v>
      </c>
      <c r="D540" t="s">
        <v>116</v>
      </c>
      <c r="E540" t="s">
        <v>809</v>
      </c>
      <c r="F540" t="s">
        <v>22</v>
      </c>
      <c r="G540" t="s">
        <v>23</v>
      </c>
      <c r="H540" t="s">
        <v>37</v>
      </c>
      <c r="I540" t="s">
        <v>25</v>
      </c>
      <c r="J540" t="s">
        <v>810</v>
      </c>
      <c r="K540">
        <v>20</v>
      </c>
      <c r="L540">
        <v>8</v>
      </c>
      <c r="M540">
        <v>2025</v>
      </c>
      <c r="N540" t="s">
        <v>27</v>
      </c>
      <c r="O540">
        <v>150</v>
      </c>
      <c r="P540">
        <v>150</v>
      </c>
      <c r="R540" s="3" t="str">
        <f>HYPERLINK("https://panda.att.com.mx/ODKServer/view/binaryData?blobKey=FSSuministroFluidosv3%5B%40version%3Dnull+and+%40uiVersion%3Dnull%5D%2Fdata%5B%40key%3Duuid%3A5ee678c2-bd3a-4f28-b3bd-32318a87b32e%5D%2FgroupInfoFuel%5B%40ordinal%3D1%5D%2FpicFuelRecibeInterno","Descargar")</f>
        <v>Descargar</v>
      </c>
    </row>
    <row r="541" spans="1:18" x14ac:dyDescent="0.3">
      <c r="A541">
        <v>1601104</v>
      </c>
      <c r="B541" t="s">
        <v>18</v>
      </c>
      <c r="C541" t="s">
        <v>34</v>
      </c>
      <c r="D541" t="s">
        <v>811</v>
      </c>
      <c r="E541" t="s">
        <v>812</v>
      </c>
      <c r="F541" t="s">
        <v>22</v>
      </c>
      <c r="G541" t="s">
        <v>23</v>
      </c>
      <c r="H541" t="s">
        <v>37</v>
      </c>
      <c r="I541" t="s">
        <v>25</v>
      </c>
      <c r="J541" t="s">
        <v>813</v>
      </c>
      <c r="K541">
        <v>20</v>
      </c>
      <c r="L541">
        <v>8</v>
      </c>
      <c r="M541">
        <v>2025</v>
      </c>
      <c r="N541" t="s">
        <v>27</v>
      </c>
      <c r="O541">
        <v>400</v>
      </c>
      <c r="Q541">
        <v>400</v>
      </c>
      <c r="R541" s="3" t="str">
        <f>HYPERLINK("https://panda.att.com.mx/ODKServer/view/binaryData?blobKey=FSSuministroFluidosv3%5B%40version%3Dnull+and+%40uiVersion%3Dnull%5D%2Fdata%5B%40key%3Duuid%3A53ee46f5-36bf-4d39-9171-0e260407110f%5D%2FgroupInfoFuel%5B%40ordinal%3D1%5D%2FpicFuelRecibeInterno","Descargar")</f>
        <v>Descargar</v>
      </c>
    </row>
    <row r="542" spans="1:18" x14ac:dyDescent="0.3">
      <c r="A542">
        <v>1601092</v>
      </c>
      <c r="B542" t="s">
        <v>18</v>
      </c>
      <c r="C542" t="s">
        <v>167</v>
      </c>
      <c r="D542" t="s">
        <v>168</v>
      </c>
      <c r="E542" t="s">
        <v>169</v>
      </c>
      <c r="F542" t="s">
        <v>22</v>
      </c>
      <c r="G542" t="s">
        <v>83</v>
      </c>
      <c r="H542" t="s">
        <v>58</v>
      </c>
      <c r="I542" t="s">
        <v>25</v>
      </c>
      <c r="J542" t="s">
        <v>814</v>
      </c>
      <c r="K542">
        <v>20</v>
      </c>
      <c r="L542">
        <v>8</v>
      </c>
      <c r="M542">
        <v>2025</v>
      </c>
      <c r="N542" t="s">
        <v>27</v>
      </c>
      <c r="O542">
        <v>450</v>
      </c>
      <c r="P542">
        <v>450</v>
      </c>
      <c r="R542" s="3" t="str">
        <f>HYPERLINK("https://panda.att.com.mx/ODKServer/view/binaryData?blobKey=FSSuministroFluidosv3%5B%40version%3Dnull+and+%40uiVersion%3Dnull%5D%2Fdata%5B%40key%3Duuid%3A277c9272-82d2-4063-9929-ac7508ef8bc2%5D%2FgroupInfoFuel%5B%40ordinal%3D1%5D%2FpicFuelRecibeInterno","Descargar")</f>
        <v>Descargar</v>
      </c>
    </row>
    <row r="543" spans="1:18" x14ac:dyDescent="0.3">
      <c r="A543">
        <v>1601044</v>
      </c>
      <c r="B543" t="s">
        <v>18</v>
      </c>
      <c r="C543" t="s">
        <v>55</v>
      </c>
      <c r="D543" t="s">
        <v>366</v>
      </c>
      <c r="E543" t="s">
        <v>815</v>
      </c>
      <c r="F543" t="s">
        <v>22</v>
      </c>
      <c r="G543" t="s">
        <v>83</v>
      </c>
      <c r="H543" t="s">
        <v>58</v>
      </c>
      <c r="I543" t="s">
        <v>25</v>
      </c>
      <c r="J543" t="s">
        <v>816</v>
      </c>
      <c r="K543">
        <v>20</v>
      </c>
      <c r="L543">
        <v>8</v>
      </c>
      <c r="M543">
        <v>2025</v>
      </c>
      <c r="N543" t="s">
        <v>27</v>
      </c>
      <c r="O543">
        <v>200</v>
      </c>
      <c r="P543">
        <v>200</v>
      </c>
      <c r="R543" s="3" t="str">
        <f>HYPERLINK("https://panda.att.com.mx/ODKServer/view/binaryData?blobKey=FSSuministroFluidosv3%5B%40version%3Dnull+and+%40uiVersion%3Dnull%5D%2Fdata%5B%40key%3Duuid%3Acc10ffb2-e496-46c2-b8b5-52fab8d6e585%5D%2FgroupInfoFuel%5B%40ordinal%3D1%5D%2FpicFuelRecibeInterno","Descargar")</f>
        <v>Descargar</v>
      </c>
    </row>
    <row r="544" spans="1:18" x14ac:dyDescent="0.3">
      <c r="A544">
        <v>1600993</v>
      </c>
      <c r="B544" t="s">
        <v>18</v>
      </c>
      <c r="C544" t="s">
        <v>100</v>
      </c>
      <c r="D544" t="s">
        <v>101</v>
      </c>
      <c r="E544" t="s">
        <v>126</v>
      </c>
      <c r="F544" t="s">
        <v>22</v>
      </c>
      <c r="G544" t="s">
        <v>83</v>
      </c>
      <c r="H544" t="s">
        <v>58</v>
      </c>
      <c r="I544" t="s">
        <v>25</v>
      </c>
      <c r="J544" t="s">
        <v>817</v>
      </c>
      <c r="K544">
        <v>20</v>
      </c>
      <c r="L544">
        <v>8</v>
      </c>
      <c r="M544">
        <v>2025</v>
      </c>
      <c r="N544" t="s">
        <v>27</v>
      </c>
      <c r="O544">
        <v>300</v>
      </c>
      <c r="P544">
        <v>300</v>
      </c>
      <c r="R544" s="3" t="str">
        <f>HYPERLINK("https://panda.att.com.mx/ODKServer/view/binaryData?blobKey=FSSuministroFluidosv3%5B%40version%3Dnull+and+%40uiVersion%3Dnull%5D%2Fdata%5B%40key%3Duuid%3A76356db3-2561-4710-b123-88b524f7b01d%5D%2FgroupInfoFuel%5B%40ordinal%3D1%5D%2FpicFuelRecibeInterno","Descargar")</f>
        <v>Descargar</v>
      </c>
    </row>
    <row r="545" spans="1:18" x14ac:dyDescent="0.3">
      <c r="A545">
        <v>1600971</v>
      </c>
      <c r="B545" t="s">
        <v>18</v>
      </c>
      <c r="C545" t="s">
        <v>100</v>
      </c>
      <c r="D545" t="s">
        <v>101</v>
      </c>
      <c r="E545" t="s">
        <v>102</v>
      </c>
      <c r="F545" t="s">
        <v>22</v>
      </c>
      <c r="G545" t="s">
        <v>83</v>
      </c>
      <c r="H545" t="s">
        <v>58</v>
      </c>
      <c r="I545" t="s">
        <v>25</v>
      </c>
      <c r="J545" t="s">
        <v>818</v>
      </c>
      <c r="K545">
        <v>18</v>
      </c>
      <c r="L545">
        <v>8</v>
      </c>
      <c r="M545">
        <v>2025</v>
      </c>
      <c r="N545" t="s">
        <v>27</v>
      </c>
      <c r="O545">
        <v>300</v>
      </c>
      <c r="P545">
        <v>300</v>
      </c>
      <c r="R545" s="3" t="str">
        <f>HYPERLINK("https://panda.att.com.mx/ODKServer/view/binaryData?blobKey=FSSuministroFluidosv3%5B%40version%3Dnull+and+%40uiVersion%3Dnull%5D%2Fdata%5B%40key%3Duuid%3A703ae03a-9e0f-4ce7-ac4e-82c0028371fb%5D%2FgroupInfoFuel%5B%40ordinal%3D1%5D%2FpicFuelRecibeInterno","Descargar")</f>
        <v>Descargar</v>
      </c>
    </row>
    <row r="546" spans="1:18" x14ac:dyDescent="0.3">
      <c r="A546">
        <v>1600933</v>
      </c>
      <c r="B546" t="s">
        <v>18</v>
      </c>
      <c r="C546" t="s">
        <v>19</v>
      </c>
      <c r="D546" t="s">
        <v>20</v>
      </c>
      <c r="E546" t="s">
        <v>166</v>
      </c>
      <c r="F546" t="s">
        <v>22</v>
      </c>
      <c r="G546" t="s">
        <v>23</v>
      </c>
      <c r="H546" t="s">
        <v>24</v>
      </c>
      <c r="I546" t="s">
        <v>25</v>
      </c>
      <c r="J546" t="s">
        <v>819</v>
      </c>
      <c r="K546">
        <v>19</v>
      </c>
      <c r="L546">
        <v>8</v>
      </c>
      <c r="M546">
        <v>2025</v>
      </c>
      <c r="N546" t="s">
        <v>27</v>
      </c>
      <c r="O546">
        <v>300</v>
      </c>
      <c r="P546">
        <v>300</v>
      </c>
      <c r="R546" s="3" t="str">
        <f>HYPERLINK("https://panda.att.com.mx/ODKServer/view/binaryData?blobKey=FSSuministroFluidosv3%5B%40version%3Dnull+and+%40uiVersion%3Dnull%5D%2Fdata%5B%40key%3Duuid%3Af89317f0-8ead-4613-80fe-4ae3420e9ad5%5D%2FgroupInfoFuel%5B%40ordinal%3D1%5D%2FpicFuelRecibeInterno","Descargar")</f>
        <v>Descargar</v>
      </c>
    </row>
    <row r="547" spans="1:18" x14ac:dyDescent="0.3">
      <c r="A547">
        <v>1600892</v>
      </c>
      <c r="B547" t="s">
        <v>18</v>
      </c>
      <c r="C547" t="s">
        <v>59</v>
      </c>
      <c r="D547" t="s">
        <v>60</v>
      </c>
      <c r="E547" t="s">
        <v>820</v>
      </c>
      <c r="F547" t="s">
        <v>22</v>
      </c>
      <c r="G547" t="s">
        <v>23</v>
      </c>
      <c r="H547" t="s">
        <v>37</v>
      </c>
      <c r="I547" t="s">
        <v>25</v>
      </c>
      <c r="J547" t="s">
        <v>821</v>
      </c>
      <c r="K547">
        <v>13</v>
      </c>
      <c r="L547">
        <v>8</v>
      </c>
      <c r="M547">
        <v>2025</v>
      </c>
      <c r="N547" t="s">
        <v>27</v>
      </c>
      <c r="O547">
        <v>100</v>
      </c>
      <c r="Q547">
        <v>100</v>
      </c>
      <c r="R547" s="3" t="str">
        <f>HYPERLINK("https://panda.att.com.mx/ODKServer/view/binaryData?blobKey=FSSuministroFluidosv3%5B%40version%3Dnull+and+%40uiVersion%3Dnull%5D%2Fdata%5B%40key%3Duuid%3A797903a2-866f-4a90-8c04-b3849475d358%5D%2FgroupInfoFuel%5B%40ordinal%3D1%5D%2FpicFuelRecibeInterno","Descargar")</f>
        <v>Descargar</v>
      </c>
    </row>
    <row r="548" spans="1:18" x14ac:dyDescent="0.3">
      <c r="A548">
        <v>1600887</v>
      </c>
      <c r="B548" t="s">
        <v>18</v>
      </c>
      <c r="C548" t="s">
        <v>59</v>
      </c>
      <c r="D548" t="s">
        <v>60</v>
      </c>
      <c r="E548" t="s">
        <v>822</v>
      </c>
      <c r="F548" t="s">
        <v>22</v>
      </c>
      <c r="G548" t="s">
        <v>23</v>
      </c>
      <c r="H548" t="s">
        <v>37</v>
      </c>
      <c r="I548" t="s">
        <v>25</v>
      </c>
      <c r="J548" t="s">
        <v>823</v>
      </c>
      <c r="K548">
        <v>13</v>
      </c>
      <c r="L548">
        <v>8</v>
      </c>
      <c r="M548">
        <v>2025</v>
      </c>
      <c r="N548" t="s">
        <v>27</v>
      </c>
      <c r="O548">
        <v>200</v>
      </c>
      <c r="P548">
        <v>200</v>
      </c>
      <c r="R548" s="3" t="str">
        <f>HYPERLINK("https://panda.att.com.mx/ODKServer/view/binaryData?blobKey=FSSuministroFluidosv3%5B%40version%3Dnull+and+%40uiVersion%3Dnull%5D%2Fdata%5B%40key%3Duuid%3Aff2efb15-dcb8-477c-b746-7d09321680e9%5D%2FgroupInfoFuel%5B%40ordinal%3D1%5D%2FpicFuelRecibeInterno","Descargar")</f>
        <v>Descargar</v>
      </c>
    </row>
    <row r="549" spans="1:18" x14ac:dyDescent="0.3">
      <c r="A549">
        <v>1600850</v>
      </c>
      <c r="B549" t="s">
        <v>18</v>
      </c>
      <c r="C549" t="s">
        <v>68</v>
      </c>
      <c r="D549" t="s">
        <v>824</v>
      </c>
      <c r="E549" t="s">
        <v>825</v>
      </c>
      <c r="F549" t="s">
        <v>33</v>
      </c>
      <c r="G549" t="s">
        <v>23</v>
      </c>
      <c r="H549" t="s">
        <v>37</v>
      </c>
      <c r="I549" t="s">
        <v>25</v>
      </c>
      <c r="J549" t="s">
        <v>826</v>
      </c>
      <c r="K549">
        <v>19</v>
      </c>
      <c r="L549">
        <v>8</v>
      </c>
      <c r="M549">
        <v>2025</v>
      </c>
      <c r="N549" t="s">
        <v>27</v>
      </c>
      <c r="O549">
        <v>200</v>
      </c>
      <c r="Q549">
        <v>200</v>
      </c>
      <c r="R549" s="3" t="str">
        <f>HYPERLINK("https://panda.att.com.mx/ODKServer/view/binaryData?blobKey=FSSuministroFluidosv3%5B%40version%3Dnull+and+%40uiVersion%3Dnull%5D%2Fdata%5B%40key%3Duuid%3A9229cc63-b027-48c5-b922-3652d7a78e3a%5D%2FgroupInfoFuel%5B%40ordinal%3D1%5D%2FpicFuelRecibeInterno","Descargar")</f>
        <v>Descargar</v>
      </c>
    </row>
    <row r="550" spans="1:18" x14ac:dyDescent="0.3">
      <c r="A550">
        <v>1600736</v>
      </c>
      <c r="B550" t="s">
        <v>18</v>
      </c>
      <c r="C550" t="s">
        <v>34</v>
      </c>
      <c r="D550" t="s">
        <v>53</v>
      </c>
      <c r="E550" t="s">
        <v>298</v>
      </c>
      <c r="F550" t="s">
        <v>22</v>
      </c>
      <c r="G550" t="s">
        <v>23</v>
      </c>
      <c r="H550" t="s">
        <v>37</v>
      </c>
      <c r="I550" t="s">
        <v>25</v>
      </c>
      <c r="J550" t="s">
        <v>827</v>
      </c>
      <c r="K550">
        <v>19</v>
      </c>
      <c r="L550">
        <v>8</v>
      </c>
      <c r="M550">
        <v>2025</v>
      </c>
      <c r="N550" t="s">
        <v>27</v>
      </c>
      <c r="O550">
        <v>100</v>
      </c>
      <c r="Q550">
        <v>100</v>
      </c>
      <c r="R550" s="3" t="str">
        <f>HYPERLINK("https://panda.att.com.mx/ODKServer/view/binaryData?blobKey=FSSuministroFluidosv3%5B%40version%3Dnull+and+%40uiVersion%3Dnull%5D%2Fdata%5B%40key%3Duuid%3A7fe23bd1-7b48-4c69-9ffa-41ea55c34158%5D%2FgroupInfoFuel%5B%40ordinal%3D1%5D%2FpicFuelRecibeInterno","Descargar")</f>
        <v>Descargar</v>
      </c>
    </row>
    <row r="551" spans="1:18" x14ac:dyDescent="0.3">
      <c r="A551">
        <v>1600731</v>
      </c>
      <c r="B551" t="s">
        <v>18</v>
      </c>
      <c r="C551" t="s">
        <v>68</v>
      </c>
      <c r="D551" t="s">
        <v>91</v>
      </c>
      <c r="E551" t="s">
        <v>828</v>
      </c>
      <c r="F551" t="s">
        <v>22</v>
      </c>
      <c r="G551" t="s">
        <v>23</v>
      </c>
      <c r="H551" t="s">
        <v>37</v>
      </c>
      <c r="I551" t="s">
        <v>25</v>
      </c>
      <c r="J551" t="s">
        <v>829</v>
      </c>
      <c r="K551">
        <v>19</v>
      </c>
      <c r="L551">
        <v>8</v>
      </c>
      <c r="M551">
        <v>2025</v>
      </c>
      <c r="N551" t="s">
        <v>27</v>
      </c>
      <c r="O551">
        <v>150</v>
      </c>
      <c r="P551">
        <v>150</v>
      </c>
      <c r="R551" s="3" t="str">
        <f>HYPERLINK("https://panda.att.com.mx/ODKServer/view/binaryData?blobKey=FSSuministroFluidosv3%5B%40version%3Dnull+and+%40uiVersion%3Dnull%5D%2Fdata%5B%40key%3Duuid%3A68348d44-d861-4bec-b138-d6c7fbb520d1%5D%2FgroupInfoFuel%5B%40ordinal%3D1%5D%2FpicFuelRecibeInterno","Descargar")</f>
        <v>Descargar</v>
      </c>
    </row>
    <row r="552" spans="1:18" x14ac:dyDescent="0.3">
      <c r="A552">
        <v>1599755</v>
      </c>
      <c r="B552" t="s">
        <v>18</v>
      </c>
      <c r="C552" t="s">
        <v>34</v>
      </c>
      <c r="D552" t="s">
        <v>53</v>
      </c>
      <c r="E552" t="s">
        <v>54</v>
      </c>
      <c r="F552" t="s">
        <v>22</v>
      </c>
      <c r="G552" t="s">
        <v>23</v>
      </c>
      <c r="H552" t="s">
        <v>37</v>
      </c>
      <c r="I552" t="s">
        <v>25</v>
      </c>
      <c r="J552" t="s">
        <v>830</v>
      </c>
      <c r="K552">
        <v>18</v>
      </c>
      <c r="L552">
        <v>8</v>
      </c>
      <c r="M552">
        <v>2025</v>
      </c>
      <c r="N552" t="s">
        <v>27</v>
      </c>
      <c r="O552">
        <v>400</v>
      </c>
      <c r="Q552">
        <v>400</v>
      </c>
      <c r="R552" s="3" t="str">
        <f>HYPERLINK("https://panda.att.com.mx/ODKServer/view/binaryData?blobKey=FSSuministroFluidosv3%5B%40version%3Dnull+and+%40uiVersion%3Dnull%5D%2Fdata%5B%40key%3Duuid%3A79ca30a1-75fc-4f7d-9321-93075d400d2f%5D%2FgroupInfoFuel%5B%40ordinal%3D1%5D%2FpicFuelRecibeInterno","Descargar")</f>
        <v>Descargar</v>
      </c>
    </row>
    <row r="553" spans="1:18" x14ac:dyDescent="0.3">
      <c r="A553">
        <v>1599717</v>
      </c>
      <c r="B553" t="s">
        <v>18</v>
      </c>
      <c r="C553" t="s">
        <v>19</v>
      </c>
      <c r="D553" t="s">
        <v>45</v>
      </c>
      <c r="E553" t="s">
        <v>383</v>
      </c>
      <c r="F553" t="s">
        <v>22</v>
      </c>
      <c r="G553" t="s">
        <v>23</v>
      </c>
      <c r="H553" t="s">
        <v>24</v>
      </c>
      <c r="I553" t="s">
        <v>25</v>
      </c>
      <c r="J553" t="s">
        <v>831</v>
      </c>
      <c r="K553">
        <v>14</v>
      </c>
      <c r="L553">
        <v>8</v>
      </c>
      <c r="M553">
        <v>2025</v>
      </c>
      <c r="N553" t="s">
        <v>27</v>
      </c>
      <c r="O553">
        <v>300</v>
      </c>
      <c r="P553">
        <v>300</v>
      </c>
      <c r="R553" s="3" t="str">
        <f>HYPERLINK("https://panda.att.com.mx/ODKServer/view/binaryData?blobKey=FSSuministroFluidosv3%5B%40version%3Dnull+and+%40uiVersion%3Dnull%5D%2Fdata%5B%40key%3Duuid%3A060d5ca3-b020-401c-968f-548ea979f311%5D%2FgroupInfoFuel%5B%40ordinal%3D1%5D%2FpicFuelRecibeInterno","Descargar")</f>
        <v>Descargar</v>
      </c>
    </row>
    <row r="554" spans="1:18" x14ac:dyDescent="0.3">
      <c r="A554">
        <v>1599716</v>
      </c>
      <c r="B554" t="s">
        <v>18</v>
      </c>
      <c r="C554" t="s">
        <v>19</v>
      </c>
      <c r="D554" t="s">
        <v>45</v>
      </c>
      <c r="E554" t="s">
        <v>383</v>
      </c>
      <c r="F554" t="s">
        <v>22</v>
      </c>
      <c r="G554" t="s">
        <v>23</v>
      </c>
      <c r="H554" t="s">
        <v>24</v>
      </c>
      <c r="I554" t="s">
        <v>25</v>
      </c>
      <c r="J554" t="s">
        <v>832</v>
      </c>
      <c r="K554">
        <v>12</v>
      </c>
      <c r="L554">
        <v>8</v>
      </c>
      <c r="M554">
        <v>2025</v>
      </c>
      <c r="N554" t="s">
        <v>27</v>
      </c>
      <c r="O554">
        <v>300</v>
      </c>
      <c r="P554">
        <v>300</v>
      </c>
      <c r="R554" s="3" t="str">
        <f>HYPERLINK("https://panda.att.com.mx/ODKServer/view/binaryData?blobKey=FSSuministroFluidosv3%5B%40version%3Dnull+and+%40uiVersion%3Dnull%5D%2Fdata%5B%40key%3Duuid%3A528cb4c3-aea5-4435-a630-e72a78381e50%5D%2FgroupInfoFuel%5B%40ordinal%3D1%5D%2FpicFuelRecibeInterno","Descargar")</f>
        <v>Descargar</v>
      </c>
    </row>
    <row r="555" spans="1:18" x14ac:dyDescent="0.3">
      <c r="A555">
        <v>1599700</v>
      </c>
      <c r="B555" t="s">
        <v>18</v>
      </c>
      <c r="C555" t="s">
        <v>100</v>
      </c>
      <c r="D555" t="s">
        <v>833</v>
      </c>
      <c r="E555" t="s">
        <v>834</v>
      </c>
      <c r="F555" t="s">
        <v>22</v>
      </c>
      <c r="G555" t="s">
        <v>23</v>
      </c>
      <c r="H555" t="s">
        <v>58</v>
      </c>
      <c r="I555" t="s">
        <v>25</v>
      </c>
      <c r="J555" t="s">
        <v>835</v>
      </c>
      <c r="K555">
        <v>16</v>
      </c>
      <c r="L555">
        <v>8</v>
      </c>
      <c r="M555">
        <v>2025</v>
      </c>
      <c r="N555" t="s">
        <v>27</v>
      </c>
      <c r="O555">
        <v>200</v>
      </c>
      <c r="P555">
        <v>200</v>
      </c>
      <c r="R555" s="3" t="str">
        <f>HYPERLINK("https://panda.att.com.mx/ODKServer/view/binaryData?blobKey=FSSuministroFluidosv3%5B%40version%3Dnull+and+%40uiVersion%3Dnull%5D%2Fdata%5B%40key%3Duuid%3Aa8bfe665-7b59-4623-b57c-a4acab8fca88%5D%2FgroupInfoFuel%5B%40ordinal%3D1%5D%2FpicFuelRecibeInterno","Descargar")</f>
        <v>Descargar</v>
      </c>
    </row>
    <row r="556" spans="1:18" x14ac:dyDescent="0.3">
      <c r="A556">
        <v>1599670</v>
      </c>
      <c r="B556" t="s">
        <v>18</v>
      </c>
      <c r="C556" t="s">
        <v>167</v>
      </c>
      <c r="D556" t="s">
        <v>264</v>
      </c>
      <c r="E556" t="s">
        <v>836</v>
      </c>
      <c r="F556" t="s">
        <v>22</v>
      </c>
      <c r="G556" t="s">
        <v>23</v>
      </c>
      <c r="H556" t="s">
        <v>58</v>
      </c>
      <c r="I556" t="s">
        <v>25</v>
      </c>
      <c r="J556" t="s">
        <v>837</v>
      </c>
      <c r="K556">
        <v>18</v>
      </c>
      <c r="L556">
        <v>8</v>
      </c>
      <c r="M556">
        <v>2025</v>
      </c>
      <c r="N556" t="s">
        <v>27</v>
      </c>
      <c r="O556">
        <v>200</v>
      </c>
      <c r="P556">
        <v>200</v>
      </c>
      <c r="R556" s="3" t="str">
        <f>HYPERLINK("https://panda.att.com.mx/ODKServer/view/binaryData?blobKey=FSSuministroFluidosv3%5B%40version%3Dnull+and+%40uiVersion%3Dnull%5D%2Fdata%5B%40key%3Duuid%3Ae50a5628-5b13-4fef-acbd-239d48d87619%5D%2FgroupInfoFuel%5B%40ordinal%3D1%5D%2FpicFuelRecibeInterno","Descargar")</f>
        <v>Descargar</v>
      </c>
    </row>
    <row r="557" spans="1:18" x14ac:dyDescent="0.3">
      <c r="A557">
        <v>1599617</v>
      </c>
      <c r="B557" t="s">
        <v>18</v>
      </c>
      <c r="C557" t="s">
        <v>28</v>
      </c>
      <c r="D557" t="s">
        <v>467</v>
      </c>
      <c r="E557" t="s">
        <v>838</v>
      </c>
      <c r="F557" t="s">
        <v>22</v>
      </c>
      <c r="G557" t="s">
        <v>23</v>
      </c>
      <c r="H557" t="s">
        <v>24</v>
      </c>
      <c r="I557" t="s">
        <v>25</v>
      </c>
      <c r="J557" t="s">
        <v>839</v>
      </c>
      <c r="K557">
        <v>13</v>
      </c>
      <c r="L557">
        <v>8</v>
      </c>
      <c r="M557">
        <v>2025</v>
      </c>
      <c r="N557" t="s">
        <v>44</v>
      </c>
      <c r="O557">
        <v>60</v>
      </c>
      <c r="P557">
        <v>60</v>
      </c>
      <c r="R557" s="3" t="str">
        <f>HYPERLINK("https://panda.att.com.mx/ODKServer/view/binaryData?blobKey=FSSuministroFluidosv3%5B%40version%3Dnull+and+%40uiVersion%3Dnull%5D%2Fdata%5B%40key%3Duuid%3A658b59c8-b4de-4109-a6ee-4e979901a14d%5D%2FgroupInfoFuel%5B%40ordinal%3D1%5D%2FpicFuelRecibeInterno","Descargar")</f>
        <v>Descargar</v>
      </c>
    </row>
    <row r="558" spans="1:18" x14ac:dyDescent="0.3">
      <c r="A558">
        <v>1599588</v>
      </c>
      <c r="B558" t="s">
        <v>18</v>
      </c>
      <c r="C558" t="s">
        <v>55</v>
      </c>
      <c r="D558" t="s">
        <v>56</v>
      </c>
      <c r="E558" t="s">
        <v>320</v>
      </c>
      <c r="F558" t="s">
        <v>22</v>
      </c>
      <c r="G558" t="s">
        <v>23</v>
      </c>
      <c r="H558" t="s">
        <v>58</v>
      </c>
      <c r="I558" t="s">
        <v>25</v>
      </c>
      <c r="J558" t="s">
        <v>840</v>
      </c>
      <c r="K558">
        <v>14</v>
      </c>
      <c r="L558">
        <v>8</v>
      </c>
      <c r="M558">
        <v>2025</v>
      </c>
      <c r="N558" t="s">
        <v>27</v>
      </c>
      <c r="O558">
        <v>300</v>
      </c>
      <c r="P558">
        <v>300</v>
      </c>
      <c r="R558" s="3" t="str">
        <f>HYPERLINK("https://panda.att.com.mx/ODKServer/view/binaryData?blobKey=FSSuministroFluidosv3%5B%40version%3Dnull+and+%40uiVersion%3Dnull%5D%2Fdata%5B%40key%3Duuid%3A3917091d-4d26-466c-a9a6-3ec5386fb5ab%5D%2FgroupInfoFuel%5B%40ordinal%3D1%5D%2FpicFuelRecibeInterno","Descargar")</f>
        <v>Descargar</v>
      </c>
    </row>
    <row r="559" spans="1:18" x14ac:dyDescent="0.3">
      <c r="A559">
        <v>1599551</v>
      </c>
      <c r="B559" t="s">
        <v>18</v>
      </c>
      <c r="C559" t="s">
        <v>183</v>
      </c>
      <c r="D559" t="s">
        <v>841</v>
      </c>
      <c r="E559" t="s">
        <v>842</v>
      </c>
      <c r="F559" t="s">
        <v>22</v>
      </c>
      <c r="G559" t="s">
        <v>23</v>
      </c>
      <c r="H559" t="s">
        <v>58</v>
      </c>
      <c r="I559" t="s">
        <v>25</v>
      </c>
      <c r="J559" t="s">
        <v>843</v>
      </c>
      <c r="K559">
        <v>17</v>
      </c>
      <c r="L559">
        <v>8</v>
      </c>
      <c r="M559">
        <v>2025</v>
      </c>
      <c r="N559" t="s">
        <v>27</v>
      </c>
      <c r="O559">
        <v>60</v>
      </c>
      <c r="P559">
        <v>60</v>
      </c>
      <c r="R559" s="3" t="str">
        <f>HYPERLINK("https://panda.att.com.mx/ODKServer/view/binaryData?blobKey=FSSuministroFluidosv3%5B%40version%3Dnull+and+%40uiVersion%3Dnull%5D%2Fdata%5B%40key%3Duuid%3A7836e715-70f6-467b-a18d-e44fa5a83465%5D%2FgroupInfoFuel%5B%40ordinal%3D1%5D%2FpicFuelRecibeInterno","Descargar")</f>
        <v>Descargar</v>
      </c>
    </row>
    <row r="560" spans="1:18" x14ac:dyDescent="0.3">
      <c r="A560">
        <v>1599529</v>
      </c>
      <c r="B560" t="s">
        <v>18</v>
      </c>
      <c r="C560" t="s">
        <v>55</v>
      </c>
      <c r="D560" t="s">
        <v>56</v>
      </c>
      <c r="E560" t="s">
        <v>668</v>
      </c>
      <c r="F560" t="s">
        <v>22</v>
      </c>
      <c r="G560" t="s">
        <v>23</v>
      </c>
      <c r="H560" t="s">
        <v>58</v>
      </c>
      <c r="I560" t="s">
        <v>25</v>
      </c>
      <c r="J560" t="s">
        <v>844</v>
      </c>
      <c r="K560">
        <v>17</v>
      </c>
      <c r="L560">
        <v>8</v>
      </c>
      <c r="M560">
        <v>2025</v>
      </c>
      <c r="N560" t="s">
        <v>27</v>
      </c>
      <c r="O560">
        <v>100</v>
      </c>
      <c r="P560">
        <v>100</v>
      </c>
      <c r="R560" s="3" t="str">
        <f>HYPERLINK("https://panda.att.com.mx/ODKServer/view/binaryData?blobKey=FSSuministroFluidosv3%5B%40version%3Dnull+and+%40uiVersion%3Dnull%5D%2Fdata%5B%40key%3Duuid%3Ad42ee922-f3be-48ab-b95a-14d8662a058e%5D%2FgroupInfoFuel%5B%40ordinal%3D1%5D%2FpicFuelRecibeInterno","Descargar")</f>
        <v>Descargar</v>
      </c>
    </row>
    <row r="561" spans="1:18" x14ac:dyDescent="0.3">
      <c r="A561">
        <v>1599502</v>
      </c>
      <c r="B561" t="s">
        <v>18</v>
      </c>
      <c r="C561" t="s">
        <v>150</v>
      </c>
      <c r="D561" t="s">
        <v>164</v>
      </c>
      <c r="E561" t="s">
        <v>165</v>
      </c>
      <c r="F561" t="s">
        <v>22</v>
      </c>
      <c r="G561" t="s">
        <v>23</v>
      </c>
      <c r="H561" t="s">
        <v>58</v>
      </c>
      <c r="I561" t="s">
        <v>25</v>
      </c>
      <c r="J561" t="s">
        <v>845</v>
      </c>
      <c r="K561">
        <v>18</v>
      </c>
      <c r="L561">
        <v>8</v>
      </c>
      <c r="M561">
        <v>2025</v>
      </c>
      <c r="N561" t="s">
        <v>27</v>
      </c>
      <c r="O561">
        <v>400</v>
      </c>
      <c r="P561">
        <v>400</v>
      </c>
      <c r="R561" s="3" t="str">
        <f>HYPERLINK("https://panda.att.com.mx/ODKServer/view/binaryData?blobKey=FSSuministroFluidosv3%5B%40version%3Dnull+and+%40uiVersion%3Dnull%5D%2Fdata%5B%40key%3Duuid%3A6ff7f97a-30af-4434-86d2-a755967a692c%5D%2FgroupInfoFuel%5B%40ordinal%3D1%5D%2FpicFuelRecibeInterno","Descargar")</f>
        <v>Descargar</v>
      </c>
    </row>
    <row r="562" spans="1:18" x14ac:dyDescent="0.3">
      <c r="A562">
        <v>1599501</v>
      </c>
      <c r="B562" t="s">
        <v>18</v>
      </c>
      <c r="C562" t="s">
        <v>28</v>
      </c>
      <c r="D562" t="s">
        <v>66</v>
      </c>
      <c r="E562" t="s">
        <v>846</v>
      </c>
      <c r="F562" t="s">
        <v>22</v>
      </c>
      <c r="G562" t="s">
        <v>23</v>
      </c>
      <c r="H562" t="s">
        <v>24</v>
      </c>
      <c r="I562" t="s">
        <v>25</v>
      </c>
      <c r="J562" t="s">
        <v>847</v>
      </c>
      <c r="K562">
        <v>18</v>
      </c>
      <c r="L562">
        <v>8</v>
      </c>
      <c r="M562">
        <v>2025</v>
      </c>
      <c r="N562" t="s">
        <v>44</v>
      </c>
      <c r="O562">
        <v>40</v>
      </c>
      <c r="P562">
        <v>40</v>
      </c>
      <c r="R562" s="3" t="str">
        <f>HYPERLINK("https://panda.att.com.mx/ODKServer/view/binaryData?blobKey=FSSuministroFluidosv3%5B%40version%3Dnull+and+%40uiVersion%3Dnull%5D%2Fdata%5B%40key%3Duuid%3A21bb1ba0-58c8-41ae-80e5-cf1f5b516b3a%5D%2FgroupInfoFuel%5B%40ordinal%3D1%5D%2FpicFuelRecibeInterno","Descargar")</f>
        <v>Descargar</v>
      </c>
    </row>
    <row r="563" spans="1:18" x14ac:dyDescent="0.3">
      <c r="A563">
        <v>1599443</v>
      </c>
      <c r="B563" t="s">
        <v>18</v>
      </c>
      <c r="C563" t="s">
        <v>55</v>
      </c>
      <c r="D563" t="s">
        <v>56</v>
      </c>
      <c r="E563" t="s">
        <v>848</v>
      </c>
      <c r="F563" t="s">
        <v>22</v>
      </c>
      <c r="G563" t="s">
        <v>23</v>
      </c>
      <c r="H563" t="s">
        <v>58</v>
      </c>
      <c r="I563" t="s">
        <v>25</v>
      </c>
      <c r="J563" t="s">
        <v>849</v>
      </c>
      <c r="K563">
        <v>16</v>
      </c>
      <c r="L563">
        <v>8</v>
      </c>
      <c r="M563">
        <v>2025</v>
      </c>
      <c r="N563" t="s">
        <v>27</v>
      </c>
      <c r="O563">
        <v>100</v>
      </c>
      <c r="P563">
        <v>100</v>
      </c>
      <c r="R563" s="3" t="str">
        <f>HYPERLINK("https://panda.att.com.mx/ODKServer/view/binaryData?blobKey=FSSuministroFluidosv3%5B%40version%3Dnull+and+%40uiVersion%3Dnull%5D%2Fdata%5B%40key%3Duuid%3A1636aec2-4b74-4e47-a89d-8c6137c9bfbe%5D%2FgroupInfoFuel%5B%40ordinal%3D1%5D%2FpicFuelRecibeInterno","Descargar")</f>
        <v>Descargar</v>
      </c>
    </row>
    <row r="564" spans="1:18" x14ac:dyDescent="0.3">
      <c r="A564">
        <v>1599442</v>
      </c>
      <c r="B564" t="s">
        <v>18</v>
      </c>
      <c r="C564" t="s">
        <v>55</v>
      </c>
      <c r="D564" t="s">
        <v>56</v>
      </c>
      <c r="E564" t="s">
        <v>850</v>
      </c>
      <c r="F564" t="s">
        <v>22</v>
      </c>
      <c r="G564" t="s">
        <v>23</v>
      </c>
      <c r="H564" t="s">
        <v>58</v>
      </c>
      <c r="I564" t="s">
        <v>25</v>
      </c>
      <c r="J564" t="s">
        <v>851</v>
      </c>
      <c r="K564">
        <v>16</v>
      </c>
      <c r="L564">
        <v>8</v>
      </c>
      <c r="M564">
        <v>2025</v>
      </c>
      <c r="N564" t="s">
        <v>27</v>
      </c>
      <c r="O564">
        <v>150</v>
      </c>
      <c r="P564">
        <v>150</v>
      </c>
      <c r="R564" s="3" t="str">
        <f>HYPERLINK("https://panda.att.com.mx/ODKServer/view/binaryData?blobKey=FSSuministroFluidosv3%5B%40version%3Dnull+and+%40uiVersion%3Dnull%5D%2Fdata%5B%40key%3Duuid%3A1b62e3a5-6fbf-4287-b9b3-3cb516767d7e%5D%2FgroupInfoFuel%5B%40ordinal%3D1%5D%2FpicFuelRecibeInterno","Descargar")</f>
        <v>Descargar</v>
      </c>
    </row>
    <row r="565" spans="1:18" x14ac:dyDescent="0.3">
      <c r="A565">
        <v>1599441</v>
      </c>
      <c r="B565" t="s">
        <v>18</v>
      </c>
      <c r="C565" t="s">
        <v>55</v>
      </c>
      <c r="D565" t="s">
        <v>56</v>
      </c>
      <c r="E565" t="s">
        <v>848</v>
      </c>
      <c r="F565" t="s">
        <v>22</v>
      </c>
      <c r="G565" t="s">
        <v>23</v>
      </c>
      <c r="H565" t="s">
        <v>58</v>
      </c>
      <c r="I565" t="s">
        <v>25</v>
      </c>
      <c r="J565" t="s">
        <v>852</v>
      </c>
      <c r="K565">
        <v>14</v>
      </c>
      <c r="L565">
        <v>8</v>
      </c>
      <c r="M565">
        <v>2025</v>
      </c>
      <c r="N565" t="s">
        <v>27</v>
      </c>
      <c r="O565">
        <v>100</v>
      </c>
      <c r="P565">
        <v>100</v>
      </c>
      <c r="R565" s="3" t="str">
        <f>HYPERLINK("https://panda.att.com.mx/ODKServer/view/binaryData?blobKey=FSSuministroFluidosv3%5B%40version%3Dnull+and+%40uiVersion%3Dnull%5D%2Fdata%5B%40key%3Duuid%3Aeafb4482-cbb5-42aa-a4f5-9c605695e71d%5D%2FgroupInfoFuel%5B%40ordinal%3D1%5D%2FpicFuelRecibeInterno","Descargar")</f>
        <v>Descargar</v>
      </c>
    </row>
    <row r="566" spans="1:18" x14ac:dyDescent="0.3">
      <c r="A566">
        <v>1599440</v>
      </c>
      <c r="B566" t="s">
        <v>18</v>
      </c>
      <c r="C566" t="s">
        <v>55</v>
      </c>
      <c r="D566" t="s">
        <v>56</v>
      </c>
      <c r="E566" t="s">
        <v>105</v>
      </c>
      <c r="F566" t="s">
        <v>22</v>
      </c>
      <c r="G566" t="s">
        <v>23</v>
      </c>
      <c r="H566" t="s">
        <v>58</v>
      </c>
      <c r="I566" t="s">
        <v>25</v>
      </c>
      <c r="J566" t="s">
        <v>853</v>
      </c>
      <c r="K566">
        <v>15</v>
      </c>
      <c r="L566">
        <v>8</v>
      </c>
      <c r="M566">
        <v>2025</v>
      </c>
      <c r="N566" t="s">
        <v>27</v>
      </c>
      <c r="O566">
        <v>200</v>
      </c>
      <c r="P566">
        <v>200</v>
      </c>
      <c r="R566" s="3" t="str">
        <f>HYPERLINK("https://panda.att.com.mx/ODKServer/view/binaryData?blobKey=FSSuministroFluidosv3%5B%40version%3Dnull+and+%40uiVersion%3Dnull%5D%2Fdata%5B%40key%3Duuid%3A219e239c-4ae7-4be2-9666-acc0d34b299c%5D%2FgroupInfoFuel%5B%40ordinal%3D1%5D%2FpicFuelRecibeInterno","Descargar")</f>
        <v>Descargar</v>
      </c>
    </row>
    <row r="567" spans="1:18" x14ac:dyDescent="0.3">
      <c r="A567">
        <v>1599432</v>
      </c>
      <c r="B567" t="s">
        <v>18</v>
      </c>
      <c r="C567" t="s">
        <v>100</v>
      </c>
      <c r="D567" t="s">
        <v>854</v>
      </c>
      <c r="E567" t="s">
        <v>855</v>
      </c>
      <c r="F567" t="s">
        <v>22</v>
      </c>
      <c r="G567" t="s">
        <v>23</v>
      </c>
      <c r="H567" t="s">
        <v>58</v>
      </c>
      <c r="I567" t="s">
        <v>25</v>
      </c>
      <c r="J567" t="s">
        <v>856</v>
      </c>
      <c r="K567">
        <v>13</v>
      </c>
      <c r="L567">
        <v>8</v>
      </c>
      <c r="M567">
        <v>2025</v>
      </c>
      <c r="N567" t="s">
        <v>27</v>
      </c>
      <c r="O567">
        <v>300</v>
      </c>
      <c r="P567">
        <v>300</v>
      </c>
      <c r="R567" s="3" t="str">
        <f>HYPERLINK("https://panda.att.com.mx/ODKServer/view/binaryData?blobKey=FSSuministroFluidosv3%5B%40version%3Dnull+and+%40uiVersion%3Dnull%5D%2Fdata%5B%40key%3Duuid%3Aeb4f0d02-2439-42a2-84e3-3a307ca3fa84%5D%2FgroupInfoFuel%5B%40ordinal%3D1%5D%2FpicFuelRecibeInterno","Descargar")</f>
        <v>Descargar</v>
      </c>
    </row>
    <row r="568" spans="1:18" x14ac:dyDescent="0.3">
      <c r="A568">
        <v>1599425</v>
      </c>
      <c r="B568" t="s">
        <v>18</v>
      </c>
      <c r="C568" t="s">
        <v>100</v>
      </c>
      <c r="D568" t="s">
        <v>651</v>
      </c>
      <c r="E568" t="s">
        <v>857</v>
      </c>
      <c r="F568" t="s">
        <v>22</v>
      </c>
      <c r="G568" t="s">
        <v>23</v>
      </c>
      <c r="H568" t="s">
        <v>58</v>
      </c>
      <c r="I568" t="s">
        <v>25</v>
      </c>
      <c r="J568" t="s">
        <v>858</v>
      </c>
      <c r="K568">
        <v>13</v>
      </c>
      <c r="L568">
        <v>8</v>
      </c>
      <c r="M568">
        <v>2025</v>
      </c>
      <c r="N568" t="s">
        <v>27</v>
      </c>
      <c r="O568">
        <v>300</v>
      </c>
      <c r="P568">
        <v>300</v>
      </c>
      <c r="R568" s="3" t="str">
        <f>HYPERLINK("https://panda.att.com.mx/ODKServer/view/binaryData?blobKey=FSSuministroFluidosv3%5B%40version%3Dnull+and+%40uiVersion%3Dnull%5D%2Fdata%5B%40key%3Duuid%3Af81aae9a-97ea-4865-b6e3-a9b9670d51c7%5D%2FgroupInfoFuel%5B%40ordinal%3D1%5D%2FpicFuelRecibeInterno","Descargar")</f>
        <v>Descargar</v>
      </c>
    </row>
    <row r="569" spans="1:18" x14ac:dyDescent="0.3">
      <c r="A569">
        <v>1599166</v>
      </c>
      <c r="B569" t="s">
        <v>18</v>
      </c>
      <c r="C569" t="s">
        <v>55</v>
      </c>
      <c r="D569" t="s">
        <v>56</v>
      </c>
      <c r="E569" t="s">
        <v>77</v>
      </c>
      <c r="F569" t="s">
        <v>22</v>
      </c>
      <c r="G569" t="s">
        <v>23</v>
      </c>
      <c r="H569" t="s">
        <v>58</v>
      </c>
      <c r="I569" t="s">
        <v>25</v>
      </c>
      <c r="J569" t="s">
        <v>859</v>
      </c>
      <c r="K569">
        <v>16</v>
      </c>
      <c r="L569">
        <v>8</v>
      </c>
      <c r="M569">
        <v>2025</v>
      </c>
      <c r="N569" t="s">
        <v>27</v>
      </c>
      <c r="O569">
        <v>300</v>
      </c>
      <c r="P569">
        <v>300</v>
      </c>
      <c r="R569" s="3" t="str">
        <f>HYPERLINK("https://panda.att.com.mx/ODKServer/view/binaryData?blobKey=FSSuministroFluidosv3%5B%40version%3Dnull+and+%40uiVersion%3Dnull%5D%2Fdata%5B%40key%3Duuid%3A7a5585dd-d220-4b00-9e27-094062cdcc71%5D%2FgroupInfoFuel%5B%40ordinal%3D1%5D%2FpicFuelRecibeInterno","Descargar")</f>
        <v>Descargar</v>
      </c>
    </row>
    <row r="570" spans="1:18" x14ac:dyDescent="0.3">
      <c r="A570">
        <v>1599155</v>
      </c>
      <c r="B570" t="s">
        <v>18</v>
      </c>
      <c r="C570" t="s">
        <v>28</v>
      </c>
      <c r="D570" t="s">
        <v>467</v>
      </c>
      <c r="E570" t="s">
        <v>860</v>
      </c>
      <c r="F570" t="s">
        <v>22</v>
      </c>
      <c r="G570" t="s">
        <v>23</v>
      </c>
      <c r="H570" t="s">
        <v>24</v>
      </c>
      <c r="I570" t="s">
        <v>25</v>
      </c>
      <c r="J570" t="s">
        <v>861</v>
      </c>
      <c r="K570">
        <v>4</v>
      </c>
      <c r="L570">
        <v>8</v>
      </c>
      <c r="M570">
        <v>2025</v>
      </c>
      <c r="N570" t="s">
        <v>44</v>
      </c>
      <c r="O570">
        <v>60</v>
      </c>
      <c r="P570">
        <v>60</v>
      </c>
      <c r="R570" s="3" t="str">
        <f>HYPERLINK("https://panda.att.com.mx/ODKServer/view/binaryData?blobKey=FSSuministroFluidosv3%5B%40version%3Dnull+and+%40uiVersion%3Dnull%5D%2Fdata%5B%40key%3Duuid%3Aeabc852a-beee-4e25-9734-f79fcf254adf%5D%2FgroupInfoFuel%5B%40ordinal%3D1%5D%2FpicFuelRecibeInterno","Descargar")</f>
        <v>Descargar</v>
      </c>
    </row>
    <row r="571" spans="1:18" x14ac:dyDescent="0.3">
      <c r="A571">
        <v>1599117</v>
      </c>
      <c r="B571" t="s">
        <v>18</v>
      </c>
      <c r="C571" t="s">
        <v>55</v>
      </c>
      <c r="D571" t="s">
        <v>56</v>
      </c>
      <c r="E571" t="s">
        <v>862</v>
      </c>
      <c r="F571" t="s">
        <v>22</v>
      </c>
      <c r="G571" t="s">
        <v>23</v>
      </c>
      <c r="H571" t="s">
        <v>58</v>
      </c>
      <c r="I571" t="s">
        <v>25</v>
      </c>
      <c r="J571" t="s">
        <v>863</v>
      </c>
      <c r="K571">
        <v>14</v>
      </c>
      <c r="L571">
        <v>8</v>
      </c>
      <c r="M571">
        <v>2025</v>
      </c>
      <c r="N571" t="s">
        <v>27</v>
      </c>
      <c r="O571">
        <v>650</v>
      </c>
      <c r="P571">
        <v>650</v>
      </c>
      <c r="R571" s="3" t="str">
        <f>HYPERLINK("https://panda.att.com.mx/ODKServer/view/binaryData?blobKey=FSSuministroFluidosv3%5B%40version%3Dnull+and+%40uiVersion%3Dnull%5D%2Fdata%5B%40key%3Duuid%3Aad62c2ed-94e4-414e-a5d8-49e8b5e25df6%5D%2FgroupInfoFuel%5B%40ordinal%3D1%5D%2FpicFuelRecibeInterno","Descargar")</f>
        <v>Descargar</v>
      </c>
    </row>
    <row r="572" spans="1:18" x14ac:dyDescent="0.3">
      <c r="A572">
        <v>1599081</v>
      </c>
      <c r="B572" t="s">
        <v>18</v>
      </c>
      <c r="C572" t="s">
        <v>28</v>
      </c>
      <c r="D572" t="s">
        <v>118</v>
      </c>
      <c r="E572" t="s">
        <v>864</v>
      </c>
      <c r="F572" t="s">
        <v>22</v>
      </c>
      <c r="G572" t="s">
        <v>23</v>
      </c>
      <c r="H572" t="s">
        <v>24</v>
      </c>
      <c r="I572" t="s">
        <v>25</v>
      </c>
      <c r="J572" t="s">
        <v>865</v>
      </c>
      <c r="K572">
        <v>16</v>
      </c>
      <c r="L572">
        <v>8</v>
      </c>
      <c r="M572">
        <v>2025</v>
      </c>
      <c r="N572" t="s">
        <v>44</v>
      </c>
      <c r="O572">
        <v>25</v>
      </c>
      <c r="P572">
        <v>25</v>
      </c>
      <c r="R572" s="3" t="str">
        <f>HYPERLINK("https://panda.att.com.mx/ODKServer/view/binaryData?blobKey=FSSuministroFluidosv3%5B%40version%3Dnull+and+%40uiVersion%3Dnull%5D%2Fdata%5B%40key%3Duuid%3Ad82ba281-378e-4976-b9a1-116af3b2e580%5D%2FgroupInfoFuel%5B%40ordinal%3D1%5D%2FpicFuelRecibeInterno","Descargar")</f>
        <v>Descargar</v>
      </c>
    </row>
    <row r="573" spans="1:18" x14ac:dyDescent="0.3">
      <c r="A573">
        <v>1599066</v>
      </c>
      <c r="B573" t="s">
        <v>18</v>
      </c>
      <c r="C573" t="s">
        <v>150</v>
      </c>
      <c r="D573" t="s">
        <v>230</v>
      </c>
      <c r="E573" t="s">
        <v>866</v>
      </c>
      <c r="F573" t="s">
        <v>867</v>
      </c>
      <c r="G573" t="s">
        <v>23</v>
      </c>
      <c r="H573" t="s">
        <v>58</v>
      </c>
      <c r="I573" t="s">
        <v>25</v>
      </c>
      <c r="J573" t="s">
        <v>868</v>
      </c>
      <c r="K573">
        <v>18</v>
      </c>
      <c r="L573">
        <v>8</v>
      </c>
      <c r="M573">
        <v>2025</v>
      </c>
      <c r="N573" t="s">
        <v>27</v>
      </c>
      <c r="O573">
        <v>150</v>
      </c>
      <c r="P573">
        <v>150</v>
      </c>
      <c r="R573" s="3" t="str">
        <f>HYPERLINK("https://panda.att.com.mx/ODKServer/view/binaryData?blobKey=FSSuministroFluidosv3%5B%40version%3Dnull+and+%40uiVersion%3Dnull%5D%2Fdata%5B%40key%3Duuid%3Ae7d4d74c-bdad-4141-bddc-09f1b90a7f91%5D%2FgroupInfoFuel%5B%40ordinal%3D1%5D%2FpicFuelRecibeInterno","Descargar")</f>
        <v>Descargar</v>
      </c>
    </row>
    <row r="574" spans="1:18" x14ac:dyDescent="0.3">
      <c r="A574">
        <v>1599024</v>
      </c>
      <c r="B574" t="s">
        <v>18</v>
      </c>
      <c r="C574" t="s">
        <v>150</v>
      </c>
      <c r="D574" t="s">
        <v>230</v>
      </c>
      <c r="E574" t="s">
        <v>866</v>
      </c>
      <c r="F574" t="s">
        <v>867</v>
      </c>
      <c r="G574" t="s">
        <v>23</v>
      </c>
      <c r="H574" t="s">
        <v>58</v>
      </c>
      <c r="I574" t="s">
        <v>25</v>
      </c>
      <c r="J574" t="s">
        <v>869</v>
      </c>
      <c r="K574">
        <v>18</v>
      </c>
      <c r="L574">
        <v>8</v>
      </c>
      <c r="M574">
        <v>2025</v>
      </c>
      <c r="N574" t="s">
        <v>27</v>
      </c>
      <c r="O574">
        <v>150</v>
      </c>
      <c r="P574">
        <v>150</v>
      </c>
      <c r="R574" s="3" t="str">
        <f>HYPERLINK("https://panda.att.com.mx/ODKServer/view/binaryData?blobKey=FSSuministroFluidosv3%5B%40version%3Dnull+and+%40uiVersion%3Dnull%5D%2Fdata%5B%40key%3Duuid%3Aae50a158-2f4c-4e69-b7dc-8675c6f38360%5D%2FgroupInfoFuel%5B%40ordinal%3D1%5D%2FpicFuelRecibeInterno","Descargar")</f>
        <v>Descargar</v>
      </c>
    </row>
    <row r="575" spans="1:18" x14ac:dyDescent="0.3">
      <c r="A575">
        <v>1599007</v>
      </c>
      <c r="B575" t="s">
        <v>18</v>
      </c>
      <c r="C575" t="s">
        <v>28</v>
      </c>
      <c r="D575" t="s">
        <v>261</v>
      </c>
      <c r="E575" t="s">
        <v>783</v>
      </c>
      <c r="G575" t="s">
        <v>23</v>
      </c>
      <c r="H575" t="s">
        <v>37</v>
      </c>
      <c r="I575" t="s">
        <v>25</v>
      </c>
      <c r="J575" t="s">
        <v>870</v>
      </c>
      <c r="K575">
        <v>17</v>
      </c>
      <c r="L575">
        <v>8</v>
      </c>
      <c r="M575">
        <v>2025</v>
      </c>
      <c r="N575" t="s">
        <v>44</v>
      </c>
      <c r="O575">
        <v>60</v>
      </c>
      <c r="P575">
        <v>60</v>
      </c>
      <c r="R575" s="3" t="str">
        <f>HYPERLINK("https://panda.att.com.mx/ODKServer/view/binaryData?blobKey=FSSuministroFluidosv3%5B%40version%3Dnull+and+%40uiVersion%3Dnull%5D%2Fdata%5B%40key%3Duuid%3Ac9a702b0-6fdd-432b-9197-edfa05a559cf%5D%2FgroupInfoFuel%5B%40ordinal%3D1%5D%2FpicFuelRecibeInterno","Descargar")</f>
        <v>Descargar</v>
      </c>
    </row>
    <row r="576" spans="1:18" x14ac:dyDescent="0.3">
      <c r="A576">
        <v>1599003</v>
      </c>
      <c r="B576" t="s">
        <v>18</v>
      </c>
      <c r="C576" t="s">
        <v>55</v>
      </c>
      <c r="D576" t="s">
        <v>288</v>
      </c>
      <c r="E576" t="s">
        <v>554</v>
      </c>
      <c r="F576" t="s">
        <v>22</v>
      </c>
      <c r="G576" t="s">
        <v>23</v>
      </c>
      <c r="H576" t="s">
        <v>58</v>
      </c>
      <c r="I576" t="s">
        <v>25</v>
      </c>
      <c r="J576" t="s">
        <v>871</v>
      </c>
      <c r="K576">
        <v>18</v>
      </c>
      <c r="L576">
        <v>8</v>
      </c>
      <c r="M576">
        <v>2025</v>
      </c>
      <c r="N576" t="s">
        <v>27</v>
      </c>
      <c r="O576">
        <v>300</v>
      </c>
      <c r="P576">
        <v>300</v>
      </c>
      <c r="R576" s="3" t="str">
        <f>HYPERLINK("https://panda.att.com.mx/ODKServer/view/binaryData?blobKey=FSSuministroFluidosv3%5B%40version%3Dnull+and+%40uiVersion%3Dnull%5D%2Fdata%5B%40key%3Duuid%3A65848d17-a3de-4d4f-b885-5494472166f1%5D%2FgroupInfoFuel%5B%40ordinal%3D1%5D%2FpicFuelRecibeInterno","Descargar")</f>
        <v>Descargar</v>
      </c>
    </row>
    <row r="577" spans="1:18" x14ac:dyDescent="0.3">
      <c r="A577">
        <v>1600722</v>
      </c>
      <c r="B577" t="s">
        <v>18</v>
      </c>
      <c r="C577" t="s">
        <v>68</v>
      </c>
      <c r="D577" t="s">
        <v>872</v>
      </c>
      <c r="E577" t="s">
        <v>873</v>
      </c>
      <c r="F577" t="s">
        <v>22</v>
      </c>
      <c r="G577" t="s">
        <v>23</v>
      </c>
      <c r="H577" t="s">
        <v>37</v>
      </c>
      <c r="I577" t="s">
        <v>25</v>
      </c>
      <c r="J577" t="s">
        <v>874</v>
      </c>
      <c r="K577">
        <v>19</v>
      </c>
      <c r="L577">
        <v>8</v>
      </c>
      <c r="M577">
        <v>2025</v>
      </c>
      <c r="N577" t="s">
        <v>27</v>
      </c>
      <c r="O577">
        <v>280</v>
      </c>
      <c r="P577">
        <v>280</v>
      </c>
      <c r="R577" s="3" t="str">
        <f>HYPERLINK("https://panda.att.com.mx/ODKServer/view/binaryData?blobKey=FSSuministroFluidosv3%5B%40version%3Dnull+and+%40uiVersion%3Dnull%5D%2Fdata%5B%40key%3Duuid%3Ac541408a-114d-4656-80f1-3243bc0711f5%5D%2FgroupInfoFuel%5B%40ordinal%3D1%5D%2FpicFuelRecibeInterno","Descargar")</f>
        <v>Descargar</v>
      </c>
    </row>
    <row r="578" spans="1:18" x14ac:dyDescent="0.3">
      <c r="A578">
        <v>1600687</v>
      </c>
      <c r="B578" t="s">
        <v>18</v>
      </c>
      <c r="C578" t="s">
        <v>167</v>
      </c>
      <c r="D578" t="s">
        <v>168</v>
      </c>
      <c r="E578" t="s">
        <v>875</v>
      </c>
      <c r="F578" t="s">
        <v>22</v>
      </c>
      <c r="G578" t="s">
        <v>23</v>
      </c>
      <c r="H578" t="s">
        <v>58</v>
      </c>
      <c r="I578" t="s">
        <v>25</v>
      </c>
      <c r="J578" t="s">
        <v>876</v>
      </c>
      <c r="K578">
        <v>19</v>
      </c>
      <c r="L578">
        <v>8</v>
      </c>
      <c r="M578">
        <v>2025</v>
      </c>
      <c r="N578" t="s">
        <v>27</v>
      </c>
      <c r="O578">
        <v>80</v>
      </c>
      <c r="P578">
        <v>80</v>
      </c>
      <c r="R578" s="3" t="str">
        <f>HYPERLINK("https://panda.att.com.mx/ODKServer/view/binaryData?blobKey=FSSuministroFluidosv3%5B%40version%3Dnull+and+%40uiVersion%3Dnull%5D%2Fdata%5B%40key%3Duuid%3Aaccbc0fd-6ef7-40dc-8571-1fb59ddb6549%5D%2FgroupInfoFuel%5B%40ordinal%3D1%5D%2FpicFuelRecibeInterno","Descargar")</f>
        <v>Descargar</v>
      </c>
    </row>
    <row r="579" spans="1:18" x14ac:dyDescent="0.3">
      <c r="A579">
        <v>1600661</v>
      </c>
      <c r="B579" t="s">
        <v>18</v>
      </c>
      <c r="C579" t="s">
        <v>28</v>
      </c>
      <c r="D579" t="s">
        <v>181</v>
      </c>
      <c r="E579" t="s">
        <v>877</v>
      </c>
      <c r="F579" t="s">
        <v>22</v>
      </c>
      <c r="G579" t="s">
        <v>23</v>
      </c>
      <c r="H579" t="s">
        <v>24</v>
      </c>
      <c r="I579" t="s">
        <v>25</v>
      </c>
      <c r="J579" t="s">
        <v>878</v>
      </c>
      <c r="K579">
        <v>1</v>
      </c>
      <c r="L579">
        <v>8</v>
      </c>
      <c r="M579">
        <v>2025</v>
      </c>
      <c r="N579" t="s">
        <v>44</v>
      </c>
      <c r="O579">
        <v>50</v>
      </c>
      <c r="P579">
        <v>50</v>
      </c>
      <c r="R579" s="3" t="str">
        <f>HYPERLINK("https://panda.att.com.mx/ODKServer/view/binaryData?blobKey=FSSuministroFluidosv3%5B%40version%3Dnull+and+%40uiVersion%3Dnull%5D%2Fdata%5B%40key%3Duuid%3A8f99ec9a-96ea-4bbc-83b5-06fa60140432%5D%2FgroupInfoFuel%5B%40ordinal%3D1%5D%2FpicFuelRecibeInterno","Descargar")</f>
        <v>Descargar</v>
      </c>
    </row>
    <row r="580" spans="1:18" x14ac:dyDescent="0.3">
      <c r="A580">
        <v>1600644</v>
      </c>
      <c r="B580" t="s">
        <v>18</v>
      </c>
      <c r="C580" t="s">
        <v>28</v>
      </c>
      <c r="D580" t="s">
        <v>261</v>
      </c>
      <c r="E580" t="s">
        <v>879</v>
      </c>
      <c r="F580" t="s">
        <v>22</v>
      </c>
      <c r="G580" t="s">
        <v>23</v>
      </c>
      <c r="H580" t="s">
        <v>37</v>
      </c>
      <c r="I580" t="s">
        <v>25</v>
      </c>
      <c r="J580" t="s">
        <v>880</v>
      </c>
      <c r="K580">
        <v>18</v>
      </c>
      <c r="L580">
        <v>8</v>
      </c>
      <c r="M580">
        <v>2025</v>
      </c>
      <c r="N580" t="s">
        <v>44</v>
      </c>
      <c r="O580">
        <v>60</v>
      </c>
      <c r="P580">
        <v>60</v>
      </c>
      <c r="R580" s="3" t="str">
        <f>HYPERLINK("https://panda.att.com.mx/ODKServer/view/binaryData?blobKey=FSSuministroFluidosv3%5B%40version%3Dnull+and+%40uiVersion%3Dnull%5D%2Fdata%5B%40key%3Duuid%3A337af18d-f499-4621-b8a5-9e2b2f857061%5D%2FgroupInfoFuel%5B%40ordinal%3D1%5D%2FpicFuelRecibeInterno","Descargar")</f>
        <v>Descargar</v>
      </c>
    </row>
    <row r="581" spans="1:18" x14ac:dyDescent="0.3">
      <c r="A581">
        <v>1600588</v>
      </c>
      <c r="B581" t="s">
        <v>18</v>
      </c>
      <c r="C581" t="s">
        <v>55</v>
      </c>
      <c r="D581" t="s">
        <v>366</v>
      </c>
      <c r="E581" t="s">
        <v>881</v>
      </c>
      <c r="F581" t="s">
        <v>22</v>
      </c>
      <c r="G581" t="s">
        <v>23</v>
      </c>
      <c r="H581" t="s">
        <v>58</v>
      </c>
      <c r="I581" t="s">
        <v>25</v>
      </c>
      <c r="J581" t="s">
        <v>882</v>
      </c>
      <c r="K581">
        <v>19</v>
      </c>
      <c r="L581">
        <v>8</v>
      </c>
      <c r="M581">
        <v>2025</v>
      </c>
      <c r="N581" t="s">
        <v>27</v>
      </c>
      <c r="O581">
        <v>150</v>
      </c>
      <c r="P581">
        <v>150</v>
      </c>
      <c r="R581" s="3" t="str">
        <f>HYPERLINK("https://panda.att.com.mx/ODKServer/view/binaryData?blobKey=FSSuministroFluidosv3%5B%40version%3Dnull+and+%40uiVersion%3Dnull%5D%2Fdata%5B%40key%3Duuid%3A5395fe1c-4bff-4559-bcc5-65567573e426%5D%2FgroupInfoFuel%5B%40ordinal%3D1%5D%2FpicFuelRecibeInterno","Descargar")</f>
        <v>Descargar</v>
      </c>
    </row>
    <row r="582" spans="1:18" x14ac:dyDescent="0.3">
      <c r="A582">
        <v>1600587</v>
      </c>
      <c r="B582" t="s">
        <v>18</v>
      </c>
      <c r="C582" t="s">
        <v>55</v>
      </c>
      <c r="D582" t="s">
        <v>366</v>
      </c>
      <c r="E582" t="s">
        <v>367</v>
      </c>
      <c r="F582" t="s">
        <v>22</v>
      </c>
      <c r="G582" t="s">
        <v>23</v>
      </c>
      <c r="H582" t="s">
        <v>58</v>
      </c>
      <c r="I582" t="s">
        <v>25</v>
      </c>
      <c r="J582" t="s">
        <v>883</v>
      </c>
      <c r="K582">
        <v>18</v>
      </c>
      <c r="L582">
        <v>8</v>
      </c>
      <c r="M582">
        <v>2025</v>
      </c>
      <c r="N582" t="s">
        <v>27</v>
      </c>
      <c r="O582">
        <v>100</v>
      </c>
      <c r="P582">
        <v>100</v>
      </c>
      <c r="R582" s="3" t="str">
        <f>HYPERLINK("https://panda.att.com.mx/ODKServer/view/binaryData?blobKey=FSSuministroFluidosv3%5B%40version%3Dnull+and+%40uiVersion%3Dnull%5D%2Fdata%5B%40key%3Duuid%3A958b7cf5-1fba-4564-8b06-eb9d519ecc4b%5D%2FgroupInfoFuel%5B%40ordinal%3D1%5D%2FpicFuelRecibeInterno","Descargar")</f>
        <v>Descargar</v>
      </c>
    </row>
    <row r="583" spans="1:18" x14ac:dyDescent="0.3">
      <c r="A583">
        <v>1600564</v>
      </c>
      <c r="B583" t="s">
        <v>18</v>
      </c>
      <c r="C583" t="s">
        <v>34</v>
      </c>
      <c r="D583" t="s">
        <v>53</v>
      </c>
      <c r="E583" t="s">
        <v>649</v>
      </c>
      <c r="F583" t="s">
        <v>22</v>
      </c>
      <c r="G583" t="s">
        <v>23</v>
      </c>
      <c r="H583" t="s">
        <v>37</v>
      </c>
      <c r="I583" t="s">
        <v>25</v>
      </c>
      <c r="J583" t="s">
        <v>884</v>
      </c>
      <c r="K583">
        <v>19</v>
      </c>
      <c r="L583">
        <v>8</v>
      </c>
      <c r="M583">
        <v>2025</v>
      </c>
      <c r="N583" t="s">
        <v>27</v>
      </c>
      <c r="O583">
        <v>180</v>
      </c>
      <c r="P583">
        <v>180</v>
      </c>
      <c r="R583" s="3" t="str">
        <f>HYPERLINK("https://panda.att.com.mx/ODKServer/view/binaryData?blobKey=FSSuministroFluidosv3%5B%40version%3Dnull+and+%40uiVersion%3Dnull%5D%2Fdata%5B%40key%3Duuid%3A6f70c81e-6ddf-41c8-9da6-c09ae3935028%5D%2FgroupInfoFuel%5B%40ordinal%3D1%5D%2FpicFuelRecibeInterno","Descargar")</f>
        <v>Descargar</v>
      </c>
    </row>
    <row r="584" spans="1:18" x14ac:dyDescent="0.3">
      <c r="A584">
        <v>1600563</v>
      </c>
      <c r="B584" t="s">
        <v>18</v>
      </c>
      <c r="C584" t="s">
        <v>55</v>
      </c>
      <c r="D584" t="s">
        <v>89</v>
      </c>
      <c r="E584" t="s">
        <v>885</v>
      </c>
      <c r="F584" t="s">
        <v>22</v>
      </c>
      <c r="G584" t="s">
        <v>23</v>
      </c>
      <c r="H584" t="s">
        <v>58</v>
      </c>
      <c r="I584" t="s">
        <v>25</v>
      </c>
      <c r="J584" t="s">
        <v>886</v>
      </c>
      <c r="K584">
        <v>19</v>
      </c>
      <c r="L584">
        <v>8</v>
      </c>
      <c r="M584">
        <v>2025</v>
      </c>
      <c r="N584" t="s">
        <v>27</v>
      </c>
      <c r="O584">
        <v>200</v>
      </c>
      <c r="P584">
        <v>200</v>
      </c>
      <c r="R584" s="3" t="str">
        <f>HYPERLINK("https://panda.att.com.mx/ODKServer/view/binaryData?blobKey=FSSuministroFluidosv3%5B%40version%3Dnull+and+%40uiVersion%3Dnull%5D%2Fdata%5B%40key%3Duuid%3A29a8c63c-51fe-4813-a49e-0bbcc1a3778b%5D%2FgroupInfoFuel%5B%40ordinal%3D1%5D%2FpicFuelRecibeInterno","Descargar")</f>
        <v>Descargar</v>
      </c>
    </row>
    <row r="585" spans="1:18" x14ac:dyDescent="0.3">
      <c r="A585">
        <v>1600471</v>
      </c>
      <c r="B585" t="s">
        <v>18</v>
      </c>
      <c r="C585" t="s">
        <v>55</v>
      </c>
      <c r="D585" t="s">
        <v>887</v>
      </c>
      <c r="E585" t="s">
        <v>888</v>
      </c>
      <c r="F585" t="s">
        <v>22</v>
      </c>
      <c r="G585" t="s">
        <v>23</v>
      </c>
      <c r="H585" t="s">
        <v>58</v>
      </c>
      <c r="I585" t="s">
        <v>25</v>
      </c>
      <c r="J585" t="s">
        <v>889</v>
      </c>
      <c r="K585">
        <v>19</v>
      </c>
      <c r="L585">
        <v>8</v>
      </c>
      <c r="M585">
        <v>2025</v>
      </c>
      <c r="N585" t="s">
        <v>27</v>
      </c>
      <c r="O585">
        <v>240</v>
      </c>
      <c r="P585">
        <v>240</v>
      </c>
      <c r="R585" s="3" t="str">
        <f>HYPERLINK("https://panda.att.com.mx/ODKServer/view/binaryData?blobKey=FSSuministroFluidosv3%5B%40version%3Dnull+and+%40uiVersion%3Dnull%5D%2Fdata%5B%40key%3Duuid%3Af0f2044a-f33d-4846-96be-8fd3d8053386%5D%2FgroupInfoFuel%5B%40ordinal%3D1%5D%2FpicFuelRecibeInterno","Descargar")</f>
        <v>Descargar</v>
      </c>
    </row>
    <row r="586" spans="1:18" x14ac:dyDescent="0.3">
      <c r="A586">
        <v>1600470</v>
      </c>
      <c r="B586" t="s">
        <v>18</v>
      </c>
      <c r="C586" t="s">
        <v>150</v>
      </c>
      <c r="D586" t="s">
        <v>230</v>
      </c>
      <c r="E586" t="s">
        <v>890</v>
      </c>
      <c r="F586" t="s">
        <v>22</v>
      </c>
      <c r="G586" t="s">
        <v>23</v>
      </c>
      <c r="H586" t="s">
        <v>58</v>
      </c>
      <c r="I586" t="s">
        <v>25</v>
      </c>
      <c r="J586" t="s">
        <v>891</v>
      </c>
      <c r="K586">
        <v>19</v>
      </c>
      <c r="L586">
        <v>8</v>
      </c>
      <c r="M586">
        <v>2025</v>
      </c>
      <c r="N586" t="s">
        <v>27</v>
      </c>
      <c r="O586">
        <v>220</v>
      </c>
      <c r="P586">
        <v>220</v>
      </c>
      <c r="R586" s="3" t="str">
        <f>HYPERLINK("https://panda.att.com.mx/ODKServer/view/binaryData?blobKey=FSSuministroFluidosv3%5B%40version%3Dnull+and+%40uiVersion%3Dnull%5D%2Fdata%5B%40key%3Duuid%3Ac5f30d10-687b-42a4-b103-adef2222b229%5D%2FgroupInfoFuel%5B%40ordinal%3D1%5D%2FpicFuelRecibeInterno","Descargar")</f>
        <v>Descargar</v>
      </c>
    </row>
    <row r="587" spans="1:18" x14ac:dyDescent="0.3">
      <c r="A587">
        <v>1600395</v>
      </c>
      <c r="B587" t="s">
        <v>18</v>
      </c>
      <c r="C587" t="s">
        <v>68</v>
      </c>
      <c r="D587" t="s">
        <v>91</v>
      </c>
      <c r="E587" t="s">
        <v>127</v>
      </c>
      <c r="F587" t="s">
        <v>22</v>
      </c>
      <c r="G587" t="s">
        <v>23</v>
      </c>
      <c r="H587" t="s">
        <v>37</v>
      </c>
      <c r="I587" t="s">
        <v>25</v>
      </c>
      <c r="J587" t="s">
        <v>892</v>
      </c>
      <c r="K587">
        <v>19</v>
      </c>
      <c r="L587">
        <v>8</v>
      </c>
      <c r="M587">
        <v>2025</v>
      </c>
      <c r="N587" t="s">
        <v>27</v>
      </c>
      <c r="O587">
        <v>300</v>
      </c>
      <c r="Q587">
        <v>300</v>
      </c>
      <c r="R587" s="3" t="str">
        <f>HYPERLINK("https://panda.att.com.mx/ODKServer/view/binaryData?blobKey=FSSuministroFluidosv3%5B%40version%3Dnull+and+%40uiVersion%3Dnull%5D%2Fdata%5B%40key%3Duuid%3A39b263b8-8e45-4336-ab1c-69dbece91696%5D%2FgroupInfoFuel%5B%40ordinal%3D1%5D%2FpicFuelRecibeInterno","Descargar")</f>
        <v>Descargar</v>
      </c>
    </row>
    <row r="588" spans="1:18" x14ac:dyDescent="0.3">
      <c r="A588">
        <v>1600259</v>
      </c>
      <c r="B588" t="s">
        <v>18</v>
      </c>
      <c r="C588" t="s">
        <v>34</v>
      </c>
      <c r="D588" t="s">
        <v>71</v>
      </c>
      <c r="E588" t="s">
        <v>72</v>
      </c>
      <c r="F588" t="s">
        <v>22</v>
      </c>
      <c r="G588" t="s">
        <v>23</v>
      </c>
      <c r="H588" t="s">
        <v>37</v>
      </c>
      <c r="I588" t="s">
        <v>25</v>
      </c>
      <c r="J588" t="s">
        <v>893</v>
      </c>
      <c r="K588">
        <v>19</v>
      </c>
      <c r="L588">
        <v>8</v>
      </c>
      <c r="M588">
        <v>2025</v>
      </c>
      <c r="N588" t="s">
        <v>27</v>
      </c>
      <c r="O588">
        <v>500</v>
      </c>
      <c r="P588">
        <v>500</v>
      </c>
      <c r="R588" s="3" t="str">
        <f>HYPERLINK("https://panda.att.com.mx/ODKServer/view/binaryData?blobKey=FSSuministroFluidosv3%5B%40version%3Dnull+and+%40uiVersion%3Dnull%5D%2Fdata%5B%40key%3Duuid%3A785e497c-282d-4f9f-8ab3-56e6fd63603e%5D%2FgroupInfoFuel%5B%40ordinal%3D1%5D%2FpicFuelRecibeInterno","Descargar")</f>
        <v>Descargar</v>
      </c>
    </row>
    <row r="589" spans="1:18" x14ac:dyDescent="0.3">
      <c r="A589">
        <v>1600258</v>
      </c>
      <c r="B589" t="s">
        <v>18</v>
      </c>
      <c r="C589" t="s">
        <v>100</v>
      </c>
      <c r="D589" t="s">
        <v>101</v>
      </c>
      <c r="E589" t="s">
        <v>102</v>
      </c>
      <c r="F589" t="s">
        <v>22</v>
      </c>
      <c r="G589" t="s">
        <v>83</v>
      </c>
      <c r="H589" t="s">
        <v>58</v>
      </c>
      <c r="I589" t="s">
        <v>25</v>
      </c>
      <c r="J589" t="s">
        <v>894</v>
      </c>
      <c r="K589">
        <v>19</v>
      </c>
      <c r="L589">
        <v>8</v>
      </c>
      <c r="M589">
        <v>2025</v>
      </c>
      <c r="N589" t="s">
        <v>44</v>
      </c>
      <c r="O589">
        <v>60</v>
      </c>
      <c r="P589">
        <v>60</v>
      </c>
      <c r="R589" s="3" t="str">
        <f>HYPERLINK("https://panda.att.com.mx/ODKServer/view/binaryData?blobKey=FSSuministroFluidosv3%5B%40version%3Dnull+and+%40uiVersion%3Dnull%5D%2Fdata%5B%40key%3Duuid%3Aceedce72-65b6-4284-93fa-de0ea92551eb%5D%2FgroupInfoFuel%5B%40ordinal%3D1%5D%2FpicFuelRecibeInterno","Descargar")</f>
        <v>Descargar</v>
      </c>
    </row>
    <row r="590" spans="1:18" x14ac:dyDescent="0.3">
      <c r="A590">
        <v>1600238</v>
      </c>
      <c r="B590" t="s">
        <v>18</v>
      </c>
      <c r="C590" t="s">
        <v>28</v>
      </c>
      <c r="D590" t="s">
        <v>895</v>
      </c>
      <c r="E590" t="s">
        <v>896</v>
      </c>
      <c r="F590" t="s">
        <v>22</v>
      </c>
      <c r="G590" t="s">
        <v>23</v>
      </c>
      <c r="H590" t="s">
        <v>24</v>
      </c>
      <c r="I590" t="s">
        <v>25</v>
      </c>
      <c r="J590" t="s">
        <v>897</v>
      </c>
      <c r="K590">
        <v>9</v>
      </c>
      <c r="L590">
        <v>8</v>
      </c>
      <c r="M590">
        <v>2025</v>
      </c>
      <c r="N590" t="s">
        <v>27</v>
      </c>
      <c r="O590">
        <v>300</v>
      </c>
      <c r="Q590">
        <v>300</v>
      </c>
      <c r="R590" s="3" t="str">
        <f>HYPERLINK("https://panda.att.com.mx/ODKServer/view/binaryData?blobKey=FSSuministroFluidosv3%5B%40version%3Dnull+and+%40uiVersion%3Dnull%5D%2Fdata%5B%40key%3Duuid%3A84a012da-fcda-4da6-8fa0-d0a9453da28a%5D%2FgroupInfoFuel%5B%40ordinal%3D1%5D%2FpicFuelRecibeInterno","Descargar")</f>
        <v>Descargar</v>
      </c>
    </row>
    <row r="591" spans="1:18" x14ac:dyDescent="0.3">
      <c r="A591">
        <v>1600214</v>
      </c>
      <c r="B591" t="s">
        <v>18</v>
      </c>
      <c r="C591" t="s">
        <v>100</v>
      </c>
      <c r="D591" t="s">
        <v>101</v>
      </c>
      <c r="E591" t="s">
        <v>102</v>
      </c>
      <c r="F591" t="s">
        <v>22</v>
      </c>
      <c r="G591" t="s">
        <v>83</v>
      </c>
      <c r="H591" t="s">
        <v>58</v>
      </c>
      <c r="I591" t="s">
        <v>25</v>
      </c>
      <c r="J591" t="s">
        <v>898</v>
      </c>
      <c r="K591">
        <v>19</v>
      </c>
      <c r="L591">
        <v>8</v>
      </c>
      <c r="M591">
        <v>2025</v>
      </c>
      <c r="N591" t="s">
        <v>44</v>
      </c>
      <c r="O591">
        <v>60</v>
      </c>
      <c r="P591">
        <v>60</v>
      </c>
      <c r="R591" s="3" t="str">
        <f>HYPERLINK("https://panda.att.com.mx/ODKServer/view/binaryData?blobKey=FSSuministroFluidosv3%5B%40version%3Dnull+and+%40uiVersion%3Dnull%5D%2Fdata%5B%40key%3Duuid%3A57ebfc6c-f46c-417b-84a8-ad53f5501d20%5D%2FgroupInfoFuel%5B%40ordinal%3D1%5D%2FpicFuelRecibeInterno","Descargar")</f>
        <v>Descargar</v>
      </c>
    </row>
    <row r="592" spans="1:18" x14ac:dyDescent="0.3">
      <c r="A592">
        <v>1600129</v>
      </c>
      <c r="B592" t="s">
        <v>18</v>
      </c>
      <c r="C592" t="s">
        <v>55</v>
      </c>
      <c r="D592" t="s">
        <v>56</v>
      </c>
      <c r="E592" t="s">
        <v>320</v>
      </c>
      <c r="F592" t="s">
        <v>22</v>
      </c>
      <c r="G592" t="s">
        <v>23</v>
      </c>
      <c r="H592" t="s">
        <v>58</v>
      </c>
      <c r="I592" t="s">
        <v>25</v>
      </c>
      <c r="J592" t="s">
        <v>899</v>
      </c>
      <c r="K592">
        <v>18</v>
      </c>
      <c r="L592">
        <v>8</v>
      </c>
      <c r="M592">
        <v>2025</v>
      </c>
      <c r="N592" t="s">
        <v>27</v>
      </c>
      <c r="O592">
        <v>150</v>
      </c>
      <c r="P592">
        <v>150</v>
      </c>
      <c r="R592" s="3" t="str">
        <f>HYPERLINK("https://panda.att.com.mx/ODKServer/view/binaryData?blobKey=FSSuministroFluidosv3%5B%40version%3Dnull+and+%40uiVersion%3Dnull%5D%2Fdata%5B%40key%3Duuid%3Adf6fc9dc-3c3a-43ea-b232-e37f9fc7d4fb%5D%2FgroupInfoFuel%5B%40ordinal%3D1%5D%2FpicFuelRecibeInterno","Descargar")</f>
        <v>Descargar</v>
      </c>
    </row>
    <row r="593" spans="1:18" x14ac:dyDescent="0.3">
      <c r="A593">
        <v>1600115</v>
      </c>
      <c r="B593" t="s">
        <v>18</v>
      </c>
      <c r="C593" t="s">
        <v>55</v>
      </c>
      <c r="D593" t="s">
        <v>56</v>
      </c>
      <c r="E593" t="s">
        <v>105</v>
      </c>
      <c r="F593" t="s">
        <v>22</v>
      </c>
      <c r="G593" t="s">
        <v>23</v>
      </c>
      <c r="H593" t="s">
        <v>58</v>
      </c>
      <c r="I593" t="s">
        <v>25</v>
      </c>
      <c r="J593" t="s">
        <v>900</v>
      </c>
      <c r="K593">
        <v>19</v>
      </c>
      <c r="L593">
        <v>8</v>
      </c>
      <c r="M593">
        <v>2025</v>
      </c>
      <c r="N593" t="s">
        <v>27</v>
      </c>
      <c r="O593">
        <v>300</v>
      </c>
      <c r="P593">
        <v>300</v>
      </c>
      <c r="R593" s="3" t="str">
        <f>HYPERLINK("https://panda.att.com.mx/ODKServer/view/binaryData?blobKey=FSSuministroFluidosv3%5B%40version%3Dnull+and+%40uiVersion%3Dnull%5D%2Fdata%5B%40key%3Duuid%3A1b9cd62a-b3ec-4572-ad4d-3d11fd0ff619%5D%2FgroupInfoFuel%5B%40ordinal%3D1%5D%2FpicFuelRecibeInterno","Descargar")</f>
        <v>Descargar</v>
      </c>
    </row>
    <row r="594" spans="1:18" x14ac:dyDescent="0.3">
      <c r="A594">
        <v>1600094</v>
      </c>
      <c r="B594" t="s">
        <v>18</v>
      </c>
      <c r="C594" t="s">
        <v>34</v>
      </c>
      <c r="D594" t="s">
        <v>292</v>
      </c>
      <c r="E594" t="s">
        <v>293</v>
      </c>
      <c r="F594" t="s">
        <v>22</v>
      </c>
      <c r="G594" t="s">
        <v>23</v>
      </c>
      <c r="H594" t="s">
        <v>37</v>
      </c>
      <c r="I594" t="s">
        <v>25</v>
      </c>
      <c r="J594" t="s">
        <v>901</v>
      </c>
      <c r="K594">
        <v>19</v>
      </c>
      <c r="L594">
        <v>8</v>
      </c>
      <c r="M594">
        <v>2025</v>
      </c>
      <c r="N594" t="s">
        <v>27</v>
      </c>
      <c r="O594">
        <v>600</v>
      </c>
      <c r="P594">
        <v>600</v>
      </c>
      <c r="R594" s="3" t="str">
        <f>HYPERLINK("https://panda.att.com.mx/ODKServer/view/binaryData?blobKey=FSSuministroFluidosv3%5B%40version%3Dnull+and+%40uiVersion%3Dnull%5D%2Fdata%5B%40key%3Duuid%3Aa05a2985-2182-442e-8f37-05975269f667%5D%2FgroupInfoFuel%5B%40ordinal%3D1%5D%2FpicFuelRecibeInterno","Descargar")</f>
        <v>Descargar</v>
      </c>
    </row>
    <row r="595" spans="1:18" x14ac:dyDescent="0.3">
      <c r="A595">
        <v>1600032</v>
      </c>
      <c r="B595" t="s">
        <v>18</v>
      </c>
      <c r="C595" t="s">
        <v>34</v>
      </c>
      <c r="D595" t="s">
        <v>53</v>
      </c>
      <c r="E595" t="s">
        <v>299</v>
      </c>
      <c r="F595" t="s">
        <v>22</v>
      </c>
      <c r="G595" t="s">
        <v>23</v>
      </c>
      <c r="H595" t="s">
        <v>24</v>
      </c>
      <c r="I595" t="s">
        <v>25</v>
      </c>
      <c r="J595" t="s">
        <v>902</v>
      </c>
      <c r="K595">
        <v>18</v>
      </c>
      <c r="L595">
        <v>8</v>
      </c>
      <c r="M595">
        <v>2025</v>
      </c>
      <c r="N595" t="s">
        <v>27</v>
      </c>
      <c r="O595">
        <v>500</v>
      </c>
      <c r="Q595">
        <v>500</v>
      </c>
      <c r="R595" s="3" t="str">
        <f>HYPERLINK("https://panda.att.com.mx/ODKServer/view/binaryData?blobKey=FSSuministroFluidosv3%5B%40version%3Dnull+and+%40uiVersion%3Dnull%5D%2Fdata%5B%40key%3Duuid%3A24dd686b-e39b-4859-b66d-550f37cc57d6%5D%2FgroupInfoFuel%5B%40ordinal%3D1%5D%2FpicFuelRecibeInterno","Descargar")</f>
        <v>Descargar</v>
      </c>
    </row>
    <row r="596" spans="1:18" x14ac:dyDescent="0.3">
      <c r="A596">
        <v>1599874</v>
      </c>
      <c r="B596" t="s">
        <v>18</v>
      </c>
      <c r="C596" t="s">
        <v>19</v>
      </c>
      <c r="D596" t="s">
        <v>45</v>
      </c>
      <c r="E596" t="s">
        <v>903</v>
      </c>
      <c r="F596" t="s">
        <v>22</v>
      </c>
      <c r="G596" t="s">
        <v>23</v>
      </c>
      <c r="H596" t="s">
        <v>24</v>
      </c>
      <c r="I596" t="s">
        <v>25</v>
      </c>
      <c r="J596" t="s">
        <v>904</v>
      </c>
      <c r="K596">
        <v>16</v>
      </c>
      <c r="L596">
        <v>8</v>
      </c>
      <c r="M596">
        <v>2025</v>
      </c>
      <c r="N596" t="s">
        <v>27</v>
      </c>
      <c r="O596">
        <v>100</v>
      </c>
      <c r="P596">
        <v>100</v>
      </c>
      <c r="R596" s="3" t="str">
        <f>HYPERLINK("https://panda.att.com.mx/ODKServer/view/binaryData?blobKey=FSSuministroFluidosv3%5B%40version%3Dnull+and+%40uiVersion%3Dnull%5D%2Fdata%5B%40key%3Duuid%3Aa7cffe83-f952-433e-aeab-b54022d52596%5D%2FgroupInfoFuel%5B%40ordinal%3D1%5D%2FpicFuelRecibeInterno","Descargar")</f>
        <v>Descargar</v>
      </c>
    </row>
    <row r="597" spans="1:18" x14ac:dyDescent="0.3">
      <c r="A597">
        <v>1599849</v>
      </c>
      <c r="B597" t="s">
        <v>18</v>
      </c>
      <c r="C597" t="s">
        <v>19</v>
      </c>
      <c r="D597" t="s">
        <v>45</v>
      </c>
      <c r="E597" t="s">
        <v>905</v>
      </c>
      <c r="F597" t="s">
        <v>22</v>
      </c>
      <c r="G597" t="s">
        <v>23</v>
      </c>
      <c r="H597" t="s">
        <v>24</v>
      </c>
      <c r="I597" t="s">
        <v>25</v>
      </c>
      <c r="J597" t="s">
        <v>906</v>
      </c>
      <c r="K597">
        <v>13</v>
      </c>
      <c r="L597">
        <v>8</v>
      </c>
      <c r="M597">
        <v>2025</v>
      </c>
      <c r="N597" t="s">
        <v>27</v>
      </c>
      <c r="O597">
        <v>200</v>
      </c>
      <c r="P597">
        <v>200</v>
      </c>
      <c r="R597" s="3" t="str">
        <f>HYPERLINK("https://panda.att.com.mx/ODKServer/view/binaryData?blobKey=FSSuministroFluidosv3%5B%40version%3Dnull+and+%40uiVersion%3Dnull%5D%2Fdata%5B%40key%3Duuid%3A0f8164c7-e1b1-4422-9b58-85634a5c82ca%5D%2FgroupInfoFuel%5B%40ordinal%3D1%5D%2FpicFuelRecibeInterno","Descargar")</f>
        <v>Descargar</v>
      </c>
    </row>
    <row r="598" spans="1:18" x14ac:dyDescent="0.3">
      <c r="A598">
        <v>1599842</v>
      </c>
      <c r="B598" t="s">
        <v>18</v>
      </c>
      <c r="C598" t="s">
        <v>19</v>
      </c>
      <c r="D598" t="s">
        <v>347</v>
      </c>
      <c r="E598" t="s">
        <v>353</v>
      </c>
      <c r="F598" t="s">
        <v>22</v>
      </c>
      <c r="G598" t="s">
        <v>23</v>
      </c>
      <c r="H598" t="s">
        <v>24</v>
      </c>
      <c r="I598" t="s">
        <v>25</v>
      </c>
      <c r="J598" t="s">
        <v>907</v>
      </c>
      <c r="K598">
        <v>15</v>
      </c>
      <c r="L598">
        <v>8</v>
      </c>
      <c r="M598">
        <v>2025</v>
      </c>
      <c r="N598" t="s">
        <v>27</v>
      </c>
      <c r="O598">
        <v>300</v>
      </c>
      <c r="P598">
        <v>300</v>
      </c>
      <c r="R598" s="3" t="str">
        <f>HYPERLINK("https://panda.att.com.mx/ODKServer/view/binaryData?blobKey=FSSuministroFluidosv3%5B%40version%3Dnull+and+%40uiVersion%3Dnull%5D%2Fdata%5B%40key%3Duuid%3A2b749fe4-3ade-4c12-abb5-cb4ee004a04f%5D%2FgroupInfoFuel%5B%40ordinal%3D1%5D%2FpicFuelRecibeInterno","Descargar")</f>
        <v>Descargar</v>
      </c>
    </row>
    <row r="599" spans="1:18" x14ac:dyDescent="0.3">
      <c r="A599">
        <v>1599833</v>
      </c>
      <c r="B599" t="s">
        <v>18</v>
      </c>
      <c r="C599" t="s">
        <v>19</v>
      </c>
      <c r="D599" t="s">
        <v>347</v>
      </c>
      <c r="E599" t="s">
        <v>353</v>
      </c>
      <c r="F599" t="s">
        <v>22</v>
      </c>
      <c r="G599" t="s">
        <v>23</v>
      </c>
      <c r="H599" t="s">
        <v>24</v>
      </c>
      <c r="I599" t="s">
        <v>25</v>
      </c>
      <c r="J599" t="s">
        <v>908</v>
      </c>
      <c r="K599">
        <v>12</v>
      </c>
      <c r="L599">
        <v>8</v>
      </c>
      <c r="M599">
        <v>2025</v>
      </c>
      <c r="N599" t="s">
        <v>27</v>
      </c>
      <c r="O599">
        <v>300</v>
      </c>
      <c r="P599">
        <v>300</v>
      </c>
      <c r="R599" s="3" t="str">
        <f>HYPERLINK("https://panda.att.com.mx/ODKServer/view/binaryData?blobKey=FSSuministroFluidosv3%5B%40version%3Dnull+and+%40uiVersion%3Dnull%5D%2Fdata%5B%40key%3Duuid%3Af37945a5-0d69-44be-bf2b-9ec1cd243dcb%5D%2FgroupInfoFuel%5B%40ordinal%3D1%5D%2FpicFuelRecibeInterno","Descargar")</f>
        <v>Descargar</v>
      </c>
    </row>
    <row r="600" spans="1:18" x14ac:dyDescent="0.3">
      <c r="A600">
        <v>1599766</v>
      </c>
      <c r="B600" t="s">
        <v>18</v>
      </c>
      <c r="C600" t="s">
        <v>19</v>
      </c>
      <c r="D600" t="s">
        <v>20</v>
      </c>
      <c r="E600" t="s">
        <v>21</v>
      </c>
      <c r="F600" t="s">
        <v>22</v>
      </c>
      <c r="G600" t="s">
        <v>23</v>
      </c>
      <c r="H600" t="s">
        <v>24</v>
      </c>
      <c r="I600" t="s">
        <v>25</v>
      </c>
      <c r="J600" t="s">
        <v>909</v>
      </c>
      <c r="K600">
        <v>7</v>
      </c>
      <c r="L600">
        <v>8</v>
      </c>
      <c r="M600">
        <v>2025</v>
      </c>
      <c r="N600" t="s">
        <v>27</v>
      </c>
      <c r="O600">
        <v>100</v>
      </c>
      <c r="P600">
        <v>100</v>
      </c>
      <c r="R600" s="3" t="str">
        <f>HYPERLINK("https://panda.att.com.mx/ODKServer/view/binaryData?blobKey=FSSuministroFluidosv3%5B%40version%3Dnull+and+%40uiVersion%3Dnull%5D%2Fdata%5B%40key%3Duuid%3Acd16ba50-0fdc-4e02-8e96-a582ad9a5dda%5D%2FgroupInfoFuel%5B%40ordinal%3D1%5D%2FpicFuelRecibeInterno","Descargar")</f>
        <v>Descargar</v>
      </c>
    </row>
    <row r="601" spans="1:18" x14ac:dyDescent="0.3">
      <c r="A601">
        <v>1599764</v>
      </c>
      <c r="B601" t="s">
        <v>18</v>
      </c>
      <c r="C601" t="s">
        <v>55</v>
      </c>
      <c r="D601" t="s">
        <v>128</v>
      </c>
      <c r="E601" t="s">
        <v>129</v>
      </c>
      <c r="F601" t="s">
        <v>22</v>
      </c>
      <c r="G601" t="s">
        <v>83</v>
      </c>
      <c r="H601" t="s">
        <v>58</v>
      </c>
      <c r="I601" t="s">
        <v>25</v>
      </c>
      <c r="J601" t="s">
        <v>910</v>
      </c>
      <c r="K601">
        <v>18</v>
      </c>
      <c r="L601">
        <v>8</v>
      </c>
      <c r="M601">
        <v>2025</v>
      </c>
      <c r="N601" t="s">
        <v>27</v>
      </c>
      <c r="O601">
        <v>300</v>
      </c>
      <c r="P601">
        <v>300</v>
      </c>
      <c r="R601" s="3" t="str">
        <f>HYPERLINK("https://panda.att.com.mx/ODKServer/view/binaryData?blobKey=FSSuministroFluidosv3%5B%40version%3Dnull+and+%40uiVersion%3Dnull%5D%2Fdata%5B%40key%3Duuid%3Af34806e8-f591-4efb-96bb-244d4b2927d3%5D%2FgroupInfoFuel%5B%40ordinal%3D1%5D%2FpicFuelRecibeInterno","Descargar")</f>
        <v>Descargar</v>
      </c>
    </row>
    <row r="602" spans="1:18" x14ac:dyDescent="0.3">
      <c r="A602">
        <v>1598998</v>
      </c>
      <c r="B602" t="s">
        <v>18</v>
      </c>
      <c r="C602" t="s">
        <v>55</v>
      </c>
      <c r="D602" t="s">
        <v>628</v>
      </c>
      <c r="E602" t="s">
        <v>629</v>
      </c>
      <c r="F602" t="s">
        <v>22</v>
      </c>
      <c r="G602" t="s">
        <v>23</v>
      </c>
      <c r="H602" t="s">
        <v>58</v>
      </c>
      <c r="I602" t="s">
        <v>25</v>
      </c>
      <c r="J602" t="s">
        <v>911</v>
      </c>
      <c r="K602">
        <v>17</v>
      </c>
      <c r="L602">
        <v>8</v>
      </c>
      <c r="M602">
        <v>2025</v>
      </c>
      <c r="N602" t="s">
        <v>44</v>
      </c>
      <c r="O602">
        <v>18</v>
      </c>
      <c r="P602">
        <v>18</v>
      </c>
      <c r="R602" s="3" t="str">
        <f>HYPERLINK("https://panda.att.com.mx/ODKServer/view/binaryData?blobKey=FSSuministroFluidosv3%5B%40version%3Dnull+and+%40uiVersion%3Dnull%5D%2Fdata%5B%40key%3Duuid%3A9fd3b7a6-258d-4460-a612-43bb1cc7567e%5D%2FgroupInfoFuel%5B%40ordinal%3D1%5D%2FpicFuelRecibeInterno","Descargar")</f>
        <v>Descargar</v>
      </c>
    </row>
    <row r="603" spans="1:18" x14ac:dyDescent="0.3">
      <c r="A603">
        <v>1598950</v>
      </c>
      <c r="B603" t="s">
        <v>18</v>
      </c>
      <c r="C603" t="s">
        <v>34</v>
      </c>
      <c r="D603" t="s">
        <v>121</v>
      </c>
      <c r="E603" t="s">
        <v>912</v>
      </c>
      <c r="F603" t="s">
        <v>22</v>
      </c>
      <c r="G603" t="s">
        <v>23</v>
      </c>
      <c r="H603" t="s">
        <v>37</v>
      </c>
      <c r="I603" t="s">
        <v>25</v>
      </c>
      <c r="J603" t="s">
        <v>913</v>
      </c>
      <c r="K603">
        <v>17</v>
      </c>
      <c r="L603">
        <v>8</v>
      </c>
      <c r="M603">
        <v>2025</v>
      </c>
      <c r="N603" t="s">
        <v>27</v>
      </c>
      <c r="O603">
        <v>250</v>
      </c>
      <c r="P603">
        <v>250</v>
      </c>
      <c r="R603" s="3" t="str">
        <f>HYPERLINK("https://panda.att.com.mx/ODKServer/view/binaryData?blobKey=FSSuministroFluidosv3%5B%40version%3Dnull+and+%40uiVersion%3Dnull%5D%2Fdata%5B%40key%3Duuid%3Ac65265e4-0e2a-4f29-b567-53330b609f08%5D%2FgroupInfoFuel%5B%40ordinal%3D1%5D%2FpicFuelRecibeInterno","Descargar")</f>
        <v>Descargar</v>
      </c>
    </row>
    <row r="604" spans="1:18" x14ac:dyDescent="0.3">
      <c r="A604">
        <v>1598949</v>
      </c>
      <c r="B604" t="s">
        <v>18</v>
      </c>
      <c r="C604" t="s">
        <v>34</v>
      </c>
      <c r="D604" t="s">
        <v>53</v>
      </c>
      <c r="E604" t="s">
        <v>298</v>
      </c>
      <c r="F604" t="s">
        <v>22</v>
      </c>
      <c r="G604" t="s">
        <v>23</v>
      </c>
      <c r="H604" t="s">
        <v>37</v>
      </c>
      <c r="I604" t="s">
        <v>25</v>
      </c>
      <c r="J604" t="s">
        <v>914</v>
      </c>
      <c r="K604">
        <v>17</v>
      </c>
      <c r="L604">
        <v>8</v>
      </c>
      <c r="M604">
        <v>2025</v>
      </c>
      <c r="N604" t="s">
        <v>27</v>
      </c>
      <c r="O604">
        <v>250</v>
      </c>
      <c r="P604">
        <v>250</v>
      </c>
      <c r="R604" s="3" t="str">
        <f>HYPERLINK("https://panda.att.com.mx/ODKServer/view/binaryData?blobKey=FSSuministroFluidosv3%5B%40version%3Dnull+and+%40uiVersion%3Dnull%5D%2Fdata%5B%40key%3Duuid%3Aee4dd737-054e-479d-8bac-4288165ae151%5D%2FgroupInfoFuel%5B%40ordinal%3D1%5D%2FpicFuelRecibeInterno","Descargar")</f>
        <v>Descargar</v>
      </c>
    </row>
    <row r="605" spans="1:18" x14ac:dyDescent="0.3">
      <c r="A605">
        <v>1598942</v>
      </c>
      <c r="B605" t="s">
        <v>18</v>
      </c>
      <c r="C605" t="s">
        <v>55</v>
      </c>
      <c r="D605" t="s">
        <v>56</v>
      </c>
      <c r="E605" t="s">
        <v>915</v>
      </c>
      <c r="F605" t="s">
        <v>22</v>
      </c>
      <c r="G605" t="s">
        <v>23</v>
      </c>
      <c r="H605" t="s">
        <v>58</v>
      </c>
      <c r="I605" t="s">
        <v>25</v>
      </c>
      <c r="J605" t="s">
        <v>916</v>
      </c>
      <c r="K605">
        <v>15</v>
      </c>
      <c r="L605">
        <v>8</v>
      </c>
      <c r="M605">
        <v>2025</v>
      </c>
      <c r="N605" t="s">
        <v>27</v>
      </c>
      <c r="O605">
        <v>80</v>
      </c>
      <c r="P605">
        <v>80</v>
      </c>
      <c r="R605" s="3" t="str">
        <f>HYPERLINK("https://panda.att.com.mx/ODKServer/view/binaryData?blobKey=FSSuministroFluidosv3%5B%40version%3Dnull+and+%40uiVersion%3Dnull%5D%2Fdata%5B%40key%3Duuid%3Aab5e6444-fa04-4e5e-8a09-a0ee9157b906%5D%2FgroupInfoFuel%5B%40ordinal%3D1%5D%2FpicFuelRecibeInterno","Descargar")</f>
        <v>Descargar</v>
      </c>
    </row>
    <row r="606" spans="1:18" x14ac:dyDescent="0.3">
      <c r="A606">
        <v>1598941</v>
      </c>
      <c r="B606" t="s">
        <v>18</v>
      </c>
      <c r="C606" t="s">
        <v>55</v>
      </c>
      <c r="D606" t="s">
        <v>917</v>
      </c>
      <c r="E606" t="s">
        <v>918</v>
      </c>
      <c r="F606" t="s">
        <v>22</v>
      </c>
      <c r="G606" t="s">
        <v>23</v>
      </c>
      <c r="H606" t="s">
        <v>58</v>
      </c>
      <c r="I606" t="s">
        <v>25</v>
      </c>
      <c r="J606" t="s">
        <v>919</v>
      </c>
      <c r="K606">
        <v>16</v>
      </c>
      <c r="L606">
        <v>8</v>
      </c>
      <c r="M606">
        <v>2025</v>
      </c>
      <c r="N606" t="s">
        <v>27</v>
      </c>
      <c r="O606">
        <v>100</v>
      </c>
      <c r="P606">
        <v>100</v>
      </c>
      <c r="R606" s="3" t="str">
        <f>HYPERLINK("https://panda.att.com.mx/ODKServer/view/binaryData?blobKey=FSSuministroFluidosv3%5B%40version%3Dnull+and+%40uiVersion%3Dnull%5D%2Fdata%5B%40key%3Duuid%3A6e084906-f48b-4181-9e10-411509b5f053%5D%2FgroupInfoFuel%5B%40ordinal%3D1%5D%2FpicFuelRecibeInterno","Descargar")</f>
        <v>Descargar</v>
      </c>
    </row>
    <row r="607" spans="1:18" x14ac:dyDescent="0.3">
      <c r="A607">
        <v>1598937</v>
      </c>
      <c r="B607" t="s">
        <v>18</v>
      </c>
      <c r="C607" t="s">
        <v>34</v>
      </c>
      <c r="D607" t="s">
        <v>53</v>
      </c>
      <c r="E607" t="s">
        <v>327</v>
      </c>
      <c r="F607" t="s">
        <v>22</v>
      </c>
      <c r="G607" t="s">
        <v>23</v>
      </c>
      <c r="H607" t="s">
        <v>37</v>
      </c>
      <c r="I607" t="s">
        <v>25</v>
      </c>
      <c r="J607" t="s">
        <v>920</v>
      </c>
      <c r="K607">
        <v>17</v>
      </c>
      <c r="L607">
        <v>8</v>
      </c>
      <c r="M607">
        <v>2025</v>
      </c>
      <c r="N607" t="s">
        <v>27</v>
      </c>
      <c r="O607">
        <v>500</v>
      </c>
      <c r="P607">
        <v>500</v>
      </c>
      <c r="R607" s="3" t="str">
        <f>HYPERLINK("https://panda.att.com.mx/ODKServer/view/binaryData?blobKey=FSSuministroFluidosv3%5B%40version%3Dnull+and+%40uiVersion%3Dnull%5D%2Fdata%5B%40key%3Duuid%3A2406ac13-ef96-4cfe-b087-defb8cd328ea%5D%2FgroupInfoFuel%5B%40ordinal%3D1%5D%2FpicFuelRecibeInterno","Descargar")</f>
        <v>Descargar</v>
      </c>
    </row>
    <row r="608" spans="1:18" x14ac:dyDescent="0.3">
      <c r="A608">
        <v>1598935</v>
      </c>
      <c r="B608" t="s">
        <v>18</v>
      </c>
      <c r="C608" t="s">
        <v>34</v>
      </c>
      <c r="D608" t="s">
        <v>53</v>
      </c>
      <c r="E608" t="s">
        <v>649</v>
      </c>
      <c r="F608" t="s">
        <v>22</v>
      </c>
      <c r="G608" t="s">
        <v>23</v>
      </c>
      <c r="H608" t="s">
        <v>37</v>
      </c>
      <c r="I608" t="s">
        <v>25</v>
      </c>
      <c r="J608" t="s">
        <v>921</v>
      </c>
      <c r="K608">
        <v>17</v>
      </c>
      <c r="L608">
        <v>8</v>
      </c>
      <c r="M608">
        <v>2025</v>
      </c>
      <c r="N608" t="s">
        <v>27</v>
      </c>
      <c r="O608">
        <v>180</v>
      </c>
      <c r="P608">
        <v>180</v>
      </c>
      <c r="R608" s="3" t="str">
        <f>HYPERLINK("https://panda.att.com.mx/ODKServer/view/binaryData?blobKey=FSSuministroFluidosv3%5B%40version%3Dnull+and+%40uiVersion%3Dnull%5D%2Fdata%5B%40key%3Duuid%3Afcf3e4d3-d239-4721-95fa-62ec535d3476%5D%2FgroupInfoFuel%5B%40ordinal%3D1%5D%2FpicFuelRecibeInterno","Descargar")</f>
        <v>Descargar</v>
      </c>
    </row>
    <row r="609" spans="1:18" x14ac:dyDescent="0.3">
      <c r="A609">
        <v>1598931</v>
      </c>
      <c r="B609" t="s">
        <v>18</v>
      </c>
      <c r="C609" t="s">
        <v>59</v>
      </c>
      <c r="D609" t="s">
        <v>446</v>
      </c>
      <c r="E609" t="s">
        <v>922</v>
      </c>
      <c r="F609" t="s">
        <v>33</v>
      </c>
      <c r="G609" t="s">
        <v>23</v>
      </c>
      <c r="H609" t="s">
        <v>37</v>
      </c>
      <c r="I609" t="s">
        <v>25</v>
      </c>
      <c r="J609" t="s">
        <v>923</v>
      </c>
      <c r="K609">
        <v>16</v>
      </c>
      <c r="L609">
        <v>8</v>
      </c>
      <c r="M609">
        <v>2025</v>
      </c>
      <c r="N609" t="s">
        <v>27</v>
      </c>
      <c r="O609">
        <v>900</v>
      </c>
      <c r="Q609">
        <v>900</v>
      </c>
      <c r="R609" s="3" t="str">
        <f>HYPERLINK("https://panda.att.com.mx/ODKServer/view/binaryData?blobKey=FSSuministroFluidosv3%5B%40version%3Dnull+and+%40uiVersion%3Dnull%5D%2Fdata%5B%40key%3Duuid%3A1fd7ed0b-4bee-4cce-ba9c-485fd2fb6368%5D%2FgroupInfoFuel%5B%40ordinal%3D1%5D%2FpicFuelRecibeInterno","Descargar")</f>
        <v>Descargar</v>
      </c>
    </row>
    <row r="610" spans="1:18" x14ac:dyDescent="0.3">
      <c r="A610">
        <v>1598913</v>
      </c>
      <c r="B610" t="s">
        <v>18</v>
      </c>
      <c r="C610" t="s">
        <v>167</v>
      </c>
      <c r="D610" t="s">
        <v>509</v>
      </c>
      <c r="E610" t="s">
        <v>924</v>
      </c>
      <c r="F610" t="s">
        <v>22</v>
      </c>
      <c r="G610" t="s">
        <v>23</v>
      </c>
      <c r="H610" t="s">
        <v>58</v>
      </c>
      <c r="I610" t="s">
        <v>25</v>
      </c>
      <c r="J610" t="s">
        <v>925</v>
      </c>
      <c r="K610">
        <v>16</v>
      </c>
      <c r="L610">
        <v>8</v>
      </c>
      <c r="M610">
        <v>2025</v>
      </c>
      <c r="N610" t="s">
        <v>27</v>
      </c>
      <c r="O610">
        <v>300</v>
      </c>
      <c r="P610">
        <v>300</v>
      </c>
      <c r="R610" s="3" t="str">
        <f>HYPERLINK("https://panda.att.com.mx/ODKServer/view/binaryData?blobKey=FSSuministroFluidosv3%5B%40version%3Dnull+and+%40uiVersion%3Dnull%5D%2Fdata%5B%40key%3Duuid%3A684e83a2-cfc3-40a3-99d9-ed34556d969c%5D%2FgroupInfoFuel%5B%40ordinal%3D1%5D%2FpicFuelRecibeInterno","Descargar")</f>
        <v>Descargar</v>
      </c>
    </row>
    <row r="611" spans="1:18" x14ac:dyDescent="0.3">
      <c r="A611">
        <v>1598854</v>
      </c>
      <c r="B611" t="s">
        <v>18</v>
      </c>
      <c r="C611" t="s">
        <v>100</v>
      </c>
      <c r="D611" t="s">
        <v>101</v>
      </c>
      <c r="E611" t="s">
        <v>102</v>
      </c>
      <c r="F611" t="s">
        <v>22</v>
      </c>
      <c r="G611" t="s">
        <v>23</v>
      </c>
      <c r="H611" t="s">
        <v>58</v>
      </c>
      <c r="I611" t="s">
        <v>25</v>
      </c>
      <c r="J611" t="s">
        <v>926</v>
      </c>
      <c r="K611">
        <v>17</v>
      </c>
      <c r="L611">
        <v>8</v>
      </c>
      <c r="M611">
        <v>2025</v>
      </c>
      <c r="N611" t="s">
        <v>44</v>
      </c>
      <c r="O611">
        <v>60</v>
      </c>
      <c r="P611">
        <v>60</v>
      </c>
      <c r="R611" s="3" t="str">
        <f>HYPERLINK("https://panda.att.com.mx/ODKServer/view/binaryData?blobKey=FSSuministroFluidosv3%5B%40version%3Dnull+and+%40uiVersion%3Dnull%5D%2Fdata%5B%40key%3Duuid%3Ad20b367f-aa9c-46be-bcfc-374671efbb91%5D%2FgroupInfoFuel%5B%40ordinal%3D1%5D%2FpicFuelRecibeInterno","Descargar")</f>
        <v>Descargar</v>
      </c>
    </row>
    <row r="612" spans="1:18" x14ac:dyDescent="0.3">
      <c r="A612">
        <v>1598835</v>
      </c>
      <c r="B612" t="s">
        <v>18</v>
      </c>
      <c r="C612" t="s">
        <v>28</v>
      </c>
      <c r="D612" t="s">
        <v>66</v>
      </c>
      <c r="E612" t="s">
        <v>927</v>
      </c>
      <c r="F612" t="s">
        <v>22</v>
      </c>
      <c r="G612" t="s">
        <v>23</v>
      </c>
      <c r="H612" t="s">
        <v>24</v>
      </c>
      <c r="I612" t="s">
        <v>25</v>
      </c>
      <c r="J612" t="s">
        <v>928</v>
      </c>
      <c r="K612">
        <v>17</v>
      </c>
      <c r="L612">
        <v>8</v>
      </c>
      <c r="M612">
        <v>2025</v>
      </c>
      <c r="N612" t="s">
        <v>44</v>
      </c>
      <c r="O612">
        <v>40</v>
      </c>
      <c r="Q612">
        <v>40</v>
      </c>
      <c r="R612" s="3" t="str">
        <f>HYPERLINK("https://panda.att.com.mx/ODKServer/view/binaryData?blobKey=FSSuministroFluidosv3%5B%40version%3Dnull+and+%40uiVersion%3Dnull%5D%2Fdata%5B%40key%3Duuid%3A34d5c018-18b6-46e0-9b9b-9ea7d67e412e%5D%2FgroupInfoFuel%5B%40ordinal%3D1%5D%2FpicFuelRecibeInterno","Descargar")</f>
        <v>Descargar</v>
      </c>
    </row>
    <row r="613" spans="1:18" x14ac:dyDescent="0.3">
      <c r="A613">
        <v>1598829</v>
      </c>
      <c r="B613" t="s">
        <v>18</v>
      </c>
      <c r="C613" t="s">
        <v>59</v>
      </c>
      <c r="D613" t="s">
        <v>636</v>
      </c>
      <c r="E613" t="s">
        <v>929</v>
      </c>
      <c r="F613" t="s">
        <v>22</v>
      </c>
      <c r="G613" t="s">
        <v>23</v>
      </c>
      <c r="H613" t="s">
        <v>37</v>
      </c>
      <c r="I613" t="s">
        <v>25</v>
      </c>
      <c r="J613" t="s">
        <v>930</v>
      </c>
      <c r="K613">
        <v>15</v>
      </c>
      <c r="L613">
        <v>8</v>
      </c>
      <c r="M613">
        <v>2025</v>
      </c>
      <c r="N613" t="s">
        <v>27</v>
      </c>
      <c r="O613">
        <v>200</v>
      </c>
      <c r="P613">
        <v>200</v>
      </c>
      <c r="R613" s="3" t="str">
        <f>HYPERLINK("https://panda.att.com.mx/ODKServer/view/binaryData?blobKey=FSSuministroFluidosv3%5B%40version%3Dnull+and+%40uiVersion%3Dnull%5D%2Fdata%5B%40key%3Duuid%3A8334948b-8d81-4090-b46f-698efb00891c%5D%2FgroupInfoFuel%5B%40ordinal%3D1%5D%2FpicFuelRecibeInterno","Descargar")</f>
        <v>Descargar</v>
      </c>
    </row>
    <row r="614" spans="1:18" x14ac:dyDescent="0.3">
      <c r="A614">
        <v>1598826</v>
      </c>
      <c r="B614" t="s">
        <v>18</v>
      </c>
      <c r="C614" t="s">
        <v>28</v>
      </c>
      <c r="D614" t="s">
        <v>66</v>
      </c>
      <c r="E614" t="s">
        <v>931</v>
      </c>
      <c r="F614" t="s">
        <v>22</v>
      </c>
      <c r="G614" t="s">
        <v>23</v>
      </c>
      <c r="H614" t="s">
        <v>24</v>
      </c>
      <c r="I614" t="s">
        <v>25</v>
      </c>
      <c r="J614" t="s">
        <v>932</v>
      </c>
      <c r="K614">
        <v>17</v>
      </c>
      <c r="L614">
        <v>8</v>
      </c>
      <c r="M614">
        <v>2025</v>
      </c>
      <c r="N614" t="s">
        <v>27</v>
      </c>
      <c r="O614">
        <v>350</v>
      </c>
      <c r="P614">
        <v>350</v>
      </c>
      <c r="R614" s="3" t="str">
        <f>HYPERLINK("https://panda.att.com.mx/ODKServer/view/binaryData?blobKey=FSSuministroFluidosv3%5B%40version%3Dnull+and+%40uiVersion%3Dnull%5D%2Fdata%5B%40key%3Duuid%3A0d238bdf-8f13-4bf3-b6cf-887f821d8862%5D%2FgroupInfoFuel%5B%40ordinal%3D1%5D%2FpicFuelRecibeInterno","Descargar")</f>
        <v>Descargar</v>
      </c>
    </row>
    <row r="615" spans="1:18" x14ac:dyDescent="0.3">
      <c r="A615">
        <v>1598819</v>
      </c>
      <c r="B615" t="s">
        <v>18</v>
      </c>
      <c r="C615" t="s">
        <v>34</v>
      </c>
      <c r="D615" t="s">
        <v>53</v>
      </c>
      <c r="E615" t="s">
        <v>491</v>
      </c>
      <c r="F615" t="s">
        <v>22</v>
      </c>
      <c r="G615" t="s">
        <v>23</v>
      </c>
      <c r="H615" t="s">
        <v>37</v>
      </c>
      <c r="I615" t="s">
        <v>25</v>
      </c>
      <c r="J615" t="s">
        <v>933</v>
      </c>
      <c r="K615">
        <v>17</v>
      </c>
      <c r="L615">
        <v>8</v>
      </c>
      <c r="M615">
        <v>2025</v>
      </c>
      <c r="N615" t="s">
        <v>27</v>
      </c>
      <c r="O615">
        <v>600</v>
      </c>
      <c r="Q615">
        <v>600</v>
      </c>
      <c r="R615" s="3" t="str">
        <f>HYPERLINK("https://panda.att.com.mx/ODKServer/view/binaryData?blobKey=FSSuministroFluidosv3%5B%40version%3Dnull+and+%40uiVersion%3Dnull%5D%2Fdata%5B%40key%3Duuid%3A40af7f9d-8fdc-4539-aad2-e402a71c5070%5D%2FgroupInfoFuel%5B%40ordinal%3D1%5D%2FpicFuelRecibeInterno","Descargar")</f>
        <v>Descargar</v>
      </c>
    </row>
    <row r="616" spans="1:18" x14ac:dyDescent="0.3">
      <c r="A616">
        <v>1598812</v>
      </c>
      <c r="B616" t="s">
        <v>18</v>
      </c>
      <c r="C616" t="s">
        <v>68</v>
      </c>
      <c r="D616" t="s">
        <v>91</v>
      </c>
      <c r="E616" t="s">
        <v>828</v>
      </c>
      <c r="F616" t="s">
        <v>22</v>
      </c>
      <c r="G616" t="s">
        <v>23</v>
      </c>
      <c r="H616" t="s">
        <v>37</v>
      </c>
      <c r="I616" t="s">
        <v>25</v>
      </c>
      <c r="J616" t="s">
        <v>934</v>
      </c>
      <c r="K616">
        <v>17</v>
      </c>
      <c r="L616">
        <v>8</v>
      </c>
      <c r="M616">
        <v>2025</v>
      </c>
      <c r="N616" t="s">
        <v>27</v>
      </c>
      <c r="O616">
        <v>150</v>
      </c>
      <c r="P616">
        <v>150</v>
      </c>
      <c r="R616" s="3" t="str">
        <f>HYPERLINK("https://panda.att.com.mx/ODKServer/view/binaryData?blobKey=FSSuministroFluidosv3%5B%40version%3Dnull+and+%40uiVersion%3Dnull%5D%2Fdata%5B%40key%3Duuid%3A76a4fe8d-75e4-442a-9cc2-263b37e2f917%5D%2FgroupInfoFuel%5B%40ordinal%3D1%5D%2FpicFuelRecibeInterno","Descargar")</f>
        <v>Descargar</v>
      </c>
    </row>
    <row r="617" spans="1:18" x14ac:dyDescent="0.3">
      <c r="A617">
        <v>1598798</v>
      </c>
      <c r="B617" t="s">
        <v>18</v>
      </c>
      <c r="C617" t="s">
        <v>59</v>
      </c>
      <c r="D617" t="s">
        <v>233</v>
      </c>
      <c r="E617" t="s">
        <v>935</v>
      </c>
      <c r="F617" t="s">
        <v>22</v>
      </c>
      <c r="G617" t="s">
        <v>23</v>
      </c>
      <c r="H617" t="s">
        <v>37</v>
      </c>
      <c r="I617" t="s">
        <v>25</v>
      </c>
      <c r="J617" t="s">
        <v>936</v>
      </c>
      <c r="K617">
        <v>14</v>
      </c>
      <c r="L617">
        <v>8</v>
      </c>
      <c r="M617">
        <v>2025</v>
      </c>
      <c r="N617" t="s">
        <v>44</v>
      </c>
      <c r="O617">
        <v>50</v>
      </c>
      <c r="P617">
        <v>50</v>
      </c>
      <c r="R617" s="3" t="str">
        <f>HYPERLINK("https://panda.att.com.mx/ODKServer/view/binaryData?blobKey=FSSuministroFluidosv3%5B%40version%3Dnull+and+%40uiVersion%3Dnull%5D%2Fdata%5B%40key%3Duuid%3Aaae0f2cf-954c-4b98-8712-c0b19099e5e7%5D%2FgroupInfoFuel%5B%40ordinal%3D1%5D%2FpicFuelRecibeInterno","Descargar")</f>
        <v>Descargar</v>
      </c>
    </row>
    <row r="618" spans="1:18" x14ac:dyDescent="0.3">
      <c r="A618">
        <v>1598776</v>
      </c>
      <c r="B618" t="s">
        <v>18</v>
      </c>
      <c r="C618" t="s">
        <v>100</v>
      </c>
      <c r="D618" t="s">
        <v>101</v>
      </c>
      <c r="E618" t="s">
        <v>937</v>
      </c>
      <c r="F618" t="s">
        <v>22</v>
      </c>
      <c r="G618" t="s">
        <v>23</v>
      </c>
      <c r="H618" t="s">
        <v>58</v>
      </c>
      <c r="I618" t="s">
        <v>25</v>
      </c>
      <c r="J618" t="s">
        <v>938</v>
      </c>
      <c r="K618">
        <v>17</v>
      </c>
      <c r="L618">
        <v>8</v>
      </c>
      <c r="M618">
        <v>2025</v>
      </c>
      <c r="N618" t="s">
        <v>27</v>
      </c>
      <c r="O618">
        <v>145</v>
      </c>
      <c r="P618">
        <v>145</v>
      </c>
      <c r="R618" s="3" t="str">
        <f>HYPERLINK("https://panda.att.com.mx/ODKServer/view/binaryData?blobKey=FSSuministroFluidosv3%5B%40version%3Dnull+and+%40uiVersion%3Dnull%5D%2Fdata%5B%40key%3Duuid%3Ae0cb4078-3739-4942-bc7a-5d53b7f9856a%5D%2FgroupInfoFuel%5B%40ordinal%3D1%5D%2FpicFuelRecibeInterno","Descargar")</f>
        <v>Descargar</v>
      </c>
    </row>
    <row r="619" spans="1:18" x14ac:dyDescent="0.3">
      <c r="A619">
        <v>1598763</v>
      </c>
      <c r="B619" t="s">
        <v>18</v>
      </c>
      <c r="C619" t="s">
        <v>19</v>
      </c>
      <c r="D619" t="s">
        <v>45</v>
      </c>
      <c r="E619" t="s">
        <v>939</v>
      </c>
      <c r="F619" t="s">
        <v>22</v>
      </c>
      <c r="G619" t="s">
        <v>23</v>
      </c>
      <c r="H619" t="s">
        <v>24</v>
      </c>
      <c r="I619" t="s">
        <v>25</v>
      </c>
      <c r="J619" t="s">
        <v>940</v>
      </c>
      <c r="K619">
        <v>16</v>
      </c>
      <c r="L619">
        <v>8</v>
      </c>
      <c r="M619">
        <v>2025</v>
      </c>
      <c r="N619" t="s">
        <v>27</v>
      </c>
      <c r="O619">
        <v>300</v>
      </c>
      <c r="P619">
        <v>300</v>
      </c>
      <c r="R619" s="3" t="str">
        <f>HYPERLINK("https://panda.att.com.mx/ODKServer/view/binaryData?blobKey=FSSuministroFluidosv3%5B%40version%3Dnull+and+%40uiVersion%3Dnull%5D%2Fdata%5B%40key%3Duuid%3A5fe721e2-db50-4992-bbf5-d8c5ca9231a8%5D%2FgroupInfoFuel%5B%40ordinal%3D1%5D%2FpicFuelRecibeInterno","Descargar")</f>
        <v>Descargar</v>
      </c>
    </row>
    <row r="620" spans="1:18" x14ac:dyDescent="0.3">
      <c r="A620">
        <v>1598753</v>
      </c>
      <c r="B620" t="s">
        <v>18</v>
      </c>
      <c r="C620" t="s">
        <v>100</v>
      </c>
      <c r="D620" t="s">
        <v>101</v>
      </c>
      <c r="E620" t="s">
        <v>102</v>
      </c>
      <c r="F620" t="s">
        <v>22</v>
      </c>
      <c r="G620" t="s">
        <v>23</v>
      </c>
      <c r="H620" t="s">
        <v>58</v>
      </c>
      <c r="I620" t="s">
        <v>25</v>
      </c>
      <c r="J620" t="s">
        <v>941</v>
      </c>
      <c r="K620">
        <v>16</v>
      </c>
      <c r="L620">
        <v>8</v>
      </c>
      <c r="M620">
        <v>2025</v>
      </c>
      <c r="N620" t="s">
        <v>44</v>
      </c>
      <c r="O620">
        <v>60</v>
      </c>
      <c r="P620">
        <v>60</v>
      </c>
      <c r="R620" s="3" t="str">
        <f>HYPERLINK("https://panda.att.com.mx/ODKServer/view/binaryData?blobKey=FSSuministroFluidosv3%5B%40version%3Dnull+and+%40uiVersion%3Dnull%5D%2Fdata%5B%40key%3Duuid%3Aa973d7a9-f2bc-427b-b57c-18131f30241c%5D%2FgroupInfoFuel%5B%40ordinal%3D1%5D%2FpicFuelRecibeInterno","Descargar")</f>
        <v>Descargar</v>
      </c>
    </row>
    <row r="621" spans="1:18" x14ac:dyDescent="0.3">
      <c r="A621">
        <v>1598752</v>
      </c>
      <c r="B621" t="s">
        <v>18</v>
      </c>
      <c r="C621" t="s">
        <v>100</v>
      </c>
      <c r="D621" t="s">
        <v>716</v>
      </c>
      <c r="E621" t="s">
        <v>717</v>
      </c>
      <c r="F621" t="s">
        <v>22</v>
      </c>
      <c r="G621" t="s">
        <v>83</v>
      </c>
      <c r="H621" t="s">
        <v>58</v>
      </c>
      <c r="I621" t="s">
        <v>25</v>
      </c>
      <c r="J621" t="s">
        <v>942</v>
      </c>
      <c r="K621">
        <v>16</v>
      </c>
      <c r="L621">
        <v>8</v>
      </c>
      <c r="M621">
        <v>2025</v>
      </c>
      <c r="N621" t="s">
        <v>27</v>
      </c>
      <c r="O621">
        <v>130</v>
      </c>
      <c r="P621">
        <v>130</v>
      </c>
      <c r="R621" s="3" t="str">
        <f>HYPERLINK("https://panda.att.com.mx/ODKServer/view/binaryData?blobKey=FSSuministroFluidosv3%5B%40version%3Dnull+and+%40uiVersion%3Dnull%5D%2Fdata%5B%40key%3Duuid%3A787b7202-a69e-4efd-8286-6c76387aaa7b%5D%2FgroupInfoFuel%5B%40ordinal%3D1%5D%2FpicFuelRecibeInterno","Descargar")</f>
        <v>Descargar</v>
      </c>
    </row>
    <row r="622" spans="1:18" x14ac:dyDescent="0.3">
      <c r="A622">
        <v>1598740</v>
      </c>
      <c r="B622" t="s">
        <v>18</v>
      </c>
      <c r="C622" t="s">
        <v>55</v>
      </c>
      <c r="D622" t="s">
        <v>366</v>
      </c>
      <c r="E622" t="s">
        <v>579</v>
      </c>
      <c r="F622" t="s">
        <v>22</v>
      </c>
      <c r="G622" t="s">
        <v>23</v>
      </c>
      <c r="H622" t="s">
        <v>58</v>
      </c>
      <c r="I622" t="s">
        <v>25</v>
      </c>
      <c r="J622" t="s">
        <v>943</v>
      </c>
      <c r="K622">
        <v>16</v>
      </c>
      <c r="L622">
        <v>8</v>
      </c>
      <c r="M622">
        <v>2025</v>
      </c>
      <c r="N622" t="s">
        <v>27</v>
      </c>
      <c r="O622">
        <v>80</v>
      </c>
      <c r="P622">
        <v>80</v>
      </c>
      <c r="R622" s="3" t="str">
        <f>HYPERLINK("https://panda.att.com.mx/ODKServer/view/binaryData?blobKey=FSSuministroFluidosv3%5B%40version%3Dnull+and+%40uiVersion%3Dnull%5D%2Fdata%5B%40key%3Duuid%3Aa9e128a5-3700-4181-a9b8-421cc5f25d33%5D%2FgroupInfoFuel%5B%40ordinal%3D1%5D%2FpicFuelRecibeInterno","Descargar")</f>
        <v>Descargar</v>
      </c>
    </row>
    <row r="623" spans="1:18" x14ac:dyDescent="0.3">
      <c r="A623">
        <v>1598711</v>
      </c>
      <c r="B623" t="s">
        <v>18</v>
      </c>
      <c r="C623" t="s">
        <v>28</v>
      </c>
      <c r="D623" t="s">
        <v>467</v>
      </c>
      <c r="E623" t="s">
        <v>944</v>
      </c>
      <c r="F623" t="s">
        <v>22</v>
      </c>
      <c r="G623" t="s">
        <v>23</v>
      </c>
      <c r="H623" t="s">
        <v>24</v>
      </c>
      <c r="I623" t="s">
        <v>25</v>
      </c>
      <c r="J623" t="s">
        <v>945</v>
      </c>
      <c r="K623">
        <v>16</v>
      </c>
      <c r="L623">
        <v>8</v>
      </c>
      <c r="M623">
        <v>2025</v>
      </c>
      <c r="N623" t="s">
        <v>27</v>
      </c>
      <c r="O623">
        <v>500</v>
      </c>
      <c r="P623">
        <v>500</v>
      </c>
      <c r="R623" s="3" t="str">
        <f>HYPERLINK("https://panda.att.com.mx/ODKServer/view/binaryData?blobKey=FSSuministroFluidosv3%5B%40version%3Dnull+and+%40uiVersion%3Dnull%5D%2Fdata%5B%40key%3Duuid%3A96fcaa06-0311-4dd4-b95d-fd560893ddc7%5D%2FgroupInfoFuel%5B%40ordinal%3D1%5D%2FpicFuelRecibeInterno","Descargar")</f>
        <v>Descargar</v>
      </c>
    </row>
    <row r="624" spans="1:18" x14ac:dyDescent="0.3">
      <c r="A624">
        <v>1598710</v>
      </c>
      <c r="B624" t="s">
        <v>18</v>
      </c>
      <c r="C624" t="s">
        <v>100</v>
      </c>
      <c r="D624" t="s">
        <v>651</v>
      </c>
      <c r="E624" t="s">
        <v>750</v>
      </c>
      <c r="F624" t="s">
        <v>22</v>
      </c>
      <c r="G624" t="s">
        <v>83</v>
      </c>
      <c r="H624" t="s">
        <v>58</v>
      </c>
      <c r="I624" t="s">
        <v>25</v>
      </c>
      <c r="J624" t="s">
        <v>946</v>
      </c>
      <c r="K624">
        <v>16</v>
      </c>
      <c r="L624">
        <v>8</v>
      </c>
      <c r="M624">
        <v>2025</v>
      </c>
      <c r="N624" t="s">
        <v>27</v>
      </c>
      <c r="O624">
        <v>100</v>
      </c>
      <c r="P624">
        <v>100</v>
      </c>
      <c r="R624" s="3" t="str">
        <f>HYPERLINK("https://panda.att.com.mx/ODKServer/view/binaryData?blobKey=FSSuministroFluidosv3%5B%40version%3Dnull+and+%40uiVersion%3Dnull%5D%2Fdata%5B%40key%3Duuid%3A0c9df68f-e401-4549-9c10-cd1242ac691a%5D%2FgroupInfoFuel%5B%40ordinal%3D1%5D%2FpicFuelRecibeInterno","Descargar")</f>
        <v>Descargar</v>
      </c>
    </row>
    <row r="625" spans="1:18" x14ac:dyDescent="0.3">
      <c r="A625">
        <v>1598706</v>
      </c>
      <c r="B625" t="s">
        <v>18</v>
      </c>
      <c r="C625" t="s">
        <v>167</v>
      </c>
      <c r="D625" t="s">
        <v>509</v>
      </c>
      <c r="E625" t="s">
        <v>510</v>
      </c>
      <c r="F625" t="s">
        <v>22</v>
      </c>
      <c r="G625" t="s">
        <v>23</v>
      </c>
      <c r="H625" t="s">
        <v>58</v>
      </c>
      <c r="I625" t="s">
        <v>25</v>
      </c>
      <c r="J625" s="2">
        <v>45862.889270833337</v>
      </c>
      <c r="K625">
        <v>24</v>
      </c>
      <c r="L625">
        <v>7</v>
      </c>
      <c r="M625">
        <v>2025</v>
      </c>
      <c r="N625" t="s">
        <v>27</v>
      </c>
      <c r="O625">
        <v>150</v>
      </c>
      <c r="P625">
        <v>150</v>
      </c>
      <c r="R625" s="3" t="str">
        <f>HYPERLINK("https://panda.att.com.mx/ODKServer/view/binaryData?blobKey=FSSuministroFluidosv3%5B%40version%3Dnull+and+%40uiVersion%3Dnull%5D%2Fdata%5B%40key%3Duuid%3A667602e3-4f58-4dc6-a7d6-8dd4de8160ad%5D%2FgroupInfoFuel%5B%40ordinal%3D1%5D%2FpicFuelRecibeInterno","Descargar")</f>
        <v>Descargar</v>
      </c>
    </row>
    <row r="626" spans="1:18" x14ac:dyDescent="0.3">
      <c r="A626">
        <v>1598682</v>
      </c>
      <c r="B626" t="s">
        <v>18</v>
      </c>
      <c r="C626" t="s">
        <v>167</v>
      </c>
      <c r="D626" t="s">
        <v>268</v>
      </c>
      <c r="E626" t="s">
        <v>947</v>
      </c>
      <c r="F626" t="s">
        <v>22</v>
      </c>
      <c r="G626" t="s">
        <v>23</v>
      </c>
      <c r="H626" t="s">
        <v>58</v>
      </c>
      <c r="I626" t="s">
        <v>25</v>
      </c>
      <c r="J626" t="s">
        <v>948</v>
      </c>
      <c r="K626">
        <v>15</v>
      </c>
      <c r="L626">
        <v>8</v>
      </c>
      <c r="M626">
        <v>2025</v>
      </c>
      <c r="N626" t="s">
        <v>27</v>
      </c>
      <c r="O626">
        <v>250</v>
      </c>
      <c r="P626">
        <v>250</v>
      </c>
      <c r="R626" s="3" t="str">
        <f>HYPERLINK("https://panda.att.com.mx/ODKServer/view/binaryData?blobKey=FSSuministroFluidosv3%5B%40version%3Dnull+and+%40uiVersion%3Dnull%5D%2Fdata%5B%40key%3Duuid%3Ad05a73f9-10bf-4dbc-90c7-9e83a8792e96%5D%2FgroupInfoFuel%5B%40ordinal%3D1%5D%2FpicFuelRecibeInterno","Descargar")</f>
        <v>Descargar</v>
      </c>
    </row>
    <row r="627" spans="1:18" x14ac:dyDescent="0.3">
      <c r="A627">
        <v>1598641</v>
      </c>
      <c r="B627" t="s">
        <v>18</v>
      </c>
      <c r="C627" t="s">
        <v>59</v>
      </c>
      <c r="D627" t="s">
        <v>597</v>
      </c>
      <c r="E627" t="s">
        <v>949</v>
      </c>
      <c r="F627" t="s">
        <v>22</v>
      </c>
      <c r="G627" t="s">
        <v>23</v>
      </c>
      <c r="H627" t="s">
        <v>37</v>
      </c>
      <c r="I627" t="s">
        <v>25</v>
      </c>
      <c r="J627" t="s">
        <v>950</v>
      </c>
      <c r="K627">
        <v>14</v>
      </c>
      <c r="L627">
        <v>8</v>
      </c>
      <c r="M627">
        <v>2025</v>
      </c>
      <c r="N627" t="s">
        <v>44</v>
      </c>
      <c r="O627">
        <v>55</v>
      </c>
      <c r="P627">
        <v>55</v>
      </c>
      <c r="R627" s="3" t="str">
        <f>HYPERLINK("https://panda.att.com.mx/ODKServer/view/binaryData?blobKey=FSSuministroFluidosv3%5B%40version%3Dnull+and+%40uiVersion%3Dnull%5D%2Fdata%5B%40key%3Duuid%3A6ddfc144-c769-4abf-a5bb-c4487754e4a2%5D%2FgroupInfoFuel%5B%40ordinal%3D1%5D%2FpicFuelRecibeInterno","Descargar")</f>
        <v>Descargar</v>
      </c>
    </row>
    <row r="628" spans="1:18" x14ac:dyDescent="0.3">
      <c r="A628">
        <v>1598615</v>
      </c>
      <c r="B628" t="s">
        <v>18</v>
      </c>
      <c r="C628" t="s">
        <v>28</v>
      </c>
      <c r="D628" t="s">
        <v>66</v>
      </c>
      <c r="E628" t="s">
        <v>485</v>
      </c>
      <c r="F628" t="s">
        <v>22</v>
      </c>
      <c r="G628" t="s">
        <v>23</v>
      </c>
      <c r="H628" t="s">
        <v>24</v>
      </c>
      <c r="I628" t="s">
        <v>25</v>
      </c>
      <c r="J628" t="s">
        <v>951</v>
      </c>
      <c r="K628">
        <v>15</v>
      </c>
      <c r="L628">
        <v>8</v>
      </c>
      <c r="M628">
        <v>2025</v>
      </c>
      <c r="N628" t="s">
        <v>27</v>
      </c>
      <c r="O628">
        <v>250</v>
      </c>
      <c r="P628">
        <v>250</v>
      </c>
      <c r="R628" s="3" t="str">
        <f>HYPERLINK("https://panda.att.com.mx/ODKServer/view/binaryData?blobKey=FSSuministroFluidosv3%5B%40version%3Dnull+and+%40uiVersion%3Dnull%5D%2Fdata%5B%40key%3Duuid%3A42c7bc63-b03e-425b-a943-2fd6e714e804%5D%2FgroupInfoFuel%5B%40ordinal%3D1%5D%2FpicFuelRecibeInterno","Descargar")</f>
        <v>Descargar</v>
      </c>
    </row>
    <row r="629" spans="1:18" x14ac:dyDescent="0.3">
      <c r="A629">
        <v>1598566</v>
      </c>
      <c r="B629" t="s">
        <v>18</v>
      </c>
      <c r="C629" t="s">
        <v>68</v>
      </c>
      <c r="D629" t="s">
        <v>461</v>
      </c>
      <c r="E629" t="s">
        <v>952</v>
      </c>
      <c r="F629" t="s">
        <v>22</v>
      </c>
      <c r="G629" t="s">
        <v>23</v>
      </c>
      <c r="H629" t="s">
        <v>37</v>
      </c>
      <c r="I629" t="s">
        <v>25</v>
      </c>
      <c r="J629" t="s">
        <v>953</v>
      </c>
      <c r="K629">
        <v>15</v>
      </c>
      <c r="L629">
        <v>8</v>
      </c>
      <c r="M629">
        <v>2025</v>
      </c>
      <c r="N629" t="s">
        <v>27</v>
      </c>
      <c r="O629">
        <v>350</v>
      </c>
      <c r="P629">
        <v>350</v>
      </c>
      <c r="R629" s="3" t="str">
        <f>HYPERLINK("https://panda.att.com.mx/ODKServer/view/binaryData?blobKey=FSSuministroFluidosv3%5B%40version%3Dnull+and+%40uiVersion%3Dnull%5D%2Fdata%5B%40key%3Duuid%3A0b8e2f0d-c5b5-4044-8599-c1c1b3025d0f%5D%2FgroupInfoFuel%5B%40ordinal%3D1%5D%2FpicFuelRecibeInterno","Descargar")</f>
        <v>Descargar</v>
      </c>
    </row>
    <row r="630" spans="1:18" x14ac:dyDescent="0.3">
      <c r="A630">
        <v>1598551</v>
      </c>
      <c r="B630" t="s">
        <v>18</v>
      </c>
      <c r="C630" t="s">
        <v>150</v>
      </c>
      <c r="D630" t="s">
        <v>154</v>
      </c>
      <c r="E630" t="s">
        <v>954</v>
      </c>
      <c r="F630" t="s">
        <v>22</v>
      </c>
      <c r="G630" t="s">
        <v>23</v>
      </c>
      <c r="H630" t="s">
        <v>58</v>
      </c>
      <c r="I630" t="s">
        <v>25</v>
      </c>
      <c r="J630" t="s">
        <v>955</v>
      </c>
      <c r="K630">
        <v>16</v>
      </c>
      <c r="L630">
        <v>8</v>
      </c>
      <c r="M630">
        <v>2025</v>
      </c>
      <c r="N630" t="s">
        <v>27</v>
      </c>
      <c r="O630">
        <v>400</v>
      </c>
      <c r="P630">
        <v>400</v>
      </c>
      <c r="R630" s="3" t="str">
        <f>HYPERLINK("https://panda.att.com.mx/ODKServer/view/binaryData?blobKey=FSSuministroFluidosv3%5B%40version%3Dnull+and+%40uiVersion%3Dnull%5D%2Fdata%5B%40key%3Duuid%3A5622980a-f2dc-4259-bbc0-b1747c343b8a%5D%2FgroupInfoFuel%5B%40ordinal%3D1%5D%2FpicFuelRecibeInterno","Descargar")</f>
        <v>Descargar</v>
      </c>
    </row>
    <row r="631" spans="1:18" x14ac:dyDescent="0.3">
      <c r="A631">
        <v>1598535</v>
      </c>
      <c r="B631" t="s">
        <v>18</v>
      </c>
      <c r="C631" t="s">
        <v>183</v>
      </c>
      <c r="D631" t="s">
        <v>956</v>
      </c>
      <c r="E631" t="s">
        <v>957</v>
      </c>
      <c r="F631" t="s">
        <v>22</v>
      </c>
      <c r="G631" t="s">
        <v>23</v>
      </c>
      <c r="H631" t="s">
        <v>24</v>
      </c>
      <c r="I631" t="s">
        <v>25</v>
      </c>
      <c r="J631" t="s">
        <v>958</v>
      </c>
      <c r="K631">
        <v>15</v>
      </c>
      <c r="L631">
        <v>8</v>
      </c>
      <c r="M631">
        <v>2025</v>
      </c>
      <c r="N631" t="s">
        <v>44</v>
      </c>
      <c r="O631">
        <v>30</v>
      </c>
      <c r="P631">
        <v>30</v>
      </c>
      <c r="R631" s="3" t="str">
        <f>HYPERLINK("https://panda.att.com.mx/ODKServer/view/binaryData?blobKey=FSSuministroFluidosv3%5B%40version%3Dnull+and+%40uiVersion%3Dnull%5D%2Fdata%5B%40key%3Duuid%3A4b6acac8-8b00-4942-a772-60ac8a25dc5a%5D%2FgroupInfoFuel%5B%40ordinal%3D1%5D%2FpicFuelRecibeInterno","Descargar")</f>
        <v>Descargar</v>
      </c>
    </row>
    <row r="632" spans="1:18" x14ac:dyDescent="0.3">
      <c r="A632">
        <v>1598520</v>
      </c>
      <c r="B632" t="s">
        <v>18</v>
      </c>
      <c r="C632" t="s">
        <v>167</v>
      </c>
      <c r="D632" t="s">
        <v>168</v>
      </c>
      <c r="E632" t="s">
        <v>875</v>
      </c>
      <c r="F632" t="s">
        <v>22</v>
      </c>
      <c r="G632" t="s">
        <v>23</v>
      </c>
      <c r="H632" t="s">
        <v>58</v>
      </c>
      <c r="I632" t="s">
        <v>25</v>
      </c>
      <c r="J632" t="s">
        <v>959</v>
      </c>
      <c r="K632">
        <v>15</v>
      </c>
      <c r="L632">
        <v>8</v>
      </c>
      <c r="M632">
        <v>2025</v>
      </c>
      <c r="N632" t="s">
        <v>27</v>
      </c>
      <c r="O632">
        <v>100</v>
      </c>
      <c r="P632">
        <v>100</v>
      </c>
      <c r="R632" s="3" t="str">
        <f>HYPERLINK("https://panda.att.com.mx/ODKServer/view/binaryData?blobKey=FSSuministroFluidosv3%5B%40version%3Dnull+and+%40uiVersion%3Dnull%5D%2Fdata%5B%40key%3Duuid%3Ac007e8f7-2953-4db8-9bcc-1e28ffcac02d%5D%2FgroupInfoFuel%5B%40ordinal%3D1%5D%2FpicFuelRecibeInterno","Descargar")</f>
        <v>Descargar</v>
      </c>
    </row>
    <row r="633" spans="1:18" x14ac:dyDescent="0.3">
      <c r="A633">
        <v>1598519</v>
      </c>
      <c r="B633" t="s">
        <v>18</v>
      </c>
      <c r="C633" t="s">
        <v>59</v>
      </c>
      <c r="D633" t="s">
        <v>60</v>
      </c>
      <c r="E633" t="s">
        <v>960</v>
      </c>
      <c r="F633" t="s">
        <v>22</v>
      </c>
      <c r="G633" t="s">
        <v>23</v>
      </c>
      <c r="H633" t="s">
        <v>37</v>
      </c>
      <c r="I633" t="s">
        <v>25</v>
      </c>
      <c r="J633" t="s">
        <v>961</v>
      </c>
      <c r="K633">
        <v>8</v>
      </c>
      <c r="L633">
        <v>8</v>
      </c>
      <c r="M633">
        <v>2025</v>
      </c>
      <c r="N633" t="s">
        <v>27</v>
      </c>
      <c r="O633">
        <v>70</v>
      </c>
      <c r="Q633">
        <v>70</v>
      </c>
      <c r="R633" s="3" t="str">
        <f>HYPERLINK("https://panda.att.com.mx/ODKServer/view/binaryData?blobKey=FSSuministroFluidosv3%5B%40version%3Dnull+and+%40uiVersion%3Dnull%5D%2Fdata%5B%40key%3Duuid%3Ab7e3dd66-9c06-49ec-9c9f-3da11faadca0%5D%2FgroupInfoFuel%5B%40ordinal%3D1%5D%2FpicFuelRecibeInterno","Descargar")</f>
        <v>Descargar</v>
      </c>
    </row>
    <row r="634" spans="1:18" x14ac:dyDescent="0.3">
      <c r="A634">
        <v>1598502</v>
      </c>
      <c r="B634" t="s">
        <v>18</v>
      </c>
      <c r="C634" t="s">
        <v>19</v>
      </c>
      <c r="D634" t="s">
        <v>140</v>
      </c>
      <c r="E634" t="s">
        <v>962</v>
      </c>
      <c r="F634" t="s">
        <v>22</v>
      </c>
      <c r="G634" t="s">
        <v>23</v>
      </c>
      <c r="H634" t="s">
        <v>24</v>
      </c>
      <c r="I634" t="s">
        <v>25</v>
      </c>
      <c r="J634" t="s">
        <v>963</v>
      </c>
      <c r="K634">
        <v>15</v>
      </c>
      <c r="L634">
        <v>8</v>
      </c>
      <c r="M634">
        <v>2025</v>
      </c>
      <c r="N634" t="s">
        <v>27</v>
      </c>
      <c r="O634">
        <v>140</v>
      </c>
      <c r="P634">
        <v>140</v>
      </c>
      <c r="R634" s="3" t="str">
        <f>HYPERLINK("https://panda.att.com.mx/ODKServer/view/binaryData?blobKey=FSSuministroFluidosv3%5B%40version%3Dnull+and+%40uiVersion%3Dnull%5D%2Fdata%5B%40key%3Duuid%3A1080d040-efc8-4d9a-9430-972062d30d86%5D%2FgroupInfoFuel%5B%40ordinal%3D1%5D%2FpicFuelRecibeInterno","Descargar")</f>
        <v>Descargar</v>
      </c>
    </row>
    <row r="635" spans="1:18" x14ac:dyDescent="0.3">
      <c r="A635">
        <v>1598499</v>
      </c>
      <c r="B635" t="s">
        <v>18</v>
      </c>
      <c r="C635" t="s">
        <v>34</v>
      </c>
      <c r="D635" t="s">
        <v>53</v>
      </c>
      <c r="E635" t="s">
        <v>54</v>
      </c>
      <c r="F635" t="s">
        <v>22</v>
      </c>
      <c r="G635" t="s">
        <v>23</v>
      </c>
      <c r="H635" t="s">
        <v>37</v>
      </c>
      <c r="I635" t="s">
        <v>25</v>
      </c>
      <c r="J635" t="s">
        <v>964</v>
      </c>
      <c r="K635">
        <v>15</v>
      </c>
      <c r="L635">
        <v>8</v>
      </c>
      <c r="M635">
        <v>2025</v>
      </c>
      <c r="N635" t="s">
        <v>27</v>
      </c>
      <c r="O635">
        <v>350</v>
      </c>
      <c r="Q635">
        <v>350</v>
      </c>
      <c r="R635" s="3" t="str">
        <f>HYPERLINK("https://panda.att.com.mx/ODKServer/view/binaryData?blobKey=FSSuministroFluidosv3%5B%40version%3Dnull+and+%40uiVersion%3Dnull%5D%2Fdata%5B%40key%3Duuid%3A98905810-7f30-4877-a8ec-ad753ebbcf29%5D%2FgroupInfoFuel%5B%40ordinal%3D1%5D%2FpicFuelRecibeInterno","Descargar")</f>
        <v>Descargar</v>
      </c>
    </row>
    <row r="636" spans="1:18" x14ac:dyDescent="0.3">
      <c r="A636">
        <v>1598496</v>
      </c>
      <c r="B636" t="s">
        <v>18</v>
      </c>
      <c r="C636" t="s">
        <v>19</v>
      </c>
      <c r="D636" t="s">
        <v>140</v>
      </c>
      <c r="E636" t="s">
        <v>141</v>
      </c>
      <c r="F636" t="s">
        <v>22</v>
      </c>
      <c r="G636" t="s">
        <v>23</v>
      </c>
      <c r="H636" t="s">
        <v>24</v>
      </c>
      <c r="I636" t="s">
        <v>25</v>
      </c>
      <c r="J636" t="s">
        <v>965</v>
      </c>
      <c r="K636">
        <v>15</v>
      </c>
      <c r="L636">
        <v>8</v>
      </c>
      <c r="M636">
        <v>2025</v>
      </c>
      <c r="N636" t="s">
        <v>44</v>
      </c>
      <c r="O636">
        <v>50</v>
      </c>
      <c r="P636">
        <v>50</v>
      </c>
      <c r="R636" s="3" t="str">
        <f>HYPERLINK("https://panda.att.com.mx/ODKServer/view/binaryData?blobKey=FSSuministroFluidosv3%5B%40version%3Dnull+and+%40uiVersion%3Dnull%5D%2Fdata%5B%40key%3Duuid%3A46f6f392-8849-4d67-99bb-ae84e6744ff3%5D%2FgroupInfoFuel%5B%40ordinal%3D1%5D%2FpicFuelRecibeInterno","Descargar")</f>
        <v>Descargar</v>
      </c>
    </row>
    <row r="637" spans="1:18" x14ac:dyDescent="0.3">
      <c r="A637">
        <v>1598494</v>
      </c>
      <c r="B637" t="s">
        <v>18</v>
      </c>
      <c r="C637" t="s">
        <v>34</v>
      </c>
      <c r="D637" t="s">
        <v>53</v>
      </c>
      <c r="E637" t="s">
        <v>649</v>
      </c>
      <c r="F637" t="s">
        <v>22</v>
      </c>
      <c r="G637" t="s">
        <v>23</v>
      </c>
      <c r="H637" t="s">
        <v>37</v>
      </c>
      <c r="I637" t="s">
        <v>25</v>
      </c>
      <c r="J637" t="s">
        <v>966</v>
      </c>
      <c r="K637">
        <v>15</v>
      </c>
      <c r="L637">
        <v>8</v>
      </c>
      <c r="M637">
        <v>2025</v>
      </c>
      <c r="N637" t="s">
        <v>27</v>
      </c>
      <c r="O637">
        <v>180</v>
      </c>
      <c r="P637">
        <v>180</v>
      </c>
      <c r="R637" s="3" t="str">
        <f>HYPERLINK("https://panda.att.com.mx/ODKServer/view/binaryData?blobKey=FSSuministroFluidosv3%5B%40version%3Dnull+and+%40uiVersion%3Dnull%5D%2Fdata%5B%40key%3Duuid%3Ac710fe26-13fe-466c-b345-b46f12618d59%5D%2FgroupInfoFuel%5B%40ordinal%3D1%5D%2FpicFuelRecibeInterno","Descargar")</f>
        <v>Descargar</v>
      </c>
    </row>
    <row r="638" spans="1:18" x14ac:dyDescent="0.3">
      <c r="A638">
        <v>1598486</v>
      </c>
      <c r="B638" t="s">
        <v>18</v>
      </c>
      <c r="C638" t="s">
        <v>34</v>
      </c>
      <c r="D638" t="s">
        <v>53</v>
      </c>
      <c r="E638" t="s">
        <v>144</v>
      </c>
      <c r="F638" t="s">
        <v>22</v>
      </c>
      <c r="G638" t="s">
        <v>23</v>
      </c>
      <c r="H638" t="s">
        <v>37</v>
      </c>
      <c r="I638" t="s">
        <v>25</v>
      </c>
      <c r="J638" t="s">
        <v>967</v>
      </c>
      <c r="K638">
        <v>15</v>
      </c>
      <c r="L638">
        <v>8</v>
      </c>
      <c r="M638">
        <v>2025</v>
      </c>
      <c r="N638" t="s">
        <v>27</v>
      </c>
      <c r="O638">
        <v>200</v>
      </c>
      <c r="P638">
        <v>200</v>
      </c>
      <c r="R638" s="3" t="str">
        <f>HYPERLINK("https://panda.att.com.mx/ODKServer/view/binaryData?blobKey=FSSuministroFluidosv3%5B%40version%3Dnull+and+%40uiVersion%3Dnull%5D%2Fdata%5B%40key%3Duuid%3Ad578a00f-19de-4270-9107-9a37d7b0fdd9%5D%2FgroupInfoFuel%5B%40ordinal%3D1%5D%2FpicFuelRecibeInterno","Descargar")</f>
        <v>Descargar</v>
      </c>
    </row>
    <row r="639" spans="1:18" x14ac:dyDescent="0.3">
      <c r="A639">
        <v>1598485</v>
      </c>
      <c r="B639" t="s">
        <v>18</v>
      </c>
      <c r="C639" t="s">
        <v>150</v>
      </c>
      <c r="D639" t="s">
        <v>230</v>
      </c>
      <c r="E639" t="s">
        <v>968</v>
      </c>
      <c r="F639" t="s">
        <v>22</v>
      </c>
      <c r="G639" t="s">
        <v>23</v>
      </c>
      <c r="H639" t="s">
        <v>58</v>
      </c>
      <c r="I639" t="s">
        <v>25</v>
      </c>
      <c r="J639" t="s">
        <v>969</v>
      </c>
      <c r="K639">
        <v>15</v>
      </c>
      <c r="L639">
        <v>8</v>
      </c>
      <c r="M639">
        <v>2025</v>
      </c>
      <c r="N639" t="s">
        <v>27</v>
      </c>
      <c r="O639">
        <v>300</v>
      </c>
      <c r="P639">
        <v>300</v>
      </c>
      <c r="R639" s="3" t="str">
        <f>HYPERLINK("https://panda.att.com.mx/ODKServer/view/binaryData?blobKey=FSSuministroFluidosv3%5B%40version%3Dnull+and+%40uiVersion%3Dnull%5D%2Fdata%5B%40key%3Duuid%3Aabb6aa62-8884-4026-b48b-6638c3700c8f%5D%2FgroupInfoFuel%5B%40ordinal%3D1%5D%2FpicFuelRecibeInterno","Descargar")</f>
        <v>Descargar</v>
      </c>
    </row>
    <row r="640" spans="1:18" x14ac:dyDescent="0.3">
      <c r="A640">
        <v>1598476</v>
      </c>
      <c r="B640" t="s">
        <v>18</v>
      </c>
      <c r="C640" t="s">
        <v>68</v>
      </c>
      <c r="D640" t="s">
        <v>91</v>
      </c>
      <c r="E640" t="s">
        <v>970</v>
      </c>
      <c r="F640" t="s">
        <v>22</v>
      </c>
      <c r="G640" t="s">
        <v>23</v>
      </c>
      <c r="H640" t="s">
        <v>37</v>
      </c>
      <c r="I640" t="s">
        <v>25</v>
      </c>
      <c r="J640" t="s">
        <v>971</v>
      </c>
      <c r="K640">
        <v>15</v>
      </c>
      <c r="L640">
        <v>8</v>
      </c>
      <c r="M640">
        <v>2025</v>
      </c>
      <c r="N640" t="s">
        <v>27</v>
      </c>
      <c r="O640">
        <v>150</v>
      </c>
      <c r="P640">
        <v>150</v>
      </c>
      <c r="R640" s="3" t="str">
        <f>HYPERLINK("https://panda.att.com.mx/ODKServer/view/binaryData?blobKey=FSSuministroFluidosv3%5B%40version%3Dnull+and+%40uiVersion%3Dnull%5D%2Fdata%5B%40key%3Duuid%3A56fe1f8c-acca-41f1-8cf3-380a51d99ed9%5D%2FgroupInfoFuel%5B%40ordinal%3D1%5D%2FpicFuelRecibeInterno","Descargar")</f>
        <v>Descargar</v>
      </c>
    </row>
    <row r="641" spans="1:18" x14ac:dyDescent="0.3">
      <c r="A641">
        <v>1598464</v>
      </c>
      <c r="B641" t="s">
        <v>18</v>
      </c>
      <c r="C641" t="s">
        <v>34</v>
      </c>
      <c r="D641" t="s">
        <v>972</v>
      </c>
      <c r="E641" t="s">
        <v>973</v>
      </c>
      <c r="F641" t="s">
        <v>22</v>
      </c>
      <c r="G641" t="s">
        <v>23</v>
      </c>
      <c r="H641" t="s">
        <v>37</v>
      </c>
      <c r="I641" t="s">
        <v>25</v>
      </c>
      <c r="J641" t="s">
        <v>974</v>
      </c>
      <c r="K641">
        <v>15</v>
      </c>
      <c r="L641">
        <v>8</v>
      </c>
      <c r="M641">
        <v>2025</v>
      </c>
      <c r="N641" t="s">
        <v>27</v>
      </c>
      <c r="O641">
        <v>250</v>
      </c>
      <c r="Q641">
        <v>250</v>
      </c>
      <c r="R641" s="3" t="str">
        <f>HYPERLINK("https://panda.att.com.mx/ODKServer/view/binaryData?blobKey=FSSuministroFluidosv3%5B%40version%3Dnull+and+%40uiVersion%3Dnull%5D%2Fdata%5B%40key%3Duuid%3Ae2218d5a-b05e-4350-af32-55edf3af6182%5D%2FgroupInfoFuel%5B%40ordinal%3D1%5D%2FpicFuelRecibeInterno","Descargar")</f>
        <v>Descargar</v>
      </c>
    </row>
    <row r="642" spans="1:18" x14ac:dyDescent="0.3">
      <c r="A642">
        <v>1598426</v>
      </c>
      <c r="B642" t="s">
        <v>18</v>
      </c>
      <c r="C642" t="s">
        <v>68</v>
      </c>
      <c r="D642" t="s">
        <v>461</v>
      </c>
      <c r="E642" t="s">
        <v>975</v>
      </c>
      <c r="F642" t="s">
        <v>22</v>
      </c>
      <c r="G642" t="s">
        <v>23</v>
      </c>
      <c r="H642" t="s">
        <v>37</v>
      </c>
      <c r="I642" t="s">
        <v>25</v>
      </c>
      <c r="J642" t="s">
        <v>976</v>
      </c>
      <c r="K642">
        <v>15</v>
      </c>
      <c r="L642">
        <v>8</v>
      </c>
      <c r="M642">
        <v>2025</v>
      </c>
      <c r="N642" t="s">
        <v>27</v>
      </c>
      <c r="O642">
        <v>300</v>
      </c>
      <c r="Q642">
        <v>300</v>
      </c>
      <c r="R642" s="3" t="str">
        <f>HYPERLINK("https://panda.att.com.mx/ODKServer/view/binaryData?blobKey=FSSuministroFluidosv3%5B%40version%3Dnull+and+%40uiVersion%3Dnull%5D%2Fdata%5B%40key%3Duuid%3Abaa85788-4e5f-47f3-a18f-398438a723eb%5D%2FgroupInfoFuel%5B%40ordinal%3D1%5D%2FpicFuelRecibeInterno","Descargar")</f>
        <v>Descargar</v>
      </c>
    </row>
    <row r="643" spans="1:18" x14ac:dyDescent="0.3">
      <c r="A643">
        <v>1598418</v>
      </c>
      <c r="B643" t="s">
        <v>18</v>
      </c>
      <c r="C643" t="s">
        <v>34</v>
      </c>
      <c r="D643" t="s">
        <v>53</v>
      </c>
      <c r="E643" t="s">
        <v>144</v>
      </c>
      <c r="F643" t="s">
        <v>22</v>
      </c>
      <c r="G643" t="s">
        <v>23</v>
      </c>
      <c r="H643" t="s">
        <v>37</v>
      </c>
      <c r="I643" t="s">
        <v>25</v>
      </c>
      <c r="J643" t="s">
        <v>977</v>
      </c>
      <c r="K643">
        <v>15</v>
      </c>
      <c r="L643">
        <v>8</v>
      </c>
      <c r="M643">
        <v>2025</v>
      </c>
      <c r="N643" t="s">
        <v>27</v>
      </c>
      <c r="O643">
        <v>350</v>
      </c>
      <c r="P643">
        <v>350</v>
      </c>
      <c r="R643" s="3" t="str">
        <f>HYPERLINK("https://panda.att.com.mx/ODKServer/view/binaryData?blobKey=FSSuministroFluidosv3%5B%40version%3Dnull+and+%40uiVersion%3Dnull%5D%2Fdata%5B%40key%3Duuid%3Af45bf1c9-5cb4-445c-9456-faa86813b14b%5D%2FgroupInfoFuel%5B%40ordinal%3D1%5D%2FpicFuelRecibeInterno","Descargar")</f>
        <v>Descargar</v>
      </c>
    </row>
    <row r="644" spans="1:18" x14ac:dyDescent="0.3">
      <c r="A644">
        <v>1598401</v>
      </c>
      <c r="B644" t="s">
        <v>18</v>
      </c>
      <c r="C644" t="s">
        <v>34</v>
      </c>
      <c r="D644" t="s">
        <v>53</v>
      </c>
      <c r="E644" t="s">
        <v>978</v>
      </c>
      <c r="F644" t="s">
        <v>22</v>
      </c>
      <c r="G644" t="s">
        <v>23</v>
      </c>
      <c r="H644" t="s">
        <v>37</v>
      </c>
      <c r="I644" t="s">
        <v>25</v>
      </c>
      <c r="J644" t="s">
        <v>979</v>
      </c>
      <c r="K644">
        <v>15</v>
      </c>
      <c r="L644">
        <v>8</v>
      </c>
      <c r="M644">
        <v>2025</v>
      </c>
      <c r="N644" t="s">
        <v>27</v>
      </c>
      <c r="O644">
        <v>250</v>
      </c>
      <c r="P644">
        <v>250</v>
      </c>
      <c r="R644" s="3" t="str">
        <f>HYPERLINK("https://panda.att.com.mx/ODKServer/view/binaryData?blobKey=FSSuministroFluidosv3%5B%40version%3Dnull+and+%40uiVersion%3Dnull%5D%2Fdata%5B%40key%3Duuid%3A53b9ac7d-f967-4f1b-bfc4-f9837a8b0f63%5D%2FgroupInfoFuel%5B%40ordinal%3D1%5D%2FpicFuelRecibeInterno","Descargar")</f>
        <v>Descargar</v>
      </c>
    </row>
    <row r="645" spans="1:18" x14ac:dyDescent="0.3">
      <c r="A645">
        <v>1598289</v>
      </c>
      <c r="B645" t="s">
        <v>18</v>
      </c>
      <c r="C645" t="s">
        <v>19</v>
      </c>
      <c r="D645" t="s">
        <v>42</v>
      </c>
      <c r="E645" t="s">
        <v>980</v>
      </c>
      <c r="F645" t="s">
        <v>22</v>
      </c>
      <c r="G645" t="s">
        <v>23</v>
      </c>
      <c r="H645" t="s">
        <v>24</v>
      </c>
      <c r="I645" t="s">
        <v>25</v>
      </c>
      <c r="J645" t="s">
        <v>981</v>
      </c>
      <c r="K645">
        <v>15</v>
      </c>
      <c r="L645">
        <v>8</v>
      </c>
      <c r="M645">
        <v>2025</v>
      </c>
      <c r="N645" t="s">
        <v>44</v>
      </c>
      <c r="O645">
        <v>20</v>
      </c>
      <c r="P645">
        <v>20</v>
      </c>
      <c r="R645" s="3" t="str">
        <f>HYPERLINK("https://panda.att.com.mx/ODKServer/view/binaryData?blobKey=FSSuministroFluidosv3%5B%40version%3Dnull+and+%40uiVersion%3Dnull%5D%2Fdata%5B%40key%3Duuid%3Ad02421d2-d089-48a6-813d-e9c7ff03d610%5D%2FgroupInfoFuel%5B%40ordinal%3D1%5D%2FpicFuelRecibeInterno","Descargar")</f>
        <v>Descargar</v>
      </c>
    </row>
    <row r="646" spans="1:18" x14ac:dyDescent="0.3">
      <c r="A646">
        <v>1598288</v>
      </c>
      <c r="B646" t="s">
        <v>18</v>
      </c>
      <c r="C646" t="s">
        <v>19</v>
      </c>
      <c r="D646" t="s">
        <v>42</v>
      </c>
      <c r="E646" t="s">
        <v>982</v>
      </c>
      <c r="F646" t="s">
        <v>22</v>
      </c>
      <c r="G646" t="s">
        <v>23</v>
      </c>
      <c r="H646" t="s">
        <v>24</v>
      </c>
      <c r="I646" t="s">
        <v>25</v>
      </c>
      <c r="J646" t="s">
        <v>983</v>
      </c>
      <c r="K646">
        <v>15</v>
      </c>
      <c r="L646">
        <v>8</v>
      </c>
      <c r="M646">
        <v>2025</v>
      </c>
      <c r="N646" t="s">
        <v>44</v>
      </c>
      <c r="O646">
        <v>30</v>
      </c>
      <c r="P646">
        <v>30</v>
      </c>
      <c r="R646" s="3" t="str">
        <f>HYPERLINK("https://panda.att.com.mx/ODKServer/view/binaryData?blobKey=FSSuministroFluidosv3%5B%40version%3Dnull+and+%40uiVersion%3Dnull%5D%2Fdata%5B%40key%3Duuid%3A7f921cf9-6abd-4f6b-91f6-a03576adaeae%5D%2FgroupInfoFuel%5B%40ordinal%3D1%5D%2FpicFuelRecibeInterno","Descargar")</f>
        <v>Descargar</v>
      </c>
    </row>
    <row r="647" spans="1:18" x14ac:dyDescent="0.3">
      <c r="A647">
        <v>1598261</v>
      </c>
      <c r="B647" t="s">
        <v>18</v>
      </c>
      <c r="C647" t="s">
        <v>100</v>
      </c>
      <c r="D647" t="s">
        <v>101</v>
      </c>
      <c r="E647" t="s">
        <v>102</v>
      </c>
      <c r="F647" t="s">
        <v>22</v>
      </c>
      <c r="G647" t="s">
        <v>23</v>
      </c>
      <c r="H647" t="s">
        <v>58</v>
      </c>
      <c r="I647" t="s">
        <v>25</v>
      </c>
      <c r="J647" t="s">
        <v>984</v>
      </c>
      <c r="K647">
        <v>15</v>
      </c>
      <c r="L647">
        <v>8</v>
      </c>
      <c r="M647">
        <v>2025</v>
      </c>
      <c r="N647" t="s">
        <v>44</v>
      </c>
      <c r="O647">
        <v>60</v>
      </c>
      <c r="P647">
        <v>60</v>
      </c>
      <c r="R647" s="3" t="str">
        <f>HYPERLINK("https://panda.att.com.mx/ODKServer/view/binaryData?blobKey=FSSuministroFluidosv3%5B%40version%3Dnull+and+%40uiVersion%3Dnull%5D%2Fdata%5B%40key%3Duuid%3A91c39d04-fb0e-408a-b377-c89dadf94824%5D%2FgroupInfoFuel%5B%40ordinal%3D1%5D%2FpicFuelRecibeInterno","Descargar")</f>
        <v>Descargar</v>
      </c>
    </row>
    <row r="648" spans="1:18" x14ac:dyDescent="0.3">
      <c r="A648">
        <v>1598221</v>
      </c>
      <c r="B648" t="s">
        <v>18</v>
      </c>
      <c r="C648" t="s">
        <v>68</v>
      </c>
      <c r="D648" t="s">
        <v>91</v>
      </c>
      <c r="E648" t="s">
        <v>828</v>
      </c>
      <c r="F648" t="s">
        <v>22</v>
      </c>
      <c r="G648" t="s">
        <v>23</v>
      </c>
      <c r="H648" t="s">
        <v>37</v>
      </c>
      <c r="I648" t="s">
        <v>25</v>
      </c>
      <c r="J648" t="s">
        <v>985</v>
      </c>
      <c r="K648">
        <v>15</v>
      </c>
      <c r="L648">
        <v>8</v>
      </c>
      <c r="M648">
        <v>2025</v>
      </c>
      <c r="N648" t="s">
        <v>27</v>
      </c>
      <c r="O648">
        <v>150</v>
      </c>
      <c r="P648">
        <v>150</v>
      </c>
      <c r="R648" s="3" t="str">
        <f>HYPERLINK("https://panda.att.com.mx/ODKServer/view/binaryData?blobKey=FSSuministroFluidosv3%5B%40version%3Dnull+and+%40uiVersion%3Dnull%5D%2Fdata%5B%40key%3Duuid%3A54f1c783-93e0-4e5d-ae3c-4edc525665b2%5D%2FgroupInfoFuel%5B%40ordinal%3D1%5D%2FpicFuelRecibeInterno","Descargar")</f>
        <v>Descargar</v>
      </c>
    </row>
    <row r="649" spans="1:18" x14ac:dyDescent="0.3">
      <c r="A649">
        <v>1598081</v>
      </c>
      <c r="B649" t="s">
        <v>18</v>
      </c>
      <c r="C649" t="s">
        <v>55</v>
      </c>
      <c r="D649" t="s">
        <v>89</v>
      </c>
      <c r="E649" t="s">
        <v>986</v>
      </c>
      <c r="F649" t="s">
        <v>22</v>
      </c>
      <c r="G649" t="s">
        <v>83</v>
      </c>
      <c r="H649" t="s">
        <v>58</v>
      </c>
      <c r="I649" t="s">
        <v>25</v>
      </c>
      <c r="J649" t="s">
        <v>987</v>
      </c>
      <c r="K649">
        <v>15</v>
      </c>
      <c r="L649">
        <v>8</v>
      </c>
      <c r="M649">
        <v>2025</v>
      </c>
      <c r="N649" t="s">
        <v>27</v>
      </c>
      <c r="O649">
        <v>200</v>
      </c>
      <c r="P649">
        <v>200</v>
      </c>
      <c r="R649" s="3" t="str">
        <f>HYPERLINK("https://panda.att.com.mx/ODKServer/view/binaryData?blobKey=FSSuministroFluidosv3%5B%40version%3Dnull+and+%40uiVersion%3Dnull%5D%2Fdata%5B%40key%3Duuid%3A6f2f4979-f5de-493d-a7ed-b1ccd8dd4631%5D%2FgroupInfoFuel%5B%40ordinal%3D1%5D%2FpicFuelRecibeInterno","Descargar")</f>
        <v>Descargar</v>
      </c>
    </row>
    <row r="650" spans="1:18" x14ac:dyDescent="0.3">
      <c r="A650">
        <v>1597743</v>
      </c>
      <c r="B650" t="s">
        <v>18</v>
      </c>
      <c r="C650" t="s">
        <v>100</v>
      </c>
      <c r="D650" t="s">
        <v>716</v>
      </c>
      <c r="E650" t="s">
        <v>717</v>
      </c>
      <c r="F650" t="s">
        <v>22</v>
      </c>
      <c r="G650" t="s">
        <v>83</v>
      </c>
      <c r="H650" t="s">
        <v>58</v>
      </c>
      <c r="I650" t="s">
        <v>25</v>
      </c>
      <c r="J650" t="s">
        <v>988</v>
      </c>
      <c r="K650">
        <v>14</v>
      </c>
      <c r="L650">
        <v>8</v>
      </c>
      <c r="M650">
        <v>2025</v>
      </c>
      <c r="N650" t="s">
        <v>27</v>
      </c>
      <c r="O650">
        <v>130</v>
      </c>
      <c r="P650">
        <v>130</v>
      </c>
      <c r="R650" s="3" t="str">
        <f>HYPERLINK("https://panda.att.com.mx/ODKServer/view/binaryData?blobKey=FSSuministroFluidosv3%5B%40version%3Dnull+and+%40uiVersion%3Dnull%5D%2Fdata%5B%40key%3Duuid%3Aac01b959-50d0-466b-8f1d-a6f16b088f0d%5D%2FgroupInfoFuel%5B%40ordinal%3D1%5D%2FpicFuelRecibeInterno","Descargar")</f>
        <v>Descargar</v>
      </c>
    </row>
    <row r="651" spans="1:18" x14ac:dyDescent="0.3">
      <c r="A651">
        <v>1597742</v>
      </c>
      <c r="B651" t="s">
        <v>18</v>
      </c>
      <c r="C651" t="s">
        <v>100</v>
      </c>
      <c r="D651" t="s">
        <v>716</v>
      </c>
      <c r="E651" t="s">
        <v>989</v>
      </c>
      <c r="F651" t="s">
        <v>22</v>
      </c>
      <c r="G651" t="s">
        <v>23</v>
      </c>
      <c r="H651" t="s">
        <v>58</v>
      </c>
      <c r="I651" t="s">
        <v>25</v>
      </c>
      <c r="J651" t="s">
        <v>990</v>
      </c>
      <c r="K651">
        <v>14</v>
      </c>
      <c r="L651">
        <v>8</v>
      </c>
      <c r="M651">
        <v>2025</v>
      </c>
      <c r="N651" t="s">
        <v>27</v>
      </c>
      <c r="O651">
        <v>300</v>
      </c>
      <c r="P651">
        <v>300</v>
      </c>
      <c r="R651" s="3" t="str">
        <f>HYPERLINK("https://panda.att.com.mx/ODKServer/view/binaryData?blobKey=FSSuministroFluidosv3%5B%40version%3Dnull+and+%40uiVersion%3Dnull%5D%2Fdata%5B%40key%3Duuid%3A5ddf9ec1-0ae0-401c-b627-7b9f6580640e%5D%2FgroupInfoFuel%5B%40ordinal%3D1%5D%2FpicFuelRecibeInterno","Descargar")</f>
        <v>Descargar</v>
      </c>
    </row>
    <row r="652" spans="1:18" x14ac:dyDescent="0.3">
      <c r="A652">
        <v>1596110</v>
      </c>
      <c r="B652" t="s">
        <v>18</v>
      </c>
      <c r="C652" t="s">
        <v>100</v>
      </c>
      <c r="D652" t="s">
        <v>716</v>
      </c>
      <c r="E652" t="s">
        <v>991</v>
      </c>
      <c r="F652" t="s">
        <v>22</v>
      </c>
      <c r="G652" t="s">
        <v>23</v>
      </c>
      <c r="H652" t="s">
        <v>58</v>
      </c>
      <c r="I652" t="s">
        <v>25</v>
      </c>
      <c r="J652" t="s">
        <v>992</v>
      </c>
      <c r="K652">
        <v>13</v>
      </c>
      <c r="L652">
        <v>8</v>
      </c>
      <c r="M652">
        <v>2025</v>
      </c>
      <c r="N652" t="s">
        <v>27</v>
      </c>
      <c r="O652">
        <v>82</v>
      </c>
      <c r="P652">
        <v>82</v>
      </c>
      <c r="R652" s="3" t="str">
        <f>HYPERLINK("https://panda.att.com.mx/ODKServer/view/binaryData?blobKey=FSSuministroFluidosv3%5B%40version%3Dnull+and+%40uiVersion%3Dnull%5D%2Fdata%5B%40key%3Duuid%3A5479bead-2001-4890-8dc8-a3eedbbd2883%5D%2FgroupInfoFuel%5B%40ordinal%3D1%5D%2FpicFuelRecibeInterno","Descargar")</f>
        <v>Descargar</v>
      </c>
    </row>
    <row r="653" spans="1:18" x14ac:dyDescent="0.3">
      <c r="A653">
        <v>1596085</v>
      </c>
      <c r="B653" t="s">
        <v>18</v>
      </c>
      <c r="C653" t="s">
        <v>100</v>
      </c>
      <c r="D653" t="s">
        <v>854</v>
      </c>
      <c r="E653" t="s">
        <v>993</v>
      </c>
      <c r="F653" t="s">
        <v>22</v>
      </c>
      <c r="G653" t="s">
        <v>83</v>
      </c>
      <c r="H653" t="s">
        <v>58</v>
      </c>
      <c r="I653" t="s">
        <v>25</v>
      </c>
      <c r="J653" t="s">
        <v>994</v>
      </c>
      <c r="K653">
        <v>13</v>
      </c>
      <c r="L653">
        <v>8</v>
      </c>
      <c r="M653">
        <v>2025</v>
      </c>
      <c r="N653" t="s">
        <v>27</v>
      </c>
      <c r="O653">
        <v>400</v>
      </c>
      <c r="Q653">
        <v>400</v>
      </c>
      <c r="R653" s="3" t="str">
        <f>HYPERLINK("https://panda.att.com.mx/ODKServer/view/binaryData?blobKey=FSSuministroFluidosv3%5B%40version%3Dnull+and+%40uiVersion%3Dnull%5D%2Fdata%5B%40key%3Duuid%3Ad44d1f50-597c-495f-a346-9f889fbd6fa0%5D%2FgroupInfoFuel%5B%40ordinal%3D1%5D%2FpicFuelRecibeInterno","Descargar")</f>
        <v>Descargar</v>
      </c>
    </row>
    <row r="654" spans="1:18" x14ac:dyDescent="0.3">
      <c r="A654">
        <v>1596042</v>
      </c>
      <c r="B654" t="s">
        <v>18</v>
      </c>
      <c r="C654" t="s">
        <v>19</v>
      </c>
      <c r="D654" t="s">
        <v>170</v>
      </c>
      <c r="E654" t="s">
        <v>376</v>
      </c>
      <c r="F654" t="s">
        <v>22</v>
      </c>
      <c r="G654" t="s">
        <v>23</v>
      </c>
      <c r="H654" t="s">
        <v>24</v>
      </c>
      <c r="I654" t="s">
        <v>25</v>
      </c>
      <c r="J654" t="s">
        <v>995</v>
      </c>
      <c r="K654">
        <v>7</v>
      </c>
      <c r="L654">
        <v>8</v>
      </c>
      <c r="M654">
        <v>2025</v>
      </c>
      <c r="N654" t="s">
        <v>27</v>
      </c>
      <c r="O654">
        <v>100</v>
      </c>
      <c r="P654">
        <v>100</v>
      </c>
      <c r="R654" s="3" t="str">
        <f>HYPERLINK("https://panda.att.com.mx/ODKServer/view/binaryData?blobKey=FSSuministroFluidosv3%5B%40version%3Dnull+and+%40uiVersion%3Dnull%5D%2Fdata%5B%40key%3Duuid%3A1671483b-26fc-42a9-b63f-f9ee9a9b950f%5D%2FgroupInfoFuel%5B%40ordinal%3D1%5D%2FpicFuelRecibeInterno","Descargar")</f>
        <v>Descargar</v>
      </c>
    </row>
    <row r="655" spans="1:18" x14ac:dyDescent="0.3">
      <c r="A655">
        <v>1596029</v>
      </c>
      <c r="B655" t="s">
        <v>18</v>
      </c>
      <c r="C655" t="s">
        <v>19</v>
      </c>
      <c r="D655" t="s">
        <v>45</v>
      </c>
      <c r="E655" t="s">
        <v>274</v>
      </c>
      <c r="F655" t="s">
        <v>22</v>
      </c>
      <c r="G655" t="s">
        <v>23</v>
      </c>
      <c r="H655" t="s">
        <v>24</v>
      </c>
      <c r="I655" t="s">
        <v>25</v>
      </c>
      <c r="J655" t="s">
        <v>996</v>
      </c>
      <c r="K655">
        <v>13</v>
      </c>
      <c r="L655">
        <v>8</v>
      </c>
      <c r="M655">
        <v>2025</v>
      </c>
      <c r="N655" t="s">
        <v>27</v>
      </c>
      <c r="O655">
        <v>100</v>
      </c>
      <c r="P655">
        <v>100</v>
      </c>
      <c r="R655" s="3" t="str">
        <f>HYPERLINK("https://panda.att.com.mx/ODKServer/view/binaryData?blobKey=FSSuministroFluidosv3%5B%40version%3Dnull+and+%40uiVersion%3Dnull%5D%2Fdata%5B%40key%3Duuid%3A3b490a9c-c3e5-4d83-932e-de5d530d763c%5D%2FgroupInfoFuel%5B%40ordinal%3D1%5D%2FpicFuelRecibeInterno","Descargar")</f>
        <v>Descargar</v>
      </c>
    </row>
    <row r="656" spans="1:18" x14ac:dyDescent="0.3">
      <c r="A656">
        <v>1596028</v>
      </c>
      <c r="B656" t="s">
        <v>18</v>
      </c>
      <c r="C656" t="s">
        <v>19</v>
      </c>
      <c r="D656" t="s">
        <v>45</v>
      </c>
      <c r="E656" t="s">
        <v>130</v>
      </c>
      <c r="F656" t="s">
        <v>22</v>
      </c>
      <c r="G656" t="s">
        <v>23</v>
      </c>
      <c r="H656" t="s">
        <v>24</v>
      </c>
      <c r="I656" t="s">
        <v>25</v>
      </c>
      <c r="J656" t="s">
        <v>997</v>
      </c>
      <c r="K656">
        <v>13</v>
      </c>
      <c r="L656">
        <v>8</v>
      </c>
      <c r="M656">
        <v>2025</v>
      </c>
      <c r="N656" t="s">
        <v>27</v>
      </c>
      <c r="O656">
        <v>200</v>
      </c>
      <c r="P656">
        <v>200</v>
      </c>
      <c r="R656" s="3" t="str">
        <f>HYPERLINK("https://panda.att.com.mx/ODKServer/view/binaryData?blobKey=FSSuministroFluidosv3%5B%40version%3Dnull+and+%40uiVersion%3Dnull%5D%2Fdata%5B%40key%3Duuid%3A095c98e7-a8f1-45c7-8329-7357b5454958%5D%2FgroupInfoFuel%5B%40ordinal%3D1%5D%2FpicFuelRecibeInterno","Descargar")</f>
        <v>Descargar</v>
      </c>
    </row>
    <row r="657" spans="1:18" x14ac:dyDescent="0.3">
      <c r="A657">
        <v>1595949</v>
      </c>
      <c r="B657" t="s">
        <v>18</v>
      </c>
      <c r="C657" t="s">
        <v>167</v>
      </c>
      <c r="D657" t="s">
        <v>768</v>
      </c>
      <c r="E657" t="s">
        <v>998</v>
      </c>
      <c r="F657" t="s">
        <v>22</v>
      </c>
      <c r="G657" t="s">
        <v>23</v>
      </c>
      <c r="H657" t="s">
        <v>58</v>
      </c>
      <c r="I657" t="s">
        <v>25</v>
      </c>
      <c r="J657" t="s">
        <v>999</v>
      </c>
      <c r="K657">
        <v>13</v>
      </c>
      <c r="L657">
        <v>8</v>
      </c>
      <c r="M657">
        <v>2025</v>
      </c>
      <c r="N657" t="s">
        <v>27</v>
      </c>
      <c r="O657">
        <v>300</v>
      </c>
      <c r="P657">
        <v>300</v>
      </c>
      <c r="R657" s="3" t="str">
        <f>HYPERLINK("https://panda.att.com.mx/ODKServer/view/binaryData?blobKey=FSSuministroFluidosv3%5B%40version%3Dnull+and+%40uiVersion%3Dnull%5D%2Fdata%5B%40key%3Duuid%3Af87d860b-65a1-4e20-a127-32fd09e0452d%5D%2FgroupInfoFuel%5B%40ordinal%3D1%5D%2FpicFuelRecibeInterno","Descargar")</f>
        <v>Descargar</v>
      </c>
    </row>
    <row r="658" spans="1:18" x14ac:dyDescent="0.3">
      <c r="A658">
        <v>1595895</v>
      </c>
      <c r="B658" t="s">
        <v>18</v>
      </c>
      <c r="C658" t="s">
        <v>55</v>
      </c>
      <c r="D658" t="s">
        <v>56</v>
      </c>
      <c r="E658" t="s">
        <v>1000</v>
      </c>
      <c r="F658" t="s">
        <v>22</v>
      </c>
      <c r="G658" t="s">
        <v>23</v>
      </c>
      <c r="H658" t="s">
        <v>58</v>
      </c>
      <c r="I658" t="s">
        <v>25</v>
      </c>
      <c r="J658" t="s">
        <v>1001</v>
      </c>
      <c r="K658">
        <v>13</v>
      </c>
      <c r="L658">
        <v>8</v>
      </c>
      <c r="M658">
        <v>2025</v>
      </c>
      <c r="N658" t="s">
        <v>27</v>
      </c>
      <c r="O658">
        <v>100</v>
      </c>
      <c r="P658">
        <v>100</v>
      </c>
      <c r="R658" s="3" t="str">
        <f>HYPERLINK("https://panda.att.com.mx/ODKServer/view/binaryData?blobKey=FSSuministroFluidosv3%5B%40version%3Dnull+and+%40uiVersion%3Dnull%5D%2Fdata%5B%40key%3Duuid%3Ac86773fe-7922-41a8-97fa-9fdc28ef187f%5D%2FgroupInfoFuel%5B%40ordinal%3D1%5D%2FpicFuelRecibeInterno","Descargar")</f>
        <v>Descargar</v>
      </c>
    </row>
    <row r="659" spans="1:18" x14ac:dyDescent="0.3">
      <c r="A659">
        <v>1595866</v>
      </c>
      <c r="B659" t="s">
        <v>18</v>
      </c>
      <c r="C659" t="s">
        <v>68</v>
      </c>
      <c r="D659" t="s">
        <v>132</v>
      </c>
      <c r="E659" t="s">
        <v>1002</v>
      </c>
      <c r="F659" t="s">
        <v>22</v>
      </c>
      <c r="G659" t="s">
        <v>23</v>
      </c>
      <c r="H659" t="s">
        <v>37</v>
      </c>
      <c r="I659" t="s">
        <v>25</v>
      </c>
      <c r="J659" t="s">
        <v>1003</v>
      </c>
      <c r="K659">
        <v>12</v>
      </c>
      <c r="L659">
        <v>8</v>
      </c>
      <c r="M659">
        <v>2025</v>
      </c>
      <c r="N659" t="s">
        <v>27</v>
      </c>
      <c r="O659">
        <v>130</v>
      </c>
      <c r="P659">
        <v>130</v>
      </c>
      <c r="R659" s="3" t="str">
        <f>HYPERLINK("https://panda.att.com.mx/ODKServer/view/binaryData?blobKey=FSSuministroFluidosv3%5B%40version%3Dnull+and+%40uiVersion%3Dnull%5D%2Fdata%5B%40key%3Duuid%3A1a885ec2-81e4-49e3-a542-2b4e48ba6594%5D%2FgroupInfoFuel%5B%40ordinal%3D1%5D%2FpicFuelRecibeInterno","Descargar")</f>
        <v>Descargar</v>
      </c>
    </row>
    <row r="660" spans="1:18" x14ac:dyDescent="0.3">
      <c r="A660">
        <v>1595855</v>
      </c>
      <c r="B660" t="s">
        <v>18</v>
      </c>
      <c r="C660" t="s">
        <v>100</v>
      </c>
      <c r="D660" t="s">
        <v>101</v>
      </c>
      <c r="E660" t="s">
        <v>102</v>
      </c>
      <c r="F660" t="s">
        <v>22</v>
      </c>
      <c r="G660" t="s">
        <v>23</v>
      </c>
      <c r="H660" t="s">
        <v>58</v>
      </c>
      <c r="I660" t="s">
        <v>25</v>
      </c>
      <c r="J660" t="s">
        <v>1004</v>
      </c>
      <c r="K660">
        <v>13</v>
      </c>
      <c r="L660">
        <v>8</v>
      </c>
      <c r="M660">
        <v>2025</v>
      </c>
      <c r="N660" t="s">
        <v>44</v>
      </c>
      <c r="O660">
        <v>60</v>
      </c>
      <c r="P660">
        <v>60</v>
      </c>
      <c r="R660" s="3" t="str">
        <f>HYPERLINK("https://panda.att.com.mx/ODKServer/view/binaryData?blobKey=FSSuministroFluidosv3%5B%40version%3Dnull+and+%40uiVersion%3Dnull%5D%2Fdata%5B%40key%3Duuid%3Ae5e0aba8-0e5c-4f9f-bb90-cc0e75a89588%5D%2FgroupInfoFuel%5B%40ordinal%3D1%5D%2FpicFuelRecibeInterno","Descargar")</f>
        <v>Descargar</v>
      </c>
    </row>
    <row r="661" spans="1:18" x14ac:dyDescent="0.3">
      <c r="A661">
        <v>1595837</v>
      </c>
      <c r="B661" t="s">
        <v>18</v>
      </c>
      <c r="C661" t="s">
        <v>55</v>
      </c>
      <c r="D661" t="s">
        <v>56</v>
      </c>
      <c r="E661" t="s">
        <v>1005</v>
      </c>
      <c r="F661" t="s">
        <v>22</v>
      </c>
      <c r="G661" t="s">
        <v>23</v>
      </c>
      <c r="H661" t="s">
        <v>58</v>
      </c>
      <c r="I661" t="s">
        <v>25</v>
      </c>
      <c r="J661" t="s">
        <v>1006</v>
      </c>
      <c r="K661">
        <v>12</v>
      </c>
      <c r="L661">
        <v>8</v>
      </c>
      <c r="M661">
        <v>2025</v>
      </c>
      <c r="N661" t="s">
        <v>27</v>
      </c>
      <c r="O661">
        <v>200</v>
      </c>
      <c r="P661">
        <v>200</v>
      </c>
      <c r="R661" s="3" t="str">
        <f>HYPERLINK("https://panda.att.com.mx/ODKServer/view/binaryData?blobKey=FSSuministroFluidosv3%5B%40version%3Dnull+and+%40uiVersion%3Dnull%5D%2Fdata%5B%40key%3Duuid%3A8399e353-bf0d-47cf-a3db-c2067d33581f%5D%2FgroupInfoFuel%5B%40ordinal%3D1%5D%2FpicFuelRecibeInterno","Descargar")</f>
        <v>Descargar</v>
      </c>
    </row>
    <row r="662" spans="1:18" x14ac:dyDescent="0.3">
      <c r="A662">
        <v>1595832</v>
      </c>
      <c r="B662" t="s">
        <v>18</v>
      </c>
      <c r="C662" t="s">
        <v>19</v>
      </c>
      <c r="D662" t="s">
        <v>20</v>
      </c>
      <c r="E662" t="s">
        <v>1007</v>
      </c>
      <c r="F662" t="s">
        <v>22</v>
      </c>
      <c r="G662" t="s">
        <v>23</v>
      </c>
      <c r="H662" t="s">
        <v>24</v>
      </c>
      <c r="I662" t="s">
        <v>25</v>
      </c>
      <c r="J662" t="s">
        <v>1008</v>
      </c>
      <c r="K662">
        <v>11</v>
      </c>
      <c r="L662">
        <v>8</v>
      </c>
      <c r="M662">
        <v>2025</v>
      </c>
      <c r="N662" t="s">
        <v>27</v>
      </c>
      <c r="O662">
        <v>200</v>
      </c>
      <c r="P662">
        <v>200</v>
      </c>
      <c r="R662" s="3" t="str">
        <f>HYPERLINK("https://panda.att.com.mx/ODKServer/view/binaryData?blobKey=FSSuministroFluidosv3%5B%40version%3Dnull+and+%40uiVersion%3Dnull%5D%2Fdata%5B%40key%3Duuid%3Ab6b91c25-321e-4a6a-a98e-662127c9da05%5D%2FgroupInfoFuel%5B%40ordinal%3D1%5D%2FpicFuelRecibeInterno","Descargar")</f>
        <v>Descargar</v>
      </c>
    </row>
    <row r="663" spans="1:18" x14ac:dyDescent="0.3">
      <c r="A663">
        <v>1595807</v>
      </c>
      <c r="B663" t="s">
        <v>18</v>
      </c>
      <c r="C663" t="s">
        <v>19</v>
      </c>
      <c r="D663" t="s">
        <v>175</v>
      </c>
      <c r="E663" t="s">
        <v>1009</v>
      </c>
      <c r="F663" t="s">
        <v>22</v>
      </c>
      <c r="G663" t="s">
        <v>23</v>
      </c>
      <c r="H663" t="s">
        <v>24</v>
      </c>
      <c r="I663" t="s">
        <v>25</v>
      </c>
      <c r="J663" t="s">
        <v>1010</v>
      </c>
      <c r="K663">
        <v>13</v>
      </c>
      <c r="L663">
        <v>8</v>
      </c>
      <c r="M663">
        <v>2025</v>
      </c>
      <c r="N663" t="s">
        <v>27</v>
      </c>
      <c r="O663">
        <v>200</v>
      </c>
      <c r="P663">
        <v>200</v>
      </c>
      <c r="R663" s="3" t="str">
        <f>HYPERLINK("https://panda.att.com.mx/ODKServer/view/binaryData?blobKey=FSSuministroFluidosv3%5B%40version%3Dnull+and+%40uiVersion%3Dnull%5D%2Fdata%5B%40key%3Duuid%3A8690caee-418b-4048-a815-efa49d6338f7%5D%2FgroupInfoFuel%5B%40ordinal%3D1%5D%2FpicFuelRecibeInterno","Descargar")</f>
        <v>Descargar</v>
      </c>
    </row>
    <row r="664" spans="1:18" x14ac:dyDescent="0.3">
      <c r="A664">
        <v>1595805</v>
      </c>
      <c r="B664" t="s">
        <v>18</v>
      </c>
      <c r="C664" t="s">
        <v>59</v>
      </c>
      <c r="D664" t="s">
        <v>1011</v>
      </c>
      <c r="E664" t="s">
        <v>1012</v>
      </c>
      <c r="F664" t="s">
        <v>22</v>
      </c>
      <c r="G664" t="s">
        <v>23</v>
      </c>
      <c r="H664" t="s">
        <v>37</v>
      </c>
      <c r="I664" t="s">
        <v>25</v>
      </c>
      <c r="J664" t="s">
        <v>1013</v>
      </c>
      <c r="K664">
        <v>7</v>
      </c>
      <c r="L664">
        <v>8</v>
      </c>
      <c r="M664">
        <v>2025</v>
      </c>
      <c r="N664" t="s">
        <v>27</v>
      </c>
      <c r="O664">
        <v>300</v>
      </c>
      <c r="Q664">
        <v>300</v>
      </c>
      <c r="R664" s="3" t="str">
        <f>HYPERLINK("https://panda.att.com.mx/ODKServer/view/binaryData?blobKey=FSSuministroFluidosv3%5B%40version%3Dnull+and+%40uiVersion%3Dnull%5D%2Fdata%5B%40key%3Duuid%3A98217875-0d5f-47fb-b207-1f57a22f797e%5D%2FgroupInfoFuel%5B%40ordinal%3D1%5D%2FpicFuelRecibeInterno","Descargar")</f>
        <v>Descargar</v>
      </c>
    </row>
    <row r="665" spans="1:18" x14ac:dyDescent="0.3">
      <c r="A665">
        <v>1595763</v>
      </c>
      <c r="B665" t="s">
        <v>18</v>
      </c>
      <c r="C665" t="s">
        <v>59</v>
      </c>
      <c r="D665" t="s">
        <v>60</v>
      </c>
      <c r="E665" t="s">
        <v>1014</v>
      </c>
      <c r="F665" t="s">
        <v>22</v>
      </c>
      <c r="G665" t="s">
        <v>23</v>
      </c>
      <c r="H665" t="s">
        <v>37</v>
      </c>
      <c r="I665" t="s">
        <v>25</v>
      </c>
      <c r="J665" t="s">
        <v>1015</v>
      </c>
      <c r="K665">
        <v>12</v>
      </c>
      <c r="L665">
        <v>8</v>
      </c>
      <c r="M665">
        <v>2025</v>
      </c>
      <c r="N665" t="s">
        <v>27</v>
      </c>
      <c r="O665">
        <v>180</v>
      </c>
      <c r="P665">
        <v>180</v>
      </c>
      <c r="R665" s="3" t="str">
        <f>HYPERLINK("https://panda.att.com.mx/ODKServer/view/binaryData?blobKey=FSSuministroFluidosv3%5B%40version%3Dnull+and+%40uiVersion%3Dnull%5D%2Fdata%5B%40key%3Duuid%3Af24c2257-71f9-4155-a319-e55156370db7%5D%2FgroupInfoFuel%5B%40ordinal%3D1%5D%2FpicFuelRecibeInterno","Descargar")</f>
        <v>Descargar</v>
      </c>
    </row>
    <row r="666" spans="1:18" x14ac:dyDescent="0.3">
      <c r="A666">
        <v>1595761</v>
      </c>
      <c r="B666" t="s">
        <v>18</v>
      </c>
      <c r="C666" t="s">
        <v>59</v>
      </c>
      <c r="D666" t="s">
        <v>574</v>
      </c>
      <c r="E666" t="s">
        <v>1016</v>
      </c>
      <c r="F666" t="s">
        <v>22</v>
      </c>
      <c r="G666" t="s">
        <v>23</v>
      </c>
      <c r="H666" t="s">
        <v>37</v>
      </c>
      <c r="I666" t="s">
        <v>25</v>
      </c>
      <c r="J666" t="s">
        <v>1017</v>
      </c>
      <c r="K666">
        <v>4</v>
      </c>
      <c r="L666">
        <v>8</v>
      </c>
      <c r="M666">
        <v>2025</v>
      </c>
      <c r="N666" t="s">
        <v>44</v>
      </c>
      <c r="O666">
        <v>20</v>
      </c>
      <c r="P666">
        <v>20</v>
      </c>
      <c r="R666" s="3" t="str">
        <f>HYPERLINK("https://panda.att.com.mx/ODKServer/view/binaryData?blobKey=FSSuministroFluidosv3%5B%40version%3Dnull+and+%40uiVersion%3Dnull%5D%2Fdata%5B%40key%3Duuid%3A5a6c4d44-89f2-4c89-b6f1-da4b86e09c31%5D%2FgroupInfoFuel%5B%40ordinal%3D1%5D%2FpicFuelRecibeInterno","Descargar")</f>
        <v>Descargar</v>
      </c>
    </row>
    <row r="667" spans="1:18" x14ac:dyDescent="0.3">
      <c r="A667">
        <v>1595756</v>
      </c>
      <c r="B667" t="s">
        <v>18</v>
      </c>
      <c r="C667" t="s">
        <v>59</v>
      </c>
      <c r="D667" t="s">
        <v>60</v>
      </c>
      <c r="E667" t="s">
        <v>1018</v>
      </c>
      <c r="F667" t="s">
        <v>22</v>
      </c>
      <c r="G667" t="s">
        <v>23</v>
      </c>
      <c r="H667" t="s">
        <v>37</v>
      </c>
      <c r="I667" t="s">
        <v>25</v>
      </c>
      <c r="J667" t="s">
        <v>1019</v>
      </c>
      <c r="K667">
        <v>12</v>
      </c>
      <c r="L667">
        <v>8</v>
      </c>
      <c r="M667">
        <v>2025</v>
      </c>
      <c r="N667" t="s">
        <v>27</v>
      </c>
      <c r="O667">
        <v>220</v>
      </c>
      <c r="P667">
        <v>220</v>
      </c>
      <c r="R667" s="3" t="str">
        <f>HYPERLINK("https://panda.att.com.mx/ODKServer/view/binaryData?blobKey=FSSuministroFluidosv3%5B%40version%3Dnull+and+%40uiVersion%3Dnull%5D%2Fdata%5B%40key%3Duuid%3Ad1aab294-a21b-4fab-b84b-a89bb7cb16d8%5D%2FgroupInfoFuel%5B%40ordinal%3D1%5D%2FpicFuelRecibeInterno","Descargar")</f>
        <v>Descargar</v>
      </c>
    </row>
    <row r="668" spans="1:18" x14ac:dyDescent="0.3">
      <c r="A668">
        <v>1595728</v>
      </c>
      <c r="B668" t="s">
        <v>18</v>
      </c>
      <c r="C668" t="s">
        <v>34</v>
      </c>
      <c r="D668" t="s">
        <v>121</v>
      </c>
      <c r="E668" t="s">
        <v>1020</v>
      </c>
      <c r="F668" t="s">
        <v>22</v>
      </c>
      <c r="G668" t="s">
        <v>23</v>
      </c>
      <c r="H668" t="s">
        <v>37</v>
      </c>
      <c r="I668" t="s">
        <v>25</v>
      </c>
      <c r="J668" t="s">
        <v>1021</v>
      </c>
      <c r="K668">
        <v>11</v>
      </c>
      <c r="L668">
        <v>8</v>
      </c>
      <c r="M668">
        <v>2025</v>
      </c>
      <c r="N668" t="s">
        <v>27</v>
      </c>
      <c r="O668">
        <v>400</v>
      </c>
      <c r="P668">
        <v>400</v>
      </c>
      <c r="R668" s="3" t="str">
        <f>HYPERLINK("https://panda.att.com.mx/ODKServer/view/binaryData?blobKey=FSSuministroFluidosv3%5B%40version%3Dnull+and+%40uiVersion%3Dnull%5D%2Fdata%5B%40key%3Duuid%3Ad4d8abda-db18-4286-bc52-6ab3fa90391c%5D%2FgroupInfoFuel%5B%40ordinal%3D1%5D%2FpicFuelRecibeInterno","Descargar")</f>
        <v>Descargar</v>
      </c>
    </row>
    <row r="669" spans="1:18" x14ac:dyDescent="0.3">
      <c r="A669">
        <v>1595672</v>
      </c>
      <c r="B669" t="s">
        <v>18</v>
      </c>
      <c r="C669" t="s">
        <v>34</v>
      </c>
      <c r="D669" t="s">
        <v>53</v>
      </c>
      <c r="E669" t="s">
        <v>1022</v>
      </c>
      <c r="F669" t="s">
        <v>22</v>
      </c>
      <c r="G669" t="s">
        <v>23</v>
      </c>
      <c r="H669" t="s">
        <v>37</v>
      </c>
      <c r="I669" t="s">
        <v>25</v>
      </c>
      <c r="J669" t="s">
        <v>1023</v>
      </c>
      <c r="K669">
        <v>11</v>
      </c>
      <c r="L669">
        <v>8</v>
      </c>
      <c r="M669">
        <v>2025</v>
      </c>
      <c r="N669" t="s">
        <v>27</v>
      </c>
      <c r="O669">
        <v>300</v>
      </c>
      <c r="P669">
        <v>300</v>
      </c>
      <c r="R669" s="3" t="str">
        <f>HYPERLINK("https://panda.att.com.mx/ODKServer/view/binaryData?blobKey=FSSuministroFluidosv3%5B%40version%3Dnull+and+%40uiVersion%3Dnull%5D%2Fdata%5B%40key%3Duuid%3A78e721c6-6b70-4e6a-9742-6e8fd01d064b%5D%2FgroupInfoFuel%5B%40ordinal%3D1%5D%2FpicFuelRecibeInterno","Descargar")</f>
        <v>Descargar</v>
      </c>
    </row>
    <row r="670" spans="1:18" x14ac:dyDescent="0.3">
      <c r="A670">
        <v>1595671</v>
      </c>
      <c r="B670" t="s">
        <v>18</v>
      </c>
      <c r="C670" t="s">
        <v>28</v>
      </c>
      <c r="D670" t="s">
        <v>66</v>
      </c>
      <c r="E670" t="s">
        <v>1024</v>
      </c>
      <c r="F670" t="s">
        <v>22</v>
      </c>
      <c r="G670" t="s">
        <v>23</v>
      </c>
      <c r="H670" t="s">
        <v>24</v>
      </c>
      <c r="I670" t="s">
        <v>25</v>
      </c>
      <c r="J670" t="s">
        <v>1025</v>
      </c>
      <c r="K670">
        <v>9</v>
      </c>
      <c r="L670">
        <v>8</v>
      </c>
      <c r="M670">
        <v>2025</v>
      </c>
      <c r="N670" t="s">
        <v>27</v>
      </c>
      <c r="O670">
        <v>120</v>
      </c>
      <c r="P670">
        <v>120</v>
      </c>
      <c r="R670" s="3" t="str">
        <f>HYPERLINK("https://panda.att.com.mx/ODKServer/view/binaryData?blobKey=FSSuministroFluidosv3%5B%40version%3Dnull+and+%40uiVersion%3Dnull%5D%2Fdata%5B%40key%3Duuid%3A87b6e795-269d-4e0c-898b-c61524b3c605%5D%2FgroupInfoFuel%5B%40ordinal%3D1%5D%2FpicFuelRecibeInterno","Descargar")</f>
        <v>Descargar</v>
      </c>
    </row>
    <row r="671" spans="1:18" x14ac:dyDescent="0.3">
      <c r="A671">
        <v>1595669</v>
      </c>
      <c r="B671" t="s">
        <v>18</v>
      </c>
      <c r="C671" t="s">
        <v>55</v>
      </c>
      <c r="D671" t="s">
        <v>107</v>
      </c>
      <c r="E671" t="s">
        <v>1026</v>
      </c>
      <c r="F671" t="s">
        <v>22</v>
      </c>
      <c r="G671" t="s">
        <v>23</v>
      </c>
      <c r="H671" t="s">
        <v>58</v>
      </c>
      <c r="I671" t="s">
        <v>25</v>
      </c>
      <c r="J671" t="s">
        <v>1027</v>
      </c>
      <c r="K671">
        <v>12</v>
      </c>
      <c r="L671">
        <v>8</v>
      </c>
      <c r="M671">
        <v>2025</v>
      </c>
      <c r="N671" t="s">
        <v>27</v>
      </c>
      <c r="O671">
        <v>300</v>
      </c>
      <c r="P671">
        <v>300</v>
      </c>
      <c r="R671" s="3" t="str">
        <f>HYPERLINK("https://panda.att.com.mx/ODKServer/view/binaryData?blobKey=FSSuministroFluidosv3%5B%40version%3Dnull+and+%40uiVersion%3Dnull%5D%2Fdata%5B%40key%3Duuid%3A247bdbc4-6845-4a23-8450-16b7d3144e36%5D%2FgroupInfoFuel%5B%40ordinal%3D1%5D%2FpicFuelRecibeInterno","Descargar")</f>
        <v>Descargar</v>
      </c>
    </row>
    <row r="672" spans="1:18" x14ac:dyDescent="0.3">
      <c r="A672">
        <v>1595668</v>
      </c>
      <c r="B672" t="s">
        <v>18</v>
      </c>
      <c r="C672" t="s">
        <v>59</v>
      </c>
      <c r="D672" t="s">
        <v>60</v>
      </c>
      <c r="E672" t="s">
        <v>1028</v>
      </c>
      <c r="F672" t="s">
        <v>22</v>
      </c>
      <c r="G672" t="s">
        <v>23</v>
      </c>
      <c r="H672" t="s">
        <v>37</v>
      </c>
      <c r="I672" t="s">
        <v>25</v>
      </c>
      <c r="J672" t="s">
        <v>1029</v>
      </c>
      <c r="K672">
        <v>7</v>
      </c>
      <c r="L672">
        <v>8</v>
      </c>
      <c r="M672">
        <v>2025</v>
      </c>
      <c r="N672" t="s">
        <v>27</v>
      </c>
      <c r="O672">
        <v>120</v>
      </c>
      <c r="P672">
        <v>120</v>
      </c>
      <c r="R672" s="3" t="str">
        <f>HYPERLINK("https://panda.att.com.mx/ODKServer/view/binaryData?blobKey=FSSuministroFluidosv3%5B%40version%3Dnull+and+%40uiVersion%3Dnull%5D%2Fdata%5B%40key%3Duuid%3Adee02f1b-380c-4c50-9bcc-422c59dc1683%5D%2FgroupInfoFuel%5B%40ordinal%3D1%5D%2FpicFuelRecibeInterno","Descargar")</f>
        <v>Descargar</v>
      </c>
    </row>
    <row r="673" spans="1:18" x14ac:dyDescent="0.3">
      <c r="A673">
        <v>1595659</v>
      </c>
      <c r="B673" t="s">
        <v>18</v>
      </c>
      <c r="C673" t="s">
        <v>59</v>
      </c>
      <c r="D673" t="s">
        <v>60</v>
      </c>
      <c r="E673" t="s">
        <v>1030</v>
      </c>
      <c r="F673" t="s">
        <v>22</v>
      </c>
      <c r="G673" t="s">
        <v>23</v>
      </c>
      <c r="H673" t="s">
        <v>37</v>
      </c>
      <c r="I673" t="s">
        <v>25</v>
      </c>
      <c r="J673" t="s">
        <v>1031</v>
      </c>
      <c r="K673">
        <v>8</v>
      </c>
      <c r="L673">
        <v>8</v>
      </c>
      <c r="M673">
        <v>2025</v>
      </c>
      <c r="N673" t="s">
        <v>27</v>
      </c>
      <c r="O673">
        <v>120</v>
      </c>
      <c r="P673">
        <v>120</v>
      </c>
      <c r="R673" s="3" t="str">
        <f>HYPERLINK("https://panda.att.com.mx/ODKServer/view/binaryData?blobKey=FSSuministroFluidosv3%5B%40version%3Dnull+and+%40uiVersion%3Dnull%5D%2Fdata%5B%40key%3Duuid%3Ab90a3210-44a2-45c5-8046-71b336d11ca7%5D%2FgroupInfoFuel%5B%40ordinal%3D1%5D%2FpicFuelRecibeInterno","Descargar")</f>
        <v>Descargar</v>
      </c>
    </row>
    <row r="674" spans="1:18" x14ac:dyDescent="0.3">
      <c r="A674">
        <v>1595658</v>
      </c>
      <c r="B674" t="s">
        <v>18</v>
      </c>
      <c r="C674" t="s">
        <v>34</v>
      </c>
      <c r="D674" t="s">
        <v>53</v>
      </c>
      <c r="E674" t="s">
        <v>54</v>
      </c>
      <c r="F674" t="s">
        <v>22</v>
      </c>
      <c r="G674" t="s">
        <v>23</v>
      </c>
      <c r="H674" t="s">
        <v>37</v>
      </c>
      <c r="I674" t="s">
        <v>25</v>
      </c>
      <c r="J674" t="s">
        <v>1032</v>
      </c>
      <c r="K674">
        <v>12</v>
      </c>
      <c r="L674">
        <v>8</v>
      </c>
      <c r="M674">
        <v>2025</v>
      </c>
      <c r="N674" t="s">
        <v>27</v>
      </c>
      <c r="O674">
        <v>300</v>
      </c>
      <c r="Q674">
        <v>300</v>
      </c>
      <c r="R674" s="3" t="str">
        <f>HYPERLINK("https://panda.att.com.mx/ODKServer/view/binaryData?blobKey=FSSuministroFluidosv3%5B%40version%3Dnull+and+%40uiVersion%3Dnull%5D%2Fdata%5B%40key%3Duuid%3Af04c0986-8e59-4138-bf6c-5ebac6928640%5D%2FgroupInfoFuel%5B%40ordinal%3D1%5D%2FpicFuelRecibeInterno","Descargar")</f>
        <v>Descargar</v>
      </c>
    </row>
    <row r="675" spans="1:18" x14ac:dyDescent="0.3">
      <c r="A675">
        <v>1595624</v>
      </c>
      <c r="B675" t="s">
        <v>18</v>
      </c>
      <c r="C675" t="s">
        <v>28</v>
      </c>
      <c r="D675" t="s">
        <v>66</v>
      </c>
      <c r="E675" t="s">
        <v>1033</v>
      </c>
      <c r="F675" t="s">
        <v>22</v>
      </c>
      <c r="G675" t="s">
        <v>23</v>
      </c>
      <c r="H675" t="s">
        <v>24</v>
      </c>
      <c r="I675" t="s">
        <v>25</v>
      </c>
      <c r="J675" t="s">
        <v>1034</v>
      </c>
      <c r="K675">
        <v>12</v>
      </c>
      <c r="L675">
        <v>8</v>
      </c>
      <c r="M675">
        <v>2025</v>
      </c>
      <c r="N675" t="s">
        <v>27</v>
      </c>
      <c r="O675">
        <v>169</v>
      </c>
      <c r="P675">
        <v>169</v>
      </c>
      <c r="R675" s="3" t="str">
        <f>HYPERLINK("https://panda.att.com.mx/ODKServer/view/binaryData?blobKey=FSSuministroFluidosv3%5B%40version%3Dnull+and+%40uiVersion%3Dnull%5D%2Fdata%5B%40key%3Duuid%3Af2a31490-2ca6-4883-89ae-3bf2cdbe4a6e%5D%2FgroupInfoFuel%5B%40ordinal%3D1%5D%2FpicFuelRecibeInterno","Descargar")</f>
        <v>Descargar</v>
      </c>
    </row>
    <row r="676" spans="1:18" x14ac:dyDescent="0.3">
      <c r="A676">
        <v>1595602</v>
      </c>
      <c r="B676" t="s">
        <v>18</v>
      </c>
      <c r="C676" t="s">
        <v>34</v>
      </c>
      <c r="D676" t="s">
        <v>53</v>
      </c>
      <c r="E676" t="s">
        <v>1022</v>
      </c>
      <c r="F676" t="s">
        <v>22</v>
      </c>
      <c r="G676" t="s">
        <v>23</v>
      </c>
      <c r="H676" t="s">
        <v>37</v>
      </c>
      <c r="I676" t="s">
        <v>25</v>
      </c>
      <c r="J676" t="s">
        <v>1035</v>
      </c>
      <c r="K676">
        <v>11</v>
      </c>
      <c r="L676">
        <v>8</v>
      </c>
      <c r="M676">
        <v>2025</v>
      </c>
      <c r="N676" t="s">
        <v>27</v>
      </c>
      <c r="O676">
        <v>200</v>
      </c>
      <c r="P676">
        <v>200</v>
      </c>
      <c r="R676" s="3" t="str">
        <f>HYPERLINK("https://panda.att.com.mx/ODKServer/view/binaryData?blobKey=FSSuministroFluidosv3%5B%40version%3Dnull+and+%40uiVersion%3Dnull%5D%2Fdata%5B%40key%3Duuid%3Aae9444db-0342-4ffc-b86c-867701e5c270%5D%2FgroupInfoFuel%5B%40ordinal%3D1%5D%2FpicFuelRecibeInterno","Descargar")</f>
        <v>Descargar</v>
      </c>
    </row>
    <row r="677" spans="1:18" x14ac:dyDescent="0.3">
      <c r="A677">
        <v>1597671</v>
      </c>
      <c r="B677" t="s">
        <v>18</v>
      </c>
      <c r="C677" t="s">
        <v>28</v>
      </c>
      <c r="D677" t="s">
        <v>1036</v>
      </c>
      <c r="E677" t="s">
        <v>1037</v>
      </c>
      <c r="F677" t="s">
        <v>22</v>
      </c>
      <c r="G677" t="s">
        <v>23</v>
      </c>
      <c r="H677" t="s">
        <v>37</v>
      </c>
      <c r="I677" t="s">
        <v>25</v>
      </c>
      <c r="J677" t="s">
        <v>1038</v>
      </c>
      <c r="K677">
        <v>14</v>
      </c>
      <c r="L677">
        <v>8</v>
      </c>
      <c r="M677">
        <v>2025</v>
      </c>
      <c r="N677" t="s">
        <v>27</v>
      </c>
      <c r="O677">
        <v>240</v>
      </c>
      <c r="P677">
        <v>240</v>
      </c>
      <c r="R677" s="3" t="str">
        <f>HYPERLINK("https://panda.att.com.mx/ODKServer/view/binaryData?blobKey=FSSuministroFluidosv3%5B%40version%3Dnull+and+%40uiVersion%3Dnull%5D%2Fdata%5B%40key%3Duuid%3A012e3703-6d21-46e6-b601-de7c9aa1ec12%5D%2FgroupInfoFuel%5B%40ordinal%3D1%5D%2FpicFuelRecibeInterno","Descargar")</f>
        <v>Descargar</v>
      </c>
    </row>
    <row r="678" spans="1:18" x14ac:dyDescent="0.3">
      <c r="A678">
        <v>1597653</v>
      </c>
      <c r="B678" t="s">
        <v>18</v>
      </c>
      <c r="C678" t="s">
        <v>28</v>
      </c>
      <c r="D678" t="s">
        <v>1036</v>
      </c>
      <c r="E678" t="s">
        <v>1039</v>
      </c>
      <c r="F678" t="s">
        <v>22</v>
      </c>
      <c r="G678" t="s">
        <v>23</v>
      </c>
      <c r="H678" t="s">
        <v>24</v>
      </c>
      <c r="I678" t="s">
        <v>25</v>
      </c>
      <c r="J678" t="s">
        <v>1040</v>
      </c>
      <c r="K678">
        <v>14</v>
      </c>
      <c r="L678">
        <v>8</v>
      </c>
      <c r="M678">
        <v>2025</v>
      </c>
      <c r="N678" t="s">
        <v>44</v>
      </c>
      <c r="O678">
        <v>40</v>
      </c>
      <c r="P678">
        <v>40</v>
      </c>
      <c r="R678" s="3" t="str">
        <f>HYPERLINK("https://panda.att.com.mx/ODKServer/view/binaryData?blobKey=FSSuministroFluidosv3%5B%40version%3Dnull+and+%40uiVersion%3Dnull%5D%2Fdata%5B%40key%3Duuid%3Abb1a5265-5325-420a-860a-4f78664a8e8d%5D%2FgroupInfoFuel%5B%40ordinal%3D1%5D%2FpicFuelRecibeInterno","Descargar")</f>
        <v>Descargar</v>
      </c>
    </row>
    <row r="679" spans="1:18" x14ac:dyDescent="0.3">
      <c r="A679">
        <v>1597652</v>
      </c>
      <c r="B679" t="s">
        <v>18</v>
      </c>
      <c r="C679" t="s">
        <v>28</v>
      </c>
      <c r="D679" t="s">
        <v>1036</v>
      </c>
      <c r="E679" t="s">
        <v>1039</v>
      </c>
      <c r="F679" t="s">
        <v>22</v>
      </c>
      <c r="G679" t="s">
        <v>23</v>
      </c>
      <c r="H679" t="s">
        <v>24</v>
      </c>
      <c r="I679" t="s">
        <v>25</v>
      </c>
      <c r="J679" t="s">
        <v>1041</v>
      </c>
      <c r="K679">
        <v>14</v>
      </c>
      <c r="L679">
        <v>8</v>
      </c>
      <c r="M679">
        <v>2025</v>
      </c>
      <c r="N679" t="s">
        <v>27</v>
      </c>
      <c r="O679">
        <v>100</v>
      </c>
      <c r="P679">
        <v>100</v>
      </c>
      <c r="R679" s="3" t="str">
        <f>HYPERLINK("https://panda.att.com.mx/ODKServer/view/binaryData?blobKey=FSSuministroFluidosv3%5B%40version%3Dnull+and+%40uiVersion%3Dnull%5D%2Fdata%5B%40key%3Duuid%3Aab07e04c-8662-4d53-b975-b4b9fefcbd68%5D%2FgroupInfoFuel%5B%40ordinal%3D1%5D%2FpicFuelRecibeInterno","Descargar")</f>
        <v>Descargar</v>
      </c>
    </row>
    <row r="680" spans="1:18" x14ac:dyDescent="0.3">
      <c r="A680">
        <v>1597651</v>
      </c>
      <c r="B680" t="s">
        <v>18</v>
      </c>
      <c r="C680" t="s">
        <v>28</v>
      </c>
      <c r="D680" t="s">
        <v>1036</v>
      </c>
      <c r="E680" t="s">
        <v>1042</v>
      </c>
      <c r="F680" t="s">
        <v>22</v>
      </c>
      <c r="G680" t="s">
        <v>23</v>
      </c>
      <c r="H680" t="s">
        <v>24</v>
      </c>
      <c r="I680" t="s">
        <v>25</v>
      </c>
      <c r="J680" t="s">
        <v>1043</v>
      </c>
      <c r="K680">
        <v>14</v>
      </c>
      <c r="L680">
        <v>8</v>
      </c>
      <c r="M680">
        <v>2025</v>
      </c>
      <c r="N680" t="s">
        <v>27</v>
      </c>
      <c r="O680">
        <v>120</v>
      </c>
      <c r="P680">
        <v>120</v>
      </c>
      <c r="R680" s="3" t="str">
        <f>HYPERLINK("https://panda.att.com.mx/ODKServer/view/binaryData?blobKey=FSSuministroFluidosv3%5B%40version%3Dnull+and+%40uiVersion%3Dnull%5D%2Fdata%5B%40key%3Duuid%3A3b9548b7-b110-4cfe-8d3c-10c358be5dc0%5D%2FgroupInfoFuel%5B%40ordinal%3D1%5D%2FpicFuelRecibeInterno","Descargar")</f>
        <v>Descargar</v>
      </c>
    </row>
    <row r="681" spans="1:18" x14ac:dyDescent="0.3">
      <c r="A681">
        <v>1597631</v>
      </c>
      <c r="B681" t="s">
        <v>18</v>
      </c>
      <c r="C681" t="s">
        <v>59</v>
      </c>
      <c r="D681" t="s">
        <v>636</v>
      </c>
      <c r="E681" t="s">
        <v>1044</v>
      </c>
      <c r="F681" t="s">
        <v>22</v>
      </c>
      <c r="G681" t="s">
        <v>23</v>
      </c>
      <c r="H681" t="s">
        <v>37</v>
      </c>
      <c r="I681" t="s">
        <v>25</v>
      </c>
      <c r="J681" t="s">
        <v>1045</v>
      </c>
      <c r="K681">
        <v>13</v>
      </c>
      <c r="L681">
        <v>8</v>
      </c>
      <c r="M681">
        <v>2025</v>
      </c>
      <c r="N681" t="s">
        <v>27</v>
      </c>
      <c r="O681">
        <v>300</v>
      </c>
      <c r="P681">
        <v>300</v>
      </c>
      <c r="R681" s="3" t="str">
        <f>HYPERLINK("https://panda.att.com.mx/ODKServer/view/binaryData?blobKey=FSSuministroFluidosv3%5B%40version%3Dnull+and+%40uiVersion%3Dnull%5D%2Fdata%5B%40key%3Duuid%3A229ac0a1-2ae2-480f-b646-178bcfbaea96%5D%2FgroupInfoFuel%5B%40ordinal%3D1%5D%2FpicFuelRecibeInterno","Descargar")</f>
        <v>Descargar</v>
      </c>
    </row>
    <row r="682" spans="1:18" x14ac:dyDescent="0.3">
      <c r="A682">
        <v>1597599</v>
      </c>
      <c r="B682" t="s">
        <v>18</v>
      </c>
      <c r="C682" t="s">
        <v>167</v>
      </c>
      <c r="D682" t="s">
        <v>215</v>
      </c>
      <c r="E682" t="s">
        <v>216</v>
      </c>
      <c r="F682" t="s">
        <v>22</v>
      </c>
      <c r="G682" t="s">
        <v>23</v>
      </c>
      <c r="H682" t="s">
        <v>58</v>
      </c>
      <c r="I682" t="s">
        <v>25</v>
      </c>
      <c r="J682" t="s">
        <v>1046</v>
      </c>
      <c r="K682">
        <v>14</v>
      </c>
      <c r="L682">
        <v>8</v>
      </c>
      <c r="M682">
        <v>2025</v>
      </c>
      <c r="N682" t="s">
        <v>27</v>
      </c>
      <c r="O682">
        <v>250</v>
      </c>
      <c r="P682">
        <v>250</v>
      </c>
      <c r="R682" s="3" t="str">
        <f>HYPERLINK("https://panda.att.com.mx/ODKServer/view/binaryData?blobKey=FSSuministroFluidosv3%5B%40version%3Dnull+and+%40uiVersion%3Dnull%5D%2Fdata%5B%40key%3Duuid%3A150456eb-6aba-4455-8cc5-0b0ecdce3023%5D%2FgroupInfoFuel%5B%40ordinal%3D1%5D%2FpicFuelRecibeInterno","Descargar")</f>
        <v>Descargar</v>
      </c>
    </row>
    <row r="683" spans="1:18" x14ac:dyDescent="0.3">
      <c r="A683">
        <v>1597578</v>
      </c>
      <c r="B683" t="s">
        <v>18</v>
      </c>
      <c r="C683" t="s">
        <v>100</v>
      </c>
      <c r="D683" t="s">
        <v>101</v>
      </c>
      <c r="E683" t="s">
        <v>102</v>
      </c>
      <c r="F683" t="s">
        <v>22</v>
      </c>
      <c r="G683" t="s">
        <v>23</v>
      </c>
      <c r="H683" t="s">
        <v>58</v>
      </c>
      <c r="I683" t="s">
        <v>25</v>
      </c>
      <c r="J683" t="s">
        <v>1047</v>
      </c>
      <c r="K683">
        <v>14</v>
      </c>
      <c r="L683">
        <v>8</v>
      </c>
      <c r="M683">
        <v>2025</v>
      </c>
      <c r="N683" t="s">
        <v>44</v>
      </c>
      <c r="O683">
        <v>60</v>
      </c>
      <c r="P683">
        <v>60</v>
      </c>
      <c r="R683" s="3" t="str">
        <f>HYPERLINK("https://panda.att.com.mx/ODKServer/view/binaryData?blobKey=FSSuministroFluidosv3%5B%40version%3Dnull+and+%40uiVersion%3Dnull%5D%2Fdata%5B%40key%3Duuid%3A44c5e025-7f27-4767-bfc1-974a87542e91%5D%2FgroupInfoFuel%5B%40ordinal%3D1%5D%2FpicFuelRecibeInterno","Descargar")</f>
        <v>Descargar</v>
      </c>
    </row>
    <row r="684" spans="1:18" x14ac:dyDescent="0.3">
      <c r="A684">
        <v>1597577</v>
      </c>
      <c r="B684" t="s">
        <v>18</v>
      </c>
      <c r="C684" t="s">
        <v>19</v>
      </c>
      <c r="D684" t="s">
        <v>1048</v>
      </c>
      <c r="E684" t="s">
        <v>1049</v>
      </c>
      <c r="F684" t="s">
        <v>22</v>
      </c>
      <c r="G684" t="s">
        <v>23</v>
      </c>
      <c r="H684" t="s">
        <v>24</v>
      </c>
      <c r="I684" t="s">
        <v>25</v>
      </c>
      <c r="J684" t="s">
        <v>1050</v>
      </c>
      <c r="K684">
        <v>12</v>
      </c>
      <c r="L684">
        <v>8</v>
      </c>
      <c r="M684">
        <v>2025</v>
      </c>
      <c r="N684" t="s">
        <v>44</v>
      </c>
      <c r="O684">
        <v>51</v>
      </c>
      <c r="P684">
        <v>51</v>
      </c>
      <c r="R684" s="3" t="str">
        <f>HYPERLINK("https://panda.att.com.mx/ODKServer/view/binaryData?blobKey=FSSuministroFluidosv3%5B%40version%3Dnull+and+%40uiVersion%3Dnull%5D%2Fdata%5B%40key%3Duuid%3A87591956-3270-485f-be83-40840f5c2807%5D%2FgroupInfoFuel%5B%40ordinal%3D1%5D%2FpicFuelRecibeInterno","Descargar")</f>
        <v>Descargar</v>
      </c>
    </row>
    <row r="685" spans="1:18" x14ac:dyDescent="0.3">
      <c r="A685">
        <v>1597576</v>
      </c>
      <c r="B685" t="s">
        <v>18</v>
      </c>
      <c r="C685" t="s">
        <v>150</v>
      </c>
      <c r="D685" t="s">
        <v>230</v>
      </c>
      <c r="E685" t="s">
        <v>1051</v>
      </c>
      <c r="F685" t="s">
        <v>22</v>
      </c>
      <c r="G685" t="s">
        <v>23</v>
      </c>
      <c r="H685" t="s">
        <v>58</v>
      </c>
      <c r="I685" t="s">
        <v>25</v>
      </c>
      <c r="J685" t="s">
        <v>1052</v>
      </c>
      <c r="K685">
        <v>14</v>
      </c>
      <c r="L685">
        <v>8</v>
      </c>
      <c r="M685">
        <v>2025</v>
      </c>
      <c r="N685" t="s">
        <v>27</v>
      </c>
      <c r="O685">
        <v>350</v>
      </c>
      <c r="P685">
        <v>350</v>
      </c>
      <c r="R685" s="3" t="str">
        <f>HYPERLINK("https://panda.att.com.mx/ODKServer/view/binaryData?blobKey=FSSuministroFluidosv3%5B%40version%3Dnull+and+%40uiVersion%3Dnull%5D%2Fdata%5B%40key%3Duuid%3A9b8a8fd1-e5b3-43f3-a4af-4550e18a5dab%5D%2FgroupInfoFuel%5B%40ordinal%3D1%5D%2FpicFuelRecibeInterno","Descargar")</f>
        <v>Descargar</v>
      </c>
    </row>
    <row r="686" spans="1:18" x14ac:dyDescent="0.3">
      <c r="A686">
        <v>1597572</v>
      </c>
      <c r="B686" t="s">
        <v>18</v>
      </c>
      <c r="C686" t="s">
        <v>19</v>
      </c>
      <c r="D686" t="s">
        <v>156</v>
      </c>
      <c r="E686" t="s">
        <v>317</v>
      </c>
      <c r="F686" t="s">
        <v>22</v>
      </c>
      <c r="G686" t="s">
        <v>23</v>
      </c>
      <c r="H686" t="s">
        <v>24</v>
      </c>
      <c r="I686" t="s">
        <v>25</v>
      </c>
      <c r="J686" t="s">
        <v>1053</v>
      </c>
      <c r="K686">
        <v>13</v>
      </c>
      <c r="L686">
        <v>8</v>
      </c>
      <c r="M686">
        <v>2025</v>
      </c>
      <c r="N686" t="s">
        <v>27</v>
      </c>
      <c r="O686">
        <v>46</v>
      </c>
      <c r="P686">
        <v>46</v>
      </c>
      <c r="R686" s="3" t="str">
        <f>HYPERLINK("https://panda.att.com.mx/ODKServer/view/binaryData?blobKey=FSSuministroFluidosv3%5B%40version%3Dnull+and+%40uiVersion%3Dnull%5D%2Fdata%5B%40key%3Duuid%3A82081bec-4d21-426d-bda4-9ea72cb41dce%5D%2FgroupInfoFuel%5B%40ordinal%3D1%5D%2FpicFuelRecibeInterno","Descargar")</f>
        <v>Descargar</v>
      </c>
    </row>
    <row r="687" spans="1:18" x14ac:dyDescent="0.3">
      <c r="A687">
        <v>1597567</v>
      </c>
      <c r="B687" t="s">
        <v>18</v>
      </c>
      <c r="C687" t="s">
        <v>28</v>
      </c>
      <c r="D687" t="s">
        <v>1054</v>
      </c>
      <c r="E687" t="s">
        <v>1055</v>
      </c>
      <c r="F687" t="s">
        <v>22</v>
      </c>
      <c r="G687" t="s">
        <v>23</v>
      </c>
      <c r="H687" t="s">
        <v>24</v>
      </c>
      <c r="I687" t="s">
        <v>25</v>
      </c>
      <c r="J687" t="s">
        <v>1056</v>
      </c>
      <c r="K687">
        <v>14</v>
      </c>
      <c r="L687">
        <v>8</v>
      </c>
      <c r="M687">
        <v>2025</v>
      </c>
      <c r="N687" t="s">
        <v>44</v>
      </c>
      <c r="O687">
        <v>40</v>
      </c>
      <c r="P687">
        <v>40</v>
      </c>
      <c r="R687" s="3" t="str">
        <f>HYPERLINK("https://panda.att.com.mx/ODKServer/view/binaryData?blobKey=FSSuministroFluidosv3%5B%40version%3Dnull+and+%40uiVersion%3Dnull%5D%2Fdata%5B%40key%3Duuid%3A673f94fe-cc7b-4cdd-9600-34f5a99896f7%5D%2FgroupInfoFuel%5B%40ordinal%3D1%5D%2FpicFuelRecibeInterno","Descargar")</f>
        <v>Descargar</v>
      </c>
    </row>
    <row r="688" spans="1:18" x14ac:dyDescent="0.3">
      <c r="A688">
        <v>1597476</v>
      </c>
      <c r="B688" t="s">
        <v>18</v>
      </c>
      <c r="C688" t="s">
        <v>183</v>
      </c>
      <c r="D688" t="s">
        <v>271</v>
      </c>
      <c r="E688" t="s">
        <v>272</v>
      </c>
      <c r="F688" t="s">
        <v>22</v>
      </c>
      <c r="G688" t="s">
        <v>23</v>
      </c>
      <c r="H688" t="s">
        <v>37</v>
      </c>
      <c r="I688" t="s">
        <v>25</v>
      </c>
      <c r="J688" t="s">
        <v>1057</v>
      </c>
      <c r="K688">
        <v>14</v>
      </c>
      <c r="L688">
        <v>8</v>
      </c>
      <c r="M688">
        <v>2025</v>
      </c>
      <c r="N688" t="s">
        <v>27</v>
      </c>
      <c r="O688">
        <v>110</v>
      </c>
      <c r="P688">
        <v>110</v>
      </c>
      <c r="R688" s="3" t="str">
        <f>HYPERLINK("https://panda.att.com.mx/ODKServer/view/binaryData?blobKey=FSSuministroFluidosv3%5B%40version%3Dnull+and+%40uiVersion%3Dnull%5D%2Fdata%5B%40key%3Duuid%3A4d735e38-973b-412c-8e91-55526deb12f0%5D%2FgroupInfoFuel%5B%40ordinal%3D1%5D%2FpicFuelRecibeInterno","Descargar")</f>
        <v>Descargar</v>
      </c>
    </row>
    <row r="689" spans="1:18" x14ac:dyDescent="0.3">
      <c r="A689">
        <v>1597475</v>
      </c>
      <c r="B689" t="s">
        <v>18</v>
      </c>
      <c r="C689" t="s">
        <v>68</v>
      </c>
      <c r="D689" t="s">
        <v>78</v>
      </c>
      <c r="E689" t="s">
        <v>79</v>
      </c>
      <c r="F689" t="s">
        <v>22</v>
      </c>
      <c r="G689" t="s">
        <v>23</v>
      </c>
      <c r="H689" t="s">
        <v>37</v>
      </c>
      <c r="I689" t="s">
        <v>25</v>
      </c>
      <c r="J689" t="s">
        <v>1058</v>
      </c>
      <c r="K689">
        <v>14</v>
      </c>
      <c r="L689">
        <v>8</v>
      </c>
      <c r="M689">
        <v>2025</v>
      </c>
      <c r="N689" t="s">
        <v>44</v>
      </c>
      <c r="O689">
        <v>30</v>
      </c>
      <c r="P689">
        <v>30</v>
      </c>
      <c r="R689" s="3" t="str">
        <f>HYPERLINK("https://panda.att.com.mx/ODKServer/view/binaryData?blobKey=FSSuministroFluidosv3%5B%40version%3Dnull+and+%40uiVersion%3Dnull%5D%2Fdata%5B%40key%3Duuid%3Acf801b5a-b9e9-43ab-824f-e99c805f3925%5D%2FgroupInfoFuel%5B%40ordinal%3D1%5D%2FpicFuelRecibeInterno","Descargar")</f>
        <v>Descargar</v>
      </c>
    </row>
    <row r="690" spans="1:18" x14ac:dyDescent="0.3">
      <c r="A690">
        <v>1597304</v>
      </c>
      <c r="B690" t="s">
        <v>18</v>
      </c>
      <c r="C690" t="s">
        <v>28</v>
      </c>
      <c r="D690" t="s">
        <v>222</v>
      </c>
      <c r="E690" t="s">
        <v>223</v>
      </c>
      <c r="F690" t="s">
        <v>22</v>
      </c>
      <c r="G690" t="s">
        <v>23</v>
      </c>
      <c r="H690" t="s">
        <v>24</v>
      </c>
      <c r="I690" t="s">
        <v>25</v>
      </c>
      <c r="J690" t="s">
        <v>1059</v>
      </c>
      <c r="K690">
        <v>14</v>
      </c>
      <c r="L690">
        <v>8</v>
      </c>
      <c r="M690">
        <v>2025</v>
      </c>
      <c r="N690" t="s">
        <v>44</v>
      </c>
      <c r="O690">
        <v>30</v>
      </c>
      <c r="Q690">
        <v>30</v>
      </c>
      <c r="R690" s="3" t="str">
        <f>HYPERLINK("https://panda.att.com.mx/ODKServer/view/binaryData?blobKey=FSSuministroFluidosv3%5B%40version%3Dnull+and+%40uiVersion%3Dnull%5D%2Fdata%5B%40key%3Duuid%3Afb2d310b-fccb-46eb-96a9-093dd92cc146%5D%2FgroupInfoFuel%5B%40ordinal%3D1%5D%2FpicFuelRecibeInterno","Descargar")</f>
        <v>Descargar</v>
      </c>
    </row>
    <row r="691" spans="1:18" x14ac:dyDescent="0.3">
      <c r="A691">
        <v>1597160</v>
      </c>
      <c r="B691" t="s">
        <v>18</v>
      </c>
      <c r="C691" t="s">
        <v>19</v>
      </c>
      <c r="D691" t="s">
        <v>45</v>
      </c>
      <c r="E691" t="s">
        <v>412</v>
      </c>
      <c r="F691" t="s">
        <v>22</v>
      </c>
      <c r="G691" t="s">
        <v>23</v>
      </c>
      <c r="H691" t="s">
        <v>24</v>
      </c>
      <c r="I691" t="s">
        <v>25</v>
      </c>
      <c r="J691" t="s">
        <v>1060</v>
      </c>
      <c r="K691">
        <v>13</v>
      </c>
      <c r="L691">
        <v>8</v>
      </c>
      <c r="M691">
        <v>2025</v>
      </c>
      <c r="N691" t="s">
        <v>27</v>
      </c>
      <c r="O691">
        <v>300</v>
      </c>
      <c r="P691">
        <v>300</v>
      </c>
      <c r="R691" s="3" t="str">
        <f>HYPERLINK("https://panda.att.com.mx/ODKServer/view/binaryData?blobKey=FSSuministroFluidosv3%5B%40version%3Dnull+and+%40uiVersion%3Dnull%5D%2Fdata%5B%40key%3Duuid%3Acb3b5490-f83e-484f-8bfe-e5d971396214%5D%2FgroupInfoFuel%5B%40ordinal%3D1%5D%2FpicFuelRecibeInterno","Descargar")</f>
        <v>Descargar</v>
      </c>
    </row>
    <row r="692" spans="1:18" x14ac:dyDescent="0.3">
      <c r="A692">
        <v>1597007</v>
      </c>
      <c r="B692" t="s">
        <v>18</v>
      </c>
      <c r="C692" t="s">
        <v>19</v>
      </c>
      <c r="D692" t="s">
        <v>45</v>
      </c>
      <c r="E692" t="s">
        <v>905</v>
      </c>
      <c r="F692" t="s">
        <v>22</v>
      </c>
      <c r="G692" t="s">
        <v>23</v>
      </c>
      <c r="H692" t="s">
        <v>24</v>
      </c>
      <c r="I692" t="s">
        <v>25</v>
      </c>
      <c r="J692" t="s">
        <v>1061</v>
      </c>
      <c r="K692">
        <v>10</v>
      </c>
      <c r="L692">
        <v>8</v>
      </c>
      <c r="M692">
        <v>2025</v>
      </c>
      <c r="N692" t="s">
        <v>27</v>
      </c>
      <c r="O692">
        <v>200</v>
      </c>
      <c r="P692">
        <v>200</v>
      </c>
      <c r="R692" s="3" t="str">
        <f>HYPERLINK("https://panda.att.com.mx/ODKServer/view/binaryData?blobKey=FSSuministroFluidosv3%5B%40version%3Dnull+and+%40uiVersion%3Dnull%5D%2Fdata%5B%40key%3Duuid%3Aaca7b5e7-8b90-4fb1-980b-fb55ded6e0ff%5D%2FgroupInfoFuel%5B%40ordinal%3D1%5D%2FpicFuelRecibeInterno","Descargar")</f>
        <v>Descargar</v>
      </c>
    </row>
    <row r="693" spans="1:18" x14ac:dyDescent="0.3">
      <c r="A693">
        <v>1596837</v>
      </c>
      <c r="B693" t="s">
        <v>18</v>
      </c>
      <c r="C693" t="s">
        <v>28</v>
      </c>
      <c r="D693" t="s">
        <v>111</v>
      </c>
      <c r="E693" t="s">
        <v>112</v>
      </c>
      <c r="F693" t="s">
        <v>22</v>
      </c>
      <c r="G693" t="s">
        <v>23</v>
      </c>
      <c r="H693" t="s">
        <v>24</v>
      </c>
      <c r="I693" t="s">
        <v>25</v>
      </c>
      <c r="J693" t="s">
        <v>1062</v>
      </c>
      <c r="K693">
        <v>14</v>
      </c>
      <c r="L693">
        <v>8</v>
      </c>
      <c r="M693">
        <v>2025</v>
      </c>
      <c r="N693" t="s">
        <v>27</v>
      </c>
      <c r="O693">
        <v>200</v>
      </c>
      <c r="P693">
        <v>200</v>
      </c>
      <c r="R693" s="3" t="str">
        <f>HYPERLINK("https://panda.att.com.mx/ODKServer/view/binaryData?blobKey=FSSuministroFluidosv3%5B%40version%3Dnull+and+%40uiVersion%3Dnull%5D%2Fdata%5B%40key%3Duuid%3A60d7ff55-7cea-4d67-bcad-ccc11ba45027%5D%2FgroupInfoFuel%5B%40ordinal%3D1%5D%2FpicFuelRecibeInterno","Descargar")</f>
        <v>Descargar</v>
      </c>
    </row>
    <row r="694" spans="1:18" x14ac:dyDescent="0.3">
      <c r="A694">
        <v>1596798</v>
      </c>
      <c r="B694" t="s">
        <v>18</v>
      </c>
      <c r="C694" t="s">
        <v>19</v>
      </c>
      <c r="D694" t="s">
        <v>45</v>
      </c>
      <c r="E694" t="s">
        <v>186</v>
      </c>
      <c r="F694" t="s">
        <v>22</v>
      </c>
      <c r="G694" t="s">
        <v>23</v>
      </c>
      <c r="H694" t="s">
        <v>24</v>
      </c>
      <c r="I694" t="s">
        <v>25</v>
      </c>
      <c r="J694" t="s">
        <v>1063</v>
      </c>
      <c r="K694">
        <v>11</v>
      </c>
      <c r="L694">
        <v>8</v>
      </c>
      <c r="M694">
        <v>2025</v>
      </c>
      <c r="N694" t="s">
        <v>27</v>
      </c>
      <c r="O694">
        <v>300</v>
      </c>
      <c r="P694">
        <v>300</v>
      </c>
      <c r="R694" s="3" t="str">
        <f>HYPERLINK("https://panda.att.com.mx/ODKServer/view/binaryData?blobKey=FSSuministroFluidosv3%5B%40version%3Dnull+and+%40uiVersion%3Dnull%5D%2Fdata%5B%40key%3Duuid%3A042ad489-e944-47a6-bb13-2455cc6e1e91%5D%2FgroupInfoFuel%5B%40ordinal%3D1%5D%2FpicFuelRecibeInterno","Descargar")</f>
        <v>Descargar</v>
      </c>
    </row>
    <row r="695" spans="1:18" x14ac:dyDescent="0.3">
      <c r="A695">
        <v>1596786</v>
      </c>
      <c r="B695" t="s">
        <v>18</v>
      </c>
      <c r="C695" t="s">
        <v>167</v>
      </c>
      <c r="D695" t="s">
        <v>264</v>
      </c>
      <c r="E695" t="s">
        <v>284</v>
      </c>
      <c r="F695" t="s">
        <v>22</v>
      </c>
      <c r="G695" t="s">
        <v>83</v>
      </c>
      <c r="H695" t="s">
        <v>58</v>
      </c>
      <c r="I695" t="s">
        <v>25</v>
      </c>
      <c r="J695" t="s">
        <v>1064</v>
      </c>
      <c r="K695">
        <v>6</v>
      </c>
      <c r="L695">
        <v>8</v>
      </c>
      <c r="M695">
        <v>2025</v>
      </c>
      <c r="N695" t="s">
        <v>27</v>
      </c>
      <c r="O695">
        <v>200</v>
      </c>
      <c r="P695">
        <v>200</v>
      </c>
      <c r="R695" s="3" t="str">
        <f>HYPERLINK("https://panda.att.com.mx/ODKServer/view/binaryData?blobKey=FSSuministroFluidosv3%5B%40version%3Dnull+and+%40uiVersion%3Dnull%5D%2Fdata%5B%40key%3Duuid%3Ab7220a45-66db-4cb6-9229-42a8ffc3aee9%5D%2FgroupInfoFuel%5B%40ordinal%3D1%5D%2FpicFuelRecibeInterno","Descargar")</f>
        <v>Descargar</v>
      </c>
    </row>
    <row r="696" spans="1:18" x14ac:dyDescent="0.3">
      <c r="A696">
        <v>1596772</v>
      </c>
      <c r="B696" t="s">
        <v>18</v>
      </c>
      <c r="C696" t="s">
        <v>100</v>
      </c>
      <c r="D696" t="s">
        <v>651</v>
      </c>
      <c r="E696" t="s">
        <v>750</v>
      </c>
      <c r="F696" t="s">
        <v>22</v>
      </c>
      <c r="G696" t="s">
        <v>23</v>
      </c>
      <c r="H696" t="s">
        <v>58</v>
      </c>
      <c r="I696" t="s">
        <v>25</v>
      </c>
      <c r="J696" t="s">
        <v>1065</v>
      </c>
      <c r="K696">
        <v>14</v>
      </c>
      <c r="L696">
        <v>8</v>
      </c>
      <c r="M696">
        <v>2025</v>
      </c>
      <c r="N696" t="s">
        <v>27</v>
      </c>
      <c r="O696">
        <v>80</v>
      </c>
      <c r="P696">
        <v>80</v>
      </c>
      <c r="R696" s="3" t="str">
        <f>HYPERLINK("https://panda.att.com.mx/ODKServer/view/binaryData?blobKey=FSSuministroFluidosv3%5B%40version%3Dnull+and+%40uiVersion%3Dnull%5D%2Fdata%5B%40key%3Duuid%3A4733d947-ffa2-43a2-8210-dcc84d192028%5D%2FgroupInfoFuel%5B%40ordinal%3D1%5D%2FpicFuelRecibeInterno","Descargar")</f>
        <v>Descargar</v>
      </c>
    </row>
    <row r="697" spans="1:18" x14ac:dyDescent="0.3">
      <c r="A697">
        <v>1596685</v>
      </c>
      <c r="B697" t="s">
        <v>18</v>
      </c>
      <c r="C697" t="s">
        <v>100</v>
      </c>
      <c r="D697" t="s">
        <v>101</v>
      </c>
      <c r="E697" t="s">
        <v>102</v>
      </c>
      <c r="F697" t="s">
        <v>22</v>
      </c>
      <c r="G697" t="s">
        <v>23</v>
      </c>
      <c r="H697" t="s">
        <v>58</v>
      </c>
      <c r="I697" t="s">
        <v>25</v>
      </c>
      <c r="J697" t="s">
        <v>1066</v>
      </c>
      <c r="K697">
        <v>14</v>
      </c>
      <c r="L697">
        <v>8</v>
      </c>
      <c r="M697">
        <v>2025</v>
      </c>
      <c r="N697" t="s">
        <v>44</v>
      </c>
      <c r="O697">
        <v>60</v>
      </c>
      <c r="P697">
        <v>60</v>
      </c>
      <c r="R697" s="3" t="str">
        <f>HYPERLINK("https://panda.att.com.mx/ODKServer/view/binaryData?blobKey=FSSuministroFluidosv3%5B%40version%3Dnull+and+%40uiVersion%3Dnull%5D%2Fdata%5B%40key%3Duuid%3Aeea5d3aa-dc92-46f9-a1d1-4c7ef561d7c2%5D%2FgroupInfoFuel%5B%40ordinal%3D1%5D%2FpicFuelRecibeInterno","Descargar")</f>
        <v>Descargar</v>
      </c>
    </row>
    <row r="698" spans="1:18" x14ac:dyDescent="0.3">
      <c r="A698">
        <v>1596636</v>
      </c>
      <c r="B698" t="s">
        <v>18</v>
      </c>
      <c r="C698" t="s">
        <v>59</v>
      </c>
      <c r="D698" t="s">
        <v>60</v>
      </c>
      <c r="E698" t="s">
        <v>1067</v>
      </c>
      <c r="F698" t="s">
        <v>22</v>
      </c>
      <c r="G698" t="s">
        <v>23</v>
      </c>
      <c r="H698" t="s">
        <v>37</v>
      </c>
      <c r="I698" t="s">
        <v>25</v>
      </c>
      <c r="J698" t="s">
        <v>1068</v>
      </c>
      <c r="K698">
        <v>14</v>
      </c>
      <c r="L698">
        <v>8</v>
      </c>
      <c r="M698">
        <v>2025</v>
      </c>
      <c r="N698" t="s">
        <v>27</v>
      </c>
      <c r="O698">
        <v>235</v>
      </c>
      <c r="Q698">
        <v>235</v>
      </c>
      <c r="R698" s="3" t="str">
        <f>HYPERLINK("https://panda.att.com.mx/ODKServer/view/binaryData?blobKey=FSSuministroFluidosv3%5B%40version%3Dnull+and+%40uiVersion%3Dnull%5D%2Fdata%5B%40key%3Duuid%3Ae06e5689-2837-4c4d-8fc8-456a29422ab2%5D%2FgroupInfoFuel%5B%40ordinal%3D1%5D%2FpicFuelRecibeInterno","Descargar")</f>
        <v>Descargar</v>
      </c>
    </row>
    <row r="699" spans="1:18" x14ac:dyDescent="0.3">
      <c r="A699">
        <v>1596626</v>
      </c>
      <c r="B699" t="s">
        <v>18</v>
      </c>
      <c r="C699" t="s">
        <v>19</v>
      </c>
      <c r="D699" t="s">
        <v>45</v>
      </c>
      <c r="E699" t="s">
        <v>1069</v>
      </c>
      <c r="F699" t="s">
        <v>22</v>
      </c>
      <c r="G699" t="s">
        <v>23</v>
      </c>
      <c r="H699" t="s">
        <v>24</v>
      </c>
      <c r="I699" t="s">
        <v>25</v>
      </c>
      <c r="J699" t="s">
        <v>1070</v>
      </c>
      <c r="K699">
        <v>11</v>
      </c>
      <c r="L699">
        <v>8</v>
      </c>
      <c r="M699">
        <v>2025</v>
      </c>
      <c r="N699" t="s">
        <v>27</v>
      </c>
      <c r="O699">
        <v>250</v>
      </c>
      <c r="P699">
        <v>250</v>
      </c>
      <c r="R699" s="3" t="str">
        <f>HYPERLINK("https://panda.att.com.mx/ODKServer/view/binaryData?blobKey=FSSuministroFluidosv3%5B%40version%3Dnull+and+%40uiVersion%3Dnull%5D%2Fdata%5B%40key%3Duuid%3A1ece3e98-4669-4266-9e11-6c58cd932076%5D%2FgroupInfoFuel%5B%40ordinal%3D1%5D%2FpicFuelRecibeInterno","Descargar")</f>
        <v>Descargar</v>
      </c>
    </row>
    <row r="700" spans="1:18" x14ac:dyDescent="0.3">
      <c r="A700">
        <v>1596610</v>
      </c>
      <c r="B700" t="s">
        <v>18</v>
      </c>
      <c r="C700" t="s">
        <v>100</v>
      </c>
      <c r="D700" t="s">
        <v>716</v>
      </c>
      <c r="E700" t="s">
        <v>717</v>
      </c>
      <c r="F700" t="s">
        <v>22</v>
      </c>
      <c r="G700" t="s">
        <v>83</v>
      </c>
      <c r="H700" t="s">
        <v>58</v>
      </c>
      <c r="I700" t="s">
        <v>25</v>
      </c>
      <c r="J700" t="s">
        <v>1071</v>
      </c>
      <c r="K700">
        <v>13</v>
      </c>
      <c r="L700">
        <v>8</v>
      </c>
      <c r="M700">
        <v>2025</v>
      </c>
      <c r="N700" t="s">
        <v>27</v>
      </c>
      <c r="O700">
        <v>120</v>
      </c>
      <c r="P700">
        <v>120</v>
      </c>
      <c r="R700" s="3" t="str">
        <f>HYPERLINK("https://panda.att.com.mx/ODKServer/view/binaryData?blobKey=FSSuministroFluidosv3%5B%40version%3Dnull+and+%40uiVersion%3Dnull%5D%2Fdata%5B%40key%3Duuid%3A4d40154f-878e-48d1-9ade-04763e3974a1%5D%2FgroupInfoFuel%5B%40ordinal%3D1%5D%2FpicFuelRecibeInterno","Descargar")</f>
        <v>Descargar</v>
      </c>
    </row>
    <row r="701" spans="1:18" x14ac:dyDescent="0.3">
      <c r="A701">
        <v>1596597</v>
      </c>
      <c r="B701" t="s">
        <v>18</v>
      </c>
      <c r="C701" t="s">
        <v>34</v>
      </c>
      <c r="D701" t="s">
        <v>53</v>
      </c>
      <c r="E701" t="s">
        <v>649</v>
      </c>
      <c r="F701" t="s">
        <v>22</v>
      </c>
      <c r="G701" t="s">
        <v>23</v>
      </c>
      <c r="H701" t="s">
        <v>37</v>
      </c>
      <c r="I701" t="s">
        <v>25</v>
      </c>
      <c r="J701" t="s">
        <v>1072</v>
      </c>
      <c r="K701">
        <v>13</v>
      </c>
      <c r="L701">
        <v>8</v>
      </c>
      <c r="M701">
        <v>2025</v>
      </c>
      <c r="N701" t="s">
        <v>27</v>
      </c>
      <c r="O701">
        <v>150</v>
      </c>
      <c r="P701">
        <v>150</v>
      </c>
      <c r="R701" s="3" t="str">
        <f>HYPERLINK("https://panda.att.com.mx/ODKServer/view/binaryData?blobKey=FSSuministroFluidosv3%5B%40version%3Dnull+and+%40uiVersion%3Dnull%5D%2Fdata%5B%40key%3Duuid%3A3ebdd6a5-1e83-41e0-98b1-6eeadce36ef3%5D%2FgroupInfoFuel%5B%40ordinal%3D1%5D%2FpicFuelRecibeInterno","Descargar")</f>
        <v>Descargar</v>
      </c>
    </row>
    <row r="702" spans="1:18" x14ac:dyDescent="0.3">
      <c r="A702">
        <v>1596588</v>
      </c>
      <c r="B702" t="s">
        <v>18</v>
      </c>
      <c r="C702" t="s">
        <v>55</v>
      </c>
      <c r="D702" t="s">
        <v>128</v>
      </c>
      <c r="E702" t="s">
        <v>273</v>
      </c>
      <c r="F702" t="s">
        <v>22</v>
      </c>
      <c r="G702" t="s">
        <v>23</v>
      </c>
      <c r="H702" t="s">
        <v>58</v>
      </c>
      <c r="I702" t="s">
        <v>25</v>
      </c>
      <c r="J702" t="s">
        <v>1073</v>
      </c>
      <c r="K702">
        <v>13</v>
      </c>
      <c r="L702">
        <v>8</v>
      </c>
      <c r="M702">
        <v>2025</v>
      </c>
      <c r="N702" t="s">
        <v>44</v>
      </c>
      <c r="O702">
        <v>25</v>
      </c>
      <c r="P702">
        <v>25</v>
      </c>
      <c r="R702" s="3" t="str">
        <f>HYPERLINK("https://panda.att.com.mx/ODKServer/view/binaryData?blobKey=FSSuministroFluidosv3%5B%40version%3Dnull+and+%40uiVersion%3Dnull%5D%2Fdata%5B%40key%3Duuid%3A4f972ef1-f73c-4383-968a-83ebebb0ffda%5D%2FgroupInfoFuel%5B%40ordinal%3D1%5D%2FpicFuelRecibeInterno","Descargar")</f>
        <v>Descargar</v>
      </c>
    </row>
    <row r="703" spans="1:18" x14ac:dyDescent="0.3">
      <c r="A703">
        <v>1596564</v>
      </c>
      <c r="B703" t="s">
        <v>18</v>
      </c>
      <c r="C703" t="s">
        <v>34</v>
      </c>
      <c r="D703" t="s">
        <v>53</v>
      </c>
      <c r="E703" t="s">
        <v>1074</v>
      </c>
      <c r="F703" t="s">
        <v>22</v>
      </c>
      <c r="G703" t="s">
        <v>23</v>
      </c>
      <c r="H703" t="s">
        <v>37</v>
      </c>
      <c r="I703" t="s">
        <v>25</v>
      </c>
      <c r="J703" t="s">
        <v>1075</v>
      </c>
      <c r="K703">
        <v>13</v>
      </c>
      <c r="L703">
        <v>8</v>
      </c>
      <c r="M703">
        <v>2025</v>
      </c>
      <c r="N703" t="s">
        <v>27</v>
      </c>
      <c r="O703">
        <v>300</v>
      </c>
      <c r="P703">
        <v>300</v>
      </c>
      <c r="R703" s="3" t="str">
        <f>HYPERLINK("https://panda.att.com.mx/ODKServer/view/binaryData?blobKey=FSSuministroFluidosv3%5B%40version%3Dnull+and+%40uiVersion%3Dnull%5D%2Fdata%5B%40key%3Duuid%3Afc905885-5828-4922-831e-aa8dfb22f698%5D%2FgroupInfoFuel%5B%40ordinal%3D1%5D%2FpicFuelRecibeInterno","Descargar")</f>
        <v>Descargar</v>
      </c>
    </row>
    <row r="704" spans="1:18" x14ac:dyDescent="0.3">
      <c r="A704">
        <v>1596548</v>
      </c>
      <c r="B704" t="s">
        <v>18</v>
      </c>
      <c r="C704" t="s">
        <v>150</v>
      </c>
      <c r="D704" t="s">
        <v>164</v>
      </c>
      <c r="E704" t="s">
        <v>165</v>
      </c>
      <c r="F704" t="s">
        <v>22</v>
      </c>
      <c r="G704" t="s">
        <v>23</v>
      </c>
      <c r="H704" t="s">
        <v>58</v>
      </c>
      <c r="I704" t="s">
        <v>25</v>
      </c>
      <c r="J704" t="s">
        <v>1076</v>
      </c>
      <c r="K704">
        <v>13</v>
      </c>
      <c r="L704">
        <v>8</v>
      </c>
      <c r="M704">
        <v>2025</v>
      </c>
      <c r="N704" t="s">
        <v>27</v>
      </c>
      <c r="O704">
        <v>400</v>
      </c>
      <c r="P704">
        <v>400</v>
      </c>
      <c r="R704" s="3" t="str">
        <f>HYPERLINK("https://panda.att.com.mx/ODKServer/view/binaryData?blobKey=FSSuministroFluidosv3%5B%40version%3Dnull+and+%40uiVersion%3Dnull%5D%2Fdata%5B%40key%3Duuid%3Aa4d46bbe-19bd-4fa4-98e0-75ad1b8b7b8b%5D%2FgroupInfoFuel%5B%40ordinal%3D1%5D%2FpicFuelRecibeInterno","Descargar")</f>
        <v>Descargar</v>
      </c>
    </row>
    <row r="705" spans="1:18" x14ac:dyDescent="0.3">
      <c r="A705">
        <v>1596534</v>
      </c>
      <c r="B705" t="s">
        <v>18</v>
      </c>
      <c r="C705" t="s">
        <v>19</v>
      </c>
      <c r="D705" t="s">
        <v>347</v>
      </c>
      <c r="E705" t="s">
        <v>364</v>
      </c>
      <c r="F705" t="s">
        <v>22</v>
      </c>
      <c r="G705" t="s">
        <v>83</v>
      </c>
      <c r="H705" t="s">
        <v>24</v>
      </c>
      <c r="I705" t="s">
        <v>25</v>
      </c>
      <c r="J705" t="s">
        <v>1077</v>
      </c>
      <c r="K705">
        <v>12</v>
      </c>
      <c r="L705">
        <v>8</v>
      </c>
      <c r="M705">
        <v>2025</v>
      </c>
      <c r="N705" t="s">
        <v>27</v>
      </c>
      <c r="O705">
        <v>300</v>
      </c>
      <c r="P705">
        <v>300</v>
      </c>
      <c r="R705" s="3" t="str">
        <f>HYPERLINK("https://panda.att.com.mx/ODKServer/view/binaryData?blobKey=FSSuministroFluidosv3%5B%40version%3Dnull+and+%40uiVersion%3Dnull%5D%2Fdata%5B%40key%3Duuid%3A1bc1f782-a9fd-42f6-8b10-2bca00773b57%5D%2FgroupInfoFuel%5B%40ordinal%3D1%5D%2FpicFuelRecibeInterno","Descargar")</f>
        <v>Descargar</v>
      </c>
    </row>
    <row r="706" spans="1:18" x14ac:dyDescent="0.3">
      <c r="A706">
        <v>1596533</v>
      </c>
      <c r="B706" t="s">
        <v>18</v>
      </c>
      <c r="C706" t="s">
        <v>28</v>
      </c>
      <c r="D706" t="s">
        <v>315</v>
      </c>
      <c r="E706" t="s">
        <v>1078</v>
      </c>
      <c r="F706" t="s">
        <v>22</v>
      </c>
      <c r="G706" t="s">
        <v>23</v>
      </c>
      <c r="H706" t="s">
        <v>24</v>
      </c>
      <c r="I706" t="s">
        <v>25</v>
      </c>
      <c r="J706" t="s">
        <v>1079</v>
      </c>
      <c r="K706">
        <v>13</v>
      </c>
      <c r="L706">
        <v>8</v>
      </c>
      <c r="M706">
        <v>2025</v>
      </c>
      <c r="N706" t="s">
        <v>44</v>
      </c>
      <c r="O706">
        <v>20</v>
      </c>
      <c r="P706">
        <v>20</v>
      </c>
      <c r="R706" s="3" t="str">
        <f>HYPERLINK("https://panda.att.com.mx/ODKServer/view/binaryData?blobKey=FSSuministroFluidosv3%5B%40version%3Dnull+and+%40uiVersion%3Dnull%5D%2Fdata%5B%40key%3Duuid%3A67c92ceb-ccad-4814-a360-97cd49d17c4f%5D%2FgroupInfoFuel%5B%40ordinal%3D1%5D%2FpicFuelRecibeInterno","Descargar")</f>
        <v>Descargar</v>
      </c>
    </row>
    <row r="707" spans="1:18" x14ac:dyDescent="0.3">
      <c r="A707">
        <v>1596532</v>
      </c>
      <c r="B707" t="s">
        <v>18</v>
      </c>
      <c r="C707" t="s">
        <v>19</v>
      </c>
      <c r="D707" t="s">
        <v>347</v>
      </c>
      <c r="E707" t="s">
        <v>364</v>
      </c>
      <c r="F707" t="s">
        <v>22</v>
      </c>
      <c r="G707" t="s">
        <v>83</v>
      </c>
      <c r="H707" t="s">
        <v>24</v>
      </c>
      <c r="I707" t="s">
        <v>25</v>
      </c>
      <c r="J707" t="s">
        <v>1080</v>
      </c>
      <c r="K707">
        <v>9</v>
      </c>
      <c r="L707">
        <v>8</v>
      </c>
      <c r="M707">
        <v>2025</v>
      </c>
      <c r="N707" t="s">
        <v>27</v>
      </c>
      <c r="O707">
        <v>300</v>
      </c>
      <c r="P707">
        <v>300</v>
      </c>
      <c r="R707" s="3" t="str">
        <f>HYPERLINK("https://panda.att.com.mx/ODKServer/view/binaryData?blobKey=FSSuministroFluidosv3%5B%40version%3Dnull+and+%40uiVersion%3Dnull%5D%2Fdata%5B%40key%3Duuid%3Ae80889d7-6a7e-4e01-8768-d1ce5eecbee8%5D%2FgroupInfoFuel%5B%40ordinal%3D1%5D%2FpicFuelRecibeInterno","Descargar")</f>
        <v>Descargar</v>
      </c>
    </row>
    <row r="708" spans="1:18" x14ac:dyDescent="0.3">
      <c r="A708">
        <v>1596525</v>
      </c>
      <c r="B708" t="s">
        <v>18</v>
      </c>
      <c r="C708" t="s">
        <v>19</v>
      </c>
      <c r="D708" t="s">
        <v>189</v>
      </c>
      <c r="E708" t="s">
        <v>1081</v>
      </c>
      <c r="F708" t="s">
        <v>22</v>
      </c>
      <c r="G708" t="s">
        <v>23</v>
      </c>
      <c r="H708" t="s">
        <v>24</v>
      </c>
      <c r="I708" t="s">
        <v>25</v>
      </c>
      <c r="J708" t="s">
        <v>1082</v>
      </c>
      <c r="K708">
        <v>9</v>
      </c>
      <c r="L708">
        <v>8</v>
      </c>
      <c r="M708">
        <v>2025</v>
      </c>
      <c r="N708" t="s">
        <v>27</v>
      </c>
      <c r="O708">
        <v>200</v>
      </c>
      <c r="P708">
        <v>200</v>
      </c>
      <c r="R708" s="3" t="str">
        <f>HYPERLINK("https://panda.att.com.mx/ODKServer/view/binaryData?blobKey=FSSuministroFluidosv3%5B%40version%3Dnull+and+%40uiVersion%3Dnull%5D%2Fdata%5B%40key%3Duuid%3A85495b44-5a2b-4433-85f2-446d77123d60%5D%2FgroupInfoFuel%5B%40ordinal%3D1%5D%2FpicFuelRecibeInterno","Descargar")</f>
        <v>Descargar</v>
      </c>
    </row>
    <row r="709" spans="1:18" x14ac:dyDescent="0.3">
      <c r="A709">
        <v>1596510</v>
      </c>
      <c r="B709" t="s">
        <v>18</v>
      </c>
      <c r="C709" t="s">
        <v>19</v>
      </c>
      <c r="D709" t="s">
        <v>347</v>
      </c>
      <c r="E709" t="s">
        <v>364</v>
      </c>
      <c r="F709" t="s">
        <v>22</v>
      </c>
      <c r="G709" t="s">
        <v>83</v>
      </c>
      <c r="H709" t="s">
        <v>24</v>
      </c>
      <c r="I709" t="s">
        <v>25</v>
      </c>
      <c r="J709" t="s">
        <v>1083</v>
      </c>
      <c r="K709">
        <v>6</v>
      </c>
      <c r="L709">
        <v>8</v>
      </c>
      <c r="M709">
        <v>2025</v>
      </c>
      <c r="N709" t="s">
        <v>27</v>
      </c>
      <c r="O709">
        <v>300</v>
      </c>
      <c r="P709">
        <v>300</v>
      </c>
      <c r="R709" s="3" t="str">
        <f>HYPERLINK("https://panda.att.com.mx/ODKServer/view/binaryData?blobKey=FSSuministroFluidosv3%5B%40version%3Dnull+and+%40uiVersion%3Dnull%5D%2Fdata%5B%40key%3Duuid%3A547e681f-30b9-47c0-9cd4-3b042fc02259%5D%2FgroupInfoFuel%5B%40ordinal%3D1%5D%2FpicFuelRecibeInterno","Descargar")</f>
        <v>Descargar</v>
      </c>
    </row>
    <row r="710" spans="1:18" x14ac:dyDescent="0.3">
      <c r="A710">
        <v>1596456</v>
      </c>
      <c r="B710" t="s">
        <v>18</v>
      </c>
      <c r="C710" t="s">
        <v>28</v>
      </c>
      <c r="D710" t="s">
        <v>181</v>
      </c>
      <c r="E710" t="s">
        <v>1084</v>
      </c>
      <c r="F710" t="s">
        <v>22</v>
      </c>
      <c r="G710" t="s">
        <v>23</v>
      </c>
      <c r="H710" t="s">
        <v>24</v>
      </c>
      <c r="I710" t="s">
        <v>25</v>
      </c>
      <c r="J710" t="s">
        <v>1085</v>
      </c>
      <c r="K710">
        <v>13</v>
      </c>
      <c r="L710">
        <v>8</v>
      </c>
      <c r="M710">
        <v>2025</v>
      </c>
      <c r="N710" t="s">
        <v>27</v>
      </c>
      <c r="O710">
        <v>100</v>
      </c>
      <c r="P710">
        <v>100</v>
      </c>
      <c r="R710" s="3" t="str">
        <f>HYPERLINK("https://panda.att.com.mx/ODKServer/view/binaryData?blobKey=FSSuministroFluidosv3%5B%40version%3Dnull+and+%40uiVersion%3Dnull%5D%2Fdata%5B%40key%3Duuid%3A810a3be6-3cba-4aad-8d1f-fcb2bf800f5d%5D%2FgroupInfoFuel%5B%40ordinal%3D1%5D%2FpicFuelRecibeInterno","Descargar")</f>
        <v>Descargar</v>
      </c>
    </row>
    <row r="711" spans="1:18" x14ac:dyDescent="0.3">
      <c r="A711">
        <v>1596449</v>
      </c>
      <c r="B711" t="s">
        <v>18</v>
      </c>
      <c r="C711" t="s">
        <v>28</v>
      </c>
      <c r="D711" t="s">
        <v>66</v>
      </c>
      <c r="E711" t="s">
        <v>1086</v>
      </c>
      <c r="F711" t="s">
        <v>22</v>
      </c>
      <c r="G711" t="s">
        <v>23</v>
      </c>
      <c r="H711" t="s">
        <v>24</v>
      </c>
      <c r="I711" t="s">
        <v>25</v>
      </c>
      <c r="J711" t="s">
        <v>1087</v>
      </c>
      <c r="K711">
        <v>9</v>
      </c>
      <c r="L711">
        <v>8</v>
      </c>
      <c r="M711">
        <v>2025</v>
      </c>
      <c r="N711" t="s">
        <v>44</v>
      </c>
      <c r="O711">
        <v>40</v>
      </c>
      <c r="Q711">
        <v>40</v>
      </c>
      <c r="R711" s="3" t="str">
        <f>HYPERLINK("https://panda.att.com.mx/ODKServer/view/binaryData?blobKey=FSSuministroFluidosv3%5B%40version%3Dnull+and+%40uiVersion%3Dnull%5D%2Fdata%5B%40key%3Duuid%3Afc26a6a9-047f-4ea1-bddc-4981fbf64fcc%5D%2FgroupInfoFuel%5B%40ordinal%3D1%5D%2FpicFuelRecibeInterno","Descargar")</f>
        <v>Descargar</v>
      </c>
    </row>
    <row r="712" spans="1:18" x14ac:dyDescent="0.3">
      <c r="A712">
        <v>1596428</v>
      </c>
      <c r="B712" t="s">
        <v>18</v>
      </c>
      <c r="C712" t="s">
        <v>28</v>
      </c>
      <c r="D712" t="s">
        <v>148</v>
      </c>
      <c r="E712" t="s">
        <v>1088</v>
      </c>
      <c r="F712" t="s">
        <v>22</v>
      </c>
      <c r="G712" t="s">
        <v>23</v>
      </c>
      <c r="H712" t="s">
        <v>24</v>
      </c>
      <c r="I712" t="s">
        <v>25</v>
      </c>
      <c r="J712" t="s">
        <v>1089</v>
      </c>
      <c r="K712">
        <v>13</v>
      </c>
      <c r="L712">
        <v>8</v>
      </c>
      <c r="M712">
        <v>2025</v>
      </c>
      <c r="N712" t="s">
        <v>27</v>
      </c>
      <c r="O712">
        <v>100</v>
      </c>
      <c r="P712">
        <v>100</v>
      </c>
      <c r="R712" s="3" t="str">
        <f>HYPERLINK("https://panda.att.com.mx/ODKServer/view/binaryData?blobKey=FSSuministroFluidosv3%5B%40version%3Dnull+and+%40uiVersion%3Dnull%5D%2Fdata%5B%40key%3Duuid%3Af56ea021-450c-4b3c-a9c0-538587c3ff2f%5D%2FgroupInfoFuel%5B%40ordinal%3D1%5D%2FpicFuelRecibeInterno","Descargar")</f>
        <v>Descargar</v>
      </c>
    </row>
    <row r="713" spans="1:18" x14ac:dyDescent="0.3">
      <c r="A713">
        <v>1596398</v>
      </c>
      <c r="B713" t="s">
        <v>18</v>
      </c>
      <c r="C713" t="s">
        <v>28</v>
      </c>
      <c r="D713" t="s">
        <v>1054</v>
      </c>
      <c r="E713" t="s">
        <v>1090</v>
      </c>
      <c r="F713" t="s">
        <v>22</v>
      </c>
      <c r="G713" t="s">
        <v>23</v>
      </c>
      <c r="H713" t="s">
        <v>24</v>
      </c>
      <c r="I713" t="s">
        <v>25</v>
      </c>
      <c r="J713" t="s">
        <v>1091</v>
      </c>
      <c r="K713">
        <v>13</v>
      </c>
      <c r="L713">
        <v>8</v>
      </c>
      <c r="M713">
        <v>2025</v>
      </c>
      <c r="N713" t="s">
        <v>27</v>
      </c>
      <c r="O713">
        <v>100</v>
      </c>
      <c r="P713">
        <v>100</v>
      </c>
      <c r="R713" s="3" t="str">
        <f>HYPERLINK("https://panda.att.com.mx/ODKServer/view/binaryData?blobKey=FSSuministroFluidosv3%5B%40version%3Dnull+and+%40uiVersion%3Dnull%5D%2Fdata%5B%40key%3Duuid%3A2f130d1f-0faf-48f0-9844-8cb9ee43a4e5%5D%2FgroupInfoFuel%5B%40ordinal%3D1%5D%2FpicFuelRecibeInterno","Descargar")</f>
        <v>Descargar</v>
      </c>
    </row>
    <row r="714" spans="1:18" x14ac:dyDescent="0.3">
      <c r="A714">
        <v>1596373</v>
      </c>
      <c r="B714" t="s">
        <v>18</v>
      </c>
      <c r="C714" t="s">
        <v>19</v>
      </c>
      <c r="D714" t="s">
        <v>175</v>
      </c>
      <c r="E714" t="s">
        <v>527</v>
      </c>
      <c r="F714" t="s">
        <v>22</v>
      </c>
      <c r="G714" t="s">
        <v>23</v>
      </c>
      <c r="H714" t="s">
        <v>24</v>
      </c>
      <c r="I714" t="s">
        <v>25</v>
      </c>
      <c r="J714" t="s">
        <v>1092</v>
      </c>
      <c r="K714">
        <v>13</v>
      </c>
      <c r="L714">
        <v>8</v>
      </c>
      <c r="M714">
        <v>2025</v>
      </c>
      <c r="N714" t="s">
        <v>44</v>
      </c>
      <c r="O714">
        <v>45</v>
      </c>
      <c r="P714">
        <v>45</v>
      </c>
      <c r="R714" s="3" t="str">
        <f>HYPERLINK("https://panda.att.com.mx/ODKServer/view/binaryData?blobKey=FSSuministroFluidosv3%5B%40version%3Dnull+and+%40uiVersion%3Dnull%5D%2Fdata%5B%40key%3Duuid%3Aaa16cdfe-461d-42bf-9300-24592ff7e061%5D%2FgroupInfoFuel%5B%40ordinal%3D1%5D%2FpicFuelRecibeInterno","Descargar")</f>
        <v>Descargar</v>
      </c>
    </row>
    <row r="715" spans="1:18" x14ac:dyDescent="0.3">
      <c r="A715">
        <v>1596352</v>
      </c>
      <c r="B715" t="s">
        <v>18</v>
      </c>
      <c r="C715" t="s">
        <v>28</v>
      </c>
      <c r="D715" t="s">
        <v>1093</v>
      </c>
      <c r="E715" t="s">
        <v>1094</v>
      </c>
      <c r="F715" t="s">
        <v>22</v>
      </c>
      <c r="G715" t="s">
        <v>23</v>
      </c>
      <c r="H715" t="s">
        <v>24</v>
      </c>
      <c r="I715" t="s">
        <v>25</v>
      </c>
      <c r="J715" t="s">
        <v>1095</v>
      </c>
      <c r="K715">
        <v>13</v>
      </c>
      <c r="L715">
        <v>8</v>
      </c>
      <c r="M715">
        <v>2025</v>
      </c>
      <c r="N715" t="s">
        <v>27</v>
      </c>
      <c r="O715">
        <v>100</v>
      </c>
      <c r="P715">
        <v>100</v>
      </c>
      <c r="R715" s="3" t="str">
        <f>HYPERLINK("https://panda.att.com.mx/ODKServer/view/binaryData?blobKey=FSSuministroFluidosv3%5B%40version%3Dnull+and+%40uiVersion%3Dnull%5D%2Fdata%5B%40key%3Duuid%3A2d5da69e-8479-4d82-af23-68b5e301e772%5D%2FgroupInfoFuel%5B%40ordinal%3D1%5D%2FpicFuelRecibeInterno","Descargar")</f>
        <v>Descargar</v>
      </c>
    </row>
    <row r="716" spans="1:18" x14ac:dyDescent="0.3">
      <c r="A716">
        <v>1596329</v>
      </c>
      <c r="B716" t="s">
        <v>18</v>
      </c>
      <c r="C716" t="s">
        <v>55</v>
      </c>
      <c r="D716" t="s">
        <v>210</v>
      </c>
      <c r="E716" t="s">
        <v>1096</v>
      </c>
      <c r="G716" t="s">
        <v>23</v>
      </c>
      <c r="H716" t="s">
        <v>58</v>
      </c>
      <c r="I716" t="s">
        <v>25</v>
      </c>
      <c r="J716" t="s">
        <v>1097</v>
      </c>
      <c r="K716">
        <v>11</v>
      </c>
      <c r="L716">
        <v>8</v>
      </c>
      <c r="M716">
        <v>2025</v>
      </c>
      <c r="N716" t="s">
        <v>27</v>
      </c>
      <c r="O716">
        <v>75</v>
      </c>
      <c r="P716">
        <v>75</v>
      </c>
      <c r="R716" s="3" t="str">
        <f>HYPERLINK("https://panda.att.com.mx/ODKServer/view/binaryData?blobKey=FSSuministroFluidosv3%5B%40version%3Dnull+and+%40uiVersion%3Dnull%5D%2Fdata%5B%40key%3Duuid%3Ad5f9cdce-210e-4ab6-9a33-917807ec3599%5D%2FgroupInfoFuel%5B%40ordinal%3D1%5D%2FpicFuelRecibeInterno","Descargar")</f>
        <v>Descargar</v>
      </c>
    </row>
    <row r="717" spans="1:18" x14ac:dyDescent="0.3">
      <c r="A717">
        <v>1596328</v>
      </c>
      <c r="B717" t="s">
        <v>18</v>
      </c>
      <c r="C717" t="s">
        <v>55</v>
      </c>
      <c r="D717" t="s">
        <v>64</v>
      </c>
      <c r="E717" t="s">
        <v>1098</v>
      </c>
      <c r="F717" t="s">
        <v>22</v>
      </c>
      <c r="G717" t="s">
        <v>83</v>
      </c>
      <c r="H717" t="s">
        <v>58</v>
      </c>
      <c r="I717" t="s">
        <v>25</v>
      </c>
      <c r="J717" t="s">
        <v>1099</v>
      </c>
      <c r="K717">
        <v>10</v>
      </c>
      <c r="L717">
        <v>8</v>
      </c>
      <c r="M717">
        <v>2025</v>
      </c>
      <c r="N717" t="s">
        <v>27</v>
      </c>
      <c r="O717">
        <v>200</v>
      </c>
      <c r="P717">
        <v>200</v>
      </c>
      <c r="R717" s="3" t="str">
        <f>HYPERLINK("https://panda.att.com.mx/ODKServer/view/binaryData?blobKey=FSSuministroFluidosv3%5B%40version%3Dnull+and+%40uiVersion%3Dnull%5D%2Fdata%5B%40key%3Duuid%3A1727b5e8-c863-4e7f-9273-2cb504fdfd52%5D%2FgroupInfoFuel%5B%40ordinal%3D1%5D%2FpicFuelRecibeInterno","Descargar")</f>
        <v>Descargar</v>
      </c>
    </row>
    <row r="718" spans="1:18" x14ac:dyDescent="0.3">
      <c r="A718">
        <v>1596327</v>
      </c>
      <c r="B718" t="s">
        <v>18</v>
      </c>
      <c r="C718" t="s">
        <v>55</v>
      </c>
      <c r="D718" t="s">
        <v>210</v>
      </c>
      <c r="E718" t="s">
        <v>1100</v>
      </c>
      <c r="F718" t="s">
        <v>22</v>
      </c>
      <c r="G718" t="s">
        <v>23</v>
      </c>
      <c r="H718" t="s">
        <v>58</v>
      </c>
      <c r="I718" t="s">
        <v>25</v>
      </c>
      <c r="J718" t="s">
        <v>1101</v>
      </c>
      <c r="K718">
        <v>9</v>
      </c>
      <c r="L718">
        <v>8</v>
      </c>
      <c r="M718">
        <v>2025</v>
      </c>
      <c r="N718" t="s">
        <v>27</v>
      </c>
      <c r="O718">
        <v>106.02</v>
      </c>
      <c r="P718">
        <v>106.02</v>
      </c>
      <c r="R718" s="3" t="str">
        <f>HYPERLINK("https://panda.att.com.mx/ODKServer/view/binaryData?blobKey=FSSuministroFluidosv3%5B%40version%3Dnull+and+%40uiVersion%3Dnull%5D%2Fdata%5B%40key%3Duuid%3Ab485dca7-6a19-4fca-8c97-5dab8a84c343%5D%2FgroupInfoFuel%5B%40ordinal%3D1%5D%2FpicFuelRecibeInterno","Descargar")</f>
        <v>Descargar</v>
      </c>
    </row>
    <row r="719" spans="1:18" x14ac:dyDescent="0.3">
      <c r="A719">
        <v>1596311</v>
      </c>
      <c r="B719" t="s">
        <v>18</v>
      </c>
      <c r="C719" t="s">
        <v>55</v>
      </c>
      <c r="D719" t="s">
        <v>56</v>
      </c>
      <c r="E719" t="s">
        <v>105</v>
      </c>
      <c r="F719" t="s">
        <v>22</v>
      </c>
      <c r="G719" t="s">
        <v>83</v>
      </c>
      <c r="H719" t="s">
        <v>58</v>
      </c>
      <c r="I719" t="s">
        <v>25</v>
      </c>
      <c r="J719" t="s">
        <v>1102</v>
      </c>
      <c r="K719">
        <v>13</v>
      </c>
      <c r="L719">
        <v>8</v>
      </c>
      <c r="M719">
        <v>2025</v>
      </c>
      <c r="N719" t="s">
        <v>27</v>
      </c>
      <c r="O719">
        <v>200</v>
      </c>
      <c r="P719">
        <v>200</v>
      </c>
      <c r="R719" s="3" t="str">
        <f>HYPERLINK("https://panda.att.com.mx/ODKServer/view/binaryData?blobKey=FSSuministroFluidosv3%5B%40version%3Dnull+and+%40uiVersion%3Dnull%5D%2Fdata%5B%40key%3Duuid%3A938a7dc2-0ebc-4935-9bf4-b98a2aec2c83%5D%2FgroupInfoFuel%5B%40ordinal%3D1%5D%2FpicFuelRecibeInterno","Descargar")</f>
        <v>Descargar</v>
      </c>
    </row>
    <row r="720" spans="1:18" x14ac:dyDescent="0.3">
      <c r="A720">
        <v>1596310</v>
      </c>
      <c r="B720" t="s">
        <v>18</v>
      </c>
      <c r="C720" t="s">
        <v>55</v>
      </c>
      <c r="D720" t="s">
        <v>56</v>
      </c>
      <c r="E720" t="s">
        <v>77</v>
      </c>
      <c r="F720" t="s">
        <v>22</v>
      </c>
      <c r="G720" t="s">
        <v>95</v>
      </c>
      <c r="H720" t="s">
        <v>58</v>
      </c>
      <c r="I720" t="s">
        <v>25</v>
      </c>
      <c r="J720" t="s">
        <v>1103</v>
      </c>
      <c r="K720">
        <v>13</v>
      </c>
      <c r="L720">
        <v>8</v>
      </c>
      <c r="M720">
        <v>2025</v>
      </c>
      <c r="N720" t="s">
        <v>27</v>
      </c>
      <c r="O720">
        <v>150</v>
      </c>
      <c r="P720">
        <v>150</v>
      </c>
      <c r="R720" s="3" t="str">
        <f>HYPERLINK("https://panda.att.com.mx/ODKServer/view/binaryData?blobKey=FSSuministroFluidosv3%5B%40version%3Dnull+and+%40uiVersion%3Dnull%5D%2Fdata%5B%40key%3Duuid%3Aacd55b6d-38dc-4967-a12a-64db23529d62%5D%2FgroupInfoFuel%5B%40ordinal%3D1%5D%2FpicFuelRecibeInterno","Descargar")</f>
        <v>Descargar</v>
      </c>
    </row>
    <row r="721" spans="1:18" x14ac:dyDescent="0.3">
      <c r="A721">
        <v>1596309</v>
      </c>
      <c r="B721" t="s">
        <v>18</v>
      </c>
      <c r="C721" t="s">
        <v>55</v>
      </c>
      <c r="D721" t="s">
        <v>288</v>
      </c>
      <c r="E721" t="s">
        <v>554</v>
      </c>
      <c r="F721" t="s">
        <v>22</v>
      </c>
      <c r="G721" t="s">
        <v>23</v>
      </c>
      <c r="H721" t="s">
        <v>58</v>
      </c>
      <c r="I721" t="s">
        <v>25</v>
      </c>
      <c r="J721" t="s">
        <v>1104</v>
      </c>
      <c r="K721">
        <v>13</v>
      </c>
      <c r="L721">
        <v>8</v>
      </c>
      <c r="M721">
        <v>2025</v>
      </c>
      <c r="N721" t="s">
        <v>27</v>
      </c>
      <c r="O721">
        <v>200</v>
      </c>
      <c r="P721">
        <v>200</v>
      </c>
      <c r="R721" s="3" t="str">
        <f>HYPERLINK("https://panda.att.com.mx/ODKServer/view/binaryData?blobKey=FSSuministroFluidosv3%5B%40version%3Dnull+and+%40uiVersion%3Dnull%5D%2Fdata%5B%40key%3Duuid%3Adcf175c9-4959-41d2-8075-578552689cb4%5D%2FgroupInfoFuel%5B%40ordinal%3D1%5D%2FpicFuelRecibeInterno","Descargar")</f>
        <v>Descargar</v>
      </c>
    </row>
    <row r="722" spans="1:18" x14ac:dyDescent="0.3">
      <c r="A722">
        <v>1596273</v>
      </c>
      <c r="B722" t="s">
        <v>18</v>
      </c>
      <c r="C722" t="s">
        <v>28</v>
      </c>
      <c r="D722" t="s">
        <v>1105</v>
      </c>
      <c r="E722" t="s">
        <v>1106</v>
      </c>
      <c r="F722" t="s">
        <v>22</v>
      </c>
      <c r="G722" t="s">
        <v>23</v>
      </c>
      <c r="H722" t="s">
        <v>24</v>
      </c>
      <c r="I722" t="s">
        <v>25</v>
      </c>
      <c r="J722" t="s">
        <v>1107</v>
      </c>
      <c r="K722">
        <v>13</v>
      </c>
      <c r="L722">
        <v>8</v>
      </c>
      <c r="M722">
        <v>2025</v>
      </c>
      <c r="N722" t="s">
        <v>27</v>
      </c>
      <c r="O722">
        <v>100</v>
      </c>
      <c r="P722">
        <v>100</v>
      </c>
      <c r="R722" s="3" t="str">
        <f>HYPERLINK("https://panda.att.com.mx/ODKServer/view/binaryData?blobKey=FSSuministroFluidosv3%5B%40version%3Dnull+and+%40uiVersion%3Dnull%5D%2Fdata%5B%40key%3Duuid%3A5df467f0-3381-49cf-ad1e-24b2c0220c5a%5D%2FgroupInfoFuel%5B%40ordinal%3D1%5D%2FpicFuelRecibeInterno","Descargar")</f>
        <v>Descargar</v>
      </c>
    </row>
    <row r="723" spans="1:18" x14ac:dyDescent="0.3">
      <c r="A723">
        <v>1596257</v>
      </c>
      <c r="B723" t="s">
        <v>18</v>
      </c>
      <c r="C723" t="s">
        <v>55</v>
      </c>
      <c r="D723" t="s">
        <v>56</v>
      </c>
      <c r="E723" t="s">
        <v>848</v>
      </c>
      <c r="F723" t="s">
        <v>22</v>
      </c>
      <c r="G723" t="s">
        <v>95</v>
      </c>
      <c r="H723" t="s">
        <v>58</v>
      </c>
      <c r="I723" t="s">
        <v>25</v>
      </c>
      <c r="J723" t="s">
        <v>1108</v>
      </c>
      <c r="K723">
        <v>13</v>
      </c>
      <c r="L723">
        <v>8</v>
      </c>
      <c r="M723">
        <v>2025</v>
      </c>
      <c r="N723" t="s">
        <v>27</v>
      </c>
      <c r="O723">
        <v>150</v>
      </c>
      <c r="P723">
        <v>150</v>
      </c>
      <c r="R723" s="3" t="str">
        <f>HYPERLINK("https://panda.att.com.mx/ODKServer/view/binaryData?blobKey=FSSuministroFluidosv3%5B%40version%3Dnull+and+%40uiVersion%3Dnull%5D%2Fdata%5B%40key%3Duuid%3Ae068f61c-3fa9-48a0-bb31-d672dd0ad201%5D%2FgroupInfoFuel%5B%40ordinal%3D1%5D%2FpicFuelRecibeInterno","Descargar")</f>
        <v>Descargar</v>
      </c>
    </row>
    <row r="724" spans="1:18" x14ac:dyDescent="0.3">
      <c r="A724">
        <v>1596143</v>
      </c>
      <c r="B724" t="s">
        <v>18</v>
      </c>
      <c r="C724" t="s">
        <v>68</v>
      </c>
      <c r="D724" t="s">
        <v>91</v>
      </c>
      <c r="E724" t="s">
        <v>828</v>
      </c>
      <c r="F724" t="s">
        <v>22</v>
      </c>
      <c r="G724" t="s">
        <v>23</v>
      </c>
      <c r="H724" t="s">
        <v>37</v>
      </c>
      <c r="I724" t="s">
        <v>25</v>
      </c>
      <c r="J724" t="s">
        <v>1109</v>
      </c>
      <c r="K724">
        <v>13</v>
      </c>
      <c r="L724">
        <v>8</v>
      </c>
      <c r="M724">
        <v>2025</v>
      </c>
      <c r="N724" t="s">
        <v>27</v>
      </c>
      <c r="O724">
        <v>150</v>
      </c>
      <c r="P724">
        <v>150</v>
      </c>
      <c r="R724" s="3" t="str">
        <f>HYPERLINK("https://panda.att.com.mx/ODKServer/view/binaryData?blobKey=FSSuministroFluidosv3%5B%40version%3Dnull+and+%40uiVersion%3Dnull%5D%2Fdata%5B%40key%3Duuid%3Aefc933b4-26b6-49b9-8afb-3b439717c583%5D%2FgroupInfoFuel%5B%40ordinal%3D1%5D%2FpicFuelRecibeInterno","Descargar")</f>
        <v>Descargar</v>
      </c>
    </row>
    <row r="725" spans="1:18" x14ac:dyDescent="0.3">
      <c r="A725">
        <v>1596128</v>
      </c>
      <c r="B725" t="s">
        <v>18</v>
      </c>
      <c r="C725" t="s">
        <v>19</v>
      </c>
      <c r="D725" t="s">
        <v>45</v>
      </c>
      <c r="E725" t="s">
        <v>752</v>
      </c>
      <c r="F725" t="s">
        <v>22</v>
      </c>
      <c r="G725" t="s">
        <v>23</v>
      </c>
      <c r="H725" t="s">
        <v>24</v>
      </c>
      <c r="I725" t="s">
        <v>25</v>
      </c>
      <c r="J725" t="s">
        <v>1110</v>
      </c>
      <c r="K725">
        <v>6</v>
      </c>
      <c r="L725">
        <v>8</v>
      </c>
      <c r="M725">
        <v>2025</v>
      </c>
      <c r="N725" t="s">
        <v>27</v>
      </c>
      <c r="O725">
        <v>300</v>
      </c>
      <c r="P725">
        <v>300</v>
      </c>
      <c r="R725" s="3" t="str">
        <f>HYPERLINK("https://panda.att.com.mx/ODKServer/view/binaryData?blobKey=FSSuministroFluidosv3%5B%40version%3Dnull+and+%40uiVersion%3Dnull%5D%2Fdata%5B%40key%3Duuid%3A759cdb60-0a9e-469f-bb60-ae417fd876e3%5D%2FgroupInfoFuel%5B%40ordinal%3D1%5D%2FpicFuelRecibeInterno","Descargar")</f>
        <v>Descargar</v>
      </c>
    </row>
    <row r="726" spans="1:18" x14ac:dyDescent="0.3">
      <c r="A726">
        <v>1596111</v>
      </c>
      <c r="B726" t="s">
        <v>18</v>
      </c>
      <c r="C726" t="s">
        <v>100</v>
      </c>
      <c r="D726" t="s">
        <v>716</v>
      </c>
      <c r="E726" t="s">
        <v>1111</v>
      </c>
      <c r="F726" t="s">
        <v>22</v>
      </c>
      <c r="G726" t="s">
        <v>23</v>
      </c>
      <c r="H726" t="s">
        <v>58</v>
      </c>
      <c r="I726" t="s">
        <v>25</v>
      </c>
      <c r="J726" t="s">
        <v>1112</v>
      </c>
      <c r="K726">
        <v>13</v>
      </c>
      <c r="L726">
        <v>8</v>
      </c>
      <c r="M726">
        <v>2025</v>
      </c>
      <c r="N726" t="s">
        <v>27</v>
      </c>
      <c r="O726">
        <v>100</v>
      </c>
      <c r="P726">
        <v>100</v>
      </c>
      <c r="R726" s="3" t="str">
        <f>HYPERLINK("https://panda.att.com.mx/ODKServer/view/binaryData?blobKey=FSSuministroFluidosv3%5B%40version%3Dnull+and+%40uiVersion%3Dnull%5D%2Fdata%5B%40key%3Duuid%3A2251d7af-6a07-4b4a-b29d-d88cba245f3e%5D%2FgroupInfoFuel%5B%40ordinal%3D1%5D%2FpicFuelRecibeInterno","Descargar")</f>
        <v>Descargar</v>
      </c>
    </row>
    <row r="727" spans="1:18" x14ac:dyDescent="0.3">
      <c r="A727">
        <v>1595586</v>
      </c>
      <c r="B727" t="s">
        <v>18</v>
      </c>
      <c r="C727" t="s">
        <v>28</v>
      </c>
      <c r="D727" t="s">
        <v>66</v>
      </c>
      <c r="E727" t="s">
        <v>1033</v>
      </c>
      <c r="F727" t="s">
        <v>22</v>
      </c>
      <c r="G727" t="s">
        <v>23</v>
      </c>
      <c r="H727" t="s">
        <v>24</v>
      </c>
      <c r="I727" t="s">
        <v>25</v>
      </c>
      <c r="J727" t="s">
        <v>1113</v>
      </c>
      <c r="K727">
        <v>12</v>
      </c>
      <c r="L727">
        <v>8</v>
      </c>
      <c r="M727">
        <v>2025</v>
      </c>
      <c r="N727" t="s">
        <v>27</v>
      </c>
      <c r="O727">
        <v>100</v>
      </c>
      <c r="P727">
        <v>100</v>
      </c>
      <c r="R727" s="3" t="str">
        <f>HYPERLINK("https://panda.att.com.mx/ODKServer/view/binaryData?blobKey=FSSuministroFluidosv3%5B%40version%3Dnull+and+%40uiVersion%3Dnull%5D%2Fdata%5B%40key%3Duuid%3Ad502fe66-34b4-4079-8c4d-eaf59d8e77b2%5D%2FgroupInfoFuel%5B%40ordinal%3D1%5D%2FpicFuelRecibeInterno","Descargar")</f>
        <v>Descargar</v>
      </c>
    </row>
    <row r="728" spans="1:18" x14ac:dyDescent="0.3">
      <c r="A728">
        <v>1595485</v>
      </c>
      <c r="B728" t="s">
        <v>18</v>
      </c>
      <c r="C728" t="s">
        <v>28</v>
      </c>
      <c r="D728" t="s">
        <v>66</v>
      </c>
      <c r="E728" t="s">
        <v>485</v>
      </c>
      <c r="F728" t="s">
        <v>22</v>
      </c>
      <c r="G728" t="s">
        <v>23</v>
      </c>
      <c r="H728" t="s">
        <v>24</v>
      </c>
      <c r="I728" t="s">
        <v>25</v>
      </c>
      <c r="J728" t="s">
        <v>1114</v>
      </c>
      <c r="K728">
        <v>12</v>
      </c>
      <c r="L728">
        <v>8</v>
      </c>
      <c r="M728">
        <v>2025</v>
      </c>
      <c r="N728" t="s">
        <v>27</v>
      </c>
      <c r="O728">
        <v>450</v>
      </c>
      <c r="P728">
        <v>450</v>
      </c>
      <c r="R728" s="3" t="str">
        <f>HYPERLINK("https://panda.att.com.mx/ODKServer/view/binaryData?blobKey=FSSuministroFluidosv3%5B%40version%3Dnull+and+%40uiVersion%3Dnull%5D%2Fdata%5B%40key%3Duuid%3Af681e362-d301-4fe0-aefe-0971b5a7135f%5D%2FgroupInfoFuel%5B%40ordinal%3D1%5D%2FpicFuelRecibeInterno","Descargar")</f>
        <v>Descargar</v>
      </c>
    </row>
    <row r="729" spans="1:18" x14ac:dyDescent="0.3">
      <c r="A729">
        <v>1595408</v>
      </c>
      <c r="B729" t="s">
        <v>18</v>
      </c>
      <c r="C729" t="s">
        <v>167</v>
      </c>
      <c r="D729" t="s">
        <v>168</v>
      </c>
      <c r="E729" t="s">
        <v>1115</v>
      </c>
      <c r="F729" t="s">
        <v>22</v>
      </c>
      <c r="G729" t="s">
        <v>23</v>
      </c>
      <c r="H729" t="s">
        <v>58</v>
      </c>
      <c r="I729" t="s">
        <v>25</v>
      </c>
      <c r="J729" t="s">
        <v>1116</v>
      </c>
      <c r="K729">
        <v>12</v>
      </c>
      <c r="L729">
        <v>8</v>
      </c>
      <c r="M729">
        <v>2025</v>
      </c>
      <c r="N729" t="s">
        <v>27</v>
      </c>
      <c r="O729">
        <v>120</v>
      </c>
      <c r="P729">
        <v>120</v>
      </c>
      <c r="R729" s="3" t="str">
        <f>HYPERLINK("https://panda.att.com.mx/ODKServer/view/binaryData?blobKey=FSSuministroFluidosv3%5B%40version%3Dnull+and+%40uiVersion%3Dnull%5D%2Fdata%5B%40key%3Duuid%3A0fdf80b5-7ead-4953-a3b5-d8bd9682708b%5D%2FgroupInfoFuel%5B%40ordinal%3D1%5D%2FpicFuelRecibeInterno","Descargar")</f>
        <v>Descargar</v>
      </c>
    </row>
    <row r="730" spans="1:18" x14ac:dyDescent="0.3">
      <c r="A730">
        <v>1595390</v>
      </c>
      <c r="B730" t="s">
        <v>18</v>
      </c>
      <c r="C730" t="s">
        <v>55</v>
      </c>
      <c r="D730" t="s">
        <v>128</v>
      </c>
      <c r="E730" t="s">
        <v>1117</v>
      </c>
      <c r="F730" t="s">
        <v>22</v>
      </c>
      <c r="G730" t="s">
        <v>23</v>
      </c>
      <c r="H730" t="s">
        <v>58</v>
      </c>
      <c r="I730" t="s">
        <v>25</v>
      </c>
      <c r="J730" t="s">
        <v>1118</v>
      </c>
      <c r="K730">
        <v>12</v>
      </c>
      <c r="L730">
        <v>8</v>
      </c>
      <c r="M730">
        <v>2025</v>
      </c>
      <c r="N730" t="s">
        <v>27</v>
      </c>
      <c r="O730">
        <v>300</v>
      </c>
      <c r="P730">
        <v>300</v>
      </c>
      <c r="R730" s="3" t="str">
        <f>HYPERLINK("https://panda.att.com.mx/ODKServer/view/binaryData?blobKey=FSSuministroFluidosv3%5B%40version%3Dnull+and+%40uiVersion%3Dnull%5D%2Fdata%5B%40key%3Duuid%3A0e0783b3-ae34-42f2-943f-03f56083d657%5D%2FgroupInfoFuel%5B%40ordinal%3D1%5D%2FpicFuelRecibeInterno","Descargar")</f>
        <v>Descargar</v>
      </c>
    </row>
    <row r="731" spans="1:18" x14ac:dyDescent="0.3">
      <c r="A731">
        <v>1595376</v>
      </c>
      <c r="B731" t="s">
        <v>18</v>
      </c>
      <c r="C731" t="s">
        <v>68</v>
      </c>
      <c r="D731" t="s">
        <v>91</v>
      </c>
      <c r="E731" t="s">
        <v>1119</v>
      </c>
      <c r="F731" t="s">
        <v>22</v>
      </c>
      <c r="G731" t="s">
        <v>23</v>
      </c>
      <c r="H731" t="s">
        <v>37</v>
      </c>
      <c r="I731" t="s">
        <v>25</v>
      </c>
      <c r="J731" t="s">
        <v>1120</v>
      </c>
      <c r="K731">
        <v>12</v>
      </c>
      <c r="L731">
        <v>8</v>
      </c>
      <c r="M731">
        <v>2025</v>
      </c>
      <c r="N731" t="s">
        <v>27</v>
      </c>
      <c r="O731">
        <v>300</v>
      </c>
      <c r="P731">
        <v>300</v>
      </c>
      <c r="R731" s="3" t="str">
        <f>HYPERLINK("https://panda.att.com.mx/ODKServer/view/binaryData?blobKey=FSSuministroFluidosv3%5B%40version%3Dnull+and+%40uiVersion%3Dnull%5D%2Fdata%5B%40key%3Duuid%3A10f5207b-59f9-42a8-874d-27a0a06a66e5%5D%2FgroupInfoFuel%5B%40ordinal%3D1%5D%2FpicFuelRecibeInterno","Descargar")</f>
        <v>Descargar</v>
      </c>
    </row>
    <row r="732" spans="1:18" x14ac:dyDescent="0.3">
      <c r="A732">
        <v>1595353</v>
      </c>
      <c r="B732" t="s">
        <v>18</v>
      </c>
      <c r="C732" t="s">
        <v>100</v>
      </c>
      <c r="D732" t="s">
        <v>101</v>
      </c>
      <c r="E732" t="s">
        <v>102</v>
      </c>
      <c r="F732" t="s">
        <v>22</v>
      </c>
      <c r="G732" t="s">
        <v>23</v>
      </c>
      <c r="H732" t="s">
        <v>58</v>
      </c>
      <c r="I732" t="s">
        <v>25</v>
      </c>
      <c r="J732" t="s">
        <v>1121</v>
      </c>
      <c r="K732">
        <v>12</v>
      </c>
      <c r="L732">
        <v>8</v>
      </c>
      <c r="M732">
        <v>2025</v>
      </c>
      <c r="N732" t="s">
        <v>44</v>
      </c>
      <c r="O732">
        <v>60</v>
      </c>
      <c r="P732">
        <v>60</v>
      </c>
      <c r="R732" s="3" t="str">
        <f>HYPERLINK("https://panda.att.com.mx/ODKServer/view/binaryData?blobKey=FSSuministroFluidosv3%5B%40version%3Dnull+and+%40uiVersion%3Dnull%5D%2Fdata%5B%40key%3Duuid%3A7e1d3ed6-4acc-4479-9644-e7883db058c2%5D%2FgroupInfoFuel%5B%40ordinal%3D1%5D%2FpicFuelRecibeInterno","Descargar")</f>
        <v>Descargar</v>
      </c>
    </row>
    <row r="733" spans="1:18" x14ac:dyDescent="0.3">
      <c r="A733">
        <v>1595321</v>
      </c>
      <c r="B733" t="s">
        <v>18</v>
      </c>
      <c r="C733" t="s">
        <v>100</v>
      </c>
      <c r="D733" t="s">
        <v>101</v>
      </c>
      <c r="E733" t="s">
        <v>102</v>
      </c>
      <c r="F733" t="s">
        <v>22</v>
      </c>
      <c r="G733" t="s">
        <v>23</v>
      </c>
      <c r="H733" t="s">
        <v>58</v>
      </c>
      <c r="I733" t="s">
        <v>25</v>
      </c>
      <c r="J733" t="s">
        <v>1122</v>
      </c>
      <c r="K733">
        <v>11</v>
      </c>
      <c r="L733">
        <v>8</v>
      </c>
      <c r="M733">
        <v>2025</v>
      </c>
      <c r="N733" t="s">
        <v>44</v>
      </c>
      <c r="O733">
        <v>60</v>
      </c>
      <c r="P733">
        <v>60</v>
      </c>
      <c r="R733" s="3" t="str">
        <f>HYPERLINK("https://panda.att.com.mx/ODKServer/view/binaryData?blobKey=FSSuministroFluidosv3%5B%40version%3Dnull+and+%40uiVersion%3Dnull%5D%2Fdata%5B%40key%3Duuid%3Aafd3f4b5-b70c-4e48-b74b-560cc91c023b%5D%2FgroupInfoFuel%5B%40ordinal%3D1%5D%2FpicFuelRecibeInterno","Descargar")</f>
        <v>Descargar</v>
      </c>
    </row>
    <row r="734" spans="1:18" x14ac:dyDescent="0.3">
      <c r="A734">
        <v>1595320</v>
      </c>
      <c r="B734" t="s">
        <v>18</v>
      </c>
      <c r="C734" t="s">
        <v>28</v>
      </c>
      <c r="D734" t="s">
        <v>138</v>
      </c>
      <c r="E734" t="s">
        <v>1123</v>
      </c>
      <c r="F734" t="s">
        <v>33</v>
      </c>
      <c r="G734" t="s">
        <v>23</v>
      </c>
      <c r="H734" t="s">
        <v>24</v>
      </c>
      <c r="I734" t="s">
        <v>25</v>
      </c>
      <c r="J734" t="s">
        <v>1124</v>
      </c>
      <c r="K734">
        <v>12</v>
      </c>
      <c r="L734">
        <v>8</v>
      </c>
      <c r="M734">
        <v>2025</v>
      </c>
      <c r="N734" t="s">
        <v>44</v>
      </c>
      <c r="O734">
        <v>60</v>
      </c>
      <c r="P734">
        <v>60</v>
      </c>
      <c r="R734" s="3" t="str">
        <f>HYPERLINK("https://panda.att.com.mx/ODKServer/view/binaryData?blobKey=FSSuministroFluidosv3%5B%40version%3Dnull+and+%40uiVersion%3Dnull%5D%2Fdata%5B%40key%3Duuid%3A6058f43e-e25d-4158-900a-7041d0df54e1%5D%2FgroupInfoFuel%5B%40ordinal%3D1%5D%2FpicFuelRecibeInterno","Descargar")</f>
        <v>Descargar</v>
      </c>
    </row>
    <row r="735" spans="1:18" x14ac:dyDescent="0.3">
      <c r="A735">
        <v>1595167</v>
      </c>
      <c r="B735" t="s">
        <v>18</v>
      </c>
      <c r="C735" t="s">
        <v>100</v>
      </c>
      <c r="D735" t="s">
        <v>101</v>
      </c>
      <c r="E735" t="s">
        <v>126</v>
      </c>
      <c r="F735" t="s">
        <v>22</v>
      </c>
      <c r="G735" t="s">
        <v>83</v>
      </c>
      <c r="H735" t="s">
        <v>58</v>
      </c>
      <c r="I735" t="s">
        <v>25</v>
      </c>
      <c r="J735" t="s">
        <v>1125</v>
      </c>
      <c r="K735">
        <v>12</v>
      </c>
      <c r="L735">
        <v>8</v>
      </c>
      <c r="M735">
        <v>2025</v>
      </c>
      <c r="N735" t="s">
        <v>27</v>
      </c>
      <c r="O735">
        <v>300</v>
      </c>
      <c r="P735">
        <v>300</v>
      </c>
      <c r="R735" s="3" t="str">
        <f>HYPERLINK("https://panda.att.com.mx/ODKServer/view/binaryData?blobKey=FSSuministroFluidosv3%5B%40version%3Dnull+and+%40uiVersion%3Dnull%5D%2Fdata%5B%40key%3Duuid%3A5d4d7345-385c-44a4-94e5-7f9a077d88d0%5D%2FgroupInfoFuel%5B%40ordinal%3D1%5D%2FpicFuelRecibeInterno","Descargar")</f>
        <v>Descargar</v>
      </c>
    </row>
    <row r="736" spans="1:18" x14ac:dyDescent="0.3">
      <c r="A736">
        <v>1595153</v>
      </c>
      <c r="B736" t="s">
        <v>18</v>
      </c>
      <c r="C736" t="s">
        <v>28</v>
      </c>
      <c r="D736" t="s">
        <v>118</v>
      </c>
      <c r="E736" t="s">
        <v>1126</v>
      </c>
      <c r="F736" t="s">
        <v>22</v>
      </c>
      <c r="G736" t="s">
        <v>23</v>
      </c>
      <c r="H736" t="s">
        <v>24</v>
      </c>
      <c r="I736" t="s">
        <v>25</v>
      </c>
      <c r="J736" t="s">
        <v>1127</v>
      </c>
      <c r="K736">
        <v>12</v>
      </c>
      <c r="L736">
        <v>8</v>
      </c>
      <c r="M736">
        <v>2025</v>
      </c>
      <c r="N736" t="s">
        <v>27</v>
      </c>
      <c r="O736">
        <v>100</v>
      </c>
      <c r="P736">
        <v>100</v>
      </c>
      <c r="R736" s="3" t="str">
        <f>HYPERLINK("https://panda.att.com.mx/ODKServer/view/binaryData?blobKey=FSSuministroFluidosv3%5B%40version%3Dnull+and+%40uiVersion%3Dnull%5D%2Fdata%5B%40key%3Duuid%3A69229c8b-8ba8-47f3-9d08-1eb2ac9d2c97%5D%2FgroupInfoFuel%5B%40ordinal%3D1%5D%2FpicFuelRecibeInterno","Descargar")</f>
        <v>Descargar</v>
      </c>
    </row>
    <row r="737" spans="1:18" x14ac:dyDescent="0.3">
      <c r="A737">
        <v>1595084</v>
      </c>
      <c r="B737" t="s">
        <v>18</v>
      </c>
      <c r="C737" t="s">
        <v>68</v>
      </c>
      <c r="D737" t="s">
        <v>69</v>
      </c>
      <c r="E737" t="s">
        <v>1128</v>
      </c>
      <c r="F737" t="s">
        <v>22</v>
      </c>
      <c r="G737" t="s">
        <v>83</v>
      </c>
      <c r="H737" t="s">
        <v>37</v>
      </c>
      <c r="I737" t="s">
        <v>25</v>
      </c>
      <c r="J737" t="s">
        <v>1129</v>
      </c>
      <c r="K737">
        <v>11</v>
      </c>
      <c r="L737">
        <v>8</v>
      </c>
      <c r="M737">
        <v>2025</v>
      </c>
      <c r="N737" t="s">
        <v>27</v>
      </c>
      <c r="O737">
        <v>200</v>
      </c>
      <c r="Q737">
        <v>200</v>
      </c>
      <c r="R737" s="3" t="str">
        <f>HYPERLINK("https://panda.att.com.mx/ODKServer/view/binaryData?blobKey=FSSuministroFluidosv3%5B%40version%3Dnull+and+%40uiVersion%3Dnull%5D%2Fdata%5B%40key%3Duuid%3A66497577-b403-45d3-bab7-0bed49ecdd73%5D%2FgroupInfoFuel%5B%40ordinal%3D1%5D%2FpicFuelRecibeInterno","Descargar")</f>
        <v>Descargar</v>
      </c>
    </row>
    <row r="738" spans="1:18" x14ac:dyDescent="0.3">
      <c r="A738">
        <v>1595083</v>
      </c>
      <c r="B738" t="s">
        <v>18</v>
      </c>
      <c r="C738" t="s">
        <v>68</v>
      </c>
      <c r="D738" t="s">
        <v>116</v>
      </c>
      <c r="E738" t="s">
        <v>1130</v>
      </c>
      <c r="F738" t="s">
        <v>22</v>
      </c>
      <c r="G738" t="s">
        <v>23</v>
      </c>
      <c r="H738" t="s">
        <v>37</v>
      </c>
      <c r="I738" t="s">
        <v>25</v>
      </c>
      <c r="J738" t="s">
        <v>1131</v>
      </c>
      <c r="K738">
        <v>11</v>
      </c>
      <c r="L738">
        <v>8</v>
      </c>
      <c r="M738">
        <v>2025</v>
      </c>
      <c r="N738" t="s">
        <v>27</v>
      </c>
      <c r="O738">
        <v>200</v>
      </c>
      <c r="P738">
        <v>200</v>
      </c>
      <c r="R738" s="3" t="str">
        <f>HYPERLINK("https://panda.att.com.mx/ODKServer/view/binaryData?blobKey=FSSuministroFluidosv3%5B%40version%3Dnull+and+%40uiVersion%3Dnull%5D%2Fdata%5B%40key%3Duuid%3A6a52f0d1-0987-459b-996a-92c3d4e76ddc%5D%2FgroupInfoFuel%5B%40ordinal%3D1%5D%2FpicFuelRecibeInterno","Descargar")</f>
        <v>Descargar</v>
      </c>
    </row>
    <row r="739" spans="1:18" x14ac:dyDescent="0.3">
      <c r="A739">
        <v>1595038</v>
      </c>
      <c r="B739" t="s">
        <v>18</v>
      </c>
      <c r="C739" t="s">
        <v>68</v>
      </c>
      <c r="D739" t="s">
        <v>132</v>
      </c>
      <c r="E739" t="s">
        <v>1002</v>
      </c>
      <c r="F739" t="s">
        <v>22</v>
      </c>
      <c r="G739" t="s">
        <v>23</v>
      </c>
      <c r="H739" t="s">
        <v>37</v>
      </c>
      <c r="I739" t="s">
        <v>25</v>
      </c>
      <c r="J739" t="s">
        <v>1132</v>
      </c>
      <c r="K739">
        <v>12</v>
      </c>
      <c r="L739">
        <v>8</v>
      </c>
      <c r="M739">
        <v>2025</v>
      </c>
      <c r="N739" t="s">
        <v>27</v>
      </c>
      <c r="O739">
        <v>100</v>
      </c>
      <c r="P739">
        <v>100</v>
      </c>
      <c r="R739" s="3" t="str">
        <f>HYPERLINK("https://panda.att.com.mx/ODKServer/view/binaryData?blobKey=FSSuministroFluidosv3%5B%40version%3Dnull+and+%40uiVersion%3Dnull%5D%2Fdata%5B%40key%3Duuid%3Aaf13a082-daa4-4d81-a1a6-d4b8d56b46bb%5D%2FgroupInfoFuel%5B%40ordinal%3D1%5D%2FpicFuelRecibeInterno","Descargar")</f>
        <v>Descargar</v>
      </c>
    </row>
    <row r="740" spans="1:18" x14ac:dyDescent="0.3">
      <c r="A740">
        <v>1595010</v>
      </c>
      <c r="B740" t="s">
        <v>18</v>
      </c>
      <c r="C740" t="s">
        <v>59</v>
      </c>
      <c r="D740" t="s">
        <v>233</v>
      </c>
      <c r="E740" t="s">
        <v>234</v>
      </c>
      <c r="F740" t="s">
        <v>22</v>
      </c>
      <c r="G740" t="s">
        <v>23</v>
      </c>
      <c r="H740" t="s">
        <v>37</v>
      </c>
      <c r="I740" t="s">
        <v>25</v>
      </c>
      <c r="J740" t="s">
        <v>1133</v>
      </c>
      <c r="K740">
        <v>11</v>
      </c>
      <c r="L740">
        <v>8</v>
      </c>
      <c r="M740">
        <v>2025</v>
      </c>
      <c r="N740" t="s">
        <v>27</v>
      </c>
      <c r="O740">
        <v>250</v>
      </c>
      <c r="Q740">
        <v>250</v>
      </c>
      <c r="R740" s="3" t="str">
        <f>HYPERLINK("https://panda.att.com.mx/ODKServer/view/binaryData?blobKey=FSSuministroFluidosv3%5B%40version%3Dnull+and+%40uiVersion%3Dnull%5D%2Fdata%5B%40key%3Duuid%3Afd70a404-1ed1-4d9d-babf-a319232804f9%5D%2FgroupInfoFuel%5B%40ordinal%3D1%5D%2FpicFuelRecibeInterno","Descargar")</f>
        <v>Descargar</v>
      </c>
    </row>
    <row r="741" spans="1:18" x14ac:dyDescent="0.3">
      <c r="A741">
        <v>1594980</v>
      </c>
      <c r="B741" t="s">
        <v>18</v>
      </c>
      <c r="C741" t="s">
        <v>28</v>
      </c>
      <c r="D741" t="s">
        <v>181</v>
      </c>
      <c r="E741" t="s">
        <v>1134</v>
      </c>
      <c r="F741" t="s">
        <v>22</v>
      </c>
      <c r="G741" t="s">
        <v>23</v>
      </c>
      <c r="H741" t="s">
        <v>24</v>
      </c>
      <c r="I741" t="s">
        <v>25</v>
      </c>
      <c r="J741" t="s">
        <v>1135</v>
      </c>
      <c r="K741">
        <v>7</v>
      </c>
      <c r="L741">
        <v>8</v>
      </c>
      <c r="M741">
        <v>2025</v>
      </c>
      <c r="N741" t="s">
        <v>44</v>
      </c>
      <c r="O741">
        <v>50</v>
      </c>
      <c r="P741">
        <v>50</v>
      </c>
      <c r="R741" s="3" t="str">
        <f>HYPERLINK("https://panda.att.com.mx/ODKServer/view/binaryData?blobKey=FSSuministroFluidosv3%5B%40version%3Dnull+and+%40uiVersion%3Dnull%5D%2Fdata%5B%40key%3Duuid%3A02354c07-8b1e-4ae6-a04a-4b02b1d892db%5D%2FgroupInfoFuel%5B%40ordinal%3D1%5D%2FpicFuelRecibeInterno","Descargar")</f>
        <v>Descargar</v>
      </c>
    </row>
    <row r="742" spans="1:18" x14ac:dyDescent="0.3">
      <c r="A742">
        <v>1594979</v>
      </c>
      <c r="B742" t="s">
        <v>18</v>
      </c>
      <c r="C742" t="s">
        <v>19</v>
      </c>
      <c r="D742" t="s">
        <v>109</v>
      </c>
      <c r="E742" t="s">
        <v>1136</v>
      </c>
      <c r="F742" t="s">
        <v>22</v>
      </c>
      <c r="G742" t="s">
        <v>23</v>
      </c>
      <c r="H742" t="s">
        <v>24</v>
      </c>
      <c r="I742" t="s">
        <v>25</v>
      </c>
      <c r="J742" t="s">
        <v>1137</v>
      </c>
      <c r="K742">
        <v>7</v>
      </c>
      <c r="L742">
        <v>8</v>
      </c>
      <c r="M742">
        <v>2025</v>
      </c>
      <c r="N742" t="s">
        <v>44</v>
      </c>
      <c r="O742">
        <v>40</v>
      </c>
      <c r="P742">
        <v>40</v>
      </c>
      <c r="R742" s="3" t="str">
        <f>HYPERLINK("https://panda.att.com.mx/ODKServer/view/binaryData?blobKey=FSSuministroFluidosv3%5B%40version%3Dnull+and+%40uiVersion%3Dnull%5D%2Fdata%5B%40key%3Duuid%3A258d415a-a7e8-4bd3-b6f8-3eb3c11b0856%5D%2FgroupInfoFuel%5B%40ordinal%3D1%5D%2FpicFuelRecibeInterno","Descargar")</f>
        <v>Descargar</v>
      </c>
    </row>
    <row r="743" spans="1:18" x14ac:dyDescent="0.3">
      <c r="A743">
        <v>1594973</v>
      </c>
      <c r="B743" t="s">
        <v>18</v>
      </c>
      <c r="C743" t="s">
        <v>19</v>
      </c>
      <c r="D743" t="s">
        <v>175</v>
      </c>
      <c r="E743" t="s">
        <v>527</v>
      </c>
      <c r="F743" t="s">
        <v>22</v>
      </c>
      <c r="G743" t="s">
        <v>23</v>
      </c>
      <c r="H743" t="s">
        <v>24</v>
      </c>
      <c r="I743" t="s">
        <v>25</v>
      </c>
      <c r="J743" t="s">
        <v>1138</v>
      </c>
      <c r="K743">
        <v>8</v>
      </c>
      <c r="L743">
        <v>8</v>
      </c>
      <c r="M743">
        <v>2025</v>
      </c>
      <c r="N743" t="s">
        <v>27</v>
      </c>
      <c r="O743">
        <v>250</v>
      </c>
      <c r="P743">
        <v>250</v>
      </c>
      <c r="R743" s="3" t="str">
        <f>HYPERLINK("https://panda.att.com.mx/ODKServer/view/binaryData?blobKey=FSSuministroFluidosv3%5B%40version%3Dnull+and+%40uiVersion%3Dnull%5D%2Fdata%5B%40key%3Duuid%3A038adfe5-fb8a-4091-901b-e96d33fa0593%5D%2FgroupInfoFuel%5B%40ordinal%3D1%5D%2FpicFuelRecibeInterno","Descargar")</f>
        <v>Descargar</v>
      </c>
    </row>
    <row r="744" spans="1:18" x14ac:dyDescent="0.3">
      <c r="A744">
        <v>1594972</v>
      </c>
      <c r="B744" t="s">
        <v>18</v>
      </c>
      <c r="C744" t="s">
        <v>19</v>
      </c>
      <c r="D744" t="s">
        <v>62</v>
      </c>
      <c r="E744" t="s">
        <v>1139</v>
      </c>
      <c r="F744" t="s">
        <v>22</v>
      </c>
      <c r="G744" t="s">
        <v>23</v>
      </c>
      <c r="H744" t="s">
        <v>24</v>
      </c>
      <c r="I744" t="s">
        <v>25</v>
      </c>
      <c r="J744" t="s">
        <v>1140</v>
      </c>
      <c r="K744">
        <v>11</v>
      </c>
      <c r="L744">
        <v>8</v>
      </c>
      <c r="M744">
        <v>2025</v>
      </c>
      <c r="N744" t="s">
        <v>27</v>
      </c>
      <c r="O744">
        <v>200</v>
      </c>
      <c r="P744">
        <v>200</v>
      </c>
      <c r="R744" s="3" t="str">
        <f>HYPERLINK("https://panda.att.com.mx/ODKServer/view/binaryData?blobKey=FSSuministroFluidosv3%5B%40version%3Dnull+and+%40uiVersion%3Dnull%5D%2Fdata%5B%40key%3Duuid%3A3f763bd8-de3d-4e8e-bf23-b2f90509ff49%5D%2FgroupInfoFuel%5B%40ordinal%3D1%5D%2FpicFuelRecibeInterno","Descargar")</f>
        <v>Descargar</v>
      </c>
    </row>
    <row r="745" spans="1:18" x14ac:dyDescent="0.3">
      <c r="A745">
        <v>1594966</v>
      </c>
      <c r="B745" t="s">
        <v>18</v>
      </c>
      <c r="C745" t="s">
        <v>28</v>
      </c>
      <c r="D745" t="s">
        <v>66</v>
      </c>
      <c r="E745" t="s">
        <v>1141</v>
      </c>
      <c r="F745" t="s">
        <v>22</v>
      </c>
      <c r="G745" t="s">
        <v>23</v>
      </c>
      <c r="H745" t="s">
        <v>24</v>
      </c>
      <c r="I745" t="s">
        <v>25</v>
      </c>
      <c r="J745" t="s">
        <v>1142</v>
      </c>
      <c r="K745">
        <v>7</v>
      </c>
      <c r="L745">
        <v>8</v>
      </c>
      <c r="M745">
        <v>2025</v>
      </c>
      <c r="N745" t="s">
        <v>27</v>
      </c>
      <c r="O745">
        <v>200</v>
      </c>
      <c r="P745">
        <v>200</v>
      </c>
      <c r="R745" s="3" t="str">
        <f>HYPERLINK("https://panda.att.com.mx/ODKServer/view/binaryData?blobKey=FSSuministroFluidosv3%5B%40version%3Dnull+and+%40uiVersion%3Dnull%5D%2Fdata%5B%40key%3Duuid%3Ab0cb0834-7a64-4440-83a7-0fea11feee7b%5D%2FgroupInfoFuel%5B%40ordinal%3D1%5D%2FpicFuelRecibeInterno","Descargar")</f>
        <v>Descargar</v>
      </c>
    </row>
    <row r="746" spans="1:18" x14ac:dyDescent="0.3">
      <c r="A746">
        <v>1594962</v>
      </c>
      <c r="B746" t="s">
        <v>18</v>
      </c>
      <c r="C746" t="s">
        <v>19</v>
      </c>
      <c r="D746" t="s">
        <v>175</v>
      </c>
      <c r="E746" t="s">
        <v>527</v>
      </c>
      <c r="F746" t="s">
        <v>22</v>
      </c>
      <c r="G746" t="s">
        <v>23</v>
      </c>
      <c r="H746" t="s">
        <v>24</v>
      </c>
      <c r="I746" t="s">
        <v>25</v>
      </c>
      <c r="J746" t="s">
        <v>1143</v>
      </c>
      <c r="K746">
        <v>7</v>
      </c>
      <c r="L746">
        <v>8</v>
      </c>
      <c r="M746">
        <v>2025</v>
      </c>
      <c r="N746" t="s">
        <v>27</v>
      </c>
      <c r="O746">
        <v>90</v>
      </c>
      <c r="P746">
        <v>90</v>
      </c>
      <c r="R746" s="3" t="str">
        <f>HYPERLINK("https://panda.att.com.mx/ODKServer/view/binaryData?blobKey=FSSuministroFluidosv3%5B%40version%3Dnull+and+%40uiVersion%3Dnull%5D%2Fdata%5B%40key%3Duuid%3A2b373335-c2f1-4cca-88d9-02e60b81c8fe%5D%2FgroupInfoFuel%5B%40ordinal%3D1%5D%2FpicFuelRecibeInterno","Descargar")</f>
        <v>Descargar</v>
      </c>
    </row>
    <row r="747" spans="1:18" x14ac:dyDescent="0.3">
      <c r="A747">
        <v>1594944</v>
      </c>
      <c r="B747" t="s">
        <v>18</v>
      </c>
      <c r="C747" t="s">
        <v>150</v>
      </c>
      <c r="D747" t="s">
        <v>230</v>
      </c>
      <c r="E747" t="s">
        <v>1051</v>
      </c>
      <c r="F747" t="s">
        <v>22</v>
      </c>
      <c r="G747" t="s">
        <v>23</v>
      </c>
      <c r="H747" t="s">
        <v>58</v>
      </c>
      <c r="I747" t="s">
        <v>25</v>
      </c>
      <c r="J747" t="s">
        <v>1144</v>
      </c>
      <c r="K747">
        <v>12</v>
      </c>
      <c r="L747">
        <v>8</v>
      </c>
      <c r="M747">
        <v>2025</v>
      </c>
      <c r="N747" t="s">
        <v>27</v>
      </c>
      <c r="O747">
        <v>300</v>
      </c>
      <c r="P747">
        <v>300</v>
      </c>
      <c r="R747" s="3" t="str">
        <f>HYPERLINK("https://panda.att.com.mx/ODKServer/view/binaryData?blobKey=FSSuministroFluidosv3%5B%40version%3Dnull+and+%40uiVersion%3Dnull%5D%2Fdata%5B%40key%3Duuid%3A9f2c6133-56a9-426f-8296-3137c9c2609a%5D%2FgroupInfoFuel%5B%40ordinal%3D1%5D%2FpicFuelRecibeInterno","Descargar")</f>
        <v>Descargar</v>
      </c>
    </row>
    <row r="748" spans="1:18" x14ac:dyDescent="0.3">
      <c r="A748">
        <v>1594938</v>
      </c>
      <c r="B748" t="s">
        <v>18</v>
      </c>
      <c r="C748" t="s">
        <v>55</v>
      </c>
      <c r="D748" t="s">
        <v>56</v>
      </c>
      <c r="E748" t="s">
        <v>77</v>
      </c>
      <c r="F748" t="s">
        <v>22</v>
      </c>
      <c r="G748" t="s">
        <v>23</v>
      </c>
      <c r="H748" t="s">
        <v>58</v>
      </c>
      <c r="I748" t="s">
        <v>25</v>
      </c>
      <c r="J748" t="s">
        <v>1145</v>
      </c>
      <c r="K748">
        <v>11</v>
      </c>
      <c r="L748">
        <v>8</v>
      </c>
      <c r="M748">
        <v>2025</v>
      </c>
      <c r="N748" t="s">
        <v>27</v>
      </c>
      <c r="O748">
        <v>150</v>
      </c>
      <c r="P748">
        <v>150</v>
      </c>
      <c r="R748" s="3" t="str">
        <f>HYPERLINK("https://panda.att.com.mx/ODKServer/view/binaryData?blobKey=FSSuministroFluidosv3%5B%40version%3Dnull+and+%40uiVersion%3Dnull%5D%2Fdata%5B%40key%3Duuid%3Aa6caf0af-b8fe-4900-a488-709b2b874790%5D%2FgroupInfoFuel%5B%40ordinal%3D1%5D%2FpicFuelRecibeInterno","Descargar")</f>
        <v>Descargar</v>
      </c>
    </row>
    <row r="749" spans="1:18" x14ac:dyDescent="0.3">
      <c r="A749">
        <v>1594937</v>
      </c>
      <c r="B749" t="s">
        <v>18</v>
      </c>
      <c r="C749" t="s">
        <v>55</v>
      </c>
      <c r="D749" t="s">
        <v>56</v>
      </c>
      <c r="E749" t="s">
        <v>105</v>
      </c>
      <c r="F749" t="s">
        <v>22</v>
      </c>
      <c r="G749" t="s">
        <v>23</v>
      </c>
      <c r="H749" t="s">
        <v>58</v>
      </c>
      <c r="I749" t="s">
        <v>25</v>
      </c>
      <c r="J749" t="s">
        <v>1146</v>
      </c>
      <c r="K749">
        <v>11</v>
      </c>
      <c r="L749">
        <v>8</v>
      </c>
      <c r="M749">
        <v>2025</v>
      </c>
      <c r="N749" t="s">
        <v>27</v>
      </c>
      <c r="O749">
        <v>300</v>
      </c>
      <c r="P749">
        <v>300</v>
      </c>
      <c r="R749" s="3" t="str">
        <f>HYPERLINK("https://panda.att.com.mx/ODKServer/view/binaryData?blobKey=FSSuministroFluidosv3%5B%40version%3Dnull+and+%40uiVersion%3Dnull%5D%2Fdata%5B%40key%3Duuid%3A1eca9aed-ea69-427d-98ce-424b84961fe3%5D%2FgroupInfoFuel%5B%40ordinal%3D1%5D%2FpicFuelRecibeInterno","Descargar")</f>
        <v>Descargar</v>
      </c>
    </row>
    <row r="750" spans="1:18" x14ac:dyDescent="0.3">
      <c r="A750">
        <v>1594928</v>
      </c>
      <c r="B750" t="s">
        <v>18</v>
      </c>
      <c r="C750" t="s">
        <v>55</v>
      </c>
      <c r="D750" t="s">
        <v>56</v>
      </c>
      <c r="E750" t="s">
        <v>320</v>
      </c>
      <c r="F750" t="s">
        <v>22</v>
      </c>
      <c r="G750" t="s">
        <v>23</v>
      </c>
      <c r="H750" t="s">
        <v>58</v>
      </c>
      <c r="I750" t="s">
        <v>25</v>
      </c>
      <c r="J750" t="s">
        <v>1147</v>
      </c>
      <c r="K750">
        <v>11</v>
      </c>
      <c r="L750">
        <v>8</v>
      </c>
      <c r="M750">
        <v>2025</v>
      </c>
      <c r="N750" t="s">
        <v>27</v>
      </c>
      <c r="O750">
        <v>300</v>
      </c>
      <c r="P750">
        <v>300</v>
      </c>
      <c r="R750" s="3" t="str">
        <f>HYPERLINK("https://panda.att.com.mx/ODKServer/view/binaryData?blobKey=FSSuministroFluidosv3%5B%40version%3Dnull+and+%40uiVersion%3Dnull%5D%2Fdata%5B%40key%3Duuid%3A34c54874-1317-437c-9433-ffb09a07a564%5D%2FgroupInfoFuel%5B%40ordinal%3D1%5D%2FpicFuelRecibeInterno","Descargar")</f>
        <v>Descargar</v>
      </c>
    </row>
    <row r="751" spans="1:18" x14ac:dyDescent="0.3">
      <c r="A751">
        <v>1594923</v>
      </c>
      <c r="B751" t="s">
        <v>18</v>
      </c>
      <c r="C751" t="s">
        <v>55</v>
      </c>
      <c r="D751" t="s">
        <v>56</v>
      </c>
      <c r="E751" t="s">
        <v>848</v>
      </c>
      <c r="F751" t="s">
        <v>22</v>
      </c>
      <c r="G751" t="s">
        <v>23</v>
      </c>
      <c r="H751" t="s">
        <v>58</v>
      </c>
      <c r="I751" t="s">
        <v>25</v>
      </c>
      <c r="J751" t="s">
        <v>1148</v>
      </c>
      <c r="K751">
        <v>11</v>
      </c>
      <c r="L751">
        <v>8</v>
      </c>
      <c r="M751">
        <v>2025</v>
      </c>
      <c r="N751" t="s">
        <v>27</v>
      </c>
      <c r="O751">
        <v>150</v>
      </c>
      <c r="P751">
        <v>150</v>
      </c>
      <c r="R751" s="3" t="str">
        <f>HYPERLINK("https://panda.att.com.mx/ODKServer/view/binaryData?blobKey=FSSuministroFluidosv3%5B%40version%3Dnull+and+%40uiVersion%3Dnull%5D%2Fdata%5B%40key%3Duuid%3Ade7fdfc0-41b1-4f9c-860a-53bb53706e01%5D%2FgroupInfoFuel%5B%40ordinal%3D1%5D%2FpicFuelRecibeInterno","Descargar")</f>
        <v>Descargar</v>
      </c>
    </row>
    <row r="752" spans="1:18" x14ac:dyDescent="0.3">
      <c r="A752">
        <v>1594874</v>
      </c>
      <c r="B752" t="s">
        <v>18</v>
      </c>
      <c r="C752" t="s">
        <v>59</v>
      </c>
      <c r="D752" t="s">
        <v>636</v>
      </c>
      <c r="E752" t="s">
        <v>1149</v>
      </c>
      <c r="F752" t="s">
        <v>22</v>
      </c>
      <c r="G752" t="s">
        <v>47</v>
      </c>
      <c r="H752" t="s">
        <v>37</v>
      </c>
      <c r="I752" t="s">
        <v>25</v>
      </c>
      <c r="J752" t="s">
        <v>1150</v>
      </c>
      <c r="K752">
        <v>11</v>
      </c>
      <c r="L752">
        <v>8</v>
      </c>
      <c r="M752">
        <v>2025</v>
      </c>
      <c r="N752" t="s">
        <v>27</v>
      </c>
      <c r="O752">
        <v>200</v>
      </c>
      <c r="P752">
        <v>200</v>
      </c>
      <c r="R752" s="3" t="str">
        <f>HYPERLINK("https://panda.att.com.mx/ODKServer/view/binaryData?blobKey=FSSuministroFluidosv3%5B%40version%3Dnull+and+%40uiVersion%3Dnull%5D%2Fdata%5B%40key%3Duuid%3A7adfa8a5-3612-49f5-8aaf-4c2f9c0b7c3d%5D%2FgroupInfoFuel%5B%40ordinal%3D1%5D%2FpicFuelRecibeInterno","Descargar")</f>
        <v>Descargar</v>
      </c>
    </row>
    <row r="753" spans="1:18" x14ac:dyDescent="0.3">
      <c r="A753">
        <v>1594829</v>
      </c>
      <c r="B753" t="s">
        <v>18</v>
      </c>
      <c r="C753" t="s">
        <v>59</v>
      </c>
      <c r="D753" t="s">
        <v>60</v>
      </c>
      <c r="E753" t="s">
        <v>1030</v>
      </c>
      <c r="F753" t="s">
        <v>22</v>
      </c>
      <c r="G753" t="s">
        <v>23</v>
      </c>
      <c r="H753" t="s">
        <v>37</v>
      </c>
      <c r="I753" t="s">
        <v>25</v>
      </c>
      <c r="J753" t="s">
        <v>1151</v>
      </c>
      <c r="K753">
        <v>6</v>
      </c>
      <c r="L753">
        <v>8</v>
      </c>
      <c r="M753">
        <v>2025</v>
      </c>
      <c r="N753" t="s">
        <v>27</v>
      </c>
      <c r="O753">
        <v>120</v>
      </c>
      <c r="P753">
        <v>120</v>
      </c>
      <c r="R753" s="3" t="str">
        <f>HYPERLINK("https://panda.att.com.mx/ODKServer/view/binaryData?blobKey=FSSuministroFluidosv3%5B%40version%3Dnull+and+%40uiVersion%3Dnull%5D%2Fdata%5B%40key%3Duuid%3A6bf8d2d9-084e-4cc6-ba35-9005729603c5%5D%2FgroupInfoFuel%5B%40ordinal%3D1%5D%2FpicFuelRecibeInterno","Descargar")</f>
        <v>Descargar</v>
      </c>
    </row>
    <row r="754" spans="1:18" x14ac:dyDescent="0.3">
      <c r="A754">
        <v>1594796</v>
      </c>
      <c r="B754" t="s">
        <v>18</v>
      </c>
      <c r="C754" t="s">
        <v>59</v>
      </c>
      <c r="D754" t="s">
        <v>636</v>
      </c>
      <c r="E754" t="s">
        <v>1152</v>
      </c>
      <c r="F754" t="s">
        <v>22</v>
      </c>
      <c r="G754" t="s">
        <v>47</v>
      </c>
      <c r="H754" t="s">
        <v>37</v>
      </c>
      <c r="I754" t="s">
        <v>25</v>
      </c>
      <c r="J754" t="s">
        <v>1153</v>
      </c>
      <c r="K754">
        <v>11</v>
      </c>
      <c r="L754">
        <v>8</v>
      </c>
      <c r="M754">
        <v>2025</v>
      </c>
      <c r="N754" t="s">
        <v>27</v>
      </c>
      <c r="O754">
        <v>150</v>
      </c>
      <c r="Q754">
        <v>150</v>
      </c>
      <c r="R754" s="3" t="str">
        <f>HYPERLINK("https://panda.att.com.mx/ODKServer/view/binaryData?blobKey=FSSuministroFluidosv3%5B%40version%3Dnull+and+%40uiVersion%3Dnull%5D%2Fdata%5B%40key%3Duuid%3A10d2ae29-45df-4fe6-b007-ceaf9e595942%5D%2FgroupInfoFuel%5B%40ordinal%3D1%5D%2FpicFuelRecibeInterno","Descargar")</f>
        <v>Descargar</v>
      </c>
    </row>
    <row r="755" spans="1:18" x14ac:dyDescent="0.3">
      <c r="A755">
        <v>1594780</v>
      </c>
      <c r="B755" t="s">
        <v>18</v>
      </c>
      <c r="C755" t="s">
        <v>28</v>
      </c>
      <c r="D755" t="s">
        <v>181</v>
      </c>
      <c r="E755" t="s">
        <v>277</v>
      </c>
      <c r="F755" t="s">
        <v>22</v>
      </c>
      <c r="G755" t="s">
        <v>23</v>
      </c>
      <c r="H755" t="s">
        <v>24</v>
      </c>
      <c r="I755" t="s">
        <v>25</v>
      </c>
      <c r="J755" t="s">
        <v>1154</v>
      </c>
      <c r="K755">
        <v>11</v>
      </c>
      <c r="L755">
        <v>8</v>
      </c>
      <c r="M755">
        <v>2025</v>
      </c>
      <c r="N755" t="s">
        <v>44</v>
      </c>
      <c r="O755">
        <v>20</v>
      </c>
      <c r="P755">
        <v>20</v>
      </c>
      <c r="R755" s="3" t="str">
        <f>HYPERLINK("https://panda.att.com.mx/ODKServer/view/binaryData?blobKey=FSSuministroFluidosv3%5B%40version%3Dnull+and+%40uiVersion%3Dnull%5D%2Fdata%5B%40key%3Duuid%3A3b6b3eb1-a3c2-4049-afd6-6945f9dd54c4%5D%2FgroupInfoFuel%5B%40ordinal%3D1%5D%2FpicFuelRecibeInterno","Descargar")</f>
        <v>Descargar</v>
      </c>
    </row>
    <row r="756" spans="1:18" x14ac:dyDescent="0.3">
      <c r="A756">
        <v>1594669</v>
      </c>
      <c r="B756" t="s">
        <v>18</v>
      </c>
      <c r="C756" t="s">
        <v>34</v>
      </c>
      <c r="D756" t="s">
        <v>53</v>
      </c>
      <c r="E756" t="s">
        <v>649</v>
      </c>
      <c r="F756" t="s">
        <v>22</v>
      </c>
      <c r="G756" t="s">
        <v>23</v>
      </c>
      <c r="H756" t="s">
        <v>37</v>
      </c>
      <c r="I756" t="s">
        <v>25</v>
      </c>
      <c r="J756" t="s">
        <v>1155</v>
      </c>
      <c r="K756">
        <v>11</v>
      </c>
      <c r="L756">
        <v>8</v>
      </c>
      <c r="M756">
        <v>2025</v>
      </c>
      <c r="N756" t="s">
        <v>27</v>
      </c>
      <c r="O756">
        <v>200</v>
      </c>
      <c r="P756">
        <v>200</v>
      </c>
      <c r="R756" s="3" t="str">
        <f>HYPERLINK("https://panda.att.com.mx/ODKServer/view/binaryData?blobKey=FSSuministroFluidosv3%5B%40version%3Dnull+and+%40uiVersion%3Dnull%5D%2Fdata%5B%40key%3Duuid%3Ab63cd376-f9c4-45ec-a4ae-1f19499d1fcf%5D%2FgroupInfoFuel%5B%40ordinal%3D1%5D%2FpicFuelRecibeInterno","Descargar")</f>
        <v>Descargar</v>
      </c>
    </row>
    <row r="757" spans="1:18" x14ac:dyDescent="0.3">
      <c r="A757">
        <v>1594510</v>
      </c>
      <c r="B757" t="s">
        <v>18</v>
      </c>
      <c r="C757" t="s">
        <v>150</v>
      </c>
      <c r="D757" t="s">
        <v>230</v>
      </c>
      <c r="E757" t="s">
        <v>1156</v>
      </c>
      <c r="F757" t="s">
        <v>22</v>
      </c>
      <c r="G757" t="s">
        <v>23</v>
      </c>
      <c r="H757" t="s">
        <v>58</v>
      </c>
      <c r="I757" t="s">
        <v>25</v>
      </c>
      <c r="J757" t="s">
        <v>1157</v>
      </c>
      <c r="K757">
        <v>11</v>
      </c>
      <c r="L757">
        <v>8</v>
      </c>
      <c r="M757">
        <v>2025</v>
      </c>
      <c r="N757" t="s">
        <v>27</v>
      </c>
      <c r="O757">
        <v>300</v>
      </c>
      <c r="P757">
        <v>300</v>
      </c>
      <c r="R757" s="3" t="str">
        <f>HYPERLINK("https://panda.att.com.mx/ODKServer/view/binaryData?blobKey=FSSuministroFluidosv3%5B%40version%3Dnull+and+%40uiVersion%3Dnull%5D%2Fdata%5B%40key%3Duuid%3Aa3bc181f-0305-4c32-93e8-b71e52e559f5%5D%2FgroupInfoFuel%5B%40ordinal%3D1%5D%2FpicFuelRecibeInterno","Descargar")</f>
        <v>Descargar</v>
      </c>
    </row>
    <row r="758" spans="1:18" x14ac:dyDescent="0.3">
      <c r="A758">
        <v>1594500</v>
      </c>
      <c r="B758" t="s">
        <v>18</v>
      </c>
      <c r="C758" t="s">
        <v>59</v>
      </c>
      <c r="D758" t="s">
        <v>636</v>
      </c>
      <c r="E758" t="s">
        <v>637</v>
      </c>
      <c r="F758" t="s">
        <v>22</v>
      </c>
      <c r="G758" t="s">
        <v>47</v>
      </c>
      <c r="H758" t="s">
        <v>37</v>
      </c>
      <c r="I758" t="s">
        <v>25</v>
      </c>
      <c r="J758" t="s">
        <v>1158</v>
      </c>
      <c r="K758">
        <v>9</v>
      </c>
      <c r="L758">
        <v>8</v>
      </c>
      <c r="M758">
        <v>2025</v>
      </c>
      <c r="N758" t="s">
        <v>27</v>
      </c>
      <c r="O758">
        <v>250</v>
      </c>
      <c r="P758">
        <v>250</v>
      </c>
      <c r="R758" s="3" t="str">
        <f>HYPERLINK("https://panda.att.com.mx/ODKServer/view/binaryData?blobKey=FSSuministroFluidosv3%5B%40version%3Dnull+and+%40uiVersion%3Dnull%5D%2Fdata%5B%40key%3Duuid%3A54f96e7a-0ea0-4c38-921c-ef51206b01d9%5D%2FgroupInfoFuel%5B%40ordinal%3D1%5D%2FpicFuelRecibeInterno","Descargar")</f>
        <v>Descargar</v>
      </c>
    </row>
    <row r="759" spans="1:18" x14ac:dyDescent="0.3">
      <c r="A759">
        <v>1594491</v>
      </c>
      <c r="B759" t="s">
        <v>18</v>
      </c>
      <c r="C759" t="s">
        <v>100</v>
      </c>
      <c r="D759" t="s">
        <v>716</v>
      </c>
      <c r="E759" t="s">
        <v>717</v>
      </c>
      <c r="F759" t="s">
        <v>22</v>
      </c>
      <c r="G759" t="s">
        <v>83</v>
      </c>
      <c r="H759" t="s">
        <v>58</v>
      </c>
      <c r="I759" t="s">
        <v>25</v>
      </c>
      <c r="J759" t="s">
        <v>1159</v>
      </c>
      <c r="K759">
        <v>11</v>
      </c>
      <c r="L759">
        <v>8</v>
      </c>
      <c r="M759">
        <v>2025</v>
      </c>
      <c r="N759" t="s">
        <v>27</v>
      </c>
      <c r="O759">
        <v>130</v>
      </c>
      <c r="P759">
        <v>130</v>
      </c>
      <c r="R759" s="3" t="str">
        <f>HYPERLINK("https://panda.att.com.mx/ODKServer/view/binaryData?blobKey=FSSuministroFluidosv3%5B%40version%3Dnull+and+%40uiVersion%3Dnull%5D%2Fdata%5B%40key%3Duuid%3Aeaa2da9d-98e8-4e3e-a926-572b6f1736d8%5D%2FgroupInfoFuel%5B%40ordinal%3D1%5D%2FpicFuelRecibeInterno","Descargar")</f>
        <v>Descargar</v>
      </c>
    </row>
    <row r="760" spans="1:18" x14ac:dyDescent="0.3">
      <c r="A760">
        <v>1594490</v>
      </c>
      <c r="B760" t="s">
        <v>18</v>
      </c>
      <c r="C760" t="s">
        <v>100</v>
      </c>
      <c r="D760" t="s">
        <v>716</v>
      </c>
      <c r="E760" t="s">
        <v>989</v>
      </c>
      <c r="F760" t="s">
        <v>22</v>
      </c>
      <c r="G760" t="s">
        <v>23</v>
      </c>
      <c r="H760" t="s">
        <v>58</v>
      </c>
      <c r="I760" t="s">
        <v>25</v>
      </c>
      <c r="J760" t="s">
        <v>1160</v>
      </c>
      <c r="K760">
        <v>9</v>
      </c>
      <c r="L760">
        <v>8</v>
      </c>
      <c r="M760">
        <v>2025</v>
      </c>
      <c r="N760" t="s">
        <v>27</v>
      </c>
      <c r="O760">
        <v>300</v>
      </c>
      <c r="P760">
        <v>300</v>
      </c>
      <c r="R760" s="3" t="str">
        <f>HYPERLINK("https://panda.att.com.mx/ODKServer/view/binaryData?blobKey=FSSuministroFluidosv3%5B%40version%3Dnull+and+%40uiVersion%3Dnull%5D%2Fdata%5B%40key%3Duuid%3Ab21bc9fb-3936-442f-b9a1-e9794ac5daf3%5D%2FgroupInfoFuel%5B%40ordinal%3D1%5D%2FpicFuelRecibeInterno","Descargar")</f>
        <v>Descargar</v>
      </c>
    </row>
    <row r="761" spans="1:18" x14ac:dyDescent="0.3">
      <c r="A761">
        <v>1594322</v>
      </c>
      <c r="B761" t="s">
        <v>18</v>
      </c>
      <c r="C761" t="s">
        <v>68</v>
      </c>
      <c r="D761" t="s">
        <v>91</v>
      </c>
      <c r="E761" t="s">
        <v>828</v>
      </c>
      <c r="F761" t="s">
        <v>22</v>
      </c>
      <c r="G761" t="s">
        <v>83</v>
      </c>
      <c r="H761" t="s">
        <v>37</v>
      </c>
      <c r="I761" t="s">
        <v>25</v>
      </c>
      <c r="J761" t="s">
        <v>1161</v>
      </c>
      <c r="K761">
        <v>11</v>
      </c>
      <c r="L761">
        <v>8</v>
      </c>
      <c r="M761">
        <v>2025</v>
      </c>
      <c r="N761" t="s">
        <v>27</v>
      </c>
      <c r="O761">
        <v>150</v>
      </c>
      <c r="P761">
        <v>150</v>
      </c>
      <c r="R761" s="3" t="str">
        <f>HYPERLINK("https://panda.att.com.mx/ODKServer/view/binaryData?blobKey=FSSuministroFluidosv3%5B%40version%3Dnull+and+%40uiVersion%3Dnull%5D%2Fdata%5B%40key%3Duuid%3Abdf4bab6-33f8-4079-91a2-28b6065b6bc6%5D%2FgroupInfoFuel%5B%40ordinal%3D1%5D%2FpicFuelRecibeInterno","Descargar")</f>
        <v>Descargar</v>
      </c>
    </row>
    <row r="762" spans="1:18" x14ac:dyDescent="0.3">
      <c r="A762">
        <v>1594235</v>
      </c>
      <c r="B762" t="s">
        <v>18</v>
      </c>
      <c r="C762" t="s">
        <v>100</v>
      </c>
      <c r="D762" t="s">
        <v>101</v>
      </c>
      <c r="E762" t="s">
        <v>102</v>
      </c>
      <c r="F762" t="s">
        <v>22</v>
      </c>
      <c r="G762" t="s">
        <v>83</v>
      </c>
      <c r="H762" t="s">
        <v>58</v>
      </c>
      <c r="I762" t="s">
        <v>25</v>
      </c>
      <c r="J762" t="s">
        <v>1162</v>
      </c>
      <c r="K762">
        <v>11</v>
      </c>
      <c r="L762">
        <v>8</v>
      </c>
      <c r="M762">
        <v>2025</v>
      </c>
      <c r="N762" t="s">
        <v>44</v>
      </c>
      <c r="O762">
        <v>60</v>
      </c>
      <c r="P762">
        <v>60</v>
      </c>
      <c r="R762" s="3" t="str">
        <f>HYPERLINK("https://panda.att.com.mx/ODKServer/view/binaryData?blobKey=FSSuministroFluidosv3%5B%40version%3Dnull+and+%40uiVersion%3Dnull%5D%2Fdata%5B%40key%3Duuid%3Af89588dc-2886-4dd2-9050-8a53cbf7b822%5D%2FgroupInfoFuel%5B%40ordinal%3D1%5D%2FpicFuelRecibeInterno","Descargar")</f>
        <v>Descargar</v>
      </c>
    </row>
    <row r="763" spans="1:18" x14ac:dyDescent="0.3">
      <c r="A763">
        <v>1594192</v>
      </c>
      <c r="B763" t="s">
        <v>18</v>
      </c>
      <c r="C763" t="s">
        <v>19</v>
      </c>
      <c r="D763" t="s">
        <v>189</v>
      </c>
      <c r="E763" t="s">
        <v>1163</v>
      </c>
      <c r="F763" t="s">
        <v>22</v>
      </c>
      <c r="G763" t="s">
        <v>23</v>
      </c>
      <c r="H763" t="s">
        <v>24</v>
      </c>
      <c r="I763" t="s">
        <v>25</v>
      </c>
      <c r="J763" s="2">
        <v>45869.457905092589</v>
      </c>
      <c r="K763">
        <v>31</v>
      </c>
      <c r="L763">
        <v>7</v>
      </c>
      <c r="M763">
        <v>2025</v>
      </c>
      <c r="N763" t="s">
        <v>27</v>
      </c>
      <c r="O763">
        <v>200</v>
      </c>
      <c r="P763">
        <v>200</v>
      </c>
      <c r="R763" s="3" t="str">
        <f>HYPERLINK("https://panda.att.com.mx/ODKServer/view/binaryData?blobKey=FSSuministroFluidosv3%5B%40version%3Dnull+and+%40uiVersion%3Dnull%5D%2Fdata%5B%40key%3Duuid%3A3ba05e19-55a6-4868-a40d-7a0168f7d4ac%5D%2FgroupInfoFuel%5B%40ordinal%3D1%5D%2FpicFuelRecibeInterno","Descargar")</f>
        <v>Descargar</v>
      </c>
    </row>
    <row r="764" spans="1:18" x14ac:dyDescent="0.3">
      <c r="A764">
        <v>1594179</v>
      </c>
      <c r="B764" t="s">
        <v>18</v>
      </c>
      <c r="C764" t="s">
        <v>55</v>
      </c>
      <c r="D764" t="s">
        <v>288</v>
      </c>
      <c r="E764" t="s">
        <v>1164</v>
      </c>
      <c r="F764" t="s">
        <v>22</v>
      </c>
      <c r="G764" t="s">
        <v>23</v>
      </c>
      <c r="H764" t="s">
        <v>58</v>
      </c>
      <c r="I764" t="s">
        <v>25</v>
      </c>
      <c r="J764" t="s">
        <v>1165</v>
      </c>
      <c r="K764">
        <v>11</v>
      </c>
      <c r="L764">
        <v>8</v>
      </c>
      <c r="M764">
        <v>2025</v>
      </c>
      <c r="N764" t="s">
        <v>27</v>
      </c>
      <c r="O764">
        <v>100</v>
      </c>
      <c r="P764">
        <v>100</v>
      </c>
      <c r="R764" s="3" t="str">
        <f>HYPERLINK("https://panda.att.com.mx/ODKServer/view/binaryData?blobKey=FSSuministroFluidosv3%5B%40version%3Dnull+and+%40uiVersion%3Dnull%5D%2Fdata%5B%40key%3Duuid%3Aabf1d0de-0170-4160-9e1e-ccf3a4f3af09%5D%2FgroupInfoFuel%5B%40ordinal%3D1%5D%2FpicFuelRecibeInterno","Descargar")</f>
        <v>Descargar</v>
      </c>
    </row>
    <row r="765" spans="1:18" x14ac:dyDescent="0.3">
      <c r="A765">
        <v>1594156</v>
      </c>
      <c r="B765" t="s">
        <v>18</v>
      </c>
      <c r="C765" t="s">
        <v>167</v>
      </c>
      <c r="D765" t="s">
        <v>264</v>
      </c>
      <c r="E765" t="s">
        <v>284</v>
      </c>
      <c r="F765" t="s">
        <v>22</v>
      </c>
      <c r="G765" t="s">
        <v>47</v>
      </c>
      <c r="H765" t="s">
        <v>58</v>
      </c>
      <c r="I765" t="s">
        <v>25</v>
      </c>
      <c r="J765" t="s">
        <v>1166</v>
      </c>
      <c r="K765">
        <v>9</v>
      </c>
      <c r="L765">
        <v>8</v>
      </c>
      <c r="M765">
        <v>2025</v>
      </c>
      <c r="N765" t="s">
        <v>27</v>
      </c>
      <c r="O765">
        <v>300</v>
      </c>
      <c r="P765">
        <v>300</v>
      </c>
      <c r="R765" s="3" t="str">
        <f>HYPERLINK("https://panda.att.com.mx/ODKServer/view/binaryData?blobKey=FSSuministroFluidosv3%5B%40version%3Dnull+and+%40uiVersion%3Dnull%5D%2Fdata%5B%40key%3Duuid%3Ac677c353-a84b-4e04-ab85-403b72050e84%5D%2FgroupInfoFuel%5B%40ordinal%3D1%5D%2FpicFuelRecibeInterno","Descargar")</f>
        <v>Descargar</v>
      </c>
    </row>
    <row r="766" spans="1:18" x14ac:dyDescent="0.3">
      <c r="A766">
        <v>1594099</v>
      </c>
      <c r="B766" t="s">
        <v>18</v>
      </c>
      <c r="C766" t="s">
        <v>28</v>
      </c>
      <c r="D766" t="s">
        <v>315</v>
      </c>
      <c r="E766" t="s">
        <v>1167</v>
      </c>
      <c r="F766" t="s">
        <v>22</v>
      </c>
      <c r="G766" t="s">
        <v>23</v>
      </c>
      <c r="H766" t="s">
        <v>24</v>
      </c>
      <c r="I766" t="s">
        <v>25</v>
      </c>
      <c r="J766" t="s">
        <v>1168</v>
      </c>
      <c r="K766">
        <v>10</v>
      </c>
      <c r="L766">
        <v>8</v>
      </c>
      <c r="M766">
        <v>2025</v>
      </c>
      <c r="N766" t="s">
        <v>44</v>
      </c>
      <c r="O766">
        <v>40</v>
      </c>
      <c r="P766">
        <v>40</v>
      </c>
      <c r="R766" s="3" t="str">
        <f>HYPERLINK("https://panda.att.com.mx/ODKServer/view/binaryData?blobKey=FSSuministroFluidosv3%5B%40version%3Dnull+and+%40uiVersion%3Dnull%5D%2Fdata%5B%40key%3Duuid%3A210ec4a0-535b-4f0a-8715-326930e0c86d%5D%2FgroupInfoFuel%5B%40ordinal%3D1%5D%2FpicFuelRecibeInterno","Descargar")</f>
        <v>Descargar</v>
      </c>
    </row>
    <row r="767" spans="1:18" x14ac:dyDescent="0.3">
      <c r="A767">
        <v>1594093</v>
      </c>
      <c r="B767" t="s">
        <v>18</v>
      </c>
      <c r="C767" t="s">
        <v>55</v>
      </c>
      <c r="D767" t="s">
        <v>288</v>
      </c>
      <c r="E767" t="s">
        <v>1169</v>
      </c>
      <c r="F767" t="s">
        <v>22</v>
      </c>
      <c r="G767" t="s">
        <v>23</v>
      </c>
      <c r="H767" t="s">
        <v>58</v>
      </c>
      <c r="I767" t="s">
        <v>25</v>
      </c>
      <c r="J767" t="s">
        <v>1170</v>
      </c>
      <c r="K767">
        <v>9</v>
      </c>
      <c r="L767">
        <v>8</v>
      </c>
      <c r="M767">
        <v>2025</v>
      </c>
      <c r="N767" t="s">
        <v>27</v>
      </c>
      <c r="O767">
        <v>100</v>
      </c>
      <c r="P767">
        <v>100</v>
      </c>
      <c r="R767" s="3" t="str">
        <f>HYPERLINK("https://panda.att.com.mx/ODKServer/view/binaryData?blobKey=FSSuministroFluidosv3%5B%40version%3Dnull+and+%40uiVersion%3Dnull%5D%2Fdata%5B%40key%3Duuid%3Ad39d24c5-f0af-4cc8-b4b0-31d80a60523a%5D%2FgroupInfoFuel%5B%40ordinal%3D1%5D%2FpicFuelRecibeInterno","Descargar")</f>
        <v>Descargar</v>
      </c>
    </row>
    <row r="768" spans="1:18" x14ac:dyDescent="0.3">
      <c r="A768">
        <v>1594092</v>
      </c>
      <c r="B768" t="s">
        <v>18</v>
      </c>
      <c r="C768" t="s">
        <v>28</v>
      </c>
      <c r="D768" t="s">
        <v>315</v>
      </c>
      <c r="E768" t="s">
        <v>1167</v>
      </c>
      <c r="F768" t="s">
        <v>22</v>
      </c>
      <c r="G768" t="s">
        <v>23</v>
      </c>
      <c r="H768" t="s">
        <v>24</v>
      </c>
      <c r="I768" t="s">
        <v>25</v>
      </c>
      <c r="J768" t="s">
        <v>1171</v>
      </c>
      <c r="K768">
        <v>9</v>
      </c>
      <c r="L768">
        <v>8</v>
      </c>
      <c r="M768">
        <v>2025</v>
      </c>
      <c r="N768" t="s">
        <v>44</v>
      </c>
      <c r="O768">
        <v>20</v>
      </c>
      <c r="P768">
        <v>20</v>
      </c>
      <c r="R768" s="3" t="str">
        <f>HYPERLINK("https://panda.att.com.mx/ODKServer/view/binaryData?blobKey=FSSuministroFluidosv3%5B%40version%3Dnull+and+%40uiVersion%3Dnull%5D%2Fdata%5B%40key%3Duuid%3Ab84730da-b57b-403a-821b-310885174571%5D%2FgroupInfoFuel%5B%40ordinal%3D1%5D%2FpicFuelRecibeInterno","Descargar")</f>
        <v>Descargar</v>
      </c>
    </row>
    <row r="769" spans="1:18" x14ac:dyDescent="0.3">
      <c r="A769">
        <v>1594065</v>
      </c>
      <c r="B769" t="s">
        <v>18</v>
      </c>
      <c r="C769" t="s">
        <v>150</v>
      </c>
      <c r="D769" t="s">
        <v>230</v>
      </c>
      <c r="E769" t="s">
        <v>1172</v>
      </c>
      <c r="F769" t="s">
        <v>22</v>
      </c>
      <c r="G769" t="s">
        <v>23</v>
      </c>
      <c r="H769" t="s">
        <v>58</v>
      </c>
      <c r="I769" t="s">
        <v>25</v>
      </c>
      <c r="J769" t="s">
        <v>1173</v>
      </c>
      <c r="K769">
        <v>11</v>
      </c>
      <c r="L769">
        <v>8</v>
      </c>
      <c r="M769">
        <v>2025</v>
      </c>
      <c r="N769" t="s">
        <v>27</v>
      </c>
      <c r="O769">
        <v>268.89999999999998</v>
      </c>
      <c r="P769">
        <v>268.89999999999998</v>
      </c>
      <c r="R769" s="3" t="str">
        <f>HYPERLINK("https://panda.att.com.mx/ODKServer/view/binaryData?blobKey=FSSuministroFluidosv3%5B%40version%3Dnull+and+%40uiVersion%3Dnull%5D%2Fdata%5B%40key%3Duuid%3A4959fb1a-d363-4863-9aba-66b958febf19%5D%2FgroupInfoFuel%5B%40ordinal%3D1%5D%2FpicFuelRecibeInterno","Descargar")</f>
        <v>Descargar</v>
      </c>
    </row>
    <row r="770" spans="1:18" x14ac:dyDescent="0.3">
      <c r="A770">
        <v>1593999</v>
      </c>
      <c r="B770" t="s">
        <v>18</v>
      </c>
      <c r="C770" t="s">
        <v>59</v>
      </c>
      <c r="D770" t="s">
        <v>233</v>
      </c>
      <c r="E770" t="s">
        <v>1174</v>
      </c>
      <c r="F770" t="s">
        <v>33</v>
      </c>
      <c r="G770" t="s">
        <v>23</v>
      </c>
      <c r="H770" t="s">
        <v>37</v>
      </c>
      <c r="I770" t="s">
        <v>25</v>
      </c>
      <c r="J770" t="s">
        <v>1175</v>
      </c>
      <c r="K770">
        <v>10</v>
      </c>
      <c r="L770">
        <v>8</v>
      </c>
      <c r="M770">
        <v>2025</v>
      </c>
      <c r="N770" t="s">
        <v>27</v>
      </c>
      <c r="O770">
        <v>250</v>
      </c>
      <c r="P770">
        <v>250</v>
      </c>
      <c r="R770" s="3" t="str">
        <f>HYPERLINK("https://panda.att.com.mx/ODKServer/view/binaryData?blobKey=FSSuministroFluidosv3%5B%40version%3Dnull+and+%40uiVersion%3Dnull%5D%2Fdata%5B%40key%3Duuid%3Af0dfff80-c185-4e33-9347-7d9c8c6c334f%5D%2FgroupInfoFuel%5B%40ordinal%3D1%5D%2FpicFuelRecibeInterno","Descargar")</f>
        <v>Descargar</v>
      </c>
    </row>
    <row r="771" spans="1:18" x14ac:dyDescent="0.3">
      <c r="A771">
        <v>1593986</v>
      </c>
      <c r="B771" t="s">
        <v>18</v>
      </c>
      <c r="C771" t="s">
        <v>55</v>
      </c>
      <c r="D771" t="s">
        <v>56</v>
      </c>
      <c r="E771" t="s">
        <v>105</v>
      </c>
      <c r="F771" t="s">
        <v>22</v>
      </c>
      <c r="G771" t="s">
        <v>23</v>
      </c>
      <c r="H771" t="s">
        <v>58</v>
      </c>
      <c r="I771" t="s">
        <v>25</v>
      </c>
      <c r="J771" t="s">
        <v>1176</v>
      </c>
      <c r="K771">
        <v>8</v>
      </c>
      <c r="L771">
        <v>8</v>
      </c>
      <c r="M771">
        <v>2025</v>
      </c>
      <c r="N771" t="s">
        <v>27</v>
      </c>
      <c r="O771">
        <v>300</v>
      </c>
      <c r="P771">
        <v>300</v>
      </c>
      <c r="R771" s="3" t="str">
        <f>HYPERLINK("https://panda.att.com.mx/ODKServer/view/binaryData?blobKey=FSSuministroFluidosv3%5B%40version%3Dnull+and+%40uiVersion%3Dnull%5D%2Fdata%5B%40key%3Duuid%3A40d7d268-a2a1-4a93-80f3-f0b04f89a4dd%5D%2FgroupInfoFuel%5B%40ordinal%3D1%5D%2FpicFuelRecibeInterno","Descargar")</f>
        <v>Descargar</v>
      </c>
    </row>
    <row r="772" spans="1:18" x14ac:dyDescent="0.3">
      <c r="A772">
        <v>1593982</v>
      </c>
      <c r="B772" t="s">
        <v>18</v>
      </c>
      <c r="C772" t="s">
        <v>55</v>
      </c>
      <c r="D772" t="s">
        <v>56</v>
      </c>
      <c r="E772" t="s">
        <v>320</v>
      </c>
      <c r="F772" t="s">
        <v>22</v>
      </c>
      <c r="G772" t="s">
        <v>23</v>
      </c>
      <c r="H772" t="s">
        <v>58</v>
      </c>
      <c r="I772" t="s">
        <v>25</v>
      </c>
      <c r="J772" t="s">
        <v>1177</v>
      </c>
      <c r="K772">
        <v>8</v>
      </c>
      <c r="L772">
        <v>8</v>
      </c>
      <c r="M772">
        <v>2025</v>
      </c>
      <c r="N772" t="s">
        <v>27</v>
      </c>
      <c r="O772">
        <v>300</v>
      </c>
      <c r="P772">
        <v>300</v>
      </c>
      <c r="R772" s="3" t="str">
        <f>HYPERLINK("https://panda.att.com.mx/ODKServer/view/binaryData?blobKey=FSSuministroFluidosv3%5B%40version%3Dnull+and+%40uiVersion%3Dnull%5D%2Fdata%5B%40key%3Duuid%3A84319fcf-7f8e-4ef1-8469-e5b279285524%5D%2FgroupInfoFuel%5B%40ordinal%3D1%5D%2FpicFuelRecibeInterno","Descargar")</f>
        <v>Descargar</v>
      </c>
    </row>
    <row r="773" spans="1:18" x14ac:dyDescent="0.3">
      <c r="A773">
        <v>1593977</v>
      </c>
      <c r="B773" t="s">
        <v>18</v>
      </c>
      <c r="C773" t="s">
        <v>55</v>
      </c>
      <c r="D773" t="s">
        <v>56</v>
      </c>
      <c r="E773" t="s">
        <v>848</v>
      </c>
      <c r="F773" t="s">
        <v>22</v>
      </c>
      <c r="G773" t="s">
        <v>23</v>
      </c>
      <c r="H773" t="s">
        <v>58</v>
      </c>
      <c r="I773" t="s">
        <v>25</v>
      </c>
      <c r="J773" t="s">
        <v>1178</v>
      </c>
      <c r="K773">
        <v>8</v>
      </c>
      <c r="L773">
        <v>8</v>
      </c>
      <c r="M773">
        <v>2025</v>
      </c>
      <c r="N773" t="s">
        <v>27</v>
      </c>
      <c r="O773">
        <v>100</v>
      </c>
      <c r="P773">
        <v>100</v>
      </c>
      <c r="R773" s="3" t="str">
        <f>HYPERLINK("https://panda.att.com.mx/ODKServer/view/binaryData?blobKey=FSSuministroFluidosv3%5B%40version%3Dnull+and+%40uiVersion%3Dnull%5D%2Fdata%5B%40key%3Duuid%3Ab8c13f9f-7598-422c-9d99-bac2da6cba39%5D%2FgroupInfoFuel%5B%40ordinal%3D1%5D%2FpicFuelRecibeInterno","Descargar")</f>
        <v>Descargar</v>
      </c>
    </row>
    <row r="774" spans="1:18" x14ac:dyDescent="0.3">
      <c r="A774">
        <v>1593976</v>
      </c>
      <c r="B774" t="s">
        <v>18</v>
      </c>
      <c r="C774" t="s">
        <v>55</v>
      </c>
      <c r="D774" t="s">
        <v>56</v>
      </c>
      <c r="E774" t="s">
        <v>848</v>
      </c>
      <c r="F774" t="s">
        <v>22</v>
      </c>
      <c r="G774" t="s">
        <v>23</v>
      </c>
      <c r="H774" t="s">
        <v>58</v>
      </c>
      <c r="I774" t="s">
        <v>25</v>
      </c>
      <c r="J774" t="s">
        <v>1179</v>
      </c>
      <c r="K774">
        <v>10</v>
      </c>
      <c r="L774">
        <v>8</v>
      </c>
      <c r="M774">
        <v>2025</v>
      </c>
      <c r="N774" t="s">
        <v>27</v>
      </c>
      <c r="O774">
        <v>100</v>
      </c>
      <c r="P774">
        <v>100</v>
      </c>
      <c r="R774" s="3" t="str">
        <f>HYPERLINK("https://panda.att.com.mx/ODKServer/view/binaryData?blobKey=FSSuministroFluidosv3%5B%40version%3Dnull+and+%40uiVersion%3Dnull%5D%2Fdata%5B%40key%3Duuid%3A7579a011-5953-4bde-8881-b05ca9b507e1%5D%2FgroupInfoFuel%5B%40ordinal%3D1%5D%2FpicFuelRecibeInterno","Descargar")</f>
        <v>Descargar</v>
      </c>
    </row>
    <row r="775" spans="1:18" x14ac:dyDescent="0.3">
      <c r="A775">
        <v>1593889</v>
      </c>
      <c r="B775" t="s">
        <v>18</v>
      </c>
      <c r="C775" t="s">
        <v>100</v>
      </c>
      <c r="D775" t="s">
        <v>101</v>
      </c>
      <c r="E775" t="s">
        <v>102</v>
      </c>
      <c r="F775" t="s">
        <v>22</v>
      </c>
      <c r="G775" t="s">
        <v>83</v>
      </c>
      <c r="H775" t="s">
        <v>58</v>
      </c>
      <c r="I775" t="s">
        <v>25</v>
      </c>
      <c r="J775" t="s">
        <v>1180</v>
      </c>
      <c r="K775">
        <v>10</v>
      </c>
      <c r="L775">
        <v>8</v>
      </c>
      <c r="M775">
        <v>2025</v>
      </c>
      <c r="N775" t="s">
        <v>44</v>
      </c>
      <c r="O775">
        <v>60</v>
      </c>
      <c r="P775">
        <v>60</v>
      </c>
      <c r="R775" s="3" t="str">
        <f>HYPERLINK("https://panda.att.com.mx/ODKServer/view/binaryData?blobKey=FSSuministroFluidosv3%5B%40version%3Dnull+and+%40uiVersion%3Dnull%5D%2Fdata%5B%40key%3Duuid%3A8c2b109f-4378-47e9-bff8-b7f06310c0a9%5D%2FgroupInfoFuel%5B%40ordinal%3D1%5D%2FpicFuelRecibeInterno","Descargar")</f>
        <v>Descargar</v>
      </c>
    </row>
    <row r="776" spans="1:18" x14ac:dyDescent="0.3">
      <c r="A776">
        <v>1593888</v>
      </c>
      <c r="B776" t="s">
        <v>18</v>
      </c>
      <c r="C776" t="s">
        <v>167</v>
      </c>
      <c r="D776" t="s">
        <v>168</v>
      </c>
      <c r="E776" t="s">
        <v>1115</v>
      </c>
      <c r="F776" t="s">
        <v>22</v>
      </c>
      <c r="G776" t="s">
        <v>23</v>
      </c>
      <c r="H776" t="s">
        <v>58</v>
      </c>
      <c r="I776" t="s">
        <v>25</v>
      </c>
      <c r="J776" t="s">
        <v>1181</v>
      </c>
      <c r="K776">
        <v>10</v>
      </c>
      <c r="L776">
        <v>8</v>
      </c>
      <c r="M776">
        <v>2025</v>
      </c>
      <c r="N776" t="s">
        <v>27</v>
      </c>
      <c r="O776">
        <v>120</v>
      </c>
      <c r="P776">
        <v>120</v>
      </c>
      <c r="R776" s="3" t="str">
        <f>HYPERLINK("https://panda.att.com.mx/ODKServer/view/binaryData?blobKey=FSSuministroFluidosv3%5B%40version%3Dnull+and+%40uiVersion%3Dnull%5D%2Fdata%5B%40key%3Duuid%3A2801a728-80fb-4915-9f23-68dcd5879d32%5D%2FgroupInfoFuel%5B%40ordinal%3D1%5D%2FpicFuelRecibeInterno","Descargar")</f>
        <v>Descargar</v>
      </c>
    </row>
    <row r="777" spans="1:18" x14ac:dyDescent="0.3">
      <c r="A777">
        <v>1593867</v>
      </c>
      <c r="B777" t="s">
        <v>18</v>
      </c>
      <c r="C777" t="s">
        <v>100</v>
      </c>
      <c r="D777" t="s">
        <v>101</v>
      </c>
      <c r="E777" t="s">
        <v>102</v>
      </c>
      <c r="F777" t="s">
        <v>22</v>
      </c>
      <c r="G777" t="s">
        <v>83</v>
      </c>
      <c r="H777" t="s">
        <v>58</v>
      </c>
      <c r="I777" t="s">
        <v>25</v>
      </c>
      <c r="J777" t="s">
        <v>1182</v>
      </c>
      <c r="K777">
        <v>9</v>
      </c>
      <c r="L777">
        <v>8</v>
      </c>
      <c r="M777">
        <v>2025</v>
      </c>
      <c r="N777" t="s">
        <v>44</v>
      </c>
      <c r="O777">
        <v>60</v>
      </c>
      <c r="P777">
        <v>60</v>
      </c>
      <c r="R777" s="3" t="str">
        <f>HYPERLINK("https://panda.att.com.mx/ODKServer/view/binaryData?blobKey=FSSuministroFluidosv3%5B%40version%3Dnull+and+%40uiVersion%3Dnull%5D%2Fdata%5B%40key%3Duuid%3A45e6a678-89c4-4ae4-a3cb-b02a1abed442%5D%2FgroupInfoFuel%5B%40ordinal%3D1%5D%2FpicFuelRecibeInterno","Descargar")</f>
        <v>Descargar</v>
      </c>
    </row>
    <row r="778" spans="1:18" x14ac:dyDescent="0.3">
      <c r="A778">
        <v>1593845</v>
      </c>
      <c r="B778" t="s">
        <v>18</v>
      </c>
      <c r="C778" t="s">
        <v>150</v>
      </c>
      <c r="D778" t="s">
        <v>151</v>
      </c>
      <c r="E778" t="s">
        <v>1183</v>
      </c>
      <c r="F778" t="s">
        <v>22</v>
      </c>
      <c r="G778" t="s">
        <v>23</v>
      </c>
      <c r="H778" t="s">
        <v>58</v>
      </c>
      <c r="I778" t="s">
        <v>25</v>
      </c>
      <c r="J778" t="s">
        <v>1184</v>
      </c>
      <c r="K778">
        <v>9</v>
      </c>
      <c r="L778">
        <v>8</v>
      </c>
      <c r="M778">
        <v>2025</v>
      </c>
      <c r="N778" t="s">
        <v>27</v>
      </c>
      <c r="O778">
        <v>100</v>
      </c>
      <c r="P778">
        <v>100</v>
      </c>
      <c r="R778" s="3" t="str">
        <f>HYPERLINK("https://panda.att.com.mx/ODKServer/view/binaryData?blobKey=FSSuministroFluidosv3%5B%40version%3Dnull+and+%40uiVersion%3Dnull%5D%2Fdata%5B%40key%3Duuid%3Af4ffa582-df03-4dc3-9a6c-5b48d181f811%5D%2FgroupInfoFuel%5B%40ordinal%3D1%5D%2FpicFuelRecibeInterno","Descargar")</f>
        <v>Descargar</v>
      </c>
    </row>
    <row r="779" spans="1:18" x14ac:dyDescent="0.3">
      <c r="A779">
        <v>1593844</v>
      </c>
      <c r="B779" t="s">
        <v>18</v>
      </c>
      <c r="C779" t="s">
        <v>150</v>
      </c>
      <c r="D779" t="s">
        <v>151</v>
      </c>
      <c r="E779" t="s">
        <v>1183</v>
      </c>
      <c r="F779" t="s">
        <v>22</v>
      </c>
      <c r="G779" t="s">
        <v>23</v>
      </c>
      <c r="H779" t="s">
        <v>58</v>
      </c>
      <c r="I779" t="s">
        <v>25</v>
      </c>
      <c r="J779" t="s">
        <v>1185</v>
      </c>
      <c r="K779">
        <v>8</v>
      </c>
      <c r="L779">
        <v>8</v>
      </c>
      <c r="M779">
        <v>2025</v>
      </c>
      <c r="N779" t="s">
        <v>27</v>
      </c>
      <c r="O779">
        <v>100</v>
      </c>
      <c r="P779">
        <v>100</v>
      </c>
      <c r="R779" s="3" t="str">
        <f>HYPERLINK("https://panda.att.com.mx/ODKServer/view/binaryData?blobKey=FSSuministroFluidosv3%5B%40version%3Dnull+and+%40uiVersion%3Dnull%5D%2Fdata%5B%40key%3Duuid%3Adb66c62f-4445-4ea6-9be0-2633a33f16a5%5D%2FgroupInfoFuel%5B%40ordinal%3D1%5D%2FpicFuelRecibeInterno","Descargar")</f>
        <v>Descargar</v>
      </c>
    </row>
    <row r="780" spans="1:18" x14ac:dyDescent="0.3">
      <c r="A780">
        <v>1593811</v>
      </c>
      <c r="B780" t="s">
        <v>18</v>
      </c>
      <c r="C780" t="s">
        <v>19</v>
      </c>
      <c r="D780" t="s">
        <v>109</v>
      </c>
      <c r="E780" t="s">
        <v>110</v>
      </c>
      <c r="F780" t="s">
        <v>22</v>
      </c>
      <c r="G780" t="s">
        <v>23</v>
      </c>
      <c r="H780" t="s">
        <v>37</v>
      </c>
      <c r="I780" t="s">
        <v>25</v>
      </c>
      <c r="J780" t="s">
        <v>1186</v>
      </c>
      <c r="K780">
        <v>9</v>
      </c>
      <c r="L780">
        <v>8</v>
      </c>
      <c r="M780">
        <v>2025</v>
      </c>
      <c r="N780" t="s">
        <v>44</v>
      </c>
      <c r="O780">
        <v>40</v>
      </c>
      <c r="P780">
        <v>40</v>
      </c>
      <c r="R780" s="3" t="str">
        <f>HYPERLINK("https://panda.att.com.mx/ODKServer/view/binaryData?blobKey=FSSuministroFluidosv3%5B%40version%3Dnull+and+%40uiVersion%3Dnull%5D%2Fdata%5B%40key%3Duuid%3Ae5eae492-1066-4fcc-a3ea-61efc05c9dfc%5D%2FgroupInfoFuel%5B%40ordinal%3D1%5D%2FpicFuelRecibeInterno","Descargar")</f>
        <v>Descargar</v>
      </c>
    </row>
    <row r="781" spans="1:18" x14ac:dyDescent="0.3">
      <c r="A781">
        <v>1593800</v>
      </c>
      <c r="B781" t="s">
        <v>18</v>
      </c>
      <c r="C781" t="s">
        <v>28</v>
      </c>
      <c r="D781" t="s">
        <v>66</v>
      </c>
      <c r="E781" t="s">
        <v>1187</v>
      </c>
      <c r="F781" t="s">
        <v>22</v>
      </c>
      <c r="G781" t="s">
        <v>23</v>
      </c>
      <c r="H781" t="s">
        <v>24</v>
      </c>
      <c r="I781" t="s">
        <v>25</v>
      </c>
      <c r="J781" t="s">
        <v>1188</v>
      </c>
      <c r="K781">
        <v>9</v>
      </c>
      <c r="L781">
        <v>8</v>
      </c>
      <c r="M781">
        <v>2025</v>
      </c>
      <c r="N781" t="s">
        <v>44</v>
      </c>
      <c r="O781">
        <v>40</v>
      </c>
      <c r="Q781">
        <v>40</v>
      </c>
      <c r="R781" s="3" t="str">
        <f>HYPERLINK("https://panda.att.com.mx/ODKServer/view/binaryData?blobKey=FSSuministroFluidosv3%5B%40version%3Dnull+and+%40uiVersion%3Dnull%5D%2Fdata%5B%40key%3Duuid%3Ab3b9ea80-3430-412f-82e5-7e715001e760%5D%2FgroupInfoFuel%5B%40ordinal%3D1%5D%2FpicFuelRecibeInterno","Descargar")</f>
        <v>Descargar</v>
      </c>
    </row>
    <row r="782" spans="1:18" x14ac:dyDescent="0.3">
      <c r="A782">
        <v>1593773</v>
      </c>
      <c r="B782" t="s">
        <v>18</v>
      </c>
      <c r="C782" t="s">
        <v>28</v>
      </c>
      <c r="D782" t="s">
        <v>1036</v>
      </c>
      <c r="E782" t="s">
        <v>1189</v>
      </c>
      <c r="F782" t="s">
        <v>22</v>
      </c>
      <c r="G782" t="s">
        <v>23</v>
      </c>
      <c r="H782" t="s">
        <v>24</v>
      </c>
      <c r="I782" t="s">
        <v>25</v>
      </c>
      <c r="J782" t="s">
        <v>1190</v>
      </c>
      <c r="K782">
        <v>9</v>
      </c>
      <c r="L782">
        <v>8</v>
      </c>
      <c r="M782">
        <v>2025</v>
      </c>
      <c r="N782" t="s">
        <v>27</v>
      </c>
      <c r="O782">
        <v>160</v>
      </c>
      <c r="Q782">
        <v>160</v>
      </c>
      <c r="R782" s="3" t="str">
        <f>HYPERLINK("https://panda.att.com.mx/ODKServer/view/binaryData?blobKey=FSSuministroFluidosv3%5B%40version%3Dnull+and+%40uiVersion%3Dnull%5D%2Fdata%5B%40key%3Duuid%3A254df3fb-166a-4894-be1e-529a87f4788a%5D%2FgroupInfoFuel%5B%40ordinal%3D1%5D%2FpicFuelRecibeInterno","Descargar")</f>
        <v>Descargar</v>
      </c>
    </row>
    <row r="783" spans="1:18" x14ac:dyDescent="0.3">
      <c r="A783">
        <v>1593766</v>
      </c>
      <c r="B783" t="s">
        <v>18</v>
      </c>
      <c r="C783" t="s">
        <v>34</v>
      </c>
      <c r="D783" t="s">
        <v>53</v>
      </c>
      <c r="E783" t="s">
        <v>649</v>
      </c>
      <c r="F783" t="s">
        <v>22</v>
      </c>
      <c r="G783" t="s">
        <v>23</v>
      </c>
      <c r="H783" t="s">
        <v>37</v>
      </c>
      <c r="I783" t="s">
        <v>25</v>
      </c>
      <c r="J783" t="s">
        <v>1191</v>
      </c>
      <c r="K783">
        <v>9</v>
      </c>
      <c r="L783">
        <v>8</v>
      </c>
      <c r="M783">
        <v>2025</v>
      </c>
      <c r="N783" t="s">
        <v>27</v>
      </c>
      <c r="O783">
        <v>200</v>
      </c>
      <c r="P783">
        <v>200</v>
      </c>
      <c r="R783" s="3" t="str">
        <f>HYPERLINK("https://panda.att.com.mx/ODKServer/view/binaryData?blobKey=FSSuministroFluidosv3%5B%40version%3Dnull+and+%40uiVersion%3Dnull%5D%2Fdata%5B%40key%3Duuid%3Afc31b08d-f201-4df5-9496-1ef1231f9388%5D%2FgroupInfoFuel%5B%40ordinal%3D1%5D%2FpicFuelRecibeInterno","Descargar")</f>
        <v>Descargar</v>
      </c>
    </row>
    <row r="784" spans="1:18" x14ac:dyDescent="0.3">
      <c r="A784">
        <v>1593754</v>
      </c>
      <c r="B784" t="s">
        <v>18</v>
      </c>
      <c r="C784" t="s">
        <v>34</v>
      </c>
      <c r="D784" t="s">
        <v>53</v>
      </c>
      <c r="E784" t="s">
        <v>1192</v>
      </c>
      <c r="F784" t="s">
        <v>22</v>
      </c>
      <c r="G784" t="s">
        <v>23</v>
      </c>
      <c r="H784" t="s">
        <v>37</v>
      </c>
      <c r="I784" t="s">
        <v>25</v>
      </c>
      <c r="J784" t="s">
        <v>1193</v>
      </c>
      <c r="K784">
        <v>6</v>
      </c>
      <c r="L784">
        <v>8</v>
      </c>
      <c r="M784">
        <v>2025</v>
      </c>
      <c r="N784" t="s">
        <v>27</v>
      </c>
      <c r="O784">
        <v>250</v>
      </c>
      <c r="Q784">
        <v>250</v>
      </c>
      <c r="R784" s="3" t="str">
        <f>HYPERLINK("https://panda.att.com.mx/ODKServer/view/binaryData?blobKey=FSSuministroFluidosv3%5B%40version%3Dnull+and+%40uiVersion%3Dnull%5D%2Fdata%5B%40key%3Duuid%3Ad66b2264-5d18-4814-9855-9ffd8e77360b%5D%2FgroupInfoFuel%5B%40ordinal%3D1%5D%2FpicFuelRecibeInterno","Descargar")</f>
        <v>Descargar</v>
      </c>
    </row>
    <row r="785" spans="1:18" x14ac:dyDescent="0.3">
      <c r="A785">
        <v>1593753</v>
      </c>
      <c r="B785" t="s">
        <v>18</v>
      </c>
      <c r="C785" t="s">
        <v>55</v>
      </c>
      <c r="D785" t="s">
        <v>89</v>
      </c>
      <c r="E785" t="s">
        <v>1194</v>
      </c>
      <c r="F785" t="s">
        <v>22</v>
      </c>
      <c r="G785" t="s">
        <v>23</v>
      </c>
      <c r="H785" t="s">
        <v>58</v>
      </c>
      <c r="I785" t="s">
        <v>25</v>
      </c>
      <c r="J785" t="s">
        <v>1195</v>
      </c>
      <c r="K785">
        <v>9</v>
      </c>
      <c r="L785">
        <v>8</v>
      </c>
      <c r="M785">
        <v>2025</v>
      </c>
      <c r="N785" t="s">
        <v>44</v>
      </c>
      <c r="O785">
        <v>50</v>
      </c>
      <c r="P785">
        <v>50</v>
      </c>
      <c r="R785" s="3" t="str">
        <f>HYPERLINK("https://panda.att.com.mx/ODKServer/view/binaryData?blobKey=FSSuministroFluidosv3%5B%40version%3Dnull+and+%40uiVersion%3Dnull%5D%2Fdata%5B%40key%3Duuid%3A9860be95-ddb4-4b09-a8d2-ad85eacc34fc%5D%2FgroupInfoFuel%5B%40ordinal%3D1%5D%2FpicFuelRecibeInterno","Descargar")</f>
        <v>Descargar</v>
      </c>
    </row>
    <row r="786" spans="1:18" x14ac:dyDescent="0.3">
      <c r="A786">
        <v>1593735</v>
      </c>
      <c r="B786" t="s">
        <v>18</v>
      </c>
      <c r="C786" t="s">
        <v>55</v>
      </c>
      <c r="D786" t="s">
        <v>128</v>
      </c>
      <c r="E786" t="s">
        <v>240</v>
      </c>
      <c r="F786" t="s">
        <v>22</v>
      </c>
      <c r="G786" t="s">
        <v>23</v>
      </c>
      <c r="H786" t="s">
        <v>58</v>
      </c>
      <c r="I786" t="s">
        <v>25</v>
      </c>
      <c r="J786" t="s">
        <v>1196</v>
      </c>
      <c r="K786">
        <v>9</v>
      </c>
      <c r="L786">
        <v>8</v>
      </c>
      <c r="M786">
        <v>2025</v>
      </c>
      <c r="N786" t="s">
        <v>44</v>
      </c>
      <c r="O786">
        <v>40</v>
      </c>
      <c r="P786">
        <v>40</v>
      </c>
      <c r="R786" s="3" t="str">
        <f>HYPERLINK("https://panda.att.com.mx/ODKServer/view/binaryData?blobKey=FSSuministroFluidosv3%5B%40version%3Dnull+and+%40uiVersion%3Dnull%5D%2Fdata%5B%40key%3Duuid%3A889625da-0960-4dfc-bee3-12cbe7bfb4d3%5D%2FgroupInfoFuel%5B%40ordinal%3D1%5D%2FpicFuelRecibeInterno","Descargar")</f>
        <v>Descargar</v>
      </c>
    </row>
    <row r="787" spans="1:18" x14ac:dyDescent="0.3">
      <c r="A787">
        <v>1593731</v>
      </c>
      <c r="B787" t="s">
        <v>18</v>
      </c>
      <c r="C787" t="s">
        <v>34</v>
      </c>
      <c r="D787" t="s">
        <v>53</v>
      </c>
      <c r="E787" t="s">
        <v>54</v>
      </c>
      <c r="F787" t="s">
        <v>22</v>
      </c>
      <c r="G787" t="s">
        <v>23</v>
      </c>
      <c r="H787" t="s">
        <v>37</v>
      </c>
      <c r="I787" t="s">
        <v>25</v>
      </c>
      <c r="J787" t="s">
        <v>1197</v>
      </c>
      <c r="K787">
        <v>9</v>
      </c>
      <c r="L787">
        <v>8</v>
      </c>
      <c r="M787">
        <v>2025</v>
      </c>
      <c r="N787" t="s">
        <v>27</v>
      </c>
      <c r="O787">
        <v>300</v>
      </c>
      <c r="Q787">
        <v>300</v>
      </c>
      <c r="R787" s="3" t="str">
        <f>HYPERLINK("https://panda.att.com.mx/ODKServer/view/binaryData?blobKey=FSSuministroFluidosv3%5B%40version%3Dnull+and+%40uiVersion%3Dnull%5D%2Fdata%5B%40key%3Duuid%3A3a07c3f6-8a17-4983-866d-8a1a7531c0e8%5D%2FgroupInfoFuel%5B%40ordinal%3D1%5D%2FpicFuelRecibeInterno","Descargar")</f>
        <v>Descargar</v>
      </c>
    </row>
    <row r="788" spans="1:18" x14ac:dyDescent="0.3">
      <c r="A788">
        <v>1593703</v>
      </c>
      <c r="B788" t="s">
        <v>18</v>
      </c>
      <c r="C788" t="s">
        <v>19</v>
      </c>
      <c r="D788" t="s">
        <v>175</v>
      </c>
      <c r="E788" t="s">
        <v>263</v>
      </c>
      <c r="F788" t="s">
        <v>22</v>
      </c>
      <c r="G788" t="s">
        <v>23</v>
      </c>
      <c r="H788" t="s">
        <v>37</v>
      </c>
      <c r="I788" t="s">
        <v>25</v>
      </c>
      <c r="J788" s="2">
        <v>45867.917858796303</v>
      </c>
      <c r="K788">
        <v>29</v>
      </c>
      <c r="L788">
        <v>7</v>
      </c>
      <c r="M788">
        <v>2025</v>
      </c>
      <c r="N788" t="s">
        <v>44</v>
      </c>
      <c r="O788">
        <v>40</v>
      </c>
      <c r="P788">
        <v>40</v>
      </c>
      <c r="R788" s="3" t="str">
        <f>HYPERLINK("https://panda.att.com.mx/ODKServer/view/binaryData?blobKey=FSSuministroFluidosv3%5B%40version%3Dnull+and+%40uiVersion%3Dnull%5D%2Fdata%5B%40key%3Duuid%3A40314fdd-0a73-4e22-878c-29a27bd6c08a%5D%2FgroupInfoFuel%5B%40ordinal%3D1%5D%2FpicFuelRecibeInterno","Descargar")</f>
        <v>Descargar</v>
      </c>
    </row>
    <row r="789" spans="1:18" x14ac:dyDescent="0.3">
      <c r="A789">
        <v>1593700</v>
      </c>
      <c r="B789" t="s">
        <v>18</v>
      </c>
      <c r="C789" t="s">
        <v>150</v>
      </c>
      <c r="D789" t="s">
        <v>164</v>
      </c>
      <c r="E789" t="s">
        <v>165</v>
      </c>
      <c r="F789" t="s">
        <v>22</v>
      </c>
      <c r="G789" t="s">
        <v>23</v>
      </c>
      <c r="H789" t="s">
        <v>58</v>
      </c>
      <c r="I789" t="s">
        <v>25</v>
      </c>
      <c r="J789" t="s">
        <v>1198</v>
      </c>
      <c r="K789">
        <v>9</v>
      </c>
      <c r="L789">
        <v>8</v>
      </c>
      <c r="M789">
        <v>2025</v>
      </c>
      <c r="N789" t="s">
        <v>27</v>
      </c>
      <c r="O789">
        <v>400</v>
      </c>
      <c r="P789">
        <v>400</v>
      </c>
      <c r="R789" s="3" t="str">
        <f>HYPERLINK("https://panda.att.com.mx/ODKServer/view/binaryData?blobKey=FSSuministroFluidosv3%5B%40version%3Dnull+and+%40uiVersion%3Dnull%5D%2Fdata%5B%40key%3Duuid%3A1124f1df-5de3-4004-ad0a-cf98a7b0f8e5%5D%2FgroupInfoFuel%5B%40ordinal%3D1%5D%2FpicFuelRecibeInterno","Descargar")</f>
        <v>Descargar</v>
      </c>
    </row>
    <row r="790" spans="1:18" x14ac:dyDescent="0.3">
      <c r="A790">
        <v>1593696</v>
      </c>
      <c r="B790" t="s">
        <v>18</v>
      </c>
      <c r="C790" t="s">
        <v>68</v>
      </c>
      <c r="D790" t="s">
        <v>91</v>
      </c>
      <c r="E790" t="s">
        <v>1199</v>
      </c>
      <c r="F790" t="s">
        <v>22</v>
      </c>
      <c r="G790" t="s">
        <v>23</v>
      </c>
      <c r="H790" t="s">
        <v>37</v>
      </c>
      <c r="I790" t="s">
        <v>25</v>
      </c>
      <c r="J790" t="s">
        <v>1200</v>
      </c>
      <c r="K790">
        <v>9</v>
      </c>
      <c r="L790">
        <v>8</v>
      </c>
      <c r="M790">
        <v>2025</v>
      </c>
      <c r="N790" t="s">
        <v>27</v>
      </c>
      <c r="O790">
        <v>150</v>
      </c>
      <c r="P790">
        <v>150</v>
      </c>
      <c r="R790" s="3" t="str">
        <f>HYPERLINK("https://panda.att.com.mx/ODKServer/view/binaryData?blobKey=FSSuministroFluidosv3%5B%40version%3Dnull+and+%40uiVersion%3Dnull%5D%2Fdata%5B%40key%3Duuid%3A8c978e2f-152e-4952-b1b9-b7449dda3bbd%5D%2FgroupInfoFuel%5B%40ordinal%3D1%5D%2FpicFuelRecibeInterno","Descargar")</f>
        <v>Descargar</v>
      </c>
    </row>
    <row r="791" spans="1:18" x14ac:dyDescent="0.3">
      <c r="A791">
        <v>1593673</v>
      </c>
      <c r="B791" t="s">
        <v>18</v>
      </c>
      <c r="C791" t="s">
        <v>28</v>
      </c>
      <c r="D791" t="s">
        <v>1093</v>
      </c>
      <c r="E791" t="s">
        <v>1201</v>
      </c>
      <c r="F791" t="s">
        <v>22</v>
      </c>
      <c r="G791" t="s">
        <v>23</v>
      </c>
      <c r="H791" t="s">
        <v>24</v>
      </c>
      <c r="I791" t="s">
        <v>25</v>
      </c>
      <c r="J791" t="s">
        <v>1202</v>
      </c>
      <c r="K791">
        <v>7</v>
      </c>
      <c r="L791">
        <v>8</v>
      </c>
      <c r="M791">
        <v>2025</v>
      </c>
      <c r="N791" t="s">
        <v>27</v>
      </c>
      <c r="O791">
        <v>400</v>
      </c>
      <c r="P791">
        <v>400</v>
      </c>
      <c r="R791" s="3" t="str">
        <f>HYPERLINK("https://panda.att.com.mx/ODKServer/view/binaryData?blobKey=FSSuministroFluidosv3%5B%40version%3Dnull+and+%40uiVersion%3Dnull%5D%2Fdata%5B%40key%3Duuid%3Acd2ff714-96a9-4684-a0c6-e0f237c21307%5D%2FgroupInfoFuel%5B%40ordinal%3D1%5D%2FpicFuelRecibeInterno","Descargar")</f>
        <v>Descargar</v>
      </c>
    </row>
    <row r="792" spans="1:18" x14ac:dyDescent="0.3">
      <c r="A792">
        <v>1593643</v>
      </c>
      <c r="B792" t="s">
        <v>18</v>
      </c>
      <c r="C792" t="s">
        <v>100</v>
      </c>
      <c r="D792" t="s">
        <v>101</v>
      </c>
      <c r="E792" t="s">
        <v>1203</v>
      </c>
      <c r="F792" t="s">
        <v>22</v>
      </c>
      <c r="G792" t="s">
        <v>23</v>
      </c>
      <c r="H792" t="s">
        <v>58</v>
      </c>
      <c r="I792" t="s">
        <v>25</v>
      </c>
      <c r="J792" t="s">
        <v>1204</v>
      </c>
      <c r="K792">
        <v>9</v>
      </c>
      <c r="L792">
        <v>8</v>
      </c>
      <c r="M792">
        <v>2025</v>
      </c>
      <c r="N792" t="s">
        <v>27</v>
      </c>
      <c r="O792">
        <v>150</v>
      </c>
      <c r="P792">
        <v>150</v>
      </c>
      <c r="R792" s="3" t="str">
        <f>HYPERLINK("https://panda.att.com.mx/ODKServer/view/binaryData?blobKey=FSSuministroFluidosv3%5B%40version%3Dnull+and+%40uiVersion%3Dnull%5D%2Fdata%5B%40key%3Duuid%3A4df0d022-dc7b-47f3-8da8-7e27cf3d277e%5D%2FgroupInfoFuel%5B%40ordinal%3D1%5D%2FpicFuelRecibeInterno","Descargar")</f>
        <v>Descargar</v>
      </c>
    </row>
    <row r="793" spans="1:18" x14ac:dyDescent="0.3">
      <c r="A793">
        <v>1593612</v>
      </c>
      <c r="B793" t="s">
        <v>18</v>
      </c>
      <c r="C793" t="s">
        <v>100</v>
      </c>
      <c r="D793" t="s">
        <v>101</v>
      </c>
      <c r="E793" t="s">
        <v>102</v>
      </c>
      <c r="F793" t="s">
        <v>22</v>
      </c>
      <c r="G793" t="s">
        <v>83</v>
      </c>
      <c r="H793" t="s">
        <v>58</v>
      </c>
      <c r="I793" t="s">
        <v>25</v>
      </c>
      <c r="J793" t="s">
        <v>1205</v>
      </c>
      <c r="K793">
        <v>9</v>
      </c>
      <c r="L793">
        <v>8</v>
      </c>
      <c r="M793">
        <v>2025</v>
      </c>
      <c r="N793" t="s">
        <v>44</v>
      </c>
      <c r="O793">
        <v>60</v>
      </c>
      <c r="P793">
        <v>60</v>
      </c>
      <c r="R793" s="3" t="str">
        <f>HYPERLINK("https://panda.att.com.mx/ODKServer/view/binaryData?blobKey=FSSuministroFluidosv3%5B%40version%3Dnull+and+%40uiVersion%3Dnull%5D%2Fdata%5B%40key%3Duuid%3Af741620c-ed48-494f-bcac-005b255fcc74%5D%2FgroupInfoFuel%5B%40ordinal%3D1%5D%2FpicFuelRecibeInterno","Descargar")</f>
        <v>Descargar</v>
      </c>
    </row>
    <row r="794" spans="1:18" x14ac:dyDescent="0.3">
      <c r="A794">
        <v>1593595</v>
      </c>
      <c r="B794" t="s">
        <v>18</v>
      </c>
      <c r="C794" t="s">
        <v>68</v>
      </c>
      <c r="D794" t="s">
        <v>91</v>
      </c>
      <c r="E794" t="s">
        <v>828</v>
      </c>
      <c r="F794" t="s">
        <v>22</v>
      </c>
      <c r="G794" t="s">
        <v>23</v>
      </c>
      <c r="H794" t="s">
        <v>37</v>
      </c>
      <c r="I794" t="s">
        <v>25</v>
      </c>
      <c r="J794" t="s">
        <v>1206</v>
      </c>
      <c r="K794">
        <v>9</v>
      </c>
      <c r="L794">
        <v>8</v>
      </c>
      <c r="M794">
        <v>2025</v>
      </c>
      <c r="N794" t="s">
        <v>27</v>
      </c>
      <c r="O794">
        <v>150</v>
      </c>
      <c r="P794">
        <v>150</v>
      </c>
      <c r="R794" s="3" t="str">
        <f>HYPERLINK("https://panda.att.com.mx/ODKServer/view/binaryData?blobKey=FSSuministroFluidosv3%5B%40version%3Dnull+and+%40uiVersion%3Dnull%5D%2Fdata%5B%40key%3Duuid%3A869256ef-8ea4-4d31-bb3b-1482646d0b58%5D%2FgroupInfoFuel%5B%40ordinal%3D1%5D%2FpicFuelRecibeInterno","Descargar")</f>
        <v>Descargar</v>
      </c>
    </row>
    <row r="795" spans="1:18" x14ac:dyDescent="0.3">
      <c r="A795">
        <v>1593555</v>
      </c>
      <c r="B795" t="s">
        <v>18</v>
      </c>
      <c r="C795" t="s">
        <v>55</v>
      </c>
      <c r="D795" t="s">
        <v>366</v>
      </c>
      <c r="E795" t="s">
        <v>367</v>
      </c>
      <c r="F795" t="s">
        <v>22</v>
      </c>
      <c r="G795" t="s">
        <v>23</v>
      </c>
      <c r="H795" t="s">
        <v>58</v>
      </c>
      <c r="I795" t="s">
        <v>25</v>
      </c>
      <c r="J795" t="s">
        <v>1207</v>
      </c>
      <c r="K795">
        <v>9</v>
      </c>
      <c r="L795">
        <v>8</v>
      </c>
      <c r="M795">
        <v>2025</v>
      </c>
      <c r="N795" t="s">
        <v>27</v>
      </c>
      <c r="O795">
        <v>185</v>
      </c>
      <c r="P795">
        <v>185</v>
      </c>
      <c r="R795" s="3" t="str">
        <f>HYPERLINK("https://panda.att.com.mx/ODKServer/view/binaryData?blobKey=FSSuministroFluidosv3%5B%40version%3Dnull+and+%40uiVersion%3Dnull%5D%2Fdata%5B%40key%3Duuid%3A30d399f8-d466-49d0-8726-76b995219955%5D%2FgroupInfoFuel%5B%40ordinal%3D1%5D%2FpicFuelRecibeInterno","Descargar")</f>
        <v>Descargar</v>
      </c>
    </row>
    <row r="796" spans="1:18" x14ac:dyDescent="0.3">
      <c r="A796">
        <v>1593545</v>
      </c>
      <c r="B796" t="s">
        <v>18</v>
      </c>
      <c r="C796" t="s">
        <v>19</v>
      </c>
      <c r="D796" t="s">
        <v>45</v>
      </c>
      <c r="E796" t="s">
        <v>622</v>
      </c>
      <c r="F796" t="s">
        <v>22</v>
      </c>
      <c r="G796" t="s">
        <v>23</v>
      </c>
      <c r="H796" t="s">
        <v>24</v>
      </c>
      <c r="I796" t="s">
        <v>25</v>
      </c>
      <c r="J796" t="s">
        <v>1208</v>
      </c>
      <c r="K796">
        <v>4</v>
      </c>
      <c r="L796">
        <v>8</v>
      </c>
      <c r="M796">
        <v>2025</v>
      </c>
      <c r="N796" t="s">
        <v>27</v>
      </c>
      <c r="O796">
        <v>300</v>
      </c>
      <c r="P796">
        <v>300</v>
      </c>
      <c r="R796" s="3" t="str">
        <f>HYPERLINK("https://panda.att.com.mx/ODKServer/view/binaryData?blobKey=FSSuministroFluidosv3%5B%40version%3Dnull+and+%40uiVersion%3Dnull%5D%2Fdata%5B%40key%3Duuid%3A175cf2b1-854d-4c62-813e-df933a27c3c8%5D%2FgroupInfoFuel%5B%40ordinal%3D1%5D%2FpicFuelRecibeInterno","Descargar")</f>
        <v>Descargar</v>
      </c>
    </row>
    <row r="797" spans="1:18" x14ac:dyDescent="0.3">
      <c r="A797">
        <v>1593544</v>
      </c>
      <c r="B797" t="s">
        <v>18</v>
      </c>
      <c r="C797" t="s">
        <v>19</v>
      </c>
      <c r="D797" t="s">
        <v>45</v>
      </c>
      <c r="E797" t="s">
        <v>186</v>
      </c>
      <c r="F797" t="s">
        <v>22</v>
      </c>
      <c r="G797" t="s">
        <v>23</v>
      </c>
      <c r="H797" t="s">
        <v>24</v>
      </c>
      <c r="I797" t="s">
        <v>25</v>
      </c>
      <c r="J797" t="s">
        <v>1209</v>
      </c>
      <c r="K797">
        <v>4</v>
      </c>
      <c r="L797">
        <v>8</v>
      </c>
      <c r="M797">
        <v>2025</v>
      </c>
      <c r="N797" t="s">
        <v>27</v>
      </c>
      <c r="O797">
        <v>200</v>
      </c>
      <c r="P797">
        <v>200</v>
      </c>
      <c r="R797" s="3" t="str">
        <f>HYPERLINK("https://panda.att.com.mx/ODKServer/view/binaryData?blobKey=FSSuministroFluidosv3%5B%40version%3Dnull+and+%40uiVersion%3Dnull%5D%2Fdata%5B%40key%3Duuid%3A6105fd7d-6929-41ca-b4bc-c60c3407a90d%5D%2FgroupInfoFuel%5B%40ordinal%3D1%5D%2FpicFuelRecibeInterno","Descargar")</f>
        <v>Descargar</v>
      </c>
    </row>
    <row r="798" spans="1:18" x14ac:dyDescent="0.3">
      <c r="A798">
        <v>1593538</v>
      </c>
      <c r="B798" t="s">
        <v>18</v>
      </c>
      <c r="C798" t="s">
        <v>100</v>
      </c>
      <c r="D798" t="s">
        <v>716</v>
      </c>
      <c r="E798" t="s">
        <v>717</v>
      </c>
      <c r="F798" t="s">
        <v>22</v>
      </c>
      <c r="G798" t="s">
        <v>83</v>
      </c>
      <c r="H798" t="s">
        <v>58</v>
      </c>
      <c r="I798" t="s">
        <v>25</v>
      </c>
      <c r="J798" t="s">
        <v>1210</v>
      </c>
      <c r="K798">
        <v>9</v>
      </c>
      <c r="L798">
        <v>8</v>
      </c>
      <c r="M798">
        <v>2025</v>
      </c>
      <c r="N798" t="s">
        <v>27</v>
      </c>
      <c r="O798">
        <v>130</v>
      </c>
      <c r="P798">
        <v>130</v>
      </c>
      <c r="R798" s="3" t="str">
        <f>HYPERLINK("https://panda.att.com.mx/ODKServer/view/binaryData?blobKey=FSSuministroFluidosv3%5B%40version%3Dnull+and+%40uiVersion%3Dnull%5D%2Fdata%5B%40key%3Duuid%3A61a17f8c-ee7d-450f-bdcc-4614755f653c%5D%2FgroupInfoFuel%5B%40ordinal%3D1%5D%2FpicFuelRecibeInterno","Descargar")</f>
        <v>Descargar</v>
      </c>
    </row>
    <row r="799" spans="1:18" x14ac:dyDescent="0.3">
      <c r="A799">
        <v>1593536</v>
      </c>
      <c r="B799" t="s">
        <v>18</v>
      </c>
      <c r="C799" t="s">
        <v>55</v>
      </c>
      <c r="D799" t="s">
        <v>64</v>
      </c>
      <c r="E799" t="s">
        <v>1098</v>
      </c>
      <c r="F799" t="s">
        <v>22</v>
      </c>
      <c r="G799" t="s">
        <v>83</v>
      </c>
      <c r="H799" t="s">
        <v>58</v>
      </c>
      <c r="I799" t="s">
        <v>25</v>
      </c>
      <c r="J799" t="s">
        <v>1211</v>
      </c>
      <c r="K799">
        <v>7</v>
      </c>
      <c r="L799">
        <v>8</v>
      </c>
      <c r="M799">
        <v>2025</v>
      </c>
      <c r="N799" t="s">
        <v>27</v>
      </c>
      <c r="O799">
        <v>100</v>
      </c>
      <c r="P799">
        <v>100</v>
      </c>
      <c r="R799" s="3" t="str">
        <f>HYPERLINK("https://panda.att.com.mx/ODKServer/view/binaryData?blobKey=FSSuministroFluidosv3%5B%40version%3Dnull+and+%40uiVersion%3Dnull%5D%2Fdata%5B%40key%3Duuid%3Aff63d074-70ff-419e-a514-80a3e5818615%5D%2FgroupInfoFuel%5B%40ordinal%3D1%5D%2FpicFuelRecibeInterno","Descargar")</f>
        <v>Descargar</v>
      </c>
    </row>
    <row r="800" spans="1:18" x14ac:dyDescent="0.3">
      <c r="A800">
        <v>1593530</v>
      </c>
      <c r="B800" t="s">
        <v>18</v>
      </c>
      <c r="C800" t="s">
        <v>28</v>
      </c>
      <c r="D800" t="s">
        <v>66</v>
      </c>
      <c r="E800" t="s">
        <v>485</v>
      </c>
      <c r="F800" t="s">
        <v>22</v>
      </c>
      <c r="G800" t="s">
        <v>23</v>
      </c>
      <c r="H800" t="s">
        <v>24</v>
      </c>
      <c r="I800" t="s">
        <v>25</v>
      </c>
      <c r="J800" t="s">
        <v>1212</v>
      </c>
      <c r="K800">
        <v>8</v>
      </c>
      <c r="L800">
        <v>8</v>
      </c>
      <c r="M800">
        <v>2025</v>
      </c>
      <c r="N800" t="s">
        <v>27</v>
      </c>
      <c r="O800">
        <v>400</v>
      </c>
      <c r="P800">
        <v>400</v>
      </c>
      <c r="R800" s="3" t="str">
        <f>HYPERLINK("https://panda.att.com.mx/ODKServer/view/binaryData?blobKey=FSSuministroFluidosv3%5B%40version%3Dnull+and+%40uiVersion%3Dnull%5D%2Fdata%5B%40key%3Duuid%3A21a229c1-3812-4f62-a4fd-f76bce91a67c%5D%2FgroupInfoFuel%5B%40ordinal%3D1%5D%2FpicFuelRecibeInterno","Descargar")</f>
        <v>Descargar</v>
      </c>
    </row>
    <row r="801" spans="1:18" x14ac:dyDescent="0.3">
      <c r="A801">
        <v>1593517</v>
      </c>
      <c r="B801" t="s">
        <v>18</v>
      </c>
      <c r="C801" t="s">
        <v>28</v>
      </c>
      <c r="D801" t="s">
        <v>66</v>
      </c>
      <c r="E801" t="s">
        <v>1213</v>
      </c>
      <c r="F801" t="s">
        <v>22</v>
      </c>
      <c r="G801" t="s">
        <v>23</v>
      </c>
      <c r="H801" t="s">
        <v>24</v>
      </c>
      <c r="I801" t="s">
        <v>25</v>
      </c>
      <c r="J801" t="s">
        <v>1214</v>
      </c>
      <c r="K801">
        <v>7</v>
      </c>
      <c r="L801">
        <v>8</v>
      </c>
      <c r="M801">
        <v>2025</v>
      </c>
      <c r="N801" t="s">
        <v>44</v>
      </c>
      <c r="O801">
        <v>40</v>
      </c>
      <c r="P801">
        <v>40</v>
      </c>
      <c r="R801" s="3" t="str">
        <f>HYPERLINK("https://panda.att.com.mx/ODKServer/view/binaryData?blobKey=FSSuministroFluidosv3%5B%40version%3Dnull+and+%40uiVersion%3Dnull%5D%2Fdata%5B%40key%3Duuid%3Aa96035a0-71c9-4cc3-b1f6-bbf23783d4b2%5D%2FgroupInfoFuel%5B%40ordinal%3D1%5D%2FpicFuelRecibeInterno","Descargar")</f>
        <v>Descargar</v>
      </c>
    </row>
    <row r="802" spans="1:18" x14ac:dyDescent="0.3">
      <c r="A802">
        <v>1593464</v>
      </c>
      <c r="B802" t="s">
        <v>18</v>
      </c>
      <c r="C802" t="s">
        <v>55</v>
      </c>
      <c r="D802" t="s">
        <v>56</v>
      </c>
      <c r="E802" t="s">
        <v>848</v>
      </c>
      <c r="F802" t="s">
        <v>22</v>
      </c>
      <c r="G802" t="s">
        <v>23</v>
      </c>
      <c r="H802" t="s">
        <v>58</v>
      </c>
      <c r="I802" t="s">
        <v>25</v>
      </c>
      <c r="J802" t="s">
        <v>1215</v>
      </c>
      <c r="K802">
        <v>7</v>
      </c>
      <c r="L802">
        <v>8</v>
      </c>
      <c r="M802">
        <v>2025</v>
      </c>
      <c r="N802" t="s">
        <v>27</v>
      </c>
      <c r="O802">
        <v>150</v>
      </c>
      <c r="P802">
        <v>150</v>
      </c>
      <c r="R802" s="3" t="str">
        <f>HYPERLINK("https://panda.att.com.mx/ODKServer/view/binaryData?blobKey=FSSuministroFluidosv3%5B%40version%3Dnull+and+%40uiVersion%3Dnull%5D%2Fdata%5B%40key%3Duuid%3A73d80bce-bc93-44e5-a9fa-4a6a86637d6c%5D%2FgroupInfoFuel%5B%40ordinal%3D1%5D%2FpicFuelRecibeInterno","Descargar")</f>
        <v>Descargar</v>
      </c>
    </row>
    <row r="803" spans="1:18" x14ac:dyDescent="0.3">
      <c r="A803">
        <v>1593448</v>
      </c>
      <c r="B803" t="s">
        <v>18</v>
      </c>
      <c r="C803" t="s">
        <v>59</v>
      </c>
      <c r="D803" t="s">
        <v>636</v>
      </c>
      <c r="E803" t="s">
        <v>1216</v>
      </c>
      <c r="F803" t="s">
        <v>22</v>
      </c>
      <c r="G803" t="s">
        <v>47</v>
      </c>
      <c r="H803" t="s">
        <v>37</v>
      </c>
      <c r="I803" t="s">
        <v>25</v>
      </c>
      <c r="J803" t="s">
        <v>1217</v>
      </c>
      <c r="K803">
        <v>8</v>
      </c>
      <c r="L803">
        <v>8</v>
      </c>
      <c r="M803">
        <v>2025</v>
      </c>
      <c r="N803" t="s">
        <v>27</v>
      </c>
      <c r="O803">
        <v>150</v>
      </c>
      <c r="Q803">
        <v>150</v>
      </c>
      <c r="R803" s="3" t="str">
        <f>HYPERLINK("https://panda.att.com.mx/ODKServer/view/binaryData?blobKey=FSSuministroFluidosv3%5B%40version%3Dnull+and+%40uiVersion%3Dnull%5D%2Fdata%5B%40key%3Duuid%3A91a7562c-e642-4005-b120-eee381bd5f43%5D%2FgroupInfoFuel%5B%40ordinal%3D1%5D%2FpicFuelRecibeInterno","Descargar")</f>
        <v>Descargar</v>
      </c>
    </row>
    <row r="804" spans="1:18" x14ac:dyDescent="0.3">
      <c r="A804">
        <v>1593441</v>
      </c>
      <c r="B804" t="s">
        <v>18</v>
      </c>
      <c r="C804" t="s">
        <v>59</v>
      </c>
      <c r="D804" t="s">
        <v>636</v>
      </c>
      <c r="E804" t="s">
        <v>1044</v>
      </c>
      <c r="F804" t="s">
        <v>22</v>
      </c>
      <c r="G804" t="s">
        <v>47</v>
      </c>
      <c r="H804" t="s">
        <v>37</v>
      </c>
      <c r="I804" t="s">
        <v>25</v>
      </c>
      <c r="J804" t="s">
        <v>1218</v>
      </c>
      <c r="K804">
        <v>8</v>
      </c>
      <c r="L804">
        <v>8</v>
      </c>
      <c r="M804">
        <v>2025</v>
      </c>
      <c r="N804" t="s">
        <v>27</v>
      </c>
      <c r="O804">
        <v>350</v>
      </c>
      <c r="P804">
        <v>350</v>
      </c>
      <c r="R804" s="3" t="str">
        <f>HYPERLINK("https://panda.att.com.mx/ODKServer/view/binaryData?blobKey=FSSuministroFluidosv3%5B%40version%3Dnull+and+%40uiVersion%3Dnull%5D%2Fdata%5B%40key%3Duuid%3A33ceecf0-0779-43b4-a7cb-d4388b13f2b2%5D%2FgroupInfoFuel%5B%40ordinal%3D1%5D%2FpicFuelRecibeInterno","Descargar")</f>
        <v>Descargar</v>
      </c>
    </row>
    <row r="805" spans="1:18" x14ac:dyDescent="0.3">
      <c r="A805">
        <v>1593404</v>
      </c>
      <c r="B805" t="s">
        <v>18</v>
      </c>
      <c r="C805" t="s">
        <v>100</v>
      </c>
      <c r="D805" t="s">
        <v>716</v>
      </c>
      <c r="E805" t="s">
        <v>1219</v>
      </c>
      <c r="F805" t="s">
        <v>22</v>
      </c>
      <c r="G805" t="s">
        <v>23</v>
      </c>
      <c r="H805" t="s">
        <v>58</v>
      </c>
      <c r="I805" t="s">
        <v>25</v>
      </c>
      <c r="J805" t="s">
        <v>1220</v>
      </c>
      <c r="K805">
        <v>8</v>
      </c>
      <c r="L805">
        <v>8</v>
      </c>
      <c r="M805">
        <v>2025</v>
      </c>
      <c r="N805" t="s">
        <v>27</v>
      </c>
      <c r="O805">
        <v>94</v>
      </c>
      <c r="P805">
        <v>94</v>
      </c>
      <c r="R805" s="3" t="str">
        <f>HYPERLINK("https://panda.att.com.mx/ODKServer/view/binaryData?blobKey=FSSuministroFluidosv3%5B%40version%3Dnull+and+%40uiVersion%3Dnull%5D%2Fdata%5B%40key%3Duuid%3A07d7d11a-d0b1-4f04-b1d3-5260a75e1183%5D%2FgroupInfoFuel%5B%40ordinal%3D1%5D%2FpicFuelRecibeInterno","Descargar")</f>
        <v>Descargar</v>
      </c>
    </row>
    <row r="806" spans="1:18" x14ac:dyDescent="0.3">
      <c r="A806">
        <v>1593329</v>
      </c>
      <c r="B806" t="s">
        <v>18</v>
      </c>
      <c r="C806" t="s">
        <v>34</v>
      </c>
      <c r="D806" t="s">
        <v>51</v>
      </c>
      <c r="E806" t="s">
        <v>1221</v>
      </c>
      <c r="F806" t="s">
        <v>22</v>
      </c>
      <c r="G806" t="s">
        <v>23</v>
      </c>
      <c r="H806" t="s">
        <v>24</v>
      </c>
      <c r="I806" t="s">
        <v>25</v>
      </c>
      <c r="J806" t="s">
        <v>1222</v>
      </c>
      <c r="K806">
        <v>7</v>
      </c>
      <c r="L806">
        <v>8</v>
      </c>
      <c r="M806">
        <v>2025</v>
      </c>
      <c r="N806" t="s">
        <v>27</v>
      </c>
      <c r="O806">
        <v>400</v>
      </c>
      <c r="Q806">
        <v>400</v>
      </c>
      <c r="R806" s="3" t="str">
        <f>HYPERLINK("https://panda.att.com.mx/ODKServer/view/binaryData?blobKey=FSSuministroFluidosv3%5B%40version%3Dnull+and+%40uiVersion%3Dnull%5D%2Fdata%5B%40key%3Duuid%3A022b129c-c99c-4a6a-98bb-9b4b2d5f84a2%5D%2FgroupInfoFuel%5B%40ordinal%3D1%5D%2FpicFuelRecibeInterno","Descargar")</f>
        <v>Descargar</v>
      </c>
    </row>
    <row r="807" spans="1:18" x14ac:dyDescent="0.3">
      <c r="A807">
        <v>1593325</v>
      </c>
      <c r="B807" t="s">
        <v>18</v>
      </c>
      <c r="C807" t="s">
        <v>167</v>
      </c>
      <c r="D807" t="s">
        <v>168</v>
      </c>
      <c r="E807" t="s">
        <v>169</v>
      </c>
      <c r="F807" t="s">
        <v>22</v>
      </c>
      <c r="G807" t="s">
        <v>83</v>
      </c>
      <c r="H807" t="s">
        <v>58</v>
      </c>
      <c r="I807" t="s">
        <v>25</v>
      </c>
      <c r="J807" t="s">
        <v>1223</v>
      </c>
      <c r="K807">
        <v>8</v>
      </c>
      <c r="L807">
        <v>8</v>
      </c>
      <c r="M807">
        <v>2025</v>
      </c>
      <c r="N807" t="s">
        <v>27</v>
      </c>
      <c r="O807">
        <v>450</v>
      </c>
      <c r="P807">
        <v>450</v>
      </c>
      <c r="R807" s="3" t="str">
        <f>HYPERLINK("https://panda.att.com.mx/ODKServer/view/binaryData?blobKey=FSSuministroFluidosv3%5B%40version%3Dnull+and+%40uiVersion%3Dnull%5D%2Fdata%5B%40key%3Duuid%3A3796ba19-4848-4373-86b3-f8fe9bc515a4%5D%2FgroupInfoFuel%5B%40ordinal%3D1%5D%2FpicFuelRecibeInterno","Descargar")</f>
        <v>Descargar</v>
      </c>
    </row>
    <row r="808" spans="1:18" x14ac:dyDescent="0.3">
      <c r="A808">
        <v>1593287</v>
      </c>
      <c r="B808" t="s">
        <v>18</v>
      </c>
      <c r="C808" t="s">
        <v>19</v>
      </c>
      <c r="D808" t="s">
        <v>45</v>
      </c>
      <c r="E808" t="s">
        <v>374</v>
      </c>
      <c r="F808" t="s">
        <v>22</v>
      </c>
      <c r="G808" t="s">
        <v>23</v>
      </c>
      <c r="H808" t="s">
        <v>24</v>
      </c>
      <c r="I808" t="s">
        <v>25</v>
      </c>
      <c r="J808" t="s">
        <v>1224</v>
      </c>
      <c r="K808">
        <v>7</v>
      </c>
      <c r="L808">
        <v>8</v>
      </c>
      <c r="M808">
        <v>2025</v>
      </c>
      <c r="N808" t="s">
        <v>27</v>
      </c>
      <c r="O808">
        <v>300</v>
      </c>
      <c r="P808">
        <v>300</v>
      </c>
      <c r="R808" s="3" t="str">
        <f>HYPERLINK("https://panda.att.com.mx/ODKServer/view/binaryData?blobKey=FSSuministroFluidosv3%5B%40version%3Dnull+and+%40uiVersion%3Dnull%5D%2Fdata%5B%40key%3Duuid%3A4910636d-abe6-4877-ae3b-2e28791c4150%5D%2FgroupInfoFuel%5B%40ordinal%3D1%5D%2FpicFuelRecibeInterno","Descargar")</f>
        <v>Descargar</v>
      </c>
    </row>
    <row r="809" spans="1:18" x14ac:dyDescent="0.3">
      <c r="A809">
        <v>1593286</v>
      </c>
      <c r="B809" t="s">
        <v>18</v>
      </c>
      <c r="C809" t="s">
        <v>19</v>
      </c>
      <c r="D809" t="s">
        <v>45</v>
      </c>
      <c r="E809" t="s">
        <v>752</v>
      </c>
      <c r="F809" t="s">
        <v>22</v>
      </c>
      <c r="G809" t="s">
        <v>23</v>
      </c>
      <c r="H809" t="s">
        <v>24</v>
      </c>
      <c r="I809" t="s">
        <v>25</v>
      </c>
      <c r="J809" t="s">
        <v>1225</v>
      </c>
      <c r="K809">
        <v>2</v>
      </c>
      <c r="L809">
        <v>8</v>
      </c>
      <c r="M809">
        <v>2025</v>
      </c>
      <c r="N809" t="s">
        <v>27</v>
      </c>
      <c r="O809">
        <v>300</v>
      </c>
      <c r="P809">
        <v>300</v>
      </c>
      <c r="R809" s="3" t="str">
        <f>HYPERLINK("https://panda.att.com.mx/ODKServer/view/binaryData?blobKey=FSSuministroFluidosv3%5B%40version%3Dnull+and+%40uiVersion%3Dnull%5D%2Fdata%5B%40key%3Duuid%3A1b1396a9-fe5b-4dc9-8355-7f8ac924dd46%5D%2FgroupInfoFuel%5B%40ordinal%3D1%5D%2FpicFuelRecibeInterno","Descargar")</f>
        <v>Descargar</v>
      </c>
    </row>
    <row r="810" spans="1:18" x14ac:dyDescent="0.3">
      <c r="A810">
        <v>1593285</v>
      </c>
      <c r="B810" t="s">
        <v>18</v>
      </c>
      <c r="C810" t="s">
        <v>19</v>
      </c>
      <c r="D810" t="s">
        <v>45</v>
      </c>
      <c r="E810" t="s">
        <v>752</v>
      </c>
      <c r="F810" t="s">
        <v>22</v>
      </c>
      <c r="G810" t="s">
        <v>23</v>
      </c>
      <c r="H810" t="s">
        <v>24</v>
      </c>
      <c r="I810" t="s">
        <v>25</v>
      </c>
      <c r="J810" s="2">
        <v>45868.506053240737</v>
      </c>
      <c r="K810">
        <v>30</v>
      </c>
      <c r="L810">
        <v>7</v>
      </c>
      <c r="M810">
        <v>2025</v>
      </c>
      <c r="N810" t="s">
        <v>27</v>
      </c>
      <c r="O810">
        <v>300</v>
      </c>
      <c r="P810">
        <v>300</v>
      </c>
      <c r="R810" s="3" t="str">
        <f>HYPERLINK("https://panda.att.com.mx/ODKServer/view/binaryData?blobKey=FSSuministroFluidosv3%5B%40version%3Dnull+and+%40uiVersion%3Dnull%5D%2Fdata%5B%40key%3Duuid%3Af5514d32-dd69-4d13-89ac-d96bd8489588%5D%2FgroupInfoFuel%5B%40ordinal%3D1%5D%2FpicFuelRecibeInterno","Descargar")</f>
        <v>Descargar</v>
      </c>
    </row>
    <row r="811" spans="1:18" x14ac:dyDescent="0.3">
      <c r="A811">
        <v>1593284</v>
      </c>
      <c r="B811" t="s">
        <v>18</v>
      </c>
      <c r="C811" t="s">
        <v>150</v>
      </c>
      <c r="D811" t="s">
        <v>230</v>
      </c>
      <c r="E811" t="s">
        <v>1156</v>
      </c>
      <c r="F811" t="s">
        <v>22</v>
      </c>
      <c r="G811" t="s">
        <v>23</v>
      </c>
      <c r="H811" t="s">
        <v>58</v>
      </c>
      <c r="I811" t="s">
        <v>25</v>
      </c>
      <c r="J811" t="s">
        <v>1226</v>
      </c>
      <c r="K811">
        <v>8</v>
      </c>
      <c r="L811">
        <v>8</v>
      </c>
      <c r="M811">
        <v>2025</v>
      </c>
      <c r="N811" t="s">
        <v>27</v>
      </c>
      <c r="O811">
        <v>200</v>
      </c>
      <c r="P811">
        <v>200</v>
      </c>
      <c r="R811" s="3" t="str">
        <f>HYPERLINK("https://panda.att.com.mx/ODKServer/view/binaryData?blobKey=FSSuministroFluidosv3%5B%40version%3Dnull+and+%40uiVersion%3Dnull%5D%2Fdata%5B%40key%3Duuid%3A0fe4d7be-c344-4a70-a09c-0ca18ebd7a2e%5D%2FgroupInfoFuel%5B%40ordinal%3D1%5D%2FpicFuelRecibeInterno","Descargar")</f>
        <v>Descargar</v>
      </c>
    </row>
    <row r="812" spans="1:18" x14ac:dyDescent="0.3">
      <c r="A812">
        <v>1593283</v>
      </c>
      <c r="B812" t="s">
        <v>18</v>
      </c>
      <c r="C812" t="s">
        <v>55</v>
      </c>
      <c r="D812" t="s">
        <v>56</v>
      </c>
      <c r="E812" t="s">
        <v>77</v>
      </c>
      <c r="F812" t="s">
        <v>22</v>
      </c>
      <c r="G812" t="s">
        <v>23</v>
      </c>
      <c r="H812" t="s">
        <v>58</v>
      </c>
      <c r="I812" t="s">
        <v>25</v>
      </c>
      <c r="J812" t="s">
        <v>1227</v>
      </c>
      <c r="K812">
        <v>8</v>
      </c>
      <c r="L812">
        <v>8</v>
      </c>
      <c r="M812">
        <v>2025</v>
      </c>
      <c r="N812" t="s">
        <v>27</v>
      </c>
      <c r="O812">
        <v>150</v>
      </c>
      <c r="P812">
        <v>150</v>
      </c>
      <c r="R812" s="3" t="str">
        <f>HYPERLINK("https://panda.att.com.mx/ODKServer/view/binaryData?blobKey=FSSuministroFluidosv3%5B%40version%3Dnull+and+%40uiVersion%3Dnull%5D%2Fdata%5B%40key%3Duuid%3A0b1bb479-6919-4604-994f-da7578368c5a%5D%2FgroupInfoFuel%5B%40ordinal%3D1%5D%2FpicFuelRecibeInterno","Descargar")</f>
        <v>Descargar</v>
      </c>
    </row>
    <row r="813" spans="1:18" x14ac:dyDescent="0.3">
      <c r="A813">
        <v>1593277</v>
      </c>
      <c r="B813" t="s">
        <v>18</v>
      </c>
      <c r="C813" t="s">
        <v>55</v>
      </c>
      <c r="D813" t="s">
        <v>56</v>
      </c>
      <c r="E813" t="s">
        <v>1228</v>
      </c>
      <c r="F813" t="s">
        <v>22</v>
      </c>
      <c r="G813" t="s">
        <v>23</v>
      </c>
      <c r="H813" t="s">
        <v>58</v>
      </c>
      <c r="I813" t="s">
        <v>25</v>
      </c>
      <c r="J813" t="s">
        <v>1229</v>
      </c>
      <c r="K813">
        <v>8</v>
      </c>
      <c r="L813">
        <v>8</v>
      </c>
      <c r="M813">
        <v>2025</v>
      </c>
      <c r="N813" t="s">
        <v>27</v>
      </c>
      <c r="O813">
        <v>300</v>
      </c>
      <c r="P813">
        <v>300</v>
      </c>
      <c r="R813" s="3" t="str">
        <f>HYPERLINK("https://panda.att.com.mx/ODKServer/view/binaryData?blobKey=FSSuministroFluidosv3%5B%40version%3Dnull+and+%40uiVersion%3Dnull%5D%2Fdata%5B%40key%3Duuid%3Aafb4ca11-7634-4e4b-8d74-f3ecd2b68bb7%5D%2FgroupInfoFuel%5B%40ordinal%3D1%5D%2FpicFuelRecibeInterno","Descargar")</f>
        <v>Descargar</v>
      </c>
    </row>
    <row r="814" spans="1:18" x14ac:dyDescent="0.3">
      <c r="A814">
        <v>1593246</v>
      </c>
      <c r="B814" t="s">
        <v>18</v>
      </c>
      <c r="C814" t="s">
        <v>55</v>
      </c>
      <c r="D814" t="s">
        <v>366</v>
      </c>
      <c r="E814" t="s">
        <v>579</v>
      </c>
      <c r="F814" t="s">
        <v>22</v>
      </c>
      <c r="G814" t="s">
        <v>23</v>
      </c>
      <c r="H814" t="s">
        <v>58</v>
      </c>
      <c r="I814" t="s">
        <v>25</v>
      </c>
      <c r="J814" t="s">
        <v>1230</v>
      </c>
      <c r="K814">
        <v>8</v>
      </c>
      <c r="L814">
        <v>8</v>
      </c>
      <c r="M814">
        <v>2025</v>
      </c>
      <c r="N814" t="s">
        <v>27</v>
      </c>
      <c r="O814">
        <v>150.05000000000001</v>
      </c>
      <c r="P814">
        <v>150.05000000000001</v>
      </c>
      <c r="R814" s="3" t="str">
        <f>HYPERLINK("https://panda.att.com.mx/ODKServer/view/binaryData?blobKey=FSSuministroFluidosv3%5B%40version%3Dnull+and+%40uiVersion%3Dnull%5D%2Fdata%5B%40key%3Duuid%3A8fb3d742-1627-49ef-ab6d-e3411af557a3%5D%2FgroupInfoFuel%5B%40ordinal%3D1%5D%2FpicFuelRecibeInterno","Descargar")</f>
        <v>Descargar</v>
      </c>
    </row>
    <row r="815" spans="1:18" x14ac:dyDescent="0.3">
      <c r="A815">
        <v>1593245</v>
      </c>
      <c r="B815" t="s">
        <v>18</v>
      </c>
      <c r="C815" t="s">
        <v>28</v>
      </c>
      <c r="D815" t="s">
        <v>118</v>
      </c>
      <c r="E815" t="s">
        <v>1231</v>
      </c>
      <c r="F815" t="s">
        <v>22</v>
      </c>
      <c r="G815" t="s">
        <v>23</v>
      </c>
      <c r="H815" t="s">
        <v>24</v>
      </c>
      <c r="I815" t="s">
        <v>25</v>
      </c>
      <c r="J815" t="s">
        <v>1232</v>
      </c>
      <c r="K815">
        <v>8</v>
      </c>
      <c r="L815">
        <v>8</v>
      </c>
      <c r="M815">
        <v>2025</v>
      </c>
      <c r="N815" t="s">
        <v>27</v>
      </c>
      <c r="O815">
        <v>350</v>
      </c>
      <c r="P815">
        <v>350</v>
      </c>
      <c r="R815" s="3" t="str">
        <f>HYPERLINK("https://panda.att.com.mx/ODKServer/view/binaryData?blobKey=FSSuministroFluidosv3%5B%40version%3Dnull+and+%40uiVersion%3Dnull%5D%2Fdata%5B%40key%3Duuid%3A7bc68516-5aa7-4efa-9349-6e8640ab17f4%5D%2FgroupInfoFuel%5B%40ordinal%3D1%5D%2FpicFuelRecibeInterno","Descargar")</f>
        <v>Descargar</v>
      </c>
    </row>
    <row r="816" spans="1:18" x14ac:dyDescent="0.3">
      <c r="A816">
        <v>1593238</v>
      </c>
      <c r="B816" t="s">
        <v>18</v>
      </c>
      <c r="C816" t="s">
        <v>55</v>
      </c>
      <c r="D816" t="s">
        <v>107</v>
      </c>
      <c r="E816" t="s">
        <v>108</v>
      </c>
      <c r="F816" t="s">
        <v>22</v>
      </c>
      <c r="G816" t="s">
        <v>23</v>
      </c>
      <c r="H816" t="s">
        <v>58</v>
      </c>
      <c r="I816" t="s">
        <v>25</v>
      </c>
      <c r="J816" t="s">
        <v>1233</v>
      </c>
      <c r="K816">
        <v>7</v>
      </c>
      <c r="L816">
        <v>8</v>
      </c>
      <c r="M816">
        <v>2025</v>
      </c>
      <c r="N816" t="s">
        <v>27</v>
      </c>
      <c r="O816">
        <v>200</v>
      </c>
      <c r="P816">
        <v>200</v>
      </c>
      <c r="R816" s="3" t="str">
        <f>HYPERLINK("https://panda.att.com.mx/ODKServer/view/binaryData?blobKey=FSSuministroFluidosv3%5B%40version%3Dnull+and+%40uiVersion%3Dnull%5D%2Fdata%5B%40key%3Duuid%3A960368a5-1747-4ca2-8499-cdeba23686aa%5D%2FgroupInfoFuel%5B%40ordinal%3D1%5D%2FpicFuelRecibeInterno","Descargar")</f>
        <v>Descargar</v>
      </c>
    </row>
    <row r="817" spans="1:18" x14ac:dyDescent="0.3">
      <c r="A817">
        <v>1593228</v>
      </c>
      <c r="B817" t="s">
        <v>18</v>
      </c>
      <c r="C817" t="s">
        <v>55</v>
      </c>
      <c r="D817" t="s">
        <v>56</v>
      </c>
      <c r="E817" t="s">
        <v>105</v>
      </c>
      <c r="F817" t="s">
        <v>22</v>
      </c>
      <c r="G817" t="s">
        <v>23</v>
      </c>
      <c r="H817" t="s">
        <v>58</v>
      </c>
      <c r="I817" t="s">
        <v>25</v>
      </c>
      <c r="J817" t="s">
        <v>1234</v>
      </c>
      <c r="K817">
        <v>4</v>
      </c>
      <c r="L817">
        <v>8</v>
      </c>
      <c r="M817">
        <v>2025</v>
      </c>
      <c r="N817" t="s">
        <v>27</v>
      </c>
      <c r="O817">
        <v>300</v>
      </c>
      <c r="P817">
        <v>300</v>
      </c>
      <c r="R817" s="3" t="str">
        <f>HYPERLINK("https://panda.att.com.mx/ODKServer/view/binaryData?blobKey=FSSuministroFluidosv3%5B%40version%3Dnull+and+%40uiVersion%3Dnull%5D%2Fdata%5B%40key%3Duuid%3Af2c13fd5-1e4f-4f77-8076-58816f52bd70%5D%2FgroupInfoFuel%5B%40ordinal%3D1%5D%2FpicFuelRecibeInterno","Descargar")</f>
        <v>Descargar</v>
      </c>
    </row>
    <row r="818" spans="1:18" x14ac:dyDescent="0.3">
      <c r="A818">
        <v>1593227</v>
      </c>
      <c r="B818" t="s">
        <v>18</v>
      </c>
      <c r="C818" t="s">
        <v>55</v>
      </c>
      <c r="D818" t="s">
        <v>56</v>
      </c>
      <c r="E818" t="s">
        <v>1235</v>
      </c>
      <c r="F818" t="s">
        <v>22</v>
      </c>
      <c r="G818" t="s">
        <v>23</v>
      </c>
      <c r="H818" t="s">
        <v>58</v>
      </c>
      <c r="I818" t="s">
        <v>25</v>
      </c>
      <c r="J818" t="s">
        <v>1236</v>
      </c>
      <c r="K818">
        <v>4</v>
      </c>
      <c r="L818">
        <v>8</v>
      </c>
      <c r="M818">
        <v>2025</v>
      </c>
      <c r="N818" t="s">
        <v>27</v>
      </c>
      <c r="O818">
        <v>150</v>
      </c>
      <c r="P818">
        <v>150</v>
      </c>
      <c r="R818" s="3" t="str">
        <f>HYPERLINK("https://panda.att.com.mx/ODKServer/view/binaryData?blobKey=FSSuministroFluidosv3%5B%40version%3Dnull+and+%40uiVersion%3Dnull%5D%2Fdata%5B%40key%3Duuid%3A964f3149-2818-433b-829e-1b29ed9f51fe%5D%2FgroupInfoFuel%5B%40ordinal%3D1%5D%2FpicFuelRecibeInterno","Descargar")</f>
        <v>Descargar</v>
      </c>
    </row>
    <row r="819" spans="1:18" x14ac:dyDescent="0.3">
      <c r="A819">
        <v>1593226</v>
      </c>
      <c r="B819" t="s">
        <v>18</v>
      </c>
      <c r="C819" t="s">
        <v>100</v>
      </c>
      <c r="D819" t="s">
        <v>101</v>
      </c>
      <c r="E819" t="s">
        <v>102</v>
      </c>
      <c r="F819" t="s">
        <v>22</v>
      </c>
      <c r="G819" t="s">
        <v>83</v>
      </c>
      <c r="H819" t="s">
        <v>58</v>
      </c>
      <c r="I819" t="s">
        <v>25</v>
      </c>
      <c r="J819" t="s">
        <v>1237</v>
      </c>
      <c r="K819">
        <v>8</v>
      </c>
      <c r="L819">
        <v>8</v>
      </c>
      <c r="M819">
        <v>2025</v>
      </c>
      <c r="N819" t="s">
        <v>44</v>
      </c>
      <c r="O819">
        <v>60</v>
      </c>
      <c r="P819">
        <v>60</v>
      </c>
      <c r="R819" s="3" t="str">
        <f>HYPERLINK("https://panda.att.com.mx/ODKServer/view/binaryData?blobKey=FSSuministroFluidosv3%5B%40version%3Dnull+and+%40uiVersion%3Dnull%5D%2Fdata%5B%40key%3Duuid%3Ab73b37d1-666c-45f8-82fc-772f7064c3bd%5D%2FgroupInfoFuel%5B%40ordinal%3D1%5D%2FpicFuelRecibeInterno","Descargar")</f>
        <v>Descargar</v>
      </c>
    </row>
    <row r="820" spans="1:18" x14ac:dyDescent="0.3">
      <c r="A820">
        <v>1593209</v>
      </c>
      <c r="B820" t="s">
        <v>18</v>
      </c>
      <c r="C820" t="s">
        <v>100</v>
      </c>
      <c r="D820" t="s">
        <v>716</v>
      </c>
      <c r="E820" t="s">
        <v>1238</v>
      </c>
      <c r="F820" t="s">
        <v>22</v>
      </c>
      <c r="G820" t="s">
        <v>23</v>
      </c>
      <c r="H820" t="s">
        <v>58</v>
      </c>
      <c r="I820" t="s">
        <v>25</v>
      </c>
      <c r="J820" t="s">
        <v>1239</v>
      </c>
      <c r="K820">
        <v>8</v>
      </c>
      <c r="L820">
        <v>8</v>
      </c>
      <c r="M820">
        <v>2025</v>
      </c>
      <c r="N820" t="s">
        <v>27</v>
      </c>
      <c r="O820">
        <v>300</v>
      </c>
      <c r="P820">
        <v>300</v>
      </c>
      <c r="R820" s="3" t="str">
        <f>HYPERLINK("https://panda.att.com.mx/ODKServer/view/binaryData?blobKey=FSSuministroFluidosv3%5B%40version%3Dnull+and+%40uiVersion%3Dnull%5D%2Fdata%5B%40key%3Duuid%3Ac9f5f33f-e2ab-4868-80cf-44096feecea7%5D%2FgroupInfoFuel%5B%40ordinal%3D1%5D%2FpicFuelRecibeInterno","Descargar")</f>
        <v>Descargar</v>
      </c>
    </row>
    <row r="821" spans="1:18" x14ac:dyDescent="0.3">
      <c r="A821">
        <v>1593185</v>
      </c>
      <c r="B821" t="s">
        <v>18</v>
      </c>
      <c r="C821" t="s">
        <v>150</v>
      </c>
      <c r="D821" t="s">
        <v>230</v>
      </c>
      <c r="E821" t="s">
        <v>1051</v>
      </c>
      <c r="F821" t="s">
        <v>22</v>
      </c>
      <c r="G821" t="s">
        <v>23</v>
      </c>
      <c r="H821" t="s">
        <v>58</v>
      </c>
      <c r="I821" t="s">
        <v>25</v>
      </c>
      <c r="J821" t="s">
        <v>1240</v>
      </c>
      <c r="K821">
        <v>8</v>
      </c>
      <c r="L821">
        <v>8</v>
      </c>
      <c r="M821">
        <v>2025</v>
      </c>
      <c r="N821" t="s">
        <v>27</v>
      </c>
      <c r="O821">
        <v>300</v>
      </c>
      <c r="P821">
        <v>300</v>
      </c>
      <c r="R821" s="3" t="str">
        <f>HYPERLINK("https://panda.att.com.mx/ODKServer/view/binaryData?blobKey=FSSuministroFluidosv3%5B%40version%3Dnull+and+%40uiVersion%3Dnull%5D%2Fdata%5B%40key%3Duuid%3A02fb101d-d2d6-4020-9612-2acde8a80231%5D%2FgroupInfoFuel%5B%40ordinal%3D1%5D%2FpicFuelRecibeInterno","Descargar")</f>
        <v>Descargar</v>
      </c>
    </row>
    <row r="822" spans="1:18" x14ac:dyDescent="0.3">
      <c r="A822">
        <v>1593184</v>
      </c>
      <c r="B822" t="s">
        <v>18</v>
      </c>
      <c r="C822" t="s">
        <v>28</v>
      </c>
      <c r="D822" t="s">
        <v>467</v>
      </c>
      <c r="E822" t="s">
        <v>1241</v>
      </c>
      <c r="F822" t="s">
        <v>22</v>
      </c>
      <c r="G822" t="s">
        <v>23</v>
      </c>
      <c r="H822" t="s">
        <v>24</v>
      </c>
      <c r="I822" t="s">
        <v>25</v>
      </c>
      <c r="J822" s="2">
        <v>45869.580428240741</v>
      </c>
      <c r="K822">
        <v>31</v>
      </c>
      <c r="L822">
        <v>7</v>
      </c>
      <c r="M822">
        <v>2025</v>
      </c>
      <c r="N822" t="s">
        <v>27</v>
      </c>
      <c r="O822">
        <v>300</v>
      </c>
      <c r="P822">
        <v>300</v>
      </c>
      <c r="R822" s="3" t="str">
        <f>HYPERLINK("https://panda.att.com.mx/ODKServer/view/binaryData?blobKey=FSSuministroFluidosv3%5B%40version%3Dnull+and+%40uiVersion%3Dnull%5D%2Fdata%5B%40key%3Duuid%3Ad39cdf14-5742-43fb-939c-033a3a7237db%5D%2FgroupInfoFuel%5B%40ordinal%3D1%5D%2FpicFuelRecibeInterno","Descargar")</f>
        <v>Descargar</v>
      </c>
    </row>
    <row r="823" spans="1:18" x14ac:dyDescent="0.3">
      <c r="A823">
        <v>1593165</v>
      </c>
      <c r="B823" t="s">
        <v>18</v>
      </c>
      <c r="C823" t="s">
        <v>59</v>
      </c>
      <c r="D823" t="s">
        <v>1242</v>
      </c>
      <c r="E823" t="s">
        <v>1243</v>
      </c>
      <c r="F823" t="s">
        <v>22</v>
      </c>
      <c r="G823" t="s">
        <v>23</v>
      </c>
      <c r="H823" t="s">
        <v>37</v>
      </c>
      <c r="I823" t="s">
        <v>25</v>
      </c>
      <c r="J823" t="s">
        <v>1244</v>
      </c>
      <c r="K823">
        <v>7</v>
      </c>
      <c r="L823">
        <v>8</v>
      </c>
      <c r="M823">
        <v>2025</v>
      </c>
      <c r="N823" t="s">
        <v>44</v>
      </c>
      <c r="O823">
        <v>60</v>
      </c>
      <c r="P823">
        <v>60</v>
      </c>
      <c r="R823" s="3" t="str">
        <f>HYPERLINK("https://panda.att.com.mx/ODKServer/view/binaryData?blobKey=FSSuministroFluidosv3%5B%40version%3Dnull+and+%40uiVersion%3Dnull%5D%2Fdata%5B%40key%3Duuid%3A0ac6d4ec-ff8d-44c3-ba2b-20f030e929e2%5D%2FgroupInfoFuel%5B%40ordinal%3D1%5D%2FpicFuelRecibeInterno","Descargar")</f>
        <v>Descargar</v>
      </c>
    </row>
    <row r="824" spans="1:18" x14ac:dyDescent="0.3">
      <c r="A824">
        <v>1593153</v>
      </c>
      <c r="B824" t="s">
        <v>18</v>
      </c>
      <c r="C824" t="s">
        <v>28</v>
      </c>
      <c r="D824" t="s">
        <v>66</v>
      </c>
      <c r="E824" t="s">
        <v>1245</v>
      </c>
      <c r="F824" t="s">
        <v>22</v>
      </c>
      <c r="G824" t="s">
        <v>23</v>
      </c>
      <c r="H824" t="s">
        <v>24</v>
      </c>
      <c r="I824" t="s">
        <v>25</v>
      </c>
      <c r="J824" t="s">
        <v>1246</v>
      </c>
      <c r="K824">
        <v>7</v>
      </c>
      <c r="L824">
        <v>8</v>
      </c>
      <c r="M824">
        <v>2025</v>
      </c>
      <c r="N824" t="s">
        <v>44</v>
      </c>
      <c r="O824">
        <v>40</v>
      </c>
      <c r="Q824">
        <v>40</v>
      </c>
      <c r="R824" s="3" t="str">
        <f>HYPERLINK("https://panda.att.com.mx/ODKServer/view/binaryData?blobKey=FSSuministroFluidosv3%5B%40version%3Dnull+and+%40uiVersion%3Dnull%5D%2Fdata%5B%40key%3Duuid%3Acd856224-2ec8-4558-926d-299555dfafb1%5D%2FgroupInfoFuel%5B%40ordinal%3D1%5D%2FpicFuelRecibeInterno","Descargar")</f>
        <v>Descargar</v>
      </c>
    </row>
    <row r="825" spans="1:18" x14ac:dyDescent="0.3">
      <c r="A825">
        <v>1593146</v>
      </c>
      <c r="B825" t="s">
        <v>18</v>
      </c>
      <c r="C825" t="s">
        <v>28</v>
      </c>
      <c r="D825" t="s">
        <v>66</v>
      </c>
      <c r="E825" t="s">
        <v>1247</v>
      </c>
      <c r="F825" t="s">
        <v>22</v>
      </c>
      <c r="G825" t="s">
        <v>23</v>
      </c>
      <c r="H825" t="s">
        <v>24</v>
      </c>
      <c r="I825" t="s">
        <v>25</v>
      </c>
      <c r="J825" t="s">
        <v>1248</v>
      </c>
      <c r="K825">
        <v>7</v>
      </c>
      <c r="L825">
        <v>8</v>
      </c>
      <c r="M825">
        <v>2025</v>
      </c>
      <c r="N825" t="s">
        <v>44</v>
      </c>
      <c r="O825">
        <v>30</v>
      </c>
      <c r="Q825">
        <v>30</v>
      </c>
      <c r="R825" s="3" t="str">
        <f>HYPERLINK("https://panda.att.com.mx/ODKServer/view/binaryData?blobKey=FSSuministroFluidosv3%5B%40version%3Dnull+and+%40uiVersion%3Dnull%5D%2Fdata%5B%40key%3Duuid%3Ab9807921-ae57-409b-bdc6-ac28377bffac%5D%2FgroupInfoFuel%5B%40ordinal%3D1%5D%2FpicFuelRecibeInterno","Descargar")</f>
        <v>Descargar</v>
      </c>
    </row>
    <row r="826" spans="1:18" x14ac:dyDescent="0.3">
      <c r="A826">
        <v>1593141</v>
      </c>
      <c r="B826" t="s">
        <v>18</v>
      </c>
      <c r="C826" t="s">
        <v>100</v>
      </c>
      <c r="D826" t="s">
        <v>101</v>
      </c>
      <c r="E826" t="s">
        <v>1249</v>
      </c>
      <c r="F826" t="s">
        <v>22</v>
      </c>
      <c r="G826" t="s">
        <v>23</v>
      </c>
      <c r="H826" t="s">
        <v>58</v>
      </c>
      <c r="I826" t="s">
        <v>25</v>
      </c>
      <c r="J826" t="s">
        <v>1250</v>
      </c>
      <c r="K826">
        <v>8</v>
      </c>
      <c r="L826">
        <v>8</v>
      </c>
      <c r="M826">
        <v>2025</v>
      </c>
      <c r="N826" t="s">
        <v>27</v>
      </c>
      <c r="O826">
        <v>150</v>
      </c>
      <c r="P826">
        <v>150</v>
      </c>
      <c r="R826" s="3" t="str">
        <f>HYPERLINK("https://panda.att.com.mx/ODKServer/view/binaryData?blobKey=FSSuministroFluidosv3%5B%40version%3Dnull+and+%40uiVersion%3Dnull%5D%2Fdata%5B%40key%3Duuid%3Ace71dfe3-c182-4eaf-a1d7-cbeddbd6255d%5D%2FgroupInfoFuel%5B%40ordinal%3D1%5D%2FpicFuelRecibeInterno","Descargar")</f>
        <v>Descargar</v>
      </c>
    </row>
    <row r="827" spans="1:18" x14ac:dyDescent="0.3">
      <c r="A827">
        <v>1593122</v>
      </c>
      <c r="B827" t="s">
        <v>18</v>
      </c>
      <c r="C827" t="s">
        <v>59</v>
      </c>
      <c r="D827" t="s">
        <v>636</v>
      </c>
      <c r="E827" t="s">
        <v>1251</v>
      </c>
      <c r="F827" t="s">
        <v>22</v>
      </c>
      <c r="G827" t="s">
        <v>47</v>
      </c>
      <c r="H827" t="s">
        <v>37</v>
      </c>
      <c r="I827" t="s">
        <v>25</v>
      </c>
      <c r="J827" t="s">
        <v>1252</v>
      </c>
      <c r="K827">
        <v>8</v>
      </c>
      <c r="L827">
        <v>8</v>
      </c>
      <c r="M827">
        <v>2025</v>
      </c>
      <c r="N827" t="s">
        <v>27</v>
      </c>
      <c r="O827">
        <v>150</v>
      </c>
      <c r="P827">
        <v>150</v>
      </c>
      <c r="R827" s="3" t="str">
        <f>HYPERLINK("https://panda.att.com.mx/ODKServer/view/binaryData?blobKey=FSSuministroFluidosv3%5B%40version%3Dnull+and+%40uiVersion%3Dnull%5D%2Fdata%5B%40key%3Duuid%3Af70d82fc-0923-4d90-8405-88af52dfc8ac%5D%2FgroupInfoFuel%5B%40ordinal%3D1%5D%2FpicFuelRecibeInterno","Descargar")</f>
        <v>Descargar</v>
      </c>
    </row>
    <row r="828" spans="1:18" x14ac:dyDescent="0.3">
      <c r="A828">
        <v>1593062</v>
      </c>
      <c r="B828" t="s">
        <v>18</v>
      </c>
      <c r="C828" t="s">
        <v>34</v>
      </c>
      <c r="D828" t="s">
        <v>53</v>
      </c>
      <c r="E828" t="s">
        <v>144</v>
      </c>
      <c r="F828" t="s">
        <v>22</v>
      </c>
      <c r="G828" t="s">
        <v>23</v>
      </c>
      <c r="H828" t="s">
        <v>37</v>
      </c>
      <c r="I828" t="s">
        <v>25</v>
      </c>
      <c r="J828" t="s">
        <v>1253</v>
      </c>
      <c r="K828">
        <v>8</v>
      </c>
      <c r="L828">
        <v>8</v>
      </c>
      <c r="M828">
        <v>2025</v>
      </c>
      <c r="N828" t="s">
        <v>27</v>
      </c>
      <c r="O828">
        <v>350</v>
      </c>
      <c r="P828">
        <v>350</v>
      </c>
      <c r="R828" s="3" t="str">
        <f>HYPERLINK("https://panda.att.com.mx/ODKServer/view/binaryData?blobKey=FSSuministroFluidosv3%5B%40version%3Dnull+and+%40uiVersion%3Dnull%5D%2Fdata%5B%40key%3Duuid%3Ace1bd903-0bcd-43ce-818c-850d22c99cd2%5D%2FgroupInfoFuel%5B%40ordinal%3D1%5D%2FpicFuelRecibeInterno","Descargar")</f>
        <v>Descargar</v>
      </c>
    </row>
    <row r="829" spans="1:18" x14ac:dyDescent="0.3">
      <c r="A829">
        <v>1593020</v>
      </c>
      <c r="B829" t="s">
        <v>18</v>
      </c>
      <c r="C829" t="s">
        <v>19</v>
      </c>
      <c r="D829" t="s">
        <v>20</v>
      </c>
      <c r="E829" t="s">
        <v>1254</v>
      </c>
      <c r="F829" t="s">
        <v>22</v>
      </c>
      <c r="G829" t="s">
        <v>23</v>
      </c>
      <c r="H829" t="s">
        <v>24</v>
      </c>
      <c r="I829" t="s">
        <v>25</v>
      </c>
      <c r="J829" t="s">
        <v>1255</v>
      </c>
      <c r="K829">
        <v>3</v>
      </c>
      <c r="L829">
        <v>8</v>
      </c>
      <c r="M829">
        <v>2025</v>
      </c>
      <c r="N829" t="s">
        <v>27</v>
      </c>
      <c r="O829">
        <v>100</v>
      </c>
      <c r="P829">
        <v>100</v>
      </c>
      <c r="R829" s="3" t="str">
        <f>HYPERLINK("https://panda.att.com.mx/ODKServer/view/binaryData?blobKey=FSSuministroFluidosv3%5B%40version%3Dnull+and+%40uiVersion%3Dnull%5D%2Fdata%5B%40key%3Duuid%3A6897df72-86d0-4da4-89b6-8bf209f7eb0d%5D%2FgroupInfoFuel%5B%40ordinal%3D1%5D%2FpicFuelRecibeInterno","Descargar")</f>
        <v>Descargar</v>
      </c>
    </row>
    <row r="830" spans="1:18" x14ac:dyDescent="0.3">
      <c r="A830">
        <v>1592961</v>
      </c>
      <c r="B830" t="s">
        <v>18</v>
      </c>
      <c r="C830" t="s">
        <v>28</v>
      </c>
      <c r="D830" t="s">
        <v>66</v>
      </c>
      <c r="E830" t="s">
        <v>1024</v>
      </c>
      <c r="F830" t="s">
        <v>22</v>
      </c>
      <c r="G830" t="s">
        <v>23</v>
      </c>
      <c r="H830" t="s">
        <v>24</v>
      </c>
      <c r="I830" t="s">
        <v>25</v>
      </c>
      <c r="J830" t="s">
        <v>1256</v>
      </c>
      <c r="K830">
        <v>7</v>
      </c>
      <c r="L830">
        <v>8</v>
      </c>
      <c r="M830">
        <v>2025</v>
      </c>
      <c r="N830" t="s">
        <v>27</v>
      </c>
      <c r="O830">
        <v>100</v>
      </c>
      <c r="P830">
        <v>100</v>
      </c>
      <c r="R830" s="3" t="str">
        <f>HYPERLINK("https://panda.att.com.mx/ODKServer/view/binaryData?blobKey=FSSuministroFluidosv3%5B%40version%3Dnull+and+%40uiVersion%3Dnull%5D%2Fdata%5B%40key%3Duuid%3A508eba74-af49-4799-85b8-2e56d1c0ed31%5D%2FgroupInfoFuel%5B%40ordinal%3D1%5D%2FpicFuelRecibeInterno","Descargar")</f>
        <v>Descargar</v>
      </c>
    </row>
    <row r="831" spans="1:18" x14ac:dyDescent="0.3">
      <c r="A831">
        <v>1592939</v>
      </c>
      <c r="B831" t="s">
        <v>18</v>
      </c>
      <c r="C831" t="s">
        <v>28</v>
      </c>
      <c r="D831" t="s">
        <v>118</v>
      </c>
      <c r="E831" t="s">
        <v>1257</v>
      </c>
      <c r="F831" t="s">
        <v>22</v>
      </c>
      <c r="G831" t="s">
        <v>23</v>
      </c>
      <c r="H831" t="s">
        <v>24</v>
      </c>
      <c r="I831" t="s">
        <v>25</v>
      </c>
      <c r="J831" t="s">
        <v>1258</v>
      </c>
      <c r="K831">
        <v>7</v>
      </c>
      <c r="L831">
        <v>8</v>
      </c>
      <c r="M831">
        <v>2025</v>
      </c>
      <c r="N831" t="s">
        <v>44</v>
      </c>
      <c r="O831">
        <v>40</v>
      </c>
      <c r="P831">
        <v>40</v>
      </c>
      <c r="R831" s="3" t="str">
        <f>HYPERLINK("https://panda.att.com.mx/ODKServer/view/binaryData?blobKey=FSSuministroFluidosv3%5B%40version%3Dnull+and+%40uiVersion%3Dnull%5D%2Fdata%5B%40key%3Duuid%3A78fea642-6739-43b3-aa5e-91c97f980b63%5D%2FgroupInfoFuel%5B%40ordinal%3D1%5D%2FpicFuelRecibeInterno","Descargar")</f>
        <v>Descargar</v>
      </c>
    </row>
    <row r="832" spans="1:18" x14ac:dyDescent="0.3">
      <c r="A832">
        <v>1592857</v>
      </c>
      <c r="B832" t="s">
        <v>18</v>
      </c>
      <c r="C832" t="s">
        <v>59</v>
      </c>
      <c r="D832" t="s">
        <v>60</v>
      </c>
      <c r="E832" t="s">
        <v>1259</v>
      </c>
      <c r="F832" t="s">
        <v>22</v>
      </c>
      <c r="G832" t="s">
        <v>47</v>
      </c>
      <c r="H832" t="s">
        <v>37</v>
      </c>
      <c r="I832" t="s">
        <v>25</v>
      </c>
      <c r="J832" t="s">
        <v>1260</v>
      </c>
      <c r="K832">
        <v>8</v>
      </c>
      <c r="L832">
        <v>8</v>
      </c>
      <c r="M832">
        <v>2025</v>
      </c>
      <c r="N832" t="s">
        <v>27</v>
      </c>
      <c r="O832">
        <v>110</v>
      </c>
      <c r="P832">
        <v>110</v>
      </c>
      <c r="R832" s="3" t="str">
        <f>HYPERLINK("https://panda.att.com.mx/ODKServer/view/binaryData?blobKey=FSSuministroFluidosv3%5B%40version%3Dnull+and+%40uiVersion%3Dnull%5D%2Fdata%5B%40key%3Duuid%3Aee25b9f8-966c-4d4d-aad3-44eccb513dfa%5D%2FgroupInfoFuel%5B%40ordinal%3D1%5D%2FpicFuelRecibeInterno","Descargar")</f>
        <v>Descargar</v>
      </c>
    </row>
    <row r="833" spans="1:18" x14ac:dyDescent="0.3">
      <c r="A833">
        <v>1592847</v>
      </c>
      <c r="B833" t="s">
        <v>18</v>
      </c>
      <c r="C833" t="s">
        <v>100</v>
      </c>
      <c r="D833" t="s">
        <v>101</v>
      </c>
      <c r="E833" t="s">
        <v>1261</v>
      </c>
      <c r="F833" t="s">
        <v>22</v>
      </c>
      <c r="G833" t="s">
        <v>23</v>
      </c>
      <c r="H833" t="s">
        <v>58</v>
      </c>
      <c r="I833" t="s">
        <v>25</v>
      </c>
      <c r="J833" t="s">
        <v>1262</v>
      </c>
      <c r="K833">
        <v>8</v>
      </c>
      <c r="L833">
        <v>8</v>
      </c>
      <c r="M833">
        <v>2025</v>
      </c>
      <c r="N833" t="s">
        <v>27</v>
      </c>
      <c r="O833">
        <v>200</v>
      </c>
      <c r="P833">
        <v>200</v>
      </c>
      <c r="R833" s="3" t="str">
        <f>HYPERLINK("https://panda.att.com.mx/ODKServer/view/binaryData?blobKey=FSSuministroFluidosv3%5B%40version%3Dnull+and+%40uiVersion%3Dnull%5D%2Fdata%5B%40key%3Duuid%3A32eb68df-9137-4cda-908c-1049f6f28be7%5D%2FgroupInfoFuel%5B%40ordinal%3D1%5D%2FpicFuelRecibeInterno","Descargar")</f>
        <v>Descargar</v>
      </c>
    </row>
    <row r="834" spans="1:18" x14ac:dyDescent="0.3">
      <c r="A834">
        <v>1592828</v>
      </c>
      <c r="B834" t="s">
        <v>18</v>
      </c>
      <c r="C834" t="s">
        <v>19</v>
      </c>
      <c r="D834" t="s">
        <v>45</v>
      </c>
      <c r="E834" t="s">
        <v>1263</v>
      </c>
      <c r="F834" t="s">
        <v>22</v>
      </c>
      <c r="G834" t="s">
        <v>23</v>
      </c>
      <c r="H834" t="s">
        <v>24</v>
      </c>
      <c r="I834" t="s">
        <v>25</v>
      </c>
      <c r="J834" t="s">
        <v>1264</v>
      </c>
      <c r="K834">
        <v>7</v>
      </c>
      <c r="L834">
        <v>8</v>
      </c>
      <c r="M834">
        <v>2025</v>
      </c>
      <c r="N834" t="s">
        <v>27</v>
      </c>
      <c r="O834">
        <v>200</v>
      </c>
      <c r="Q834">
        <v>200</v>
      </c>
      <c r="R834" s="3" t="str">
        <f>HYPERLINK("https://panda.att.com.mx/ODKServer/view/binaryData?blobKey=FSSuministroFluidosv3%5B%40version%3Dnull+and+%40uiVersion%3Dnull%5D%2Fdata%5B%40key%3Duuid%3A72c47419-6b42-4c51-ac4e-5be9c589f0d8%5D%2FgroupInfoFuel%5B%40ordinal%3D1%5D%2FpicFuelRecibeInterno","Descargar")</f>
        <v>Descargar</v>
      </c>
    </row>
    <row r="835" spans="1:18" x14ac:dyDescent="0.3">
      <c r="A835">
        <v>1592827</v>
      </c>
      <c r="B835" t="s">
        <v>18</v>
      </c>
      <c r="C835" t="s">
        <v>19</v>
      </c>
      <c r="D835" t="s">
        <v>45</v>
      </c>
      <c r="E835" t="s">
        <v>1265</v>
      </c>
      <c r="F835" t="s">
        <v>22</v>
      </c>
      <c r="G835" t="s">
        <v>23</v>
      </c>
      <c r="H835" t="s">
        <v>24</v>
      </c>
      <c r="I835" t="s">
        <v>25</v>
      </c>
      <c r="J835" t="s">
        <v>1266</v>
      </c>
      <c r="K835">
        <v>7</v>
      </c>
      <c r="L835">
        <v>8</v>
      </c>
      <c r="M835">
        <v>2025</v>
      </c>
      <c r="N835" t="s">
        <v>27</v>
      </c>
      <c r="O835">
        <v>300</v>
      </c>
      <c r="P835">
        <v>300</v>
      </c>
      <c r="R835" s="3" t="str">
        <f>HYPERLINK("https://panda.att.com.mx/ODKServer/view/binaryData?blobKey=FSSuministroFluidosv3%5B%40version%3Dnull+and+%40uiVersion%3Dnull%5D%2Fdata%5B%40key%3Duuid%3A9bcd6a99-3165-41ba-a54e-f67fc59d7617%5D%2FgroupInfoFuel%5B%40ordinal%3D1%5D%2FpicFuelRecibeInterno","Descargar")</f>
        <v>Descargar</v>
      </c>
    </row>
    <row r="836" spans="1:18" x14ac:dyDescent="0.3">
      <c r="A836">
        <v>1592808</v>
      </c>
      <c r="B836" t="s">
        <v>18</v>
      </c>
      <c r="C836" t="s">
        <v>100</v>
      </c>
      <c r="D836" t="s">
        <v>101</v>
      </c>
      <c r="E836" t="s">
        <v>102</v>
      </c>
      <c r="F836" t="s">
        <v>22</v>
      </c>
      <c r="G836" t="s">
        <v>83</v>
      </c>
      <c r="H836" t="s">
        <v>58</v>
      </c>
      <c r="I836" t="s">
        <v>25</v>
      </c>
      <c r="J836" t="s">
        <v>1267</v>
      </c>
      <c r="K836">
        <v>7</v>
      </c>
      <c r="L836">
        <v>8</v>
      </c>
      <c r="M836">
        <v>2025</v>
      </c>
      <c r="N836" t="s">
        <v>44</v>
      </c>
      <c r="O836">
        <v>60</v>
      </c>
      <c r="P836">
        <v>60</v>
      </c>
      <c r="R836" s="3" t="str">
        <f>HYPERLINK("https://panda.att.com.mx/ODKServer/view/binaryData?blobKey=FSSuministroFluidosv3%5B%40version%3Dnull+and+%40uiVersion%3Dnull%5D%2Fdata%5B%40key%3Duuid%3A6e2cc175-f088-46c5-a2e4-5e5012b949e3%5D%2FgroupInfoFuel%5B%40ordinal%3D1%5D%2FpicFuelRecibeInterno","Descargar")</f>
        <v>Descargar</v>
      </c>
    </row>
    <row r="837" spans="1:18" x14ac:dyDescent="0.3">
      <c r="A837">
        <v>1592806</v>
      </c>
      <c r="B837" t="s">
        <v>18</v>
      </c>
      <c r="C837" t="s">
        <v>59</v>
      </c>
      <c r="D837" t="s">
        <v>60</v>
      </c>
      <c r="E837" t="s">
        <v>1259</v>
      </c>
      <c r="F837" t="s">
        <v>22</v>
      </c>
      <c r="G837" t="s">
        <v>23</v>
      </c>
      <c r="H837" t="s">
        <v>37</v>
      </c>
      <c r="I837" t="s">
        <v>25</v>
      </c>
      <c r="J837" t="s">
        <v>1268</v>
      </c>
      <c r="K837">
        <v>7</v>
      </c>
      <c r="L837">
        <v>8</v>
      </c>
      <c r="M837">
        <v>2025</v>
      </c>
      <c r="N837" t="s">
        <v>27</v>
      </c>
      <c r="O837">
        <v>43</v>
      </c>
      <c r="P837">
        <v>43</v>
      </c>
      <c r="R837" s="3" t="str">
        <f>HYPERLINK("https://panda.att.com.mx/ODKServer/view/binaryData?blobKey=FSSuministroFluidosv3%5B%40version%3Dnull+and+%40uiVersion%3Dnull%5D%2Fdata%5B%40key%3Duuid%3A6f77f593-e499-4420-b2af-1c0a96b15975%5D%2FgroupInfoFuel%5B%40ordinal%3D1%5D%2FpicFuelRecibeInterno","Descargar")</f>
        <v>Descargar</v>
      </c>
    </row>
    <row r="838" spans="1:18" x14ac:dyDescent="0.3">
      <c r="A838">
        <v>1592803</v>
      </c>
      <c r="B838" t="s">
        <v>18</v>
      </c>
      <c r="C838" t="s">
        <v>68</v>
      </c>
      <c r="D838" t="s">
        <v>132</v>
      </c>
      <c r="E838" t="s">
        <v>1002</v>
      </c>
      <c r="F838" t="s">
        <v>22</v>
      </c>
      <c r="G838" t="s">
        <v>23</v>
      </c>
      <c r="H838" t="s">
        <v>37</v>
      </c>
      <c r="I838" t="s">
        <v>25</v>
      </c>
      <c r="J838" t="s">
        <v>1269</v>
      </c>
      <c r="K838">
        <v>7</v>
      </c>
      <c r="L838">
        <v>8</v>
      </c>
      <c r="M838">
        <v>2025</v>
      </c>
      <c r="N838" t="s">
        <v>27</v>
      </c>
      <c r="O838">
        <v>120</v>
      </c>
      <c r="P838">
        <v>120</v>
      </c>
      <c r="R838" s="3" t="str">
        <f>HYPERLINK("https://panda.att.com.mx/ODKServer/view/binaryData?blobKey=FSSuministroFluidosv3%5B%40version%3Dnull+and+%40uiVersion%3Dnull%5D%2Fdata%5B%40key%3Duuid%3Ad920c9c0-f6c6-4edb-9312-b4eb721d3b84%5D%2FgroupInfoFuel%5B%40ordinal%3D1%5D%2FpicFuelRecibeInterno","Descargar")</f>
        <v>Descargar</v>
      </c>
    </row>
    <row r="839" spans="1:18" x14ac:dyDescent="0.3">
      <c r="A839">
        <v>1592802</v>
      </c>
      <c r="B839" t="s">
        <v>18</v>
      </c>
      <c r="C839" t="s">
        <v>68</v>
      </c>
      <c r="D839" t="s">
        <v>132</v>
      </c>
      <c r="E839" t="s">
        <v>1002</v>
      </c>
      <c r="F839" t="s">
        <v>22</v>
      </c>
      <c r="G839" t="s">
        <v>1270</v>
      </c>
      <c r="H839" t="s">
        <v>37</v>
      </c>
      <c r="I839" t="s">
        <v>25</v>
      </c>
      <c r="J839" t="s">
        <v>1271</v>
      </c>
      <c r="K839">
        <v>7</v>
      </c>
      <c r="L839">
        <v>8</v>
      </c>
      <c r="M839">
        <v>2025</v>
      </c>
      <c r="N839" t="s">
        <v>27</v>
      </c>
      <c r="O839">
        <v>150</v>
      </c>
      <c r="P839">
        <v>150</v>
      </c>
      <c r="R839" s="3" t="str">
        <f>HYPERLINK("https://panda.att.com.mx/ODKServer/view/binaryData?blobKey=FSSuministroFluidosv3%5B%40version%3Dnull+and+%40uiVersion%3Dnull%5D%2Fdata%5B%40key%3Duuid%3A3fb0146c-739e-4c75-896b-d007e97460de%5D%2FgroupInfoFuel%5B%40ordinal%3D1%5D%2FpicFuelRecibeInterno","Descargar")</f>
        <v>Descargar</v>
      </c>
    </row>
    <row r="840" spans="1:18" x14ac:dyDescent="0.3">
      <c r="A840">
        <v>1592792</v>
      </c>
      <c r="B840" t="s">
        <v>18</v>
      </c>
      <c r="C840" t="s">
        <v>28</v>
      </c>
      <c r="D840" t="s">
        <v>513</v>
      </c>
      <c r="E840" t="s">
        <v>1272</v>
      </c>
      <c r="F840" t="s">
        <v>22</v>
      </c>
      <c r="G840" t="s">
        <v>23</v>
      </c>
      <c r="H840" t="s">
        <v>24</v>
      </c>
      <c r="I840" t="s">
        <v>25</v>
      </c>
      <c r="J840" t="s">
        <v>1273</v>
      </c>
      <c r="K840">
        <v>5</v>
      </c>
      <c r="L840">
        <v>8</v>
      </c>
      <c r="M840">
        <v>2025</v>
      </c>
      <c r="N840" t="s">
        <v>44</v>
      </c>
      <c r="O840">
        <v>50</v>
      </c>
      <c r="P840">
        <v>50</v>
      </c>
      <c r="R840" s="3" t="str">
        <f>HYPERLINK("https://panda.att.com.mx/ODKServer/view/binaryData?blobKey=FSSuministroFluidosv3%5B%40version%3Dnull+and+%40uiVersion%3Dnull%5D%2Fdata%5B%40key%3Duuid%3A92b2ca41-14a3-48dc-ab30-9742dd21e56c%5D%2FgroupInfoFuel%5B%40ordinal%3D1%5D%2FpicFuelRecibeInterno","Descargar")</f>
        <v>Descargar</v>
      </c>
    </row>
    <row r="841" spans="1:18" x14ac:dyDescent="0.3">
      <c r="A841">
        <v>1592787</v>
      </c>
      <c r="B841" t="s">
        <v>18</v>
      </c>
      <c r="C841" t="s">
        <v>59</v>
      </c>
      <c r="D841" t="s">
        <v>60</v>
      </c>
      <c r="E841" t="s">
        <v>1274</v>
      </c>
      <c r="F841" t="s">
        <v>22</v>
      </c>
      <c r="G841" t="s">
        <v>23</v>
      </c>
      <c r="H841" t="s">
        <v>37</v>
      </c>
      <c r="I841" t="s">
        <v>25</v>
      </c>
      <c r="J841" t="s">
        <v>1275</v>
      </c>
      <c r="K841">
        <v>7</v>
      </c>
      <c r="L841">
        <v>8</v>
      </c>
      <c r="M841">
        <v>2025</v>
      </c>
      <c r="N841" t="s">
        <v>27</v>
      </c>
      <c r="O841">
        <v>115</v>
      </c>
      <c r="P841">
        <v>115</v>
      </c>
      <c r="R841" s="3" t="str">
        <f>HYPERLINK("https://panda.att.com.mx/ODKServer/view/binaryData?blobKey=FSSuministroFluidosv3%5B%40version%3Dnull+and+%40uiVersion%3Dnull%5D%2Fdata%5B%40key%3Duuid%3Ac519c65a-210b-421c-a4c6-63f9eee0186a%5D%2FgroupInfoFuel%5B%40ordinal%3D1%5D%2FpicFuelRecibeInterno","Descargar")</f>
        <v>Descargar</v>
      </c>
    </row>
    <row r="842" spans="1:18" x14ac:dyDescent="0.3">
      <c r="A842">
        <v>1592783</v>
      </c>
      <c r="B842" t="s">
        <v>18</v>
      </c>
      <c r="C842" t="s">
        <v>28</v>
      </c>
      <c r="D842" t="s">
        <v>513</v>
      </c>
      <c r="E842" t="s">
        <v>1272</v>
      </c>
      <c r="F842" t="s">
        <v>22</v>
      </c>
      <c r="G842" t="s">
        <v>23</v>
      </c>
      <c r="H842" t="s">
        <v>24</v>
      </c>
      <c r="I842" t="s">
        <v>25</v>
      </c>
      <c r="J842" t="s">
        <v>1276</v>
      </c>
      <c r="K842">
        <v>5</v>
      </c>
      <c r="L842">
        <v>8</v>
      </c>
      <c r="M842">
        <v>2025</v>
      </c>
      <c r="N842" t="s">
        <v>44</v>
      </c>
      <c r="O842">
        <v>50</v>
      </c>
      <c r="P842">
        <v>50</v>
      </c>
      <c r="R842" s="3" t="str">
        <f>HYPERLINK("https://panda.att.com.mx/ODKServer/view/binaryData?blobKey=FSSuministroFluidosv3%5B%40version%3Dnull+and+%40uiVersion%3Dnull%5D%2Fdata%5B%40key%3Duuid%3A31da02c8-2ad2-4d6a-a586-57d914dabfdd%5D%2FgroupInfoFuel%5B%40ordinal%3D1%5D%2FpicFuelRecibeInterno","Descargar")</f>
        <v>Descargar</v>
      </c>
    </row>
    <row r="843" spans="1:18" x14ac:dyDescent="0.3">
      <c r="A843">
        <v>1592782</v>
      </c>
      <c r="B843" t="s">
        <v>18</v>
      </c>
      <c r="C843" t="s">
        <v>55</v>
      </c>
      <c r="D843" t="s">
        <v>56</v>
      </c>
      <c r="E843" t="s">
        <v>1277</v>
      </c>
      <c r="F843" t="s">
        <v>22</v>
      </c>
      <c r="G843" t="s">
        <v>23</v>
      </c>
      <c r="H843" t="s">
        <v>58</v>
      </c>
      <c r="I843" t="s">
        <v>25</v>
      </c>
      <c r="J843" t="s">
        <v>1278</v>
      </c>
      <c r="K843">
        <v>7</v>
      </c>
      <c r="L843">
        <v>8</v>
      </c>
      <c r="M843">
        <v>2025</v>
      </c>
      <c r="N843" t="s">
        <v>27</v>
      </c>
      <c r="O843">
        <v>100</v>
      </c>
      <c r="P843">
        <v>100</v>
      </c>
      <c r="R843" s="3" t="str">
        <f>HYPERLINK("https://panda.att.com.mx/ODKServer/view/binaryData?blobKey=FSSuministroFluidosv3%5B%40version%3Dnull+and+%40uiVersion%3Dnull%5D%2Fdata%5B%40key%3Duuid%3A4b78fc64-44e7-4e4e-9ba9-d8272ceb4daa%5D%2FgroupInfoFuel%5B%40ordinal%3D1%5D%2FpicFuelRecibeInterno","Descargar")</f>
        <v>Descargar</v>
      </c>
    </row>
    <row r="844" spans="1:18" x14ac:dyDescent="0.3">
      <c r="A844">
        <v>1592781</v>
      </c>
      <c r="B844" t="s">
        <v>18</v>
      </c>
      <c r="C844" t="s">
        <v>55</v>
      </c>
      <c r="D844" t="s">
        <v>56</v>
      </c>
      <c r="E844" t="s">
        <v>245</v>
      </c>
      <c r="F844" t="s">
        <v>22</v>
      </c>
      <c r="G844" t="s">
        <v>23</v>
      </c>
      <c r="H844" t="s">
        <v>58</v>
      </c>
      <c r="I844" t="s">
        <v>25</v>
      </c>
      <c r="J844" t="s">
        <v>1279</v>
      </c>
      <c r="K844">
        <v>7</v>
      </c>
      <c r="L844">
        <v>8</v>
      </c>
      <c r="M844">
        <v>2025</v>
      </c>
      <c r="N844" t="s">
        <v>27</v>
      </c>
      <c r="O844">
        <v>60</v>
      </c>
      <c r="P844">
        <v>60</v>
      </c>
      <c r="R844" s="3" t="str">
        <f>HYPERLINK("https://panda.att.com.mx/ODKServer/view/binaryData?blobKey=FSSuministroFluidosv3%5B%40version%3Dnull+and+%40uiVersion%3Dnull%5D%2Fdata%5B%40key%3Duuid%3Ac7badc44-42e9-4dac-b7ca-755881cbff98%5D%2FgroupInfoFuel%5B%40ordinal%3D1%5D%2FpicFuelRecibeInterno","Descargar")</f>
        <v>Descargar</v>
      </c>
    </row>
    <row r="845" spans="1:18" x14ac:dyDescent="0.3">
      <c r="A845">
        <v>1592769</v>
      </c>
      <c r="B845" t="s">
        <v>18</v>
      </c>
      <c r="C845" t="s">
        <v>55</v>
      </c>
      <c r="D845" t="s">
        <v>89</v>
      </c>
      <c r="E845" t="s">
        <v>1280</v>
      </c>
      <c r="F845" t="s">
        <v>22</v>
      </c>
      <c r="G845" t="s">
        <v>83</v>
      </c>
      <c r="H845" t="s">
        <v>58</v>
      </c>
      <c r="I845" t="s">
        <v>25</v>
      </c>
      <c r="J845" t="s">
        <v>1281</v>
      </c>
      <c r="K845">
        <v>7</v>
      </c>
      <c r="L845">
        <v>8</v>
      </c>
      <c r="M845">
        <v>2025</v>
      </c>
      <c r="N845" t="s">
        <v>44</v>
      </c>
      <c r="O845">
        <v>40</v>
      </c>
      <c r="P845">
        <v>40</v>
      </c>
      <c r="R845" s="3" t="str">
        <f>HYPERLINK("https://panda.att.com.mx/ODKServer/view/binaryData?blobKey=FSSuministroFluidosv3%5B%40version%3Dnull+and+%40uiVersion%3Dnull%5D%2Fdata%5B%40key%3Duuid%3A5e6ce30a-a09d-4d1a-8aaf-a5cb87afdbb0%5D%2FgroupInfoFuel%5B%40ordinal%3D1%5D%2FpicFuelRecibeInterno","Descargar")</f>
        <v>Descargar</v>
      </c>
    </row>
    <row r="846" spans="1:18" x14ac:dyDescent="0.3">
      <c r="A846">
        <v>1592761</v>
      </c>
      <c r="B846" t="s">
        <v>18</v>
      </c>
      <c r="C846" t="s">
        <v>34</v>
      </c>
      <c r="D846" t="s">
        <v>53</v>
      </c>
      <c r="E846" t="s">
        <v>649</v>
      </c>
      <c r="F846" t="s">
        <v>22</v>
      </c>
      <c r="G846" t="s">
        <v>23</v>
      </c>
      <c r="H846" t="s">
        <v>37</v>
      </c>
      <c r="I846" t="s">
        <v>25</v>
      </c>
      <c r="J846" t="s">
        <v>1282</v>
      </c>
      <c r="K846">
        <v>7</v>
      </c>
      <c r="L846">
        <v>8</v>
      </c>
      <c r="M846">
        <v>2025</v>
      </c>
      <c r="N846" t="s">
        <v>27</v>
      </c>
      <c r="O846">
        <v>200</v>
      </c>
      <c r="P846">
        <v>200</v>
      </c>
      <c r="R846" s="3" t="str">
        <f>HYPERLINK("https://panda.att.com.mx/ODKServer/view/binaryData?blobKey=FSSuministroFluidosv3%5B%40version%3Dnull+and+%40uiVersion%3Dnull%5D%2Fdata%5B%40key%3Duuid%3A3e27921e-7727-43bc-a399-5ffc8917d407%5D%2FgroupInfoFuel%5B%40ordinal%3D1%5D%2FpicFuelRecibeInterno","Descargar")</f>
        <v>Descargar</v>
      </c>
    </row>
    <row r="847" spans="1:18" x14ac:dyDescent="0.3">
      <c r="A847">
        <v>1592759</v>
      </c>
      <c r="B847" t="s">
        <v>18</v>
      </c>
      <c r="C847" t="s">
        <v>59</v>
      </c>
      <c r="D847" t="s">
        <v>636</v>
      </c>
      <c r="E847" t="s">
        <v>637</v>
      </c>
      <c r="F847" t="s">
        <v>22</v>
      </c>
      <c r="G847" t="s">
        <v>23</v>
      </c>
      <c r="H847" t="s">
        <v>37</v>
      </c>
      <c r="I847" t="s">
        <v>25</v>
      </c>
      <c r="J847" t="s">
        <v>1283</v>
      </c>
      <c r="K847">
        <v>7</v>
      </c>
      <c r="L847">
        <v>8</v>
      </c>
      <c r="M847">
        <v>2025</v>
      </c>
      <c r="N847" t="s">
        <v>27</v>
      </c>
      <c r="O847">
        <v>150</v>
      </c>
      <c r="P847">
        <v>150</v>
      </c>
      <c r="R847" s="3" t="str">
        <f>HYPERLINK("https://panda.att.com.mx/ODKServer/view/binaryData?blobKey=FSSuministroFluidosv3%5B%40version%3Dnull+and+%40uiVersion%3Dnull%5D%2Fdata%5B%40key%3Duuid%3A07c8dcb0-b1e8-49f5-b845-b6267c985bda%5D%2FgroupInfoFuel%5B%40ordinal%3D1%5D%2FpicFuelRecibeInterno","Descargar")</f>
        <v>Descargar</v>
      </c>
    </row>
    <row r="848" spans="1:18" x14ac:dyDescent="0.3">
      <c r="A848">
        <v>1592743</v>
      </c>
      <c r="B848" t="s">
        <v>18</v>
      </c>
      <c r="C848" t="s">
        <v>59</v>
      </c>
      <c r="D848" t="s">
        <v>60</v>
      </c>
      <c r="E848" t="s">
        <v>1284</v>
      </c>
      <c r="F848" t="s">
        <v>22</v>
      </c>
      <c r="G848" t="s">
        <v>23</v>
      </c>
      <c r="H848" t="s">
        <v>37</v>
      </c>
      <c r="I848" t="s">
        <v>25</v>
      </c>
      <c r="J848" t="s">
        <v>1285</v>
      </c>
      <c r="K848">
        <v>7</v>
      </c>
      <c r="L848">
        <v>8</v>
      </c>
      <c r="M848">
        <v>2025</v>
      </c>
      <c r="N848" t="s">
        <v>27</v>
      </c>
      <c r="O848">
        <v>885</v>
      </c>
      <c r="Q848">
        <v>885</v>
      </c>
      <c r="R848" s="3" t="str">
        <f>HYPERLINK("https://panda.att.com.mx/ODKServer/view/binaryData?blobKey=FSSuministroFluidosv3%5B%40version%3Dnull+and+%40uiVersion%3Dnull%5D%2Fdata%5B%40key%3Duuid%3Ae4d26558-3cbf-401c-9dd4-84abf58b0fb6%5D%2FgroupInfoFuel%5B%40ordinal%3D1%5D%2FpicFuelRecibeInterno","Descargar")</f>
        <v>Descargar</v>
      </c>
    </row>
    <row r="849" spans="1:18" x14ac:dyDescent="0.3">
      <c r="A849">
        <v>1592729</v>
      </c>
      <c r="B849" t="s">
        <v>18</v>
      </c>
      <c r="C849" t="s">
        <v>100</v>
      </c>
      <c r="D849" t="s">
        <v>504</v>
      </c>
      <c r="E849" t="s">
        <v>1286</v>
      </c>
      <c r="F849" t="s">
        <v>22</v>
      </c>
      <c r="G849" t="s">
        <v>23</v>
      </c>
      <c r="H849" t="s">
        <v>58</v>
      </c>
      <c r="I849" t="s">
        <v>25</v>
      </c>
      <c r="J849" t="s">
        <v>1287</v>
      </c>
      <c r="K849">
        <v>7</v>
      </c>
      <c r="L849">
        <v>8</v>
      </c>
      <c r="M849">
        <v>2025</v>
      </c>
      <c r="N849" t="s">
        <v>27</v>
      </c>
      <c r="O849">
        <v>300</v>
      </c>
      <c r="P849">
        <v>300</v>
      </c>
      <c r="R849" s="3" t="str">
        <f>HYPERLINK("https://panda.att.com.mx/ODKServer/view/binaryData?blobKey=FSSuministroFluidosv3%5B%40version%3Dnull+and+%40uiVersion%3Dnull%5D%2Fdata%5B%40key%3Duuid%3A93bff93c-1837-41e6-9035-f2c38e610e0e%5D%2FgroupInfoFuel%5B%40ordinal%3D1%5D%2FpicFuelRecibeInterno","Descargar")</f>
        <v>Descargar</v>
      </c>
    </row>
    <row r="850" spans="1:18" x14ac:dyDescent="0.3">
      <c r="A850">
        <v>1592650</v>
      </c>
      <c r="B850" t="s">
        <v>18</v>
      </c>
      <c r="C850" t="s">
        <v>34</v>
      </c>
      <c r="D850" t="s">
        <v>53</v>
      </c>
      <c r="E850" t="s">
        <v>327</v>
      </c>
      <c r="F850" t="s">
        <v>22</v>
      </c>
      <c r="G850" t="s">
        <v>23</v>
      </c>
      <c r="H850" t="s">
        <v>37</v>
      </c>
      <c r="I850" t="s">
        <v>25</v>
      </c>
      <c r="J850" t="s">
        <v>1288</v>
      </c>
      <c r="K850">
        <v>7</v>
      </c>
      <c r="L850">
        <v>8</v>
      </c>
      <c r="M850">
        <v>2025</v>
      </c>
      <c r="N850" t="s">
        <v>27</v>
      </c>
      <c r="O850">
        <v>500</v>
      </c>
      <c r="P850">
        <v>500</v>
      </c>
      <c r="R850" s="3" t="str">
        <f>HYPERLINK("https://panda.att.com.mx/ODKServer/view/binaryData?blobKey=FSSuministroFluidosv3%5B%40version%3Dnull+and+%40uiVersion%3Dnull%5D%2Fdata%5B%40key%3Duuid%3A01bdb119-f12d-4c3c-adc6-fedad96a0a84%5D%2FgroupInfoFuel%5B%40ordinal%3D1%5D%2FpicFuelRecibeInterno","Descargar")</f>
        <v>Descargar</v>
      </c>
    </row>
    <row r="851" spans="1:18" x14ac:dyDescent="0.3">
      <c r="A851">
        <v>1592582</v>
      </c>
      <c r="B851" t="s">
        <v>18</v>
      </c>
      <c r="C851" t="s">
        <v>100</v>
      </c>
      <c r="D851" t="s">
        <v>854</v>
      </c>
      <c r="E851" t="s">
        <v>993</v>
      </c>
      <c r="F851" t="s">
        <v>22</v>
      </c>
      <c r="G851" t="s">
        <v>83</v>
      </c>
      <c r="H851" t="s">
        <v>58</v>
      </c>
      <c r="I851" t="s">
        <v>25</v>
      </c>
      <c r="J851" t="s">
        <v>1289</v>
      </c>
      <c r="K851">
        <v>7</v>
      </c>
      <c r="L851">
        <v>8</v>
      </c>
      <c r="M851">
        <v>2025</v>
      </c>
      <c r="N851" t="s">
        <v>27</v>
      </c>
      <c r="O851">
        <v>400</v>
      </c>
      <c r="Q851">
        <v>400</v>
      </c>
      <c r="R851" s="3" t="str">
        <f>HYPERLINK("https://panda.att.com.mx/ODKServer/view/binaryData?blobKey=FSSuministroFluidosv3%5B%40version%3Dnull+and+%40uiVersion%3Dnull%5D%2Fdata%5B%40key%3Duuid%3A0c4c1a71-598d-4c37-a17e-6e8e54ba711d%5D%2FgroupInfoFuel%5B%40ordinal%3D1%5D%2FpicFuelRecibeInterno","Descargar")</f>
        <v>Descargar</v>
      </c>
    </row>
    <row r="852" spans="1:18" x14ac:dyDescent="0.3">
      <c r="A852">
        <v>1592569</v>
      </c>
      <c r="B852" t="s">
        <v>18</v>
      </c>
      <c r="C852" t="s">
        <v>100</v>
      </c>
      <c r="D852" t="s">
        <v>101</v>
      </c>
      <c r="E852" t="s">
        <v>618</v>
      </c>
      <c r="F852" t="s">
        <v>22</v>
      </c>
      <c r="G852" t="s">
        <v>23</v>
      </c>
      <c r="H852" t="s">
        <v>58</v>
      </c>
      <c r="I852" t="s">
        <v>25</v>
      </c>
      <c r="J852" t="s">
        <v>1290</v>
      </c>
      <c r="K852">
        <v>7</v>
      </c>
      <c r="L852">
        <v>8</v>
      </c>
      <c r="M852">
        <v>2025</v>
      </c>
      <c r="N852" t="s">
        <v>27</v>
      </c>
      <c r="O852">
        <v>256.79000000000002</v>
      </c>
      <c r="P852">
        <v>256.79000000000002</v>
      </c>
      <c r="R852" s="3" t="str">
        <f>HYPERLINK("https://panda.att.com.mx/ODKServer/view/binaryData?blobKey=FSSuministroFluidosv3%5B%40version%3Dnull+and+%40uiVersion%3Dnull%5D%2Fdata%5B%40key%3Duuid%3A1a86c3a4-973e-4130-ad0d-c190c9c86e05%5D%2FgroupInfoFuel%5B%40ordinal%3D1%5D%2FpicFuelRecibeInterno","Descargar")</f>
        <v>Descargar</v>
      </c>
    </row>
    <row r="853" spans="1:18" x14ac:dyDescent="0.3">
      <c r="A853">
        <v>1592418</v>
      </c>
      <c r="B853" t="s">
        <v>18</v>
      </c>
      <c r="C853" t="s">
        <v>59</v>
      </c>
      <c r="D853" t="s">
        <v>574</v>
      </c>
      <c r="E853" t="s">
        <v>1291</v>
      </c>
      <c r="F853" t="s">
        <v>22</v>
      </c>
      <c r="G853" t="s">
        <v>23</v>
      </c>
      <c r="H853" t="s">
        <v>37</v>
      </c>
      <c r="I853" t="s">
        <v>25</v>
      </c>
      <c r="J853" t="s">
        <v>1292</v>
      </c>
      <c r="K853">
        <v>7</v>
      </c>
      <c r="L853">
        <v>8</v>
      </c>
      <c r="M853">
        <v>2025</v>
      </c>
      <c r="N853" t="s">
        <v>27</v>
      </c>
      <c r="O853">
        <v>350</v>
      </c>
      <c r="P853">
        <v>350</v>
      </c>
      <c r="R853" s="3" t="str">
        <f>HYPERLINK("https://panda.att.com.mx/ODKServer/view/binaryData?blobKey=FSSuministroFluidosv3%5B%40version%3Dnull+and+%40uiVersion%3Dnull%5D%2Fdata%5B%40key%3Duuid%3A726eca59-f9bb-42be-a9de-a2cb6a620f00%5D%2FgroupInfoFuel%5B%40ordinal%3D1%5D%2FpicFuelRecibeInterno","Descargar")</f>
        <v>Descargar</v>
      </c>
    </row>
    <row r="854" spans="1:18" x14ac:dyDescent="0.3">
      <c r="A854">
        <v>1592390</v>
      </c>
      <c r="B854" t="s">
        <v>18</v>
      </c>
      <c r="C854" t="s">
        <v>28</v>
      </c>
      <c r="D854" t="s">
        <v>181</v>
      </c>
      <c r="E854" t="s">
        <v>1293</v>
      </c>
      <c r="F854" t="s">
        <v>22</v>
      </c>
      <c r="G854" t="s">
        <v>23</v>
      </c>
      <c r="H854" t="s">
        <v>24</v>
      </c>
      <c r="I854" t="s">
        <v>25</v>
      </c>
      <c r="J854" t="s">
        <v>1294</v>
      </c>
      <c r="K854">
        <v>3</v>
      </c>
      <c r="L854">
        <v>8</v>
      </c>
      <c r="M854">
        <v>2025</v>
      </c>
      <c r="N854" t="s">
        <v>27</v>
      </c>
      <c r="O854">
        <v>200</v>
      </c>
      <c r="P854">
        <v>200</v>
      </c>
      <c r="R854" s="3" t="str">
        <f>HYPERLINK("https://panda.att.com.mx/ODKServer/view/binaryData?blobKey=FSSuministroFluidosv3%5B%40version%3Dnull+and+%40uiVersion%3Dnull%5D%2Fdata%5B%40key%3Duuid%3A033ea984-b0f3-4f84-9d4b-e45ec151ab7b%5D%2FgroupInfoFuel%5B%40ordinal%3D1%5D%2FpicFuelRecibeInterno","Descargar")</f>
        <v>Descargar</v>
      </c>
    </row>
    <row r="855" spans="1:18" x14ac:dyDescent="0.3">
      <c r="A855">
        <v>1592354</v>
      </c>
      <c r="B855" t="s">
        <v>18</v>
      </c>
      <c r="C855" t="s">
        <v>59</v>
      </c>
      <c r="D855" t="s">
        <v>60</v>
      </c>
      <c r="E855" t="s">
        <v>1295</v>
      </c>
      <c r="F855" t="s">
        <v>22</v>
      </c>
      <c r="G855" t="s">
        <v>95</v>
      </c>
      <c r="H855" t="s">
        <v>37</v>
      </c>
      <c r="I855" t="s">
        <v>25</v>
      </c>
      <c r="J855" t="s">
        <v>1296</v>
      </c>
      <c r="K855">
        <v>7</v>
      </c>
      <c r="L855">
        <v>8</v>
      </c>
      <c r="M855">
        <v>2025</v>
      </c>
      <c r="N855" t="s">
        <v>27</v>
      </c>
      <c r="O855">
        <v>100</v>
      </c>
      <c r="P855">
        <v>100</v>
      </c>
      <c r="R855" s="3" t="str">
        <f>HYPERLINK("https://panda.att.com.mx/ODKServer/view/binaryData?blobKey=FSSuministroFluidosv3%5B%40version%3Dnull+and+%40uiVersion%3Dnull%5D%2Fdata%5B%40key%3Duuid%3A6bf9c590-6741-411a-b19a-0a19f6826893%5D%2FgroupInfoFuel%5B%40ordinal%3D1%5D%2FpicFuelRecibeInterno","Descargar")</f>
        <v>Descargar</v>
      </c>
    </row>
    <row r="856" spans="1:18" x14ac:dyDescent="0.3">
      <c r="A856">
        <v>1592316</v>
      </c>
      <c r="B856" t="s">
        <v>18</v>
      </c>
      <c r="C856" t="s">
        <v>68</v>
      </c>
      <c r="D856" t="s">
        <v>91</v>
      </c>
      <c r="E856" t="s">
        <v>828</v>
      </c>
      <c r="F856" t="s">
        <v>22</v>
      </c>
      <c r="G856" t="s">
        <v>23</v>
      </c>
      <c r="H856" t="s">
        <v>37</v>
      </c>
      <c r="I856" t="s">
        <v>25</v>
      </c>
      <c r="J856" t="s">
        <v>1297</v>
      </c>
      <c r="K856">
        <v>7</v>
      </c>
      <c r="L856">
        <v>8</v>
      </c>
      <c r="M856">
        <v>2025</v>
      </c>
      <c r="N856" t="s">
        <v>27</v>
      </c>
      <c r="O856">
        <v>150</v>
      </c>
      <c r="P856">
        <v>150</v>
      </c>
      <c r="R856" s="3" t="str">
        <f>HYPERLINK("https://panda.att.com.mx/ODKServer/view/binaryData?blobKey=FSSuministroFluidosv3%5B%40version%3Dnull+and+%40uiVersion%3Dnull%5D%2Fdata%5B%40key%3Duuid%3A8be98c45-7d14-42a1-ad5c-7fbca2874f74%5D%2FgroupInfoFuel%5B%40ordinal%3D1%5D%2FpicFuelRecibeInterno","Descargar")</f>
        <v>Descargar</v>
      </c>
    </row>
    <row r="857" spans="1:18" x14ac:dyDescent="0.3">
      <c r="A857">
        <v>1592280</v>
      </c>
      <c r="B857" t="s">
        <v>18</v>
      </c>
      <c r="C857" t="s">
        <v>100</v>
      </c>
      <c r="D857" t="s">
        <v>716</v>
      </c>
      <c r="E857" t="s">
        <v>717</v>
      </c>
      <c r="F857" t="s">
        <v>22</v>
      </c>
      <c r="G857" t="s">
        <v>83</v>
      </c>
      <c r="H857" t="s">
        <v>58</v>
      </c>
      <c r="I857" t="s">
        <v>25</v>
      </c>
      <c r="J857" t="s">
        <v>1298</v>
      </c>
      <c r="K857">
        <v>7</v>
      </c>
      <c r="L857">
        <v>8</v>
      </c>
      <c r="M857">
        <v>2025</v>
      </c>
      <c r="N857" t="s">
        <v>27</v>
      </c>
      <c r="O857">
        <v>130</v>
      </c>
      <c r="P857">
        <v>130</v>
      </c>
      <c r="R857" s="3" t="str">
        <f>HYPERLINK("https://panda.att.com.mx/ODKServer/view/binaryData?blobKey=FSSuministroFluidosv3%5B%40version%3Dnull+and+%40uiVersion%3Dnull%5D%2Fdata%5B%40key%3Duuid%3A63f91345-a819-4b2d-b0be-bb97eab64b51%5D%2FgroupInfoFuel%5B%40ordinal%3D1%5D%2FpicFuelRecibeInterno","Descargar")</f>
        <v>Descargar</v>
      </c>
    </row>
    <row r="858" spans="1:18" x14ac:dyDescent="0.3">
      <c r="A858">
        <v>1592273</v>
      </c>
      <c r="B858" t="s">
        <v>18</v>
      </c>
      <c r="C858" t="s">
        <v>55</v>
      </c>
      <c r="D858" t="s">
        <v>128</v>
      </c>
      <c r="E858" t="s">
        <v>240</v>
      </c>
      <c r="F858" t="s">
        <v>22</v>
      </c>
      <c r="G858" t="s">
        <v>23</v>
      </c>
      <c r="H858" t="s">
        <v>58</v>
      </c>
      <c r="I858" t="s">
        <v>25</v>
      </c>
      <c r="J858" t="s">
        <v>1299</v>
      </c>
      <c r="K858">
        <v>6</v>
      </c>
      <c r="L858">
        <v>8</v>
      </c>
      <c r="M858">
        <v>2025</v>
      </c>
      <c r="N858" t="s">
        <v>44</v>
      </c>
      <c r="O858">
        <v>25</v>
      </c>
      <c r="P858">
        <v>25</v>
      </c>
      <c r="R858" s="3" t="str">
        <f>HYPERLINK("https://panda.att.com.mx/ODKServer/view/binaryData?blobKey=FSSuministroFluidosv3%5B%40version%3Dnull+and+%40uiVersion%3Dnull%5D%2Fdata%5B%40key%3Duuid%3A82471057-b31a-4b9d-84cb-6fdb95f7e322%5D%2FgroupInfoFuel%5B%40ordinal%3D1%5D%2FpicFuelRecibeInterno","Descargar")</f>
        <v>Descargar</v>
      </c>
    </row>
    <row r="859" spans="1:18" x14ac:dyDescent="0.3">
      <c r="A859">
        <v>1592259</v>
      </c>
      <c r="B859" t="s">
        <v>18</v>
      </c>
      <c r="C859" t="s">
        <v>100</v>
      </c>
      <c r="D859" t="s">
        <v>101</v>
      </c>
      <c r="E859" t="s">
        <v>102</v>
      </c>
      <c r="F859" t="s">
        <v>22</v>
      </c>
      <c r="G859" t="s">
        <v>83</v>
      </c>
      <c r="H859" t="s">
        <v>58</v>
      </c>
      <c r="I859" t="s">
        <v>25</v>
      </c>
      <c r="J859" t="s">
        <v>1300</v>
      </c>
      <c r="K859">
        <v>7</v>
      </c>
      <c r="L859">
        <v>8</v>
      </c>
      <c r="M859">
        <v>2025</v>
      </c>
      <c r="N859" t="s">
        <v>44</v>
      </c>
      <c r="O859">
        <v>60</v>
      </c>
      <c r="P859">
        <v>60</v>
      </c>
      <c r="R859" s="3" t="str">
        <f>HYPERLINK("https://panda.att.com.mx/ODKServer/view/binaryData?blobKey=FSSuministroFluidosv3%5B%40version%3Dnull+and+%40uiVersion%3Dnull%5D%2Fdata%5B%40key%3Duuid%3A4c606447-fcf4-4089-9ac9-8b6e8dc587b4%5D%2FgroupInfoFuel%5B%40ordinal%3D1%5D%2FpicFuelRecibeInterno","Descargar")</f>
        <v>Descargar</v>
      </c>
    </row>
    <row r="860" spans="1:18" x14ac:dyDescent="0.3">
      <c r="A860">
        <v>1592257</v>
      </c>
      <c r="B860" t="s">
        <v>18</v>
      </c>
      <c r="C860" t="s">
        <v>59</v>
      </c>
      <c r="D860" t="s">
        <v>60</v>
      </c>
      <c r="E860" t="s">
        <v>1301</v>
      </c>
      <c r="F860" t="s">
        <v>22</v>
      </c>
      <c r="G860" t="s">
        <v>23</v>
      </c>
      <c r="H860" t="s">
        <v>37</v>
      </c>
      <c r="I860" t="s">
        <v>25</v>
      </c>
      <c r="J860" t="s">
        <v>1302</v>
      </c>
      <c r="K860">
        <v>7</v>
      </c>
      <c r="L860">
        <v>8</v>
      </c>
      <c r="M860">
        <v>2025</v>
      </c>
      <c r="N860" t="s">
        <v>27</v>
      </c>
      <c r="O860">
        <v>100</v>
      </c>
      <c r="P860">
        <v>100</v>
      </c>
      <c r="R860" s="3" t="str">
        <f>HYPERLINK("https://panda.att.com.mx/ODKServer/view/binaryData?blobKey=FSSuministroFluidosv3%5B%40version%3Dnull+and+%40uiVersion%3Dnull%5D%2Fdata%5B%40key%3Duuid%3A67e8c94a-1abc-4e03-ad77-42c192b24892%5D%2FgroupInfoFuel%5B%40ordinal%3D1%5D%2FpicFuelRecibeInterno","Descargar")</f>
        <v>Descargar</v>
      </c>
    </row>
    <row r="861" spans="1:18" x14ac:dyDescent="0.3">
      <c r="A861">
        <v>1592200</v>
      </c>
      <c r="B861" t="s">
        <v>18</v>
      </c>
      <c r="C861" t="s">
        <v>100</v>
      </c>
      <c r="D861" t="s">
        <v>833</v>
      </c>
      <c r="E861" t="s">
        <v>1303</v>
      </c>
      <c r="F861" t="s">
        <v>22</v>
      </c>
      <c r="G861" t="s">
        <v>83</v>
      </c>
      <c r="H861" t="s">
        <v>58</v>
      </c>
      <c r="I861" t="s">
        <v>25</v>
      </c>
      <c r="J861" t="s">
        <v>1304</v>
      </c>
      <c r="K861">
        <v>7</v>
      </c>
      <c r="L861">
        <v>8</v>
      </c>
      <c r="M861">
        <v>2025</v>
      </c>
      <c r="N861" t="s">
        <v>44</v>
      </c>
      <c r="O861">
        <v>60</v>
      </c>
      <c r="P861">
        <v>60</v>
      </c>
      <c r="R861" s="3" t="str">
        <f>HYPERLINK("https://panda.att.com.mx/ODKServer/view/binaryData?blobKey=FSSuministroFluidosv3%5B%40version%3Dnull+and+%40uiVersion%3Dnull%5D%2Fdata%5B%40key%3Duuid%3Aca80c5c5-afdf-4b03-a8d1-5408593214ec%5D%2FgroupInfoFuel%5B%40ordinal%3D1%5D%2FpicFuelRecibeInterno","Descargar")</f>
        <v>Descargar</v>
      </c>
    </row>
    <row r="862" spans="1:18" x14ac:dyDescent="0.3">
      <c r="A862">
        <v>1592184</v>
      </c>
      <c r="B862" t="s">
        <v>18</v>
      </c>
      <c r="C862" t="s">
        <v>28</v>
      </c>
      <c r="D862" t="s">
        <v>118</v>
      </c>
      <c r="E862" t="s">
        <v>1305</v>
      </c>
      <c r="F862" t="s">
        <v>22</v>
      </c>
      <c r="G862" t="s">
        <v>23</v>
      </c>
      <c r="H862" t="s">
        <v>24</v>
      </c>
      <c r="I862" t="s">
        <v>25</v>
      </c>
      <c r="J862" t="s">
        <v>1306</v>
      </c>
      <c r="K862">
        <v>6</v>
      </c>
      <c r="L862">
        <v>8</v>
      </c>
      <c r="M862">
        <v>2025</v>
      </c>
      <c r="N862" t="s">
        <v>27</v>
      </c>
      <c r="O862">
        <v>200</v>
      </c>
      <c r="P862">
        <v>200</v>
      </c>
      <c r="R862" s="3" t="str">
        <f>HYPERLINK("https://panda.att.com.mx/ODKServer/view/binaryData?blobKey=FSSuministroFluidosv3%5B%40version%3Dnull+and+%40uiVersion%3Dnull%5D%2Fdata%5B%40key%3Duuid%3A5a246969-ff5d-43cf-b2f0-66063654c1dc%5D%2FgroupInfoFuel%5B%40ordinal%3D1%5D%2FpicFuelRecibeInterno","Descargar")</f>
        <v>Descargar</v>
      </c>
    </row>
    <row r="863" spans="1:18" x14ac:dyDescent="0.3">
      <c r="A863">
        <v>1592166</v>
      </c>
      <c r="B863" t="s">
        <v>18</v>
      </c>
      <c r="C863" t="s">
        <v>59</v>
      </c>
      <c r="D863" t="s">
        <v>1307</v>
      </c>
      <c r="E863" t="s">
        <v>1308</v>
      </c>
      <c r="F863" t="s">
        <v>22</v>
      </c>
      <c r="G863" t="s">
        <v>23</v>
      </c>
      <c r="H863" t="s">
        <v>37</v>
      </c>
      <c r="I863" t="s">
        <v>25</v>
      </c>
      <c r="J863" t="s">
        <v>1309</v>
      </c>
      <c r="K863">
        <v>6</v>
      </c>
      <c r="L863">
        <v>8</v>
      </c>
      <c r="M863">
        <v>2025</v>
      </c>
      <c r="N863" t="s">
        <v>27</v>
      </c>
      <c r="O863">
        <v>121</v>
      </c>
      <c r="P863">
        <v>121</v>
      </c>
      <c r="R863" s="3" t="str">
        <f>HYPERLINK("https://panda.att.com.mx/ODKServer/view/binaryData?blobKey=FSSuministroFluidosv3%5B%40version%3Dnull+and+%40uiVersion%3Dnull%5D%2Fdata%5B%40key%3Duuid%3Ade783673-9602-4083-98cb-532cd5d68dc4%5D%2FgroupInfoFuel%5B%40ordinal%3D1%5D%2FpicFuelRecibeInterno","Descargar")</f>
        <v>Descargar</v>
      </c>
    </row>
    <row r="864" spans="1:18" x14ac:dyDescent="0.3">
      <c r="A864">
        <v>1592164</v>
      </c>
      <c r="B864" t="s">
        <v>18</v>
      </c>
      <c r="C864" t="s">
        <v>59</v>
      </c>
      <c r="D864" t="s">
        <v>60</v>
      </c>
      <c r="E864" t="s">
        <v>1310</v>
      </c>
      <c r="F864" t="s">
        <v>22</v>
      </c>
      <c r="G864" t="s">
        <v>23</v>
      </c>
      <c r="H864" t="s">
        <v>37</v>
      </c>
      <c r="I864" t="s">
        <v>25</v>
      </c>
      <c r="J864" t="s">
        <v>1311</v>
      </c>
      <c r="K864">
        <v>5</v>
      </c>
      <c r="L864">
        <v>8</v>
      </c>
      <c r="M864">
        <v>2025</v>
      </c>
      <c r="N864" t="s">
        <v>27</v>
      </c>
      <c r="O864">
        <v>50</v>
      </c>
      <c r="P864">
        <v>50</v>
      </c>
      <c r="R864" s="3" t="str">
        <f>HYPERLINK("https://panda.att.com.mx/ODKServer/view/binaryData?blobKey=FSSuministroFluidosv3%5B%40version%3Dnull+and+%40uiVersion%3Dnull%5D%2Fdata%5B%40key%3Duuid%3A7406f3eb-c11d-4028-a4ac-2a821848c297%5D%2FgroupInfoFuel%5B%40ordinal%3D1%5D%2FpicFuelRecibeInterno","Descargar")</f>
        <v>Descargar</v>
      </c>
    </row>
    <row r="865" spans="1:18" x14ac:dyDescent="0.3">
      <c r="A865">
        <v>1592152</v>
      </c>
      <c r="B865" t="s">
        <v>18</v>
      </c>
      <c r="C865" t="s">
        <v>59</v>
      </c>
      <c r="D865" t="s">
        <v>60</v>
      </c>
      <c r="E865" t="s">
        <v>1312</v>
      </c>
      <c r="F865" t="s">
        <v>22</v>
      </c>
      <c r="G865" t="s">
        <v>23</v>
      </c>
      <c r="H865" t="s">
        <v>37</v>
      </c>
      <c r="I865" t="s">
        <v>25</v>
      </c>
      <c r="J865" t="s">
        <v>1313</v>
      </c>
      <c r="K865">
        <v>5</v>
      </c>
      <c r="L865">
        <v>8</v>
      </c>
      <c r="M865">
        <v>2025</v>
      </c>
      <c r="N865" t="s">
        <v>27</v>
      </c>
      <c r="O865">
        <v>60</v>
      </c>
      <c r="P865">
        <v>60</v>
      </c>
      <c r="R865" s="3" t="str">
        <f>HYPERLINK("https://panda.att.com.mx/ODKServer/view/binaryData?blobKey=FSSuministroFluidosv3%5B%40version%3Dnull+and+%40uiVersion%3Dnull%5D%2Fdata%5B%40key%3Duuid%3A48c36212-fde5-4bf1-ab73-2c34a37c3749%5D%2FgroupInfoFuel%5B%40ordinal%3D1%5D%2FpicFuelRecibeInterno","Descargar")</f>
        <v>Descargar</v>
      </c>
    </row>
    <row r="866" spans="1:18" x14ac:dyDescent="0.3">
      <c r="A866">
        <v>1592151</v>
      </c>
      <c r="B866" t="s">
        <v>18</v>
      </c>
      <c r="C866" t="s">
        <v>59</v>
      </c>
      <c r="D866" t="s">
        <v>60</v>
      </c>
      <c r="E866" t="s">
        <v>1314</v>
      </c>
      <c r="F866" t="s">
        <v>22</v>
      </c>
      <c r="G866" t="s">
        <v>23</v>
      </c>
      <c r="H866" t="s">
        <v>37</v>
      </c>
      <c r="I866" t="s">
        <v>25</v>
      </c>
      <c r="J866" t="s">
        <v>1315</v>
      </c>
      <c r="K866">
        <v>4</v>
      </c>
      <c r="L866">
        <v>8</v>
      </c>
      <c r="M866">
        <v>2025</v>
      </c>
      <c r="N866" t="s">
        <v>27</v>
      </c>
      <c r="O866">
        <v>75</v>
      </c>
      <c r="P866">
        <v>75</v>
      </c>
      <c r="R866" s="3" t="str">
        <f>HYPERLINK("https://panda.att.com.mx/ODKServer/view/binaryData?blobKey=FSSuministroFluidosv3%5B%40version%3Dnull+and+%40uiVersion%3Dnull%5D%2Fdata%5B%40key%3Duuid%3Abbd4b899-d86a-4321-95fc-b4cd17236efe%5D%2FgroupInfoFuel%5B%40ordinal%3D1%5D%2FpicFuelRecibeInterno","Descargar")</f>
        <v>Descargar</v>
      </c>
    </row>
    <row r="867" spans="1:18" x14ac:dyDescent="0.3">
      <c r="A867">
        <v>1592132</v>
      </c>
      <c r="B867" t="s">
        <v>18</v>
      </c>
      <c r="C867" t="s">
        <v>59</v>
      </c>
      <c r="D867" t="s">
        <v>60</v>
      </c>
      <c r="E867" t="s">
        <v>125</v>
      </c>
      <c r="F867" t="s">
        <v>22</v>
      </c>
      <c r="G867" t="s">
        <v>23</v>
      </c>
      <c r="H867" t="s">
        <v>37</v>
      </c>
      <c r="I867" t="s">
        <v>25</v>
      </c>
      <c r="J867" t="s">
        <v>1316</v>
      </c>
      <c r="K867">
        <v>6</v>
      </c>
      <c r="L867">
        <v>8</v>
      </c>
      <c r="M867">
        <v>2025</v>
      </c>
      <c r="N867" t="s">
        <v>27</v>
      </c>
      <c r="O867">
        <v>400</v>
      </c>
      <c r="P867">
        <v>400</v>
      </c>
      <c r="R867" s="3" t="str">
        <f>HYPERLINK("https://panda.att.com.mx/ODKServer/view/binaryData?blobKey=FSSuministroFluidosv3%5B%40version%3Dnull+and+%40uiVersion%3Dnull%5D%2Fdata%5B%40key%3Duuid%3A05cb814f-6a6f-4459-a870-d4bf1c013269%5D%2FgroupInfoFuel%5B%40ordinal%3D1%5D%2FpicFuelRecibeInterno","Descargar")</f>
        <v>Descargar</v>
      </c>
    </row>
    <row r="868" spans="1:18" x14ac:dyDescent="0.3">
      <c r="A868">
        <v>1592058</v>
      </c>
      <c r="B868" t="s">
        <v>18</v>
      </c>
      <c r="C868" t="s">
        <v>55</v>
      </c>
      <c r="D868" t="s">
        <v>64</v>
      </c>
      <c r="E868" t="s">
        <v>1317</v>
      </c>
      <c r="F868" t="s">
        <v>22</v>
      </c>
      <c r="G868" t="s">
        <v>23</v>
      </c>
      <c r="H868" t="s">
        <v>58</v>
      </c>
      <c r="I868" t="s">
        <v>25</v>
      </c>
      <c r="J868" t="s">
        <v>1318</v>
      </c>
      <c r="K868">
        <v>6</v>
      </c>
      <c r="L868">
        <v>8</v>
      </c>
      <c r="M868">
        <v>2025</v>
      </c>
      <c r="N868" t="s">
        <v>27</v>
      </c>
      <c r="O868">
        <v>100</v>
      </c>
      <c r="P868">
        <v>100</v>
      </c>
      <c r="R868" s="3" t="str">
        <f>HYPERLINK("https://panda.att.com.mx/ODKServer/view/binaryData?blobKey=FSSuministroFluidosv3%5B%40version%3Dnull+and+%40uiVersion%3Dnull%5D%2Fdata%5B%40key%3Duuid%3A6698e6ff-ea6e-4a9b-be24-d432f55a1dfd%5D%2FgroupInfoFuel%5B%40ordinal%3D1%5D%2FpicFuelRecibeInterno","Descargar")</f>
        <v>Descargar</v>
      </c>
    </row>
    <row r="869" spans="1:18" x14ac:dyDescent="0.3">
      <c r="A869">
        <v>1592012</v>
      </c>
      <c r="B869" t="s">
        <v>18</v>
      </c>
      <c r="C869" t="s">
        <v>34</v>
      </c>
      <c r="D869" t="s">
        <v>53</v>
      </c>
      <c r="E869" t="s">
        <v>54</v>
      </c>
      <c r="F869" t="s">
        <v>22</v>
      </c>
      <c r="G869" t="s">
        <v>23</v>
      </c>
      <c r="H869" t="s">
        <v>37</v>
      </c>
      <c r="I869" t="s">
        <v>25</v>
      </c>
      <c r="J869" t="s">
        <v>1319</v>
      </c>
      <c r="K869">
        <v>6</v>
      </c>
      <c r="L869">
        <v>8</v>
      </c>
      <c r="M869">
        <v>2025</v>
      </c>
      <c r="N869" t="s">
        <v>27</v>
      </c>
      <c r="O869">
        <v>200</v>
      </c>
      <c r="Q869">
        <v>200</v>
      </c>
      <c r="R869" s="3" t="str">
        <f>HYPERLINK("https://panda.att.com.mx/ODKServer/view/binaryData?blobKey=FSSuministroFluidosv3%5B%40version%3Dnull+and+%40uiVersion%3Dnull%5D%2Fdata%5B%40key%3Duuid%3A24355d18-fc8a-4528-9373-8077fbbabf05%5D%2FgroupInfoFuel%5B%40ordinal%3D1%5D%2FpicFuelRecibeInterno","Descargar")</f>
        <v>Descargar</v>
      </c>
    </row>
    <row r="870" spans="1:18" x14ac:dyDescent="0.3">
      <c r="A870">
        <v>1591995</v>
      </c>
      <c r="B870" t="s">
        <v>18</v>
      </c>
      <c r="C870" t="s">
        <v>28</v>
      </c>
      <c r="D870" t="s">
        <v>181</v>
      </c>
      <c r="E870" t="s">
        <v>1320</v>
      </c>
      <c r="F870" t="s">
        <v>22</v>
      </c>
      <c r="G870" t="s">
        <v>23</v>
      </c>
      <c r="H870" t="s">
        <v>24</v>
      </c>
      <c r="I870" t="s">
        <v>25</v>
      </c>
      <c r="J870" s="2">
        <v>45866.479108796288</v>
      </c>
      <c r="K870">
        <v>28</v>
      </c>
      <c r="L870">
        <v>7</v>
      </c>
      <c r="M870">
        <v>2025</v>
      </c>
      <c r="N870" t="s">
        <v>44</v>
      </c>
      <c r="O870">
        <v>50</v>
      </c>
      <c r="P870">
        <v>50</v>
      </c>
      <c r="R870" s="3" t="str">
        <f>HYPERLINK("https://panda.att.com.mx/ODKServer/view/binaryData?blobKey=FSSuministroFluidosv3%5B%40version%3Dnull+and+%40uiVersion%3Dnull%5D%2Fdata%5B%40key%3Duuid%3A46ee89de-c746-4950-932f-93b4429895ff%5D%2FgroupInfoFuel%5B%40ordinal%3D1%5D%2FpicFuelRecibeInterno","Descargar")</f>
        <v>Descargar</v>
      </c>
    </row>
    <row r="871" spans="1:18" x14ac:dyDescent="0.3">
      <c r="A871">
        <v>1591967</v>
      </c>
      <c r="B871" t="s">
        <v>18</v>
      </c>
      <c r="C871" t="s">
        <v>19</v>
      </c>
      <c r="D871" t="s">
        <v>347</v>
      </c>
      <c r="E871" t="s">
        <v>1321</v>
      </c>
      <c r="F871" t="s">
        <v>22</v>
      </c>
      <c r="G871" t="s">
        <v>23</v>
      </c>
      <c r="H871" t="s">
        <v>24</v>
      </c>
      <c r="I871" t="s">
        <v>25</v>
      </c>
      <c r="J871" t="s">
        <v>1322</v>
      </c>
      <c r="K871">
        <v>4</v>
      </c>
      <c r="L871">
        <v>8</v>
      </c>
      <c r="M871">
        <v>2025</v>
      </c>
      <c r="N871" t="s">
        <v>27</v>
      </c>
      <c r="O871">
        <v>200</v>
      </c>
      <c r="P871">
        <v>200</v>
      </c>
      <c r="R871" s="3" t="str">
        <f>HYPERLINK("https://panda.att.com.mx/ODKServer/view/binaryData?blobKey=FSSuministroFluidosv3%5B%40version%3Dnull+and+%40uiVersion%3Dnull%5D%2Fdata%5B%40key%3Duuid%3A237997e2-6ea9-494a-bbb8-0d4f4e1fee27%5D%2FgroupInfoFuel%5B%40ordinal%3D1%5D%2FpicFuelRecibeInterno","Descargar")</f>
        <v>Descargar</v>
      </c>
    </row>
    <row r="872" spans="1:18" x14ac:dyDescent="0.3">
      <c r="A872">
        <v>1591927</v>
      </c>
      <c r="B872" t="s">
        <v>18</v>
      </c>
      <c r="C872" t="s">
        <v>100</v>
      </c>
      <c r="D872" t="s">
        <v>833</v>
      </c>
      <c r="E872" t="s">
        <v>1323</v>
      </c>
      <c r="F872" t="s">
        <v>22</v>
      </c>
      <c r="G872" t="s">
        <v>23</v>
      </c>
      <c r="H872" t="s">
        <v>58</v>
      </c>
      <c r="I872" t="s">
        <v>25</v>
      </c>
      <c r="J872" t="s">
        <v>1324</v>
      </c>
      <c r="K872">
        <v>6</v>
      </c>
      <c r="L872">
        <v>8</v>
      </c>
      <c r="M872">
        <v>2025</v>
      </c>
      <c r="N872" t="s">
        <v>27</v>
      </c>
      <c r="O872">
        <v>250</v>
      </c>
      <c r="P872">
        <v>250</v>
      </c>
      <c r="R872" s="3" t="str">
        <f>HYPERLINK("https://panda.att.com.mx/ODKServer/view/binaryData?blobKey=FSSuministroFluidosv3%5B%40version%3Dnull+and+%40uiVersion%3Dnull%5D%2Fdata%5B%40key%3Duuid%3A415e5195-d09a-437e-9fdf-9336933eea8a%5D%2FgroupInfoFuel%5B%40ordinal%3D1%5D%2FpicFuelRecibeInterno","Descargar")</f>
        <v>Descargar</v>
      </c>
    </row>
    <row r="873" spans="1:18" x14ac:dyDescent="0.3">
      <c r="A873">
        <v>1591893</v>
      </c>
      <c r="B873" t="s">
        <v>18</v>
      </c>
      <c r="C873" t="s">
        <v>34</v>
      </c>
      <c r="D873" t="s">
        <v>51</v>
      </c>
      <c r="E873" t="s">
        <v>1221</v>
      </c>
      <c r="F873" t="s">
        <v>22</v>
      </c>
      <c r="G873" t="s">
        <v>23</v>
      </c>
      <c r="H873" t="s">
        <v>24</v>
      </c>
      <c r="I873" t="s">
        <v>25</v>
      </c>
      <c r="J873" t="s">
        <v>1325</v>
      </c>
      <c r="K873">
        <v>5</v>
      </c>
      <c r="L873">
        <v>8</v>
      </c>
      <c r="M873">
        <v>2025</v>
      </c>
      <c r="N873" t="s">
        <v>27</v>
      </c>
      <c r="O873">
        <v>100</v>
      </c>
      <c r="Q873">
        <v>100</v>
      </c>
      <c r="R873" s="3" t="str">
        <f>HYPERLINK("https://panda.att.com.mx/ODKServer/view/binaryData?blobKey=FSSuministroFluidosv3%5B%40version%3Dnull+and+%40uiVersion%3Dnull%5D%2Fdata%5B%40key%3Duuid%3A58fab8e0-5ce9-4908-b1e1-78b0dad4df1b%5D%2FgroupInfoFuel%5B%40ordinal%3D1%5D%2FpicFuelRecibeInterno","Descargar")</f>
        <v>Descargar</v>
      </c>
    </row>
    <row r="874" spans="1:18" x14ac:dyDescent="0.3">
      <c r="A874">
        <v>1591846</v>
      </c>
      <c r="B874" t="s">
        <v>18</v>
      </c>
      <c r="C874" t="s">
        <v>19</v>
      </c>
      <c r="D874" t="s">
        <v>62</v>
      </c>
      <c r="E874" t="s">
        <v>1326</v>
      </c>
      <c r="F874" t="s">
        <v>22</v>
      </c>
      <c r="G874" t="s">
        <v>23</v>
      </c>
      <c r="H874" t="s">
        <v>37</v>
      </c>
      <c r="I874" t="s">
        <v>25</v>
      </c>
      <c r="J874" t="s">
        <v>1327</v>
      </c>
      <c r="K874">
        <v>6</v>
      </c>
      <c r="L874">
        <v>8</v>
      </c>
      <c r="M874">
        <v>2025</v>
      </c>
      <c r="N874" t="s">
        <v>44</v>
      </c>
      <c r="O874">
        <v>40</v>
      </c>
      <c r="P874">
        <v>40</v>
      </c>
      <c r="R874" s="3" t="str">
        <f>HYPERLINK("https://panda.att.com.mx/ODKServer/view/binaryData?blobKey=FSSuministroFluidosv3%5B%40version%3Dnull+and+%40uiVersion%3Dnull%5D%2Fdata%5B%40key%3Duuid%3A5f4072e0-50f0-42ea-ae9a-498c963831b1%5D%2FgroupInfoFuel%5B%40ordinal%3D1%5D%2FpicFuelRecibeInterno","Descargar")</f>
        <v>Descargar</v>
      </c>
    </row>
    <row r="875" spans="1:18" x14ac:dyDescent="0.3">
      <c r="A875">
        <v>1591825</v>
      </c>
      <c r="B875" t="s">
        <v>18</v>
      </c>
      <c r="C875" t="s">
        <v>28</v>
      </c>
      <c r="D875" t="s">
        <v>181</v>
      </c>
      <c r="E875" t="s">
        <v>1328</v>
      </c>
      <c r="F875" t="s">
        <v>22</v>
      </c>
      <c r="G875" t="s">
        <v>23</v>
      </c>
      <c r="H875" t="s">
        <v>24</v>
      </c>
      <c r="I875" t="s">
        <v>25</v>
      </c>
      <c r="J875" t="s">
        <v>1329</v>
      </c>
      <c r="K875">
        <v>6</v>
      </c>
      <c r="L875">
        <v>8</v>
      </c>
      <c r="M875">
        <v>2025</v>
      </c>
      <c r="N875" t="s">
        <v>44</v>
      </c>
      <c r="O875">
        <v>50</v>
      </c>
      <c r="P875">
        <v>50</v>
      </c>
      <c r="R875" s="3" t="str">
        <f>HYPERLINK("https://panda.att.com.mx/ODKServer/view/binaryData?blobKey=FSSuministroFluidosv3%5B%40version%3Dnull+and+%40uiVersion%3Dnull%5D%2Fdata%5B%40key%3Duuid%3A21d9c7c8-f670-499b-9253-74a09bdd8985%5D%2FgroupInfoFuel%5B%40ordinal%3D1%5D%2FpicFuelRecibeInterno","Descargar")</f>
        <v>Descargar</v>
      </c>
    </row>
    <row r="876" spans="1:18" x14ac:dyDescent="0.3">
      <c r="A876">
        <v>1591784</v>
      </c>
      <c r="B876" t="s">
        <v>18</v>
      </c>
      <c r="C876" t="s">
        <v>100</v>
      </c>
      <c r="D876" t="s">
        <v>757</v>
      </c>
      <c r="E876" t="s">
        <v>1330</v>
      </c>
      <c r="F876" t="s">
        <v>22</v>
      </c>
      <c r="G876" t="s">
        <v>23</v>
      </c>
      <c r="H876" t="s">
        <v>58</v>
      </c>
      <c r="I876" t="s">
        <v>25</v>
      </c>
      <c r="J876" t="s">
        <v>1331</v>
      </c>
      <c r="K876">
        <v>6</v>
      </c>
      <c r="L876">
        <v>8</v>
      </c>
      <c r="M876">
        <v>2025</v>
      </c>
      <c r="N876" t="s">
        <v>27</v>
      </c>
      <c r="O876">
        <v>250</v>
      </c>
      <c r="P876">
        <v>250</v>
      </c>
      <c r="R876" s="3" t="str">
        <f>HYPERLINK("https://panda.att.com.mx/ODKServer/view/binaryData?blobKey=FSSuministroFluidosv3%5B%40version%3Dnull+and+%40uiVersion%3Dnull%5D%2Fdata%5B%40key%3Duuid%3A941cf086-92f8-4be4-9ae6-9b81da19f1e2%5D%2FgroupInfoFuel%5B%40ordinal%3D1%5D%2FpicFuelRecibeInterno","Descargar")</f>
        <v>Descargar</v>
      </c>
    </row>
    <row r="877" spans="1:18" x14ac:dyDescent="0.3">
      <c r="A877">
        <v>1590978</v>
      </c>
      <c r="B877" t="s">
        <v>18</v>
      </c>
      <c r="C877" t="s">
        <v>19</v>
      </c>
      <c r="D877" t="s">
        <v>347</v>
      </c>
      <c r="E877" t="s">
        <v>353</v>
      </c>
      <c r="F877" t="s">
        <v>22</v>
      </c>
      <c r="G877" t="s">
        <v>23</v>
      </c>
      <c r="H877" t="s">
        <v>24</v>
      </c>
      <c r="I877" t="s">
        <v>25</v>
      </c>
      <c r="J877" t="s">
        <v>1332</v>
      </c>
      <c r="K877">
        <v>2</v>
      </c>
      <c r="L877">
        <v>8</v>
      </c>
      <c r="M877">
        <v>2025</v>
      </c>
      <c r="N877" t="s">
        <v>27</v>
      </c>
      <c r="O877">
        <v>300</v>
      </c>
      <c r="P877">
        <v>300</v>
      </c>
      <c r="R877" s="3" t="str">
        <f>HYPERLINK("https://panda.att.com.mx/ODKServer/view/binaryData?blobKey=FSSuministroFluidosv3%5B%40version%3Dnull+and+%40uiVersion%3Dnull%5D%2Fdata%5B%40key%3Duuid%3Ad2a8dcf6-264d-4128-9ccb-f4dafdebe9e8%5D%2FgroupInfoFuel%5B%40ordinal%3D1%5D%2FpicFuelRecibeInterno","Descargar")</f>
        <v>Descargar</v>
      </c>
    </row>
    <row r="878" spans="1:18" x14ac:dyDescent="0.3">
      <c r="A878">
        <v>1590976</v>
      </c>
      <c r="B878" t="s">
        <v>18</v>
      </c>
      <c r="C878" t="s">
        <v>19</v>
      </c>
      <c r="D878" t="s">
        <v>347</v>
      </c>
      <c r="E878" t="s">
        <v>1321</v>
      </c>
      <c r="F878" t="s">
        <v>22</v>
      </c>
      <c r="G878" t="s">
        <v>23</v>
      </c>
      <c r="H878" t="s">
        <v>24</v>
      </c>
      <c r="I878" t="s">
        <v>25</v>
      </c>
      <c r="J878" s="2">
        <v>45863.327777777777</v>
      </c>
      <c r="K878">
        <v>25</v>
      </c>
      <c r="L878">
        <v>7</v>
      </c>
      <c r="M878">
        <v>2025</v>
      </c>
      <c r="N878" t="s">
        <v>27</v>
      </c>
      <c r="O878">
        <v>200</v>
      </c>
      <c r="P878">
        <v>200</v>
      </c>
      <c r="R878" s="3" t="str">
        <f>HYPERLINK("https://panda.att.com.mx/ODKServer/view/binaryData?blobKey=FSSuministroFluidosv3%5B%40version%3Dnull+and+%40uiVersion%3Dnull%5D%2Fdata%5B%40key%3Duuid%3Aee895f80-9686-4acb-a1a8-87674879fd70%5D%2FgroupInfoFuel%5B%40ordinal%3D1%5D%2FpicFuelRecibeInterno","Descargar")</f>
        <v>Descargar</v>
      </c>
    </row>
    <row r="879" spans="1:18" x14ac:dyDescent="0.3">
      <c r="A879">
        <v>1590970</v>
      </c>
      <c r="B879" t="s">
        <v>18</v>
      </c>
      <c r="C879" t="s">
        <v>19</v>
      </c>
      <c r="D879" t="s">
        <v>347</v>
      </c>
      <c r="E879" t="s">
        <v>1333</v>
      </c>
      <c r="F879" t="s">
        <v>22</v>
      </c>
      <c r="G879" t="s">
        <v>23</v>
      </c>
      <c r="H879" t="s">
        <v>24</v>
      </c>
      <c r="I879" t="s">
        <v>25</v>
      </c>
      <c r="J879" t="s">
        <v>1334</v>
      </c>
      <c r="K879">
        <v>1</v>
      </c>
      <c r="L879">
        <v>8</v>
      </c>
      <c r="M879">
        <v>2025</v>
      </c>
      <c r="N879" t="s">
        <v>44</v>
      </c>
      <c r="O879">
        <v>50</v>
      </c>
      <c r="P879">
        <v>50</v>
      </c>
      <c r="R879" s="3" t="str">
        <f>HYPERLINK("https://panda.att.com.mx/ODKServer/view/binaryData?blobKey=FSSuministroFluidosv3%5B%40version%3Dnull+and+%40uiVersion%3Dnull%5D%2Fdata%5B%40key%3Duuid%3A22aaab93-564e-4c98-a65b-b8a71396e8ff%5D%2FgroupInfoFuel%5B%40ordinal%3D1%5D%2FpicFuelRecibeInterno","Descargar")</f>
        <v>Descargar</v>
      </c>
    </row>
    <row r="880" spans="1:18" x14ac:dyDescent="0.3">
      <c r="A880">
        <v>1590944</v>
      </c>
      <c r="B880" t="s">
        <v>18</v>
      </c>
      <c r="C880" t="s">
        <v>68</v>
      </c>
      <c r="D880" t="s">
        <v>87</v>
      </c>
      <c r="E880" t="s">
        <v>1335</v>
      </c>
      <c r="F880" t="s">
        <v>22</v>
      </c>
      <c r="G880" t="s">
        <v>23</v>
      </c>
      <c r="H880" t="s">
        <v>37</v>
      </c>
      <c r="I880" t="s">
        <v>25</v>
      </c>
      <c r="J880" t="s">
        <v>1336</v>
      </c>
      <c r="K880">
        <v>4</v>
      </c>
      <c r="L880">
        <v>8</v>
      </c>
      <c r="M880">
        <v>2025</v>
      </c>
      <c r="N880" t="s">
        <v>44</v>
      </c>
      <c r="O880">
        <v>20</v>
      </c>
      <c r="P880">
        <v>20</v>
      </c>
      <c r="R880" s="3" t="str">
        <f>HYPERLINK("https://panda.att.com.mx/ODKServer/view/binaryData?blobKey=FSSuministroFluidosv3%5B%40version%3Dnull+and+%40uiVersion%3Dnull%5D%2Fdata%5B%40key%3Duuid%3A017061c5-2881-4ae7-aa07-e98be48640c4%5D%2FgroupInfoFuel%5B%40ordinal%3D1%5D%2FpicFuelRecibeInterno","Descargar")</f>
        <v>Descargar</v>
      </c>
    </row>
    <row r="881" spans="1:18" x14ac:dyDescent="0.3">
      <c r="A881">
        <v>1590937</v>
      </c>
      <c r="B881" t="s">
        <v>18</v>
      </c>
      <c r="C881" t="s">
        <v>19</v>
      </c>
      <c r="D881" t="s">
        <v>189</v>
      </c>
      <c r="E881" t="s">
        <v>1337</v>
      </c>
      <c r="F881" t="s">
        <v>22</v>
      </c>
      <c r="G881" t="s">
        <v>23</v>
      </c>
      <c r="H881" t="s">
        <v>24</v>
      </c>
      <c r="I881" t="s">
        <v>25</v>
      </c>
      <c r="J881" t="s">
        <v>1338</v>
      </c>
      <c r="K881">
        <v>4</v>
      </c>
      <c r="L881">
        <v>8</v>
      </c>
      <c r="M881">
        <v>2025</v>
      </c>
      <c r="N881" t="s">
        <v>27</v>
      </c>
      <c r="O881">
        <v>450</v>
      </c>
      <c r="Q881">
        <v>450</v>
      </c>
      <c r="R881" s="3" t="str">
        <f>HYPERLINK("https://panda.att.com.mx/ODKServer/view/binaryData?blobKey=FSSuministroFluidosv3%5B%40version%3Dnull+and+%40uiVersion%3Dnull%5D%2Fdata%5B%40key%3Duuid%3A77be0d20-db4f-4cf8-8c1c-516845a1e719%5D%2FgroupInfoFuel%5B%40ordinal%3D1%5D%2FpicFuelRecibeInterno","Descargar")</f>
        <v>Descargar</v>
      </c>
    </row>
    <row r="882" spans="1:18" x14ac:dyDescent="0.3">
      <c r="A882">
        <v>1590931</v>
      </c>
      <c r="B882" t="s">
        <v>18</v>
      </c>
      <c r="C882" t="s">
        <v>100</v>
      </c>
      <c r="D882" t="s">
        <v>101</v>
      </c>
      <c r="E882" t="s">
        <v>126</v>
      </c>
      <c r="F882" t="s">
        <v>22</v>
      </c>
      <c r="G882" t="s">
        <v>83</v>
      </c>
      <c r="H882" t="s">
        <v>58</v>
      </c>
      <c r="I882" t="s">
        <v>25</v>
      </c>
      <c r="J882" t="s">
        <v>1339</v>
      </c>
      <c r="K882">
        <v>5</v>
      </c>
      <c r="L882">
        <v>8</v>
      </c>
      <c r="M882">
        <v>2025</v>
      </c>
      <c r="N882" t="s">
        <v>27</v>
      </c>
      <c r="O882">
        <v>300</v>
      </c>
      <c r="P882">
        <v>300</v>
      </c>
      <c r="R882" s="3" t="str">
        <f>HYPERLINK("https://panda.att.com.mx/ODKServer/view/binaryData?blobKey=FSSuministroFluidosv3%5B%40version%3Dnull+and+%40uiVersion%3Dnull%5D%2Fdata%5B%40key%3Duuid%3A19e0c480-a673-48a3-95f5-34153aa867ba%5D%2FgroupInfoFuel%5B%40ordinal%3D1%5D%2FpicFuelRecibeInterno","Descargar")</f>
        <v>Descargar</v>
      </c>
    </row>
    <row r="883" spans="1:18" x14ac:dyDescent="0.3">
      <c r="A883">
        <v>1590917</v>
      </c>
      <c r="B883" t="s">
        <v>18</v>
      </c>
      <c r="C883" t="s">
        <v>68</v>
      </c>
      <c r="D883" t="s">
        <v>219</v>
      </c>
      <c r="E883" t="s">
        <v>1340</v>
      </c>
      <c r="F883" t="s">
        <v>22</v>
      </c>
      <c r="G883" t="s">
        <v>23</v>
      </c>
      <c r="H883" t="s">
        <v>37</v>
      </c>
      <c r="I883" t="s">
        <v>25</v>
      </c>
      <c r="J883" t="s">
        <v>1341</v>
      </c>
      <c r="K883">
        <v>4</v>
      </c>
      <c r="L883">
        <v>8</v>
      </c>
      <c r="M883">
        <v>2025</v>
      </c>
      <c r="N883" t="s">
        <v>27</v>
      </c>
      <c r="O883">
        <v>350</v>
      </c>
      <c r="P883">
        <v>350</v>
      </c>
      <c r="R883" s="3" t="str">
        <f>HYPERLINK("https://panda.att.com.mx/ODKServer/view/binaryData?blobKey=FSSuministroFluidosv3%5B%40version%3Dnull+and+%40uiVersion%3Dnull%5D%2Fdata%5B%40key%3Duuid%3Ae056e873-ad92-4722-9828-f74685793832%5D%2FgroupInfoFuel%5B%40ordinal%3D1%5D%2FpicFuelRecibeInterno","Descargar")</f>
        <v>Descargar</v>
      </c>
    </row>
    <row r="884" spans="1:18" x14ac:dyDescent="0.3">
      <c r="A884">
        <v>1590895</v>
      </c>
      <c r="B884" t="s">
        <v>18</v>
      </c>
      <c r="C884" t="s">
        <v>55</v>
      </c>
      <c r="D884" t="s">
        <v>56</v>
      </c>
      <c r="E884" t="s">
        <v>848</v>
      </c>
      <c r="F884" t="s">
        <v>22</v>
      </c>
      <c r="G884" t="s">
        <v>23</v>
      </c>
      <c r="H884" t="s">
        <v>58</v>
      </c>
      <c r="I884" t="s">
        <v>25</v>
      </c>
      <c r="J884" t="s">
        <v>1342</v>
      </c>
      <c r="K884">
        <v>4</v>
      </c>
      <c r="L884">
        <v>8</v>
      </c>
      <c r="M884">
        <v>2025</v>
      </c>
      <c r="N884" t="s">
        <v>27</v>
      </c>
      <c r="O884">
        <v>150</v>
      </c>
      <c r="P884">
        <v>150</v>
      </c>
      <c r="R884" s="3" t="str">
        <f>HYPERLINK("https://panda.att.com.mx/ODKServer/view/binaryData?blobKey=FSSuministroFluidosv3%5B%40version%3Dnull+and+%40uiVersion%3Dnull%5D%2Fdata%5B%40key%3Duuid%3Ae836cfe3-64f8-40e9-bc52-6062d40dc7a8%5D%2FgroupInfoFuel%5B%40ordinal%3D1%5D%2FpicFuelRecibeInterno","Descargar")</f>
        <v>Descargar</v>
      </c>
    </row>
    <row r="885" spans="1:18" x14ac:dyDescent="0.3">
      <c r="A885">
        <v>1590894</v>
      </c>
      <c r="B885" t="s">
        <v>18</v>
      </c>
      <c r="C885" t="s">
        <v>55</v>
      </c>
      <c r="D885" t="s">
        <v>56</v>
      </c>
      <c r="E885" t="s">
        <v>81</v>
      </c>
      <c r="F885" t="s">
        <v>22</v>
      </c>
      <c r="G885" t="s">
        <v>23</v>
      </c>
      <c r="H885" t="s">
        <v>58</v>
      </c>
      <c r="I885" t="s">
        <v>25</v>
      </c>
      <c r="J885" t="s">
        <v>1343</v>
      </c>
      <c r="K885">
        <v>4</v>
      </c>
      <c r="L885">
        <v>8</v>
      </c>
      <c r="M885">
        <v>2025</v>
      </c>
      <c r="N885" t="s">
        <v>27</v>
      </c>
      <c r="O885">
        <v>150</v>
      </c>
      <c r="P885">
        <v>150</v>
      </c>
      <c r="R885" s="3" t="str">
        <f>HYPERLINK("https://panda.att.com.mx/ODKServer/view/binaryData?blobKey=FSSuministroFluidosv3%5B%40version%3Dnull+and+%40uiVersion%3Dnull%5D%2Fdata%5B%40key%3Duuid%3A50de7e8f-a75f-4826-bd4d-68d5696c0920%5D%2FgroupInfoFuel%5B%40ordinal%3D1%5D%2FpicFuelRecibeInterno","Descargar")</f>
        <v>Descargar</v>
      </c>
    </row>
    <row r="886" spans="1:18" x14ac:dyDescent="0.3">
      <c r="A886">
        <v>1590888</v>
      </c>
      <c r="B886" t="s">
        <v>18</v>
      </c>
      <c r="C886" t="s">
        <v>55</v>
      </c>
      <c r="D886" t="s">
        <v>56</v>
      </c>
      <c r="E886" t="s">
        <v>320</v>
      </c>
      <c r="F886" t="s">
        <v>22</v>
      </c>
      <c r="G886" t="s">
        <v>23</v>
      </c>
      <c r="H886" t="s">
        <v>58</v>
      </c>
      <c r="I886" t="s">
        <v>25</v>
      </c>
      <c r="J886" t="s">
        <v>1344</v>
      </c>
      <c r="K886">
        <v>4</v>
      </c>
      <c r="L886">
        <v>8</v>
      </c>
      <c r="M886">
        <v>2025</v>
      </c>
      <c r="N886" t="s">
        <v>27</v>
      </c>
      <c r="O886">
        <v>300</v>
      </c>
      <c r="P886">
        <v>300</v>
      </c>
      <c r="R886" s="3" t="str">
        <f>HYPERLINK("https://panda.att.com.mx/ODKServer/view/binaryData?blobKey=FSSuministroFluidosv3%5B%40version%3Dnull+and+%40uiVersion%3Dnull%5D%2Fdata%5B%40key%3Duuid%3Aeefc62a3-34e3-434f-b2c5-df5490210bc7%5D%2FgroupInfoFuel%5B%40ordinal%3D1%5D%2FpicFuelRecibeInterno","Descargar")</f>
        <v>Descargar</v>
      </c>
    </row>
    <row r="887" spans="1:18" x14ac:dyDescent="0.3">
      <c r="A887">
        <v>1590887</v>
      </c>
      <c r="B887" t="s">
        <v>18</v>
      </c>
      <c r="C887" t="s">
        <v>100</v>
      </c>
      <c r="D887" t="s">
        <v>716</v>
      </c>
      <c r="E887" t="s">
        <v>1345</v>
      </c>
      <c r="F887" t="s">
        <v>22</v>
      </c>
      <c r="G887" t="s">
        <v>23</v>
      </c>
      <c r="H887" t="s">
        <v>58</v>
      </c>
      <c r="I887" t="s">
        <v>25</v>
      </c>
      <c r="J887" t="s">
        <v>1346</v>
      </c>
      <c r="K887">
        <v>5</v>
      </c>
      <c r="L887">
        <v>8</v>
      </c>
      <c r="M887">
        <v>2025</v>
      </c>
      <c r="N887" t="s">
        <v>27</v>
      </c>
      <c r="O887">
        <v>160</v>
      </c>
      <c r="P887">
        <v>160</v>
      </c>
      <c r="R887" s="3" t="str">
        <f>HYPERLINK("https://panda.att.com.mx/ODKServer/view/binaryData?blobKey=FSSuministroFluidosv3%5B%40version%3Dnull+and+%40uiVersion%3Dnull%5D%2Fdata%5B%40key%3Duuid%3Ade6046d5-1c05-471b-b5b6-71ecfbc4430c%5D%2FgroupInfoFuel%5B%40ordinal%3D1%5D%2FpicFuelRecibeInterno","Descargar")</f>
        <v>Descargar</v>
      </c>
    </row>
    <row r="888" spans="1:18" x14ac:dyDescent="0.3">
      <c r="A888">
        <v>1590829</v>
      </c>
      <c r="B888" t="s">
        <v>18</v>
      </c>
      <c r="C888" t="s">
        <v>19</v>
      </c>
      <c r="D888" t="s">
        <v>20</v>
      </c>
      <c r="E888" t="s">
        <v>735</v>
      </c>
      <c r="F888" t="s">
        <v>22</v>
      </c>
      <c r="G888" t="s">
        <v>23</v>
      </c>
      <c r="H888" t="s">
        <v>24</v>
      </c>
      <c r="I888" t="s">
        <v>25</v>
      </c>
      <c r="J888" t="s">
        <v>1347</v>
      </c>
      <c r="K888">
        <v>4</v>
      </c>
      <c r="L888">
        <v>8</v>
      </c>
      <c r="M888">
        <v>2025</v>
      </c>
      <c r="N888" t="s">
        <v>27</v>
      </c>
      <c r="O888">
        <v>200</v>
      </c>
      <c r="P888">
        <v>200</v>
      </c>
      <c r="R888" s="3" t="str">
        <f>HYPERLINK("https://panda.att.com.mx/ODKServer/view/binaryData?blobKey=FSSuministroFluidosv3%5B%40version%3Dnull+and+%40uiVersion%3Dnull%5D%2Fdata%5B%40key%3Duuid%3A7199a4e2-57fb-4190-9f48-f678f971ffe3%5D%2FgroupInfoFuel%5B%40ordinal%3D1%5D%2FpicFuelRecibeInterno","Descargar")</f>
        <v>Descargar</v>
      </c>
    </row>
    <row r="889" spans="1:18" x14ac:dyDescent="0.3">
      <c r="A889">
        <v>1590807</v>
      </c>
      <c r="B889" t="s">
        <v>18</v>
      </c>
      <c r="C889" t="s">
        <v>100</v>
      </c>
      <c r="D889" t="s">
        <v>833</v>
      </c>
      <c r="E889" t="s">
        <v>1303</v>
      </c>
      <c r="F889" t="s">
        <v>22</v>
      </c>
      <c r="G889" t="s">
        <v>83</v>
      </c>
      <c r="H889" t="s">
        <v>58</v>
      </c>
      <c r="I889" t="s">
        <v>25</v>
      </c>
      <c r="J889" t="s">
        <v>1348</v>
      </c>
      <c r="K889">
        <v>5</v>
      </c>
      <c r="L889">
        <v>8</v>
      </c>
      <c r="M889">
        <v>2025</v>
      </c>
      <c r="N889" t="s">
        <v>44</v>
      </c>
      <c r="O889">
        <v>60</v>
      </c>
      <c r="P889">
        <v>60</v>
      </c>
      <c r="R889" s="3" t="str">
        <f>HYPERLINK("https://panda.att.com.mx/ODKServer/view/binaryData?blobKey=FSSuministroFluidosv3%5B%40version%3Dnull+and+%40uiVersion%3Dnull%5D%2Fdata%5B%40key%3Duuid%3Ad56d1543-9237-416d-8df8-eccadbc7f5f4%5D%2FgroupInfoFuel%5B%40ordinal%3D1%5D%2FpicFuelRecibeInterno","Descargar")</f>
        <v>Descargar</v>
      </c>
    </row>
    <row r="890" spans="1:18" x14ac:dyDescent="0.3">
      <c r="A890">
        <v>1590806</v>
      </c>
      <c r="B890" t="s">
        <v>18</v>
      </c>
      <c r="C890" t="s">
        <v>100</v>
      </c>
      <c r="D890" t="s">
        <v>101</v>
      </c>
      <c r="E890" t="s">
        <v>102</v>
      </c>
      <c r="F890" t="s">
        <v>22</v>
      </c>
      <c r="G890" t="s">
        <v>83</v>
      </c>
      <c r="H890" t="s">
        <v>58</v>
      </c>
      <c r="I890" t="s">
        <v>25</v>
      </c>
      <c r="J890" t="s">
        <v>1349</v>
      </c>
      <c r="K890">
        <v>5</v>
      </c>
      <c r="L890">
        <v>8</v>
      </c>
      <c r="M890">
        <v>2025</v>
      </c>
      <c r="N890" t="s">
        <v>44</v>
      </c>
      <c r="O890">
        <v>60</v>
      </c>
      <c r="P890">
        <v>60</v>
      </c>
      <c r="R890" s="3" t="str">
        <f>HYPERLINK("https://panda.att.com.mx/ODKServer/view/binaryData?blobKey=FSSuministroFluidosv3%5B%40version%3Dnull+and+%40uiVersion%3Dnull%5D%2Fdata%5B%40key%3Duuid%3A27a8e604-bcb8-49f2-9b5d-9a327c7de0f1%5D%2FgroupInfoFuel%5B%40ordinal%3D1%5D%2FpicFuelRecibeInterno","Descargar")</f>
        <v>Descargar</v>
      </c>
    </row>
    <row r="891" spans="1:18" x14ac:dyDescent="0.3">
      <c r="A891">
        <v>1590777</v>
      </c>
      <c r="B891" t="s">
        <v>18</v>
      </c>
      <c r="C891" t="s">
        <v>100</v>
      </c>
      <c r="D891" t="s">
        <v>716</v>
      </c>
      <c r="E891" t="s">
        <v>1350</v>
      </c>
      <c r="F891" t="s">
        <v>22</v>
      </c>
      <c r="G891" t="s">
        <v>23</v>
      </c>
      <c r="H891" t="s">
        <v>58</v>
      </c>
      <c r="I891" t="s">
        <v>25</v>
      </c>
      <c r="J891" t="s">
        <v>1351</v>
      </c>
      <c r="K891">
        <v>5</v>
      </c>
      <c r="L891">
        <v>8</v>
      </c>
      <c r="M891">
        <v>2025</v>
      </c>
      <c r="N891" t="s">
        <v>27</v>
      </c>
      <c r="O891">
        <v>42.96</v>
      </c>
      <c r="P891">
        <v>42.96</v>
      </c>
      <c r="R891" s="3" t="str">
        <f>HYPERLINK("https://panda.att.com.mx/ODKServer/view/binaryData?blobKey=FSSuministroFluidosv3%5B%40version%3Dnull+and+%40uiVersion%3Dnull%5D%2Fdata%5B%40key%3Duuid%3A8eac11c3-f402-47eb-9ba4-dcc5eaac81d3%5D%2FgroupInfoFuel%5B%40ordinal%3D1%5D%2FpicFuelRecibeInterno","Descargar")</f>
        <v>Descargar</v>
      </c>
    </row>
    <row r="892" spans="1:18" x14ac:dyDescent="0.3">
      <c r="A892">
        <v>1590776</v>
      </c>
      <c r="B892" t="s">
        <v>18</v>
      </c>
      <c r="C892" t="s">
        <v>100</v>
      </c>
      <c r="D892" t="s">
        <v>716</v>
      </c>
      <c r="E892" t="s">
        <v>1352</v>
      </c>
      <c r="F892" t="s">
        <v>22</v>
      </c>
      <c r="G892" t="s">
        <v>23</v>
      </c>
      <c r="H892" t="s">
        <v>58</v>
      </c>
      <c r="I892" t="s">
        <v>25</v>
      </c>
      <c r="J892" t="s">
        <v>1353</v>
      </c>
      <c r="K892">
        <v>5</v>
      </c>
      <c r="L892">
        <v>8</v>
      </c>
      <c r="M892">
        <v>2025</v>
      </c>
      <c r="N892" t="s">
        <v>27</v>
      </c>
      <c r="O892">
        <v>99.21</v>
      </c>
      <c r="P892">
        <v>99.21</v>
      </c>
      <c r="R892" s="3" t="str">
        <f>HYPERLINK("https://panda.att.com.mx/ODKServer/view/binaryData?blobKey=FSSuministroFluidosv3%5B%40version%3Dnull+and+%40uiVersion%3Dnull%5D%2Fdata%5B%40key%3Duuid%3Aecfdb082-69d1-4029-9931-9fb43c7c2387%5D%2FgroupInfoFuel%5B%40ordinal%3D1%5D%2FpicFuelRecibeInterno","Descargar")</f>
        <v>Descargar</v>
      </c>
    </row>
    <row r="893" spans="1:18" x14ac:dyDescent="0.3">
      <c r="A893">
        <v>1590728</v>
      </c>
      <c r="B893" t="s">
        <v>18</v>
      </c>
      <c r="C893" t="s">
        <v>19</v>
      </c>
      <c r="D893" t="s">
        <v>20</v>
      </c>
      <c r="E893" t="s">
        <v>275</v>
      </c>
      <c r="F893" t="s">
        <v>22</v>
      </c>
      <c r="G893" t="s">
        <v>23</v>
      </c>
      <c r="H893" t="s">
        <v>24</v>
      </c>
      <c r="I893" t="s">
        <v>25</v>
      </c>
      <c r="J893" t="s">
        <v>1354</v>
      </c>
      <c r="K893">
        <v>3</v>
      </c>
      <c r="L893">
        <v>8</v>
      </c>
      <c r="M893">
        <v>2025</v>
      </c>
      <c r="N893" t="s">
        <v>27</v>
      </c>
      <c r="O893">
        <v>250</v>
      </c>
      <c r="P893">
        <v>250</v>
      </c>
      <c r="R893" s="3" t="str">
        <f>HYPERLINK("https://panda.att.com.mx/ODKServer/view/binaryData?blobKey=FSSuministroFluidosv3%5B%40version%3Dnull+and+%40uiVersion%3Dnull%5D%2Fdata%5B%40key%3Duuid%3Abdf517ed-f7ae-4a1c-9761-9a0c15744b09%5D%2FgroupInfoFuel%5B%40ordinal%3D1%5D%2FpicFuelRecibeInterno","Descargar")</f>
        <v>Descargar</v>
      </c>
    </row>
    <row r="894" spans="1:18" x14ac:dyDescent="0.3">
      <c r="A894">
        <v>1590708</v>
      </c>
      <c r="B894" t="s">
        <v>18</v>
      </c>
      <c r="C894" t="s">
        <v>68</v>
      </c>
      <c r="D894" t="s">
        <v>91</v>
      </c>
      <c r="E894" t="s">
        <v>828</v>
      </c>
      <c r="F894" t="s">
        <v>22</v>
      </c>
      <c r="G894" t="s">
        <v>83</v>
      </c>
      <c r="H894" t="s">
        <v>37</v>
      </c>
      <c r="I894" t="s">
        <v>25</v>
      </c>
      <c r="J894" t="s">
        <v>1355</v>
      </c>
      <c r="K894">
        <v>5</v>
      </c>
      <c r="L894">
        <v>8</v>
      </c>
      <c r="M894">
        <v>2025</v>
      </c>
      <c r="N894" t="s">
        <v>27</v>
      </c>
      <c r="O894">
        <v>150</v>
      </c>
      <c r="P894">
        <v>150</v>
      </c>
      <c r="R894" s="3" t="str">
        <f>HYPERLINK("https://panda.att.com.mx/ODKServer/view/binaryData?blobKey=FSSuministroFluidosv3%5B%40version%3Dnull+and+%40uiVersion%3Dnull%5D%2Fdata%5B%40key%3Duuid%3A9460fa81-4430-46c3-b61e-ba8c7b4d8018%5D%2FgroupInfoFuel%5B%40ordinal%3D1%5D%2FpicFuelRecibeInterno","Descargar")</f>
        <v>Descargar</v>
      </c>
    </row>
    <row r="895" spans="1:18" x14ac:dyDescent="0.3">
      <c r="A895">
        <v>1590657</v>
      </c>
      <c r="B895" t="s">
        <v>18</v>
      </c>
      <c r="C895" t="s">
        <v>150</v>
      </c>
      <c r="D895" t="s">
        <v>164</v>
      </c>
      <c r="E895" t="s">
        <v>165</v>
      </c>
      <c r="F895" t="s">
        <v>22</v>
      </c>
      <c r="G895" t="s">
        <v>23</v>
      </c>
      <c r="H895" t="s">
        <v>58</v>
      </c>
      <c r="I895" t="s">
        <v>25</v>
      </c>
      <c r="J895" t="s">
        <v>1356</v>
      </c>
      <c r="K895">
        <v>5</v>
      </c>
      <c r="L895">
        <v>8</v>
      </c>
      <c r="M895">
        <v>2025</v>
      </c>
      <c r="N895" t="s">
        <v>27</v>
      </c>
      <c r="O895">
        <v>400</v>
      </c>
      <c r="P895">
        <v>400</v>
      </c>
      <c r="R895" s="3" t="str">
        <f>HYPERLINK("https://panda.att.com.mx/ODKServer/view/binaryData?blobKey=FSSuministroFluidosv3%5B%40version%3Dnull+and+%40uiVersion%3Dnull%5D%2Fdata%5B%40key%3Duuid%3Aa273820e-92ac-4a63-a0de-fe37205e3bda%5D%2FgroupInfoFuel%5B%40ordinal%3D1%5D%2FpicFuelRecibeInterno","Descargar")</f>
        <v>Descargar</v>
      </c>
    </row>
    <row r="896" spans="1:18" x14ac:dyDescent="0.3">
      <c r="A896">
        <v>1590645</v>
      </c>
      <c r="B896" t="s">
        <v>18</v>
      </c>
      <c r="C896" t="s">
        <v>100</v>
      </c>
      <c r="D896" t="s">
        <v>716</v>
      </c>
      <c r="E896" t="s">
        <v>717</v>
      </c>
      <c r="F896" t="s">
        <v>22</v>
      </c>
      <c r="G896" t="s">
        <v>83</v>
      </c>
      <c r="H896" t="s">
        <v>58</v>
      </c>
      <c r="I896" t="s">
        <v>25</v>
      </c>
      <c r="J896" t="s">
        <v>1357</v>
      </c>
      <c r="K896">
        <v>5</v>
      </c>
      <c r="L896">
        <v>8</v>
      </c>
      <c r="M896">
        <v>2025</v>
      </c>
      <c r="N896" t="s">
        <v>27</v>
      </c>
      <c r="O896">
        <v>130</v>
      </c>
      <c r="P896">
        <v>130</v>
      </c>
      <c r="R896" s="3" t="str">
        <f>HYPERLINK("https://panda.att.com.mx/ODKServer/view/binaryData?blobKey=FSSuministroFluidosv3%5B%40version%3Dnull+and+%40uiVersion%3Dnull%5D%2Fdata%5B%40key%3Duuid%3Adb3e5b90-c612-41d2-b071-5b604e9d8e83%5D%2FgroupInfoFuel%5B%40ordinal%3D1%5D%2FpicFuelRecibeInterno","Descargar")</f>
        <v>Descargar</v>
      </c>
    </row>
    <row r="897" spans="1:18" x14ac:dyDescent="0.3">
      <c r="A897">
        <v>1590627</v>
      </c>
      <c r="B897" t="s">
        <v>18</v>
      </c>
      <c r="C897" t="s">
        <v>28</v>
      </c>
      <c r="D897" t="s">
        <v>66</v>
      </c>
      <c r="E897" t="s">
        <v>485</v>
      </c>
      <c r="F897" t="s">
        <v>22</v>
      </c>
      <c r="G897" t="s">
        <v>23</v>
      </c>
      <c r="H897" t="s">
        <v>24</v>
      </c>
      <c r="I897" t="s">
        <v>25</v>
      </c>
      <c r="J897" t="s">
        <v>1358</v>
      </c>
      <c r="K897">
        <v>3</v>
      </c>
      <c r="L897">
        <v>8</v>
      </c>
      <c r="M897">
        <v>2025</v>
      </c>
      <c r="N897" t="s">
        <v>27</v>
      </c>
      <c r="O897">
        <v>400</v>
      </c>
      <c r="P897">
        <v>400</v>
      </c>
      <c r="R897" s="3" t="str">
        <f>HYPERLINK("https://panda.att.com.mx/ODKServer/view/binaryData?blobKey=FSSuministroFluidosv3%5B%40version%3Dnull+and+%40uiVersion%3Dnull%5D%2Fdata%5B%40key%3Duuid%3A2aa5324e-b13b-4eea-9ac6-34c1fdc6b4f4%5D%2FgroupInfoFuel%5B%40ordinal%3D1%5D%2FpicFuelRecibeInterno","Descargar")</f>
        <v>Descargar</v>
      </c>
    </row>
    <row r="898" spans="1:18" x14ac:dyDescent="0.3">
      <c r="A898">
        <v>1590617</v>
      </c>
      <c r="B898" t="s">
        <v>18</v>
      </c>
      <c r="C898" t="s">
        <v>100</v>
      </c>
      <c r="D898" t="s">
        <v>101</v>
      </c>
      <c r="E898" t="s">
        <v>102</v>
      </c>
      <c r="F898" t="s">
        <v>22</v>
      </c>
      <c r="G898" t="s">
        <v>83</v>
      </c>
      <c r="H898" t="s">
        <v>58</v>
      </c>
      <c r="I898" t="s">
        <v>25</v>
      </c>
      <c r="J898" t="s">
        <v>1359</v>
      </c>
      <c r="K898">
        <v>4</v>
      </c>
      <c r="L898">
        <v>8</v>
      </c>
      <c r="M898">
        <v>2025</v>
      </c>
      <c r="N898" t="s">
        <v>44</v>
      </c>
      <c r="O898">
        <v>60</v>
      </c>
      <c r="P898">
        <v>60</v>
      </c>
      <c r="R898" s="3" t="str">
        <f>HYPERLINK("https://panda.att.com.mx/ODKServer/view/binaryData?blobKey=FSSuministroFluidosv3%5B%40version%3Dnull+and+%40uiVersion%3Dnull%5D%2Fdata%5B%40key%3Duuid%3A9938280f-a0ba-4465-8236-d072f5786c25%5D%2FgroupInfoFuel%5B%40ordinal%3D1%5D%2FpicFuelRecibeInterno","Descargar")</f>
        <v>Descargar</v>
      </c>
    </row>
    <row r="899" spans="1:18" x14ac:dyDescent="0.3">
      <c r="A899">
        <v>1590613</v>
      </c>
      <c r="B899" t="s">
        <v>18</v>
      </c>
      <c r="C899" t="s">
        <v>55</v>
      </c>
      <c r="D899" t="s">
        <v>128</v>
      </c>
      <c r="E899" t="s">
        <v>1360</v>
      </c>
      <c r="F899" t="s">
        <v>22</v>
      </c>
      <c r="G899" t="s">
        <v>23</v>
      </c>
      <c r="H899" t="s">
        <v>58</v>
      </c>
      <c r="I899" t="s">
        <v>25</v>
      </c>
      <c r="J899" t="s">
        <v>1361</v>
      </c>
      <c r="K899">
        <v>5</v>
      </c>
      <c r="L899">
        <v>8</v>
      </c>
      <c r="M899">
        <v>2025</v>
      </c>
      <c r="N899" t="s">
        <v>44</v>
      </c>
      <c r="O899">
        <v>35</v>
      </c>
      <c r="P899">
        <v>35</v>
      </c>
      <c r="R899" s="3" t="str">
        <f>HYPERLINK("https://panda.att.com.mx/ODKServer/view/binaryData?blobKey=FSSuministroFluidosv3%5B%40version%3Dnull+and+%40uiVersion%3Dnull%5D%2Fdata%5B%40key%3Duuid%3Ae199e42f-4e3b-4283-8379-368274e63083%5D%2FgroupInfoFuel%5B%40ordinal%3D1%5D%2FpicFuelRecibeInterno","Descargar")</f>
        <v>Descargar</v>
      </c>
    </row>
    <row r="900" spans="1:18" x14ac:dyDescent="0.3">
      <c r="A900">
        <v>1590580</v>
      </c>
      <c r="B900" t="s">
        <v>18</v>
      </c>
      <c r="C900" t="s">
        <v>28</v>
      </c>
      <c r="D900" t="s">
        <v>66</v>
      </c>
      <c r="E900" t="s">
        <v>96</v>
      </c>
      <c r="F900" t="s">
        <v>22</v>
      </c>
      <c r="G900" t="s">
        <v>23</v>
      </c>
      <c r="H900" t="s">
        <v>24</v>
      </c>
      <c r="I900" t="s">
        <v>25</v>
      </c>
      <c r="J900" t="s">
        <v>1362</v>
      </c>
      <c r="K900">
        <v>4</v>
      </c>
      <c r="L900">
        <v>8</v>
      </c>
      <c r="M900">
        <v>2025</v>
      </c>
      <c r="N900" t="s">
        <v>27</v>
      </c>
      <c r="O900">
        <v>300</v>
      </c>
      <c r="P900">
        <v>300</v>
      </c>
      <c r="R900" s="3" t="str">
        <f>HYPERLINK("https://panda.att.com.mx/ODKServer/view/binaryData?blobKey=FSSuministroFluidosv3%5B%40version%3Dnull+and+%40uiVersion%3Dnull%5D%2Fdata%5B%40key%3Duuid%3Af56049aa-4f56-46ec-8b1d-34bdf4a67404%5D%2FgroupInfoFuel%5B%40ordinal%3D1%5D%2FpicFuelRecibeInterno","Descargar")</f>
        <v>Descargar</v>
      </c>
    </row>
    <row r="901" spans="1:18" x14ac:dyDescent="0.3">
      <c r="A901">
        <v>1590521</v>
      </c>
      <c r="B901" t="s">
        <v>18</v>
      </c>
      <c r="C901" t="s">
        <v>55</v>
      </c>
      <c r="D901" t="s">
        <v>128</v>
      </c>
      <c r="E901" t="s">
        <v>1360</v>
      </c>
      <c r="F901" t="s">
        <v>22</v>
      </c>
      <c r="G901" t="s">
        <v>23</v>
      </c>
      <c r="H901" t="s">
        <v>58</v>
      </c>
      <c r="I901" t="s">
        <v>25</v>
      </c>
      <c r="J901" t="s">
        <v>1363</v>
      </c>
      <c r="K901">
        <v>4</v>
      </c>
      <c r="L901">
        <v>8</v>
      </c>
      <c r="M901">
        <v>2025</v>
      </c>
      <c r="N901" t="s">
        <v>44</v>
      </c>
      <c r="O901">
        <v>54</v>
      </c>
      <c r="P901">
        <v>54</v>
      </c>
      <c r="R901" s="3" t="str">
        <f>HYPERLINK("https://panda.att.com.mx/ODKServer/view/binaryData?blobKey=FSSuministroFluidosv3%5B%40version%3Dnull+and+%40uiVersion%3Dnull%5D%2Fdata%5B%40key%3Duuid%3A39ef2b92-b48c-46ab-83ca-2c7ec9e8942b%5D%2FgroupInfoFuel%5B%40ordinal%3D1%5D%2FpicFuelRecibeInterno","Descargar")</f>
        <v>Descargar</v>
      </c>
    </row>
    <row r="902" spans="1:18" x14ac:dyDescent="0.3">
      <c r="A902">
        <v>1591640</v>
      </c>
      <c r="B902" t="s">
        <v>18</v>
      </c>
      <c r="C902" t="s">
        <v>55</v>
      </c>
      <c r="D902" t="s">
        <v>56</v>
      </c>
      <c r="E902" t="s">
        <v>848</v>
      </c>
      <c r="F902" t="s">
        <v>22</v>
      </c>
      <c r="G902" t="s">
        <v>23</v>
      </c>
      <c r="H902" t="s">
        <v>58</v>
      </c>
      <c r="I902" t="s">
        <v>25</v>
      </c>
      <c r="J902" t="s">
        <v>1364</v>
      </c>
      <c r="K902">
        <v>5</v>
      </c>
      <c r="L902">
        <v>8</v>
      </c>
      <c r="M902">
        <v>2025</v>
      </c>
      <c r="N902" t="s">
        <v>27</v>
      </c>
      <c r="O902">
        <v>100</v>
      </c>
      <c r="P902">
        <v>100</v>
      </c>
      <c r="R902" s="3" t="str">
        <f>HYPERLINK("https://panda.att.com.mx/ODKServer/view/binaryData?blobKey=FSSuministroFluidosv3%5B%40version%3Dnull+and+%40uiVersion%3Dnull%5D%2Fdata%5B%40key%3Duuid%3Ab09e9b0b-8498-4e5f-99b6-ba4726cfab85%5D%2FgroupInfoFuel%5B%40ordinal%3D1%5D%2FpicFuelRecibeInterno","Descargar")</f>
        <v>Descargar</v>
      </c>
    </row>
    <row r="903" spans="1:18" x14ac:dyDescent="0.3">
      <c r="A903">
        <v>1591630</v>
      </c>
      <c r="B903" t="s">
        <v>18</v>
      </c>
      <c r="C903" t="s">
        <v>55</v>
      </c>
      <c r="D903" t="s">
        <v>56</v>
      </c>
      <c r="E903" t="s">
        <v>77</v>
      </c>
      <c r="F903" t="s">
        <v>22</v>
      </c>
      <c r="G903" t="s">
        <v>23</v>
      </c>
      <c r="H903" t="s">
        <v>58</v>
      </c>
      <c r="I903" t="s">
        <v>25</v>
      </c>
      <c r="J903" t="s">
        <v>1365</v>
      </c>
      <c r="K903">
        <v>5</v>
      </c>
      <c r="L903">
        <v>8</v>
      </c>
      <c r="M903">
        <v>2025</v>
      </c>
      <c r="N903" t="s">
        <v>27</v>
      </c>
      <c r="O903">
        <v>300</v>
      </c>
      <c r="P903">
        <v>300</v>
      </c>
      <c r="R903" s="3" t="str">
        <f>HYPERLINK("https://panda.att.com.mx/ODKServer/view/binaryData?blobKey=FSSuministroFluidosv3%5B%40version%3Dnull+and+%40uiVersion%3Dnull%5D%2Fdata%5B%40key%3Duuid%3A08fba614-6113-4dbf-af56-f40023f5ffe0%5D%2FgroupInfoFuel%5B%40ordinal%3D1%5D%2FpicFuelRecibeInterno","Descargar")</f>
        <v>Descargar</v>
      </c>
    </row>
    <row r="904" spans="1:18" x14ac:dyDescent="0.3">
      <c r="A904">
        <v>1591539</v>
      </c>
      <c r="B904" t="s">
        <v>18</v>
      </c>
      <c r="C904" t="s">
        <v>100</v>
      </c>
      <c r="D904" t="s">
        <v>833</v>
      </c>
      <c r="E904" t="s">
        <v>1303</v>
      </c>
      <c r="F904" t="s">
        <v>22</v>
      </c>
      <c r="G904" t="s">
        <v>83</v>
      </c>
      <c r="H904" t="s">
        <v>58</v>
      </c>
      <c r="I904" t="s">
        <v>25</v>
      </c>
      <c r="J904" t="s">
        <v>1366</v>
      </c>
      <c r="K904">
        <v>6</v>
      </c>
      <c r="L904">
        <v>8</v>
      </c>
      <c r="M904">
        <v>2025</v>
      </c>
      <c r="N904" t="s">
        <v>44</v>
      </c>
      <c r="O904">
        <v>60</v>
      </c>
      <c r="P904">
        <v>60</v>
      </c>
      <c r="R904" s="3" t="str">
        <f>HYPERLINK("https://panda.att.com.mx/ODKServer/view/binaryData?blobKey=FSSuministroFluidosv3%5B%40version%3Dnull+and+%40uiVersion%3Dnull%5D%2Fdata%5B%40key%3Duuid%3A71e50f13-20f0-4407-bbcd-18c93a01f09e%5D%2FgroupInfoFuel%5B%40ordinal%3D1%5D%2FpicFuelRecibeInterno","Descargar")</f>
        <v>Descargar</v>
      </c>
    </row>
    <row r="905" spans="1:18" x14ac:dyDescent="0.3">
      <c r="A905">
        <v>1591317</v>
      </c>
      <c r="B905" t="s">
        <v>18</v>
      </c>
      <c r="C905" t="s">
        <v>100</v>
      </c>
      <c r="D905" t="s">
        <v>101</v>
      </c>
      <c r="E905" t="s">
        <v>102</v>
      </c>
      <c r="F905" t="s">
        <v>22</v>
      </c>
      <c r="G905" t="s">
        <v>83</v>
      </c>
      <c r="H905" t="s">
        <v>58</v>
      </c>
      <c r="I905" t="s">
        <v>25</v>
      </c>
      <c r="J905" t="s">
        <v>1367</v>
      </c>
      <c r="K905">
        <v>6</v>
      </c>
      <c r="L905">
        <v>8</v>
      </c>
      <c r="M905">
        <v>2025</v>
      </c>
      <c r="N905" t="s">
        <v>44</v>
      </c>
      <c r="O905">
        <v>60</v>
      </c>
      <c r="P905">
        <v>60</v>
      </c>
      <c r="R905" s="3" t="str">
        <f>HYPERLINK("https://panda.att.com.mx/ODKServer/view/binaryData?blobKey=FSSuministroFluidosv3%5B%40version%3Dnull+and+%40uiVersion%3Dnull%5D%2Fdata%5B%40key%3Duuid%3A6230eb64-9b4f-4f96-b328-9882f0836427%5D%2FgroupInfoFuel%5B%40ordinal%3D1%5D%2FpicFuelRecibeInterno","Descargar")</f>
        <v>Descargar</v>
      </c>
    </row>
    <row r="906" spans="1:18" x14ac:dyDescent="0.3">
      <c r="A906">
        <v>1591304</v>
      </c>
      <c r="B906" t="s">
        <v>18</v>
      </c>
      <c r="C906" t="s">
        <v>19</v>
      </c>
      <c r="D906" t="s">
        <v>175</v>
      </c>
      <c r="E906" t="s">
        <v>1368</v>
      </c>
      <c r="F906" t="s">
        <v>22</v>
      </c>
      <c r="G906" t="s">
        <v>23</v>
      </c>
      <c r="H906" t="s">
        <v>24</v>
      </c>
      <c r="I906" t="s">
        <v>25</v>
      </c>
      <c r="J906" t="s">
        <v>1369</v>
      </c>
      <c r="K906">
        <v>1</v>
      </c>
      <c r="L906">
        <v>8</v>
      </c>
      <c r="M906">
        <v>2025</v>
      </c>
      <c r="N906" t="s">
        <v>27</v>
      </c>
      <c r="O906">
        <v>100</v>
      </c>
      <c r="P906">
        <v>100</v>
      </c>
      <c r="R906" s="3" t="str">
        <f>HYPERLINK("https://panda.att.com.mx/ODKServer/view/binaryData?blobKey=FSSuministroFluidosv3%5B%40version%3Dnull+and+%40uiVersion%3Dnull%5D%2Fdata%5B%40key%3Duuid%3A2c418259-3594-435f-93f7-8cf2de9a7a2a%5D%2FgroupInfoFuel%5B%40ordinal%3D1%5D%2FpicFuelRecibeInterno","Descargar")</f>
        <v>Descargar</v>
      </c>
    </row>
    <row r="907" spans="1:18" x14ac:dyDescent="0.3">
      <c r="A907">
        <v>1591282</v>
      </c>
      <c r="B907" t="s">
        <v>18</v>
      </c>
      <c r="C907" t="s">
        <v>19</v>
      </c>
      <c r="D907" t="s">
        <v>156</v>
      </c>
      <c r="E907" t="s">
        <v>1370</v>
      </c>
      <c r="F907" t="s">
        <v>22</v>
      </c>
      <c r="G907" t="s">
        <v>23</v>
      </c>
      <c r="H907" t="s">
        <v>24</v>
      </c>
      <c r="I907" t="s">
        <v>25</v>
      </c>
      <c r="J907" s="2">
        <v>45863.5471875</v>
      </c>
      <c r="K907">
        <v>25</v>
      </c>
      <c r="L907">
        <v>7</v>
      </c>
      <c r="M907">
        <v>2025</v>
      </c>
      <c r="N907" t="s">
        <v>27</v>
      </c>
      <c r="O907">
        <v>44</v>
      </c>
      <c r="P907">
        <v>44</v>
      </c>
      <c r="R907" s="3" t="str">
        <f>HYPERLINK("https://panda.att.com.mx/ODKServer/view/binaryData?blobKey=FSSuministroFluidosv3%5B%40version%3Dnull+and+%40uiVersion%3Dnull%5D%2Fdata%5B%40key%3Duuid%3A4698b075-0449-45bb-8875-072ac93a76fe%5D%2FgroupInfoFuel%5B%40ordinal%3D1%5D%2FpicFuelRecibeInterno","Descargar")</f>
        <v>Descargar</v>
      </c>
    </row>
    <row r="908" spans="1:18" x14ac:dyDescent="0.3">
      <c r="A908">
        <v>1591277</v>
      </c>
      <c r="B908" t="s">
        <v>18</v>
      </c>
      <c r="C908" t="s">
        <v>68</v>
      </c>
      <c r="D908" t="s">
        <v>132</v>
      </c>
      <c r="E908" t="s">
        <v>1371</v>
      </c>
      <c r="F908" t="s">
        <v>22</v>
      </c>
      <c r="G908" t="s">
        <v>23</v>
      </c>
      <c r="H908" t="s">
        <v>37</v>
      </c>
      <c r="I908" t="s">
        <v>25</v>
      </c>
      <c r="J908" t="s">
        <v>1372</v>
      </c>
      <c r="K908">
        <v>6</v>
      </c>
      <c r="L908">
        <v>8</v>
      </c>
      <c r="M908">
        <v>2025</v>
      </c>
      <c r="N908" t="s">
        <v>27</v>
      </c>
      <c r="O908">
        <v>55</v>
      </c>
      <c r="P908">
        <v>55</v>
      </c>
      <c r="R908" s="3" t="str">
        <f>HYPERLINK("https://panda.att.com.mx/ODKServer/view/binaryData?blobKey=FSSuministroFluidosv3%5B%40version%3Dnull+and+%40uiVersion%3Dnull%5D%2Fdata%5B%40key%3Duuid%3A2eabc892-ce12-4ec1-a52b-0387421ac749%5D%2FgroupInfoFuel%5B%40ordinal%3D1%5D%2FpicFuelRecibeInterno","Descargar")</f>
        <v>Descargar</v>
      </c>
    </row>
    <row r="909" spans="1:18" x14ac:dyDescent="0.3">
      <c r="A909">
        <v>1591268</v>
      </c>
      <c r="B909" t="s">
        <v>18</v>
      </c>
      <c r="C909" t="s">
        <v>183</v>
      </c>
      <c r="D909" t="s">
        <v>585</v>
      </c>
      <c r="E909" t="s">
        <v>1373</v>
      </c>
      <c r="F909" t="s">
        <v>22</v>
      </c>
      <c r="G909" t="s">
        <v>23</v>
      </c>
      <c r="H909" t="s">
        <v>24</v>
      </c>
      <c r="I909" t="s">
        <v>25</v>
      </c>
      <c r="J909" t="s">
        <v>1374</v>
      </c>
      <c r="K909">
        <v>5</v>
      </c>
      <c r="L909">
        <v>8</v>
      </c>
      <c r="M909">
        <v>2025</v>
      </c>
      <c r="N909" t="s">
        <v>27</v>
      </c>
      <c r="O909">
        <v>300</v>
      </c>
      <c r="P909">
        <v>300</v>
      </c>
      <c r="R909" s="3" t="str">
        <f>HYPERLINK("https://panda.att.com.mx/ODKServer/view/binaryData?blobKey=FSSuministroFluidosv3%5B%40version%3Dnull+and+%40uiVersion%3Dnull%5D%2Fdata%5B%40key%3Duuid%3A864ce5c8-37d8-44a7-b968-1932ce595e2a%5D%2FgroupInfoFuel%5B%40ordinal%3D1%5D%2FpicFuelRecibeInterno","Descargar")</f>
        <v>Descargar</v>
      </c>
    </row>
    <row r="910" spans="1:18" x14ac:dyDescent="0.3">
      <c r="A910">
        <v>1591267</v>
      </c>
      <c r="B910" t="s">
        <v>18</v>
      </c>
      <c r="C910" t="s">
        <v>19</v>
      </c>
      <c r="D910" t="s">
        <v>45</v>
      </c>
      <c r="E910" t="s">
        <v>1265</v>
      </c>
      <c r="F910" t="s">
        <v>22</v>
      </c>
      <c r="G910" t="s">
        <v>23</v>
      </c>
      <c r="H910" t="s">
        <v>24</v>
      </c>
      <c r="I910" t="s">
        <v>25</v>
      </c>
      <c r="J910" t="s">
        <v>1375</v>
      </c>
      <c r="K910">
        <v>4</v>
      </c>
      <c r="L910">
        <v>8</v>
      </c>
      <c r="M910">
        <v>2025</v>
      </c>
      <c r="N910" t="s">
        <v>27</v>
      </c>
      <c r="O910">
        <v>400</v>
      </c>
      <c r="P910">
        <v>400</v>
      </c>
      <c r="R910" s="3" t="str">
        <f>HYPERLINK("https://panda.att.com.mx/ODKServer/view/binaryData?blobKey=FSSuministroFluidosv3%5B%40version%3Dnull+and+%40uiVersion%3Dnull%5D%2Fdata%5B%40key%3Duuid%3Adba4bb9f-1b77-49c3-8b58-a775456e92df%5D%2FgroupInfoFuel%5B%40ordinal%3D1%5D%2FpicFuelRecibeInterno","Descargar")</f>
        <v>Descargar</v>
      </c>
    </row>
    <row r="911" spans="1:18" x14ac:dyDescent="0.3">
      <c r="A911">
        <v>1591266</v>
      </c>
      <c r="B911" t="s">
        <v>18</v>
      </c>
      <c r="C911" t="s">
        <v>19</v>
      </c>
      <c r="D911" t="s">
        <v>45</v>
      </c>
      <c r="E911" t="s">
        <v>383</v>
      </c>
      <c r="F911" t="s">
        <v>22</v>
      </c>
      <c r="G911" t="s">
        <v>23</v>
      </c>
      <c r="H911" t="s">
        <v>24</v>
      </c>
      <c r="I911" t="s">
        <v>25</v>
      </c>
      <c r="J911" t="s">
        <v>1376</v>
      </c>
      <c r="K911">
        <v>5</v>
      </c>
      <c r="L911">
        <v>8</v>
      </c>
      <c r="M911">
        <v>2025</v>
      </c>
      <c r="N911" t="s">
        <v>27</v>
      </c>
      <c r="O911">
        <v>300</v>
      </c>
      <c r="P911">
        <v>300</v>
      </c>
      <c r="R911" s="3" t="str">
        <f>HYPERLINK("https://panda.att.com.mx/ODKServer/view/binaryData?blobKey=FSSuministroFluidosv3%5B%40version%3Dnull+and+%40uiVersion%3Dnull%5D%2Fdata%5B%40key%3Duuid%3Ad410c30c-5b40-4b9c-b832-c61e07303215%5D%2FgroupInfoFuel%5B%40ordinal%3D1%5D%2FpicFuelRecibeInterno","Descargar")</f>
        <v>Descargar</v>
      </c>
    </row>
    <row r="912" spans="1:18" x14ac:dyDescent="0.3">
      <c r="A912">
        <v>1591254</v>
      </c>
      <c r="B912" t="s">
        <v>18</v>
      </c>
      <c r="C912" t="s">
        <v>28</v>
      </c>
      <c r="D912" t="s">
        <v>1377</v>
      </c>
      <c r="E912" t="s">
        <v>1378</v>
      </c>
      <c r="F912" t="s">
        <v>22</v>
      </c>
      <c r="G912" t="s">
        <v>23</v>
      </c>
      <c r="H912" t="s">
        <v>24</v>
      </c>
      <c r="I912" t="s">
        <v>25</v>
      </c>
      <c r="J912" t="s">
        <v>1379</v>
      </c>
      <c r="K912">
        <v>1</v>
      </c>
      <c r="L912">
        <v>8</v>
      </c>
      <c r="M912">
        <v>2025</v>
      </c>
      <c r="N912" t="s">
        <v>27</v>
      </c>
      <c r="O912">
        <v>300</v>
      </c>
      <c r="P912">
        <v>300</v>
      </c>
      <c r="R912" s="3" t="str">
        <f>HYPERLINK("https://panda.att.com.mx/ODKServer/view/binaryData?blobKey=FSSuministroFluidosv3%5B%40version%3Dnull+and+%40uiVersion%3Dnull%5D%2Fdata%5B%40key%3Duuid%3A1500fb0e-5169-48bb-b2d5-ef415eb5fc2b%5D%2FgroupInfoFuel%5B%40ordinal%3D1%5D%2FpicFuelRecibeInterno","Descargar")</f>
        <v>Descargar</v>
      </c>
    </row>
    <row r="913" spans="1:18" x14ac:dyDescent="0.3">
      <c r="A913">
        <v>1591239</v>
      </c>
      <c r="B913" t="s">
        <v>18</v>
      </c>
      <c r="C913" t="s">
        <v>59</v>
      </c>
      <c r="D913" t="s">
        <v>60</v>
      </c>
      <c r="E913" t="s">
        <v>1380</v>
      </c>
      <c r="F913" t="s">
        <v>22</v>
      </c>
      <c r="G913" t="s">
        <v>23</v>
      </c>
      <c r="H913" t="s">
        <v>37</v>
      </c>
      <c r="I913" t="s">
        <v>25</v>
      </c>
      <c r="J913" t="s">
        <v>1381</v>
      </c>
      <c r="K913">
        <v>5</v>
      </c>
      <c r="L913">
        <v>8</v>
      </c>
      <c r="M913">
        <v>2025</v>
      </c>
      <c r="N913" t="s">
        <v>27</v>
      </c>
      <c r="O913">
        <v>74</v>
      </c>
      <c r="P913">
        <v>74</v>
      </c>
      <c r="R913" s="3" t="str">
        <f>HYPERLINK("https://panda.att.com.mx/ODKServer/view/binaryData?blobKey=FSSuministroFluidosv3%5B%40version%3Dnull+and+%40uiVersion%3Dnull%5D%2Fdata%5B%40key%3Duuid%3Aa0fdc894-d86f-44d7-b3a3-40c7c05f8b93%5D%2FgroupInfoFuel%5B%40ordinal%3D1%5D%2FpicFuelRecibeInterno","Descargar")</f>
        <v>Descargar</v>
      </c>
    </row>
    <row r="914" spans="1:18" x14ac:dyDescent="0.3">
      <c r="A914">
        <v>1591235</v>
      </c>
      <c r="B914" t="s">
        <v>18</v>
      </c>
      <c r="C914" t="s">
        <v>59</v>
      </c>
      <c r="D914" t="s">
        <v>60</v>
      </c>
      <c r="E914" t="s">
        <v>1382</v>
      </c>
      <c r="F914" t="s">
        <v>22</v>
      </c>
      <c r="G914" t="s">
        <v>23</v>
      </c>
      <c r="H914" t="s">
        <v>37</v>
      </c>
      <c r="I914" t="s">
        <v>25</v>
      </c>
      <c r="J914" t="s">
        <v>1383</v>
      </c>
      <c r="K914">
        <v>5</v>
      </c>
      <c r="L914">
        <v>8</v>
      </c>
      <c r="M914">
        <v>2025</v>
      </c>
      <c r="N914" t="s">
        <v>27</v>
      </c>
      <c r="O914">
        <v>250</v>
      </c>
      <c r="P914">
        <v>250</v>
      </c>
      <c r="R914" s="3" t="str">
        <f>HYPERLINK("https://panda.att.com.mx/ODKServer/view/binaryData?blobKey=FSSuministroFluidosv3%5B%40version%3Dnull+and+%40uiVersion%3Dnull%5D%2Fdata%5B%40key%3Duuid%3A4d843095-6d63-47eb-93b7-c1942b4bdb99%5D%2FgroupInfoFuel%5B%40ordinal%3D1%5D%2FpicFuelRecibeInterno","Descargar")</f>
        <v>Descargar</v>
      </c>
    </row>
    <row r="915" spans="1:18" x14ac:dyDescent="0.3">
      <c r="A915">
        <v>1591223</v>
      </c>
      <c r="B915" t="s">
        <v>18</v>
      </c>
      <c r="C915" t="s">
        <v>34</v>
      </c>
      <c r="D915" t="s">
        <v>53</v>
      </c>
      <c r="E915" t="s">
        <v>649</v>
      </c>
      <c r="F915" t="s">
        <v>22</v>
      </c>
      <c r="G915" t="s">
        <v>23</v>
      </c>
      <c r="H915" t="s">
        <v>37</v>
      </c>
      <c r="I915" t="s">
        <v>25</v>
      </c>
      <c r="J915" t="s">
        <v>1384</v>
      </c>
      <c r="K915">
        <v>5</v>
      </c>
      <c r="L915">
        <v>8</v>
      </c>
      <c r="M915">
        <v>2025</v>
      </c>
      <c r="N915" t="s">
        <v>27</v>
      </c>
      <c r="O915">
        <v>200</v>
      </c>
      <c r="P915">
        <v>200</v>
      </c>
      <c r="R915" s="3" t="str">
        <f>HYPERLINK("https://panda.att.com.mx/ODKServer/view/binaryData?blobKey=FSSuministroFluidosv3%5B%40version%3Dnull+and+%40uiVersion%3Dnull%5D%2Fdata%5B%40key%3Duuid%3A8fdcbc26-1c27-4885-a093-3bf5416e5427%5D%2FgroupInfoFuel%5B%40ordinal%3D1%5D%2FpicFuelRecibeInterno","Descargar")</f>
        <v>Descargar</v>
      </c>
    </row>
    <row r="916" spans="1:18" x14ac:dyDescent="0.3">
      <c r="A916">
        <v>1591197</v>
      </c>
      <c r="B916" t="s">
        <v>18</v>
      </c>
      <c r="C916" t="s">
        <v>55</v>
      </c>
      <c r="D916" t="s">
        <v>128</v>
      </c>
      <c r="E916" t="s">
        <v>1360</v>
      </c>
      <c r="F916" t="s">
        <v>22</v>
      </c>
      <c r="G916" t="s">
        <v>23</v>
      </c>
      <c r="H916" t="s">
        <v>58</v>
      </c>
      <c r="I916" t="s">
        <v>25</v>
      </c>
      <c r="J916" t="s">
        <v>1385</v>
      </c>
      <c r="K916">
        <v>5</v>
      </c>
      <c r="L916">
        <v>8</v>
      </c>
      <c r="M916">
        <v>2025</v>
      </c>
      <c r="N916" t="s">
        <v>44</v>
      </c>
      <c r="O916">
        <v>45</v>
      </c>
      <c r="P916">
        <v>45</v>
      </c>
      <c r="R916" s="3" t="str">
        <f>HYPERLINK("https://panda.att.com.mx/ODKServer/view/binaryData?blobKey=FSSuministroFluidosv3%5B%40version%3Dnull+and+%40uiVersion%3Dnull%5D%2Fdata%5B%40key%3Duuid%3A2a3d6d43-b80e-462d-818a-aa59683e28cb%5D%2FgroupInfoFuel%5B%40ordinal%3D1%5D%2FpicFuelRecibeInterno","Descargar")</f>
        <v>Descargar</v>
      </c>
    </row>
    <row r="917" spans="1:18" x14ac:dyDescent="0.3">
      <c r="A917">
        <v>1591167</v>
      </c>
      <c r="B917" t="s">
        <v>18</v>
      </c>
      <c r="C917" t="s">
        <v>55</v>
      </c>
      <c r="D917" t="s">
        <v>128</v>
      </c>
      <c r="E917" t="s">
        <v>129</v>
      </c>
      <c r="F917" t="s">
        <v>22</v>
      </c>
      <c r="G917" t="s">
        <v>23</v>
      </c>
      <c r="H917" t="s">
        <v>58</v>
      </c>
      <c r="I917" t="s">
        <v>25</v>
      </c>
      <c r="J917" t="s">
        <v>1386</v>
      </c>
      <c r="K917">
        <v>5</v>
      </c>
      <c r="L917">
        <v>8</v>
      </c>
      <c r="M917">
        <v>2025</v>
      </c>
      <c r="N917" t="s">
        <v>27</v>
      </c>
      <c r="O917">
        <v>300</v>
      </c>
      <c r="P917">
        <v>300</v>
      </c>
      <c r="R917" s="3" t="str">
        <f>HYPERLINK("https://panda.att.com.mx/ODKServer/view/binaryData?blobKey=FSSuministroFluidosv3%5B%40version%3Dnull+and+%40uiVersion%3Dnull%5D%2Fdata%5B%40key%3Duuid%3A3f7bf102-ab95-494c-ade3-3ffbea054525%5D%2FgroupInfoFuel%5B%40ordinal%3D1%5D%2FpicFuelRecibeInterno","Descargar")</f>
        <v>Descargar</v>
      </c>
    </row>
    <row r="918" spans="1:18" x14ac:dyDescent="0.3">
      <c r="A918">
        <v>1591154</v>
      </c>
      <c r="B918" t="s">
        <v>18</v>
      </c>
      <c r="C918" t="s">
        <v>28</v>
      </c>
      <c r="D918" t="s">
        <v>895</v>
      </c>
      <c r="E918" t="s">
        <v>896</v>
      </c>
      <c r="F918" t="s">
        <v>22</v>
      </c>
      <c r="G918" t="s">
        <v>23</v>
      </c>
      <c r="H918" t="s">
        <v>24</v>
      </c>
      <c r="I918" t="s">
        <v>25</v>
      </c>
      <c r="J918" t="s">
        <v>1387</v>
      </c>
      <c r="K918">
        <v>5</v>
      </c>
      <c r="L918">
        <v>8</v>
      </c>
      <c r="M918">
        <v>2025</v>
      </c>
      <c r="N918" t="s">
        <v>27</v>
      </c>
      <c r="O918">
        <v>400</v>
      </c>
      <c r="Q918">
        <v>400</v>
      </c>
      <c r="R918" s="3" t="str">
        <f>HYPERLINK("https://panda.att.com.mx/ODKServer/view/binaryData?blobKey=FSSuministroFluidosv3%5B%40version%3Dnull+and+%40uiVersion%3Dnull%5D%2Fdata%5B%40key%3Duuid%3A41ce0f4b-92d7-4308-8228-95f542e70836%5D%2FgroupInfoFuel%5B%40ordinal%3D1%5D%2FpicFuelRecibeInterno","Descargar")</f>
        <v>Descargar</v>
      </c>
    </row>
    <row r="919" spans="1:18" x14ac:dyDescent="0.3">
      <c r="A919">
        <v>1591148</v>
      </c>
      <c r="B919" t="s">
        <v>18</v>
      </c>
      <c r="C919" t="s">
        <v>59</v>
      </c>
      <c r="D919" t="s">
        <v>574</v>
      </c>
      <c r="E919" t="s">
        <v>1388</v>
      </c>
      <c r="F919" t="s">
        <v>22</v>
      </c>
      <c r="G919" t="s">
        <v>23</v>
      </c>
      <c r="H919" t="s">
        <v>37</v>
      </c>
      <c r="I919" t="s">
        <v>25</v>
      </c>
      <c r="J919" s="2">
        <v>45869.954027777778</v>
      </c>
      <c r="K919">
        <v>31</v>
      </c>
      <c r="L919">
        <v>7</v>
      </c>
      <c r="M919">
        <v>2025</v>
      </c>
      <c r="N919" t="s">
        <v>27</v>
      </c>
      <c r="O919">
        <v>200</v>
      </c>
      <c r="P919">
        <v>200</v>
      </c>
      <c r="R919" s="3" t="str">
        <f>HYPERLINK("https://panda.att.com.mx/ODKServer/view/binaryData?blobKey=FSSuministroFluidosv3%5B%40version%3Dnull+and+%40uiVersion%3Dnull%5D%2Fdata%5B%40key%3Duuid%3Ad549f88d-4a71-454a-b589-674be0674c74%5D%2FgroupInfoFuel%5B%40ordinal%3D1%5D%2FpicFuelRecibeInterno","Descargar")</f>
        <v>Descargar</v>
      </c>
    </row>
    <row r="920" spans="1:18" x14ac:dyDescent="0.3">
      <c r="A920">
        <v>1591139</v>
      </c>
      <c r="B920" t="s">
        <v>18</v>
      </c>
      <c r="C920" t="s">
        <v>19</v>
      </c>
      <c r="D920" t="s">
        <v>347</v>
      </c>
      <c r="E920" t="s">
        <v>364</v>
      </c>
      <c r="F920" t="s">
        <v>22</v>
      </c>
      <c r="G920" t="s">
        <v>23</v>
      </c>
      <c r="H920" t="s">
        <v>24</v>
      </c>
      <c r="I920" t="s">
        <v>25</v>
      </c>
      <c r="J920" t="s">
        <v>1389</v>
      </c>
      <c r="K920">
        <v>3</v>
      </c>
      <c r="L920">
        <v>8</v>
      </c>
      <c r="M920">
        <v>2025</v>
      </c>
      <c r="N920" t="s">
        <v>27</v>
      </c>
      <c r="O920">
        <v>300</v>
      </c>
      <c r="P920">
        <v>300</v>
      </c>
      <c r="R920" s="3" t="str">
        <f>HYPERLINK("https://panda.att.com.mx/ODKServer/view/binaryData?blobKey=FSSuministroFluidosv3%5B%40version%3Dnull+and+%40uiVersion%3Dnull%5D%2Fdata%5B%40key%3Duuid%3A344e503e-cc1b-45e3-9171-bc12b249da3d%5D%2FgroupInfoFuel%5B%40ordinal%3D1%5D%2FpicFuelRecibeInterno","Descargar")</f>
        <v>Descargar</v>
      </c>
    </row>
    <row r="921" spans="1:18" x14ac:dyDescent="0.3">
      <c r="A921">
        <v>1591096</v>
      </c>
      <c r="B921" t="s">
        <v>18</v>
      </c>
      <c r="C921" t="s">
        <v>100</v>
      </c>
      <c r="D921" t="s">
        <v>504</v>
      </c>
      <c r="E921" t="s">
        <v>1390</v>
      </c>
      <c r="F921" t="s">
        <v>22</v>
      </c>
      <c r="G921" t="s">
        <v>23</v>
      </c>
      <c r="H921" t="s">
        <v>58</v>
      </c>
      <c r="I921" t="s">
        <v>25</v>
      </c>
      <c r="J921" t="s">
        <v>1391</v>
      </c>
      <c r="K921">
        <v>5</v>
      </c>
      <c r="L921">
        <v>8</v>
      </c>
      <c r="M921">
        <v>2025</v>
      </c>
      <c r="N921" t="s">
        <v>27</v>
      </c>
      <c r="O921">
        <v>300</v>
      </c>
      <c r="P921">
        <v>300</v>
      </c>
      <c r="R921" s="3" t="str">
        <f>HYPERLINK("https://panda.att.com.mx/ODKServer/view/binaryData?blobKey=FSSuministroFluidosv3%5B%40version%3Dnull+and+%40uiVersion%3Dnull%5D%2Fdata%5B%40key%3Duuid%3Aba066a85-c89d-444c-ad5b-5652e62c83de%5D%2FgroupInfoFuel%5B%40ordinal%3D1%5D%2FpicFuelRecibeInterno","Descargar")</f>
        <v>Descargar</v>
      </c>
    </row>
    <row r="922" spans="1:18" x14ac:dyDescent="0.3">
      <c r="A922">
        <v>1591075</v>
      </c>
      <c r="B922" t="s">
        <v>18</v>
      </c>
      <c r="C922" t="s">
        <v>55</v>
      </c>
      <c r="D922" t="s">
        <v>64</v>
      </c>
      <c r="E922" t="s">
        <v>1392</v>
      </c>
      <c r="F922" t="s">
        <v>22</v>
      </c>
      <c r="G922" t="s">
        <v>23</v>
      </c>
      <c r="H922" t="s">
        <v>58</v>
      </c>
      <c r="I922" t="s">
        <v>25</v>
      </c>
      <c r="J922" t="s">
        <v>1393</v>
      </c>
      <c r="K922">
        <v>5</v>
      </c>
      <c r="L922">
        <v>8</v>
      </c>
      <c r="M922">
        <v>2025</v>
      </c>
      <c r="N922" t="s">
        <v>44</v>
      </c>
      <c r="O922">
        <v>45</v>
      </c>
      <c r="P922">
        <v>45</v>
      </c>
      <c r="R922" s="3" t="str">
        <f>HYPERLINK("https://panda.att.com.mx/ODKServer/view/binaryData?blobKey=FSSuministroFluidosv3%5B%40version%3Dnull+and+%40uiVersion%3Dnull%5D%2Fdata%5B%40key%3Duuid%3A46a9c321-244a-477e-a041-817e149c03f5%5D%2FgroupInfoFuel%5B%40ordinal%3D1%5D%2FpicFuelRecibeInterno","Descargar")</f>
        <v>Descargar</v>
      </c>
    </row>
    <row r="923" spans="1:18" x14ac:dyDescent="0.3">
      <c r="A923">
        <v>1591054</v>
      </c>
      <c r="B923" t="s">
        <v>18</v>
      </c>
      <c r="C923" t="s">
        <v>19</v>
      </c>
      <c r="D923" t="s">
        <v>20</v>
      </c>
      <c r="E923" t="s">
        <v>1394</v>
      </c>
      <c r="F923" t="s">
        <v>22</v>
      </c>
      <c r="G923" t="s">
        <v>23</v>
      </c>
      <c r="H923" t="s">
        <v>24</v>
      </c>
      <c r="I923" t="s">
        <v>25</v>
      </c>
      <c r="J923" t="s">
        <v>1395</v>
      </c>
      <c r="K923">
        <v>1</v>
      </c>
      <c r="L923">
        <v>8</v>
      </c>
      <c r="M923">
        <v>2025</v>
      </c>
      <c r="N923" t="s">
        <v>27</v>
      </c>
      <c r="O923">
        <v>200</v>
      </c>
      <c r="P923">
        <v>200</v>
      </c>
      <c r="R923" s="3" t="str">
        <f>HYPERLINK("https://panda.att.com.mx/ODKServer/view/binaryData?blobKey=FSSuministroFluidosv3%5B%40version%3Dnull+and+%40uiVersion%3Dnull%5D%2Fdata%5B%40key%3Duuid%3A5ba1bfb1-c379-487e-b362-59ed7aeba470%5D%2FgroupInfoFuel%5B%40ordinal%3D1%5D%2FpicFuelRecibeInterno","Descargar")</f>
        <v>Descargar</v>
      </c>
    </row>
    <row r="924" spans="1:18" x14ac:dyDescent="0.3">
      <c r="A924">
        <v>1591053</v>
      </c>
      <c r="B924" t="s">
        <v>18</v>
      </c>
      <c r="C924" t="s">
        <v>167</v>
      </c>
      <c r="D924" t="s">
        <v>268</v>
      </c>
      <c r="E924" t="s">
        <v>442</v>
      </c>
      <c r="F924" t="s">
        <v>33</v>
      </c>
      <c r="G924" t="s">
        <v>23</v>
      </c>
      <c r="H924" t="s">
        <v>58</v>
      </c>
      <c r="I924" t="s">
        <v>25</v>
      </c>
      <c r="J924" t="s">
        <v>1396</v>
      </c>
      <c r="K924">
        <v>5</v>
      </c>
      <c r="L924">
        <v>8</v>
      </c>
      <c r="M924">
        <v>2025</v>
      </c>
      <c r="N924" t="s">
        <v>27</v>
      </c>
      <c r="O924">
        <v>300</v>
      </c>
      <c r="P924">
        <v>300</v>
      </c>
      <c r="R924" s="3" t="str">
        <f>HYPERLINK("https://panda.att.com.mx/ODKServer/view/binaryData?blobKey=FSSuministroFluidosv3%5B%40version%3Dnull+and+%40uiVersion%3Dnull%5D%2Fdata%5B%40key%3Duuid%3A6c78a6f3-3051-4f8a-a20a-771f48b1bf3e%5D%2FgroupInfoFuel%5B%40ordinal%3D1%5D%2FpicFuelRecibeInterno","Descargar")</f>
        <v>Descargar</v>
      </c>
    </row>
    <row r="925" spans="1:18" x14ac:dyDescent="0.3">
      <c r="A925">
        <v>1591026</v>
      </c>
      <c r="B925" t="s">
        <v>18</v>
      </c>
      <c r="C925" t="s">
        <v>19</v>
      </c>
      <c r="D925" t="s">
        <v>347</v>
      </c>
      <c r="E925" t="s">
        <v>353</v>
      </c>
      <c r="F925" t="s">
        <v>22</v>
      </c>
      <c r="G925" t="s">
        <v>23</v>
      </c>
      <c r="H925" t="s">
        <v>24</v>
      </c>
      <c r="I925" t="s">
        <v>25</v>
      </c>
      <c r="J925" t="s">
        <v>1397</v>
      </c>
      <c r="K925">
        <v>4</v>
      </c>
      <c r="L925">
        <v>8</v>
      </c>
      <c r="M925">
        <v>2025</v>
      </c>
      <c r="N925" t="s">
        <v>27</v>
      </c>
      <c r="O925">
        <v>300</v>
      </c>
      <c r="P925">
        <v>300</v>
      </c>
      <c r="R925" s="3" t="str">
        <f>HYPERLINK("https://panda.att.com.mx/ODKServer/view/binaryData?blobKey=FSSuministroFluidosv3%5B%40version%3Dnull+and+%40uiVersion%3Dnull%5D%2Fdata%5B%40key%3Duuid%3A7ee964cf-6778-4d81-aa9d-3ca1cd97a3e0%5D%2FgroupInfoFuel%5B%40ordinal%3D1%5D%2FpicFuelRecibeInterno","Descargar")</f>
        <v>Descargar</v>
      </c>
    </row>
    <row r="926" spans="1:18" x14ac:dyDescent="0.3">
      <c r="A926">
        <v>1591012</v>
      </c>
      <c r="B926" t="s">
        <v>18</v>
      </c>
      <c r="C926" t="s">
        <v>55</v>
      </c>
      <c r="D926" t="s">
        <v>64</v>
      </c>
      <c r="E926" t="s">
        <v>1398</v>
      </c>
      <c r="F926" t="s">
        <v>22</v>
      </c>
      <c r="G926" t="s">
        <v>23</v>
      </c>
      <c r="H926" t="s">
        <v>58</v>
      </c>
      <c r="I926" t="s">
        <v>25</v>
      </c>
      <c r="J926" t="s">
        <v>1399</v>
      </c>
      <c r="K926">
        <v>5</v>
      </c>
      <c r="L926">
        <v>8</v>
      </c>
      <c r="M926">
        <v>2025</v>
      </c>
      <c r="N926" t="s">
        <v>27</v>
      </c>
      <c r="O926">
        <v>100</v>
      </c>
      <c r="P926">
        <v>100</v>
      </c>
      <c r="R926" s="3" t="str">
        <f>HYPERLINK("https://panda.att.com.mx/ODKServer/view/binaryData?blobKey=FSSuministroFluidosv3%5B%40version%3Dnull+and+%40uiVersion%3Dnull%5D%2Fdata%5B%40key%3Duuid%3A7d2a0c34-fd16-4ebe-acf4-ce550e7e568e%5D%2FgroupInfoFuel%5B%40ordinal%3D1%5D%2FpicFuelRecibeInterno","Descargar")</f>
        <v>Descargar</v>
      </c>
    </row>
    <row r="927" spans="1:18" x14ac:dyDescent="0.3">
      <c r="A927">
        <v>1590508</v>
      </c>
      <c r="B927" t="s">
        <v>18</v>
      </c>
      <c r="C927" t="s">
        <v>100</v>
      </c>
      <c r="D927" t="s">
        <v>716</v>
      </c>
      <c r="E927" t="s">
        <v>989</v>
      </c>
      <c r="F927" t="s">
        <v>22</v>
      </c>
      <c r="G927" t="s">
        <v>23</v>
      </c>
      <c r="H927" t="s">
        <v>58</v>
      </c>
      <c r="I927" t="s">
        <v>25</v>
      </c>
      <c r="J927" t="s">
        <v>1400</v>
      </c>
      <c r="K927">
        <v>4</v>
      </c>
      <c r="L927">
        <v>8</v>
      </c>
      <c r="M927">
        <v>2025</v>
      </c>
      <c r="N927" t="s">
        <v>27</v>
      </c>
      <c r="O927">
        <v>300</v>
      </c>
      <c r="P927">
        <v>300</v>
      </c>
      <c r="R927" s="3" t="str">
        <f>HYPERLINK("https://panda.att.com.mx/ODKServer/view/binaryData?blobKey=FSSuministroFluidosv3%5B%40version%3Dnull+and+%40uiVersion%3Dnull%5D%2Fdata%5B%40key%3Duuid%3A3cafd5f6-b9e6-4da7-9296-42eb7be3c4ed%5D%2FgroupInfoFuel%5B%40ordinal%3D1%5D%2FpicFuelRecibeInterno","Descargar")</f>
        <v>Descargar</v>
      </c>
    </row>
    <row r="928" spans="1:18" x14ac:dyDescent="0.3">
      <c r="A928">
        <v>1590479</v>
      </c>
      <c r="B928" t="s">
        <v>18</v>
      </c>
      <c r="C928" t="s">
        <v>100</v>
      </c>
      <c r="D928" t="s">
        <v>833</v>
      </c>
      <c r="E928" t="s">
        <v>1303</v>
      </c>
      <c r="F928" t="s">
        <v>22</v>
      </c>
      <c r="G928" t="s">
        <v>83</v>
      </c>
      <c r="H928" t="s">
        <v>58</v>
      </c>
      <c r="I928" t="s">
        <v>25</v>
      </c>
      <c r="J928" t="s">
        <v>1401</v>
      </c>
      <c r="K928">
        <v>4</v>
      </c>
      <c r="L928">
        <v>8</v>
      </c>
      <c r="M928">
        <v>2025</v>
      </c>
      <c r="N928" t="s">
        <v>44</v>
      </c>
      <c r="O928">
        <v>30</v>
      </c>
      <c r="P928">
        <v>30</v>
      </c>
      <c r="R928" s="3" t="str">
        <f>HYPERLINK("https://panda.att.com.mx/ODKServer/view/binaryData?blobKey=FSSuministroFluidosv3%5B%40version%3Dnull+and+%40uiVersion%3Dnull%5D%2Fdata%5B%40key%3Duuid%3A44c44312-9f21-47dd-bc67-aa96bf6f08b6%5D%2FgroupInfoFuel%5B%40ordinal%3D1%5D%2FpicFuelRecibeInterno","Descargar")</f>
        <v>Descargar</v>
      </c>
    </row>
    <row r="929" spans="1:18" x14ac:dyDescent="0.3">
      <c r="A929">
        <v>1590468</v>
      </c>
      <c r="B929" t="s">
        <v>18</v>
      </c>
      <c r="C929" t="s">
        <v>34</v>
      </c>
      <c r="D929" t="s">
        <v>53</v>
      </c>
      <c r="E929" t="s">
        <v>1402</v>
      </c>
      <c r="F929" t="s">
        <v>22</v>
      </c>
      <c r="G929" t="s">
        <v>23</v>
      </c>
      <c r="H929" t="s">
        <v>37</v>
      </c>
      <c r="I929" t="s">
        <v>25</v>
      </c>
      <c r="J929" t="s">
        <v>1403</v>
      </c>
      <c r="K929">
        <v>4</v>
      </c>
      <c r="L929">
        <v>8</v>
      </c>
      <c r="M929">
        <v>2025</v>
      </c>
      <c r="N929" t="s">
        <v>27</v>
      </c>
      <c r="O929">
        <v>500</v>
      </c>
      <c r="P929">
        <v>500</v>
      </c>
      <c r="R929" s="3" t="str">
        <f>HYPERLINK("https://panda.att.com.mx/ODKServer/view/binaryData?blobKey=FSSuministroFluidosv3%5B%40version%3Dnull+and+%40uiVersion%3Dnull%5D%2Fdata%5B%40key%3Duuid%3Aed9c804c-2a38-4ce9-977d-bfbdf73ef522%5D%2FgroupInfoFuel%5B%40ordinal%3D1%5D%2FpicFuelRecibeInterno","Descargar")</f>
        <v>Descargar</v>
      </c>
    </row>
    <row r="930" spans="1:18" x14ac:dyDescent="0.3">
      <c r="A930">
        <v>1590467</v>
      </c>
      <c r="B930" t="s">
        <v>18</v>
      </c>
      <c r="C930" t="s">
        <v>28</v>
      </c>
      <c r="D930" t="s">
        <v>118</v>
      </c>
      <c r="E930" t="s">
        <v>1404</v>
      </c>
      <c r="F930" t="s">
        <v>22</v>
      </c>
      <c r="G930" t="s">
        <v>23</v>
      </c>
      <c r="H930" t="s">
        <v>24</v>
      </c>
      <c r="I930" t="s">
        <v>25</v>
      </c>
      <c r="J930" s="2">
        <v>45847.304930555547</v>
      </c>
      <c r="K930">
        <v>9</v>
      </c>
      <c r="L930">
        <v>7</v>
      </c>
      <c r="M930">
        <v>2025</v>
      </c>
      <c r="N930" t="s">
        <v>44</v>
      </c>
      <c r="O930">
        <v>40</v>
      </c>
      <c r="P930">
        <v>40</v>
      </c>
      <c r="R930" s="3" t="str">
        <f>HYPERLINK("https://panda.att.com.mx/ODKServer/view/binaryData?blobKey=FSSuministroFluidosv3%5B%40version%3Dnull+and+%40uiVersion%3Dnull%5D%2Fdata%5B%40key%3Duuid%3Ab69e06be-2bea-49ee-af51-a09ba9b78012%5D%2FgroupInfoFuel%5B%40ordinal%3D1%5D%2FpicFuelRecibeInterno","Descargar")</f>
        <v>Descargar</v>
      </c>
    </row>
    <row r="931" spans="1:18" x14ac:dyDescent="0.3">
      <c r="A931">
        <v>1590452</v>
      </c>
      <c r="B931" t="s">
        <v>18</v>
      </c>
      <c r="C931" t="s">
        <v>55</v>
      </c>
      <c r="D931" t="s">
        <v>56</v>
      </c>
      <c r="E931" t="s">
        <v>105</v>
      </c>
      <c r="F931" t="s">
        <v>22</v>
      </c>
      <c r="G931" t="s">
        <v>23</v>
      </c>
      <c r="H931" t="s">
        <v>58</v>
      </c>
      <c r="I931" t="s">
        <v>25</v>
      </c>
      <c r="J931" t="s">
        <v>1405</v>
      </c>
      <c r="K931">
        <v>1</v>
      </c>
      <c r="L931">
        <v>8</v>
      </c>
      <c r="M931">
        <v>2025</v>
      </c>
      <c r="N931" t="s">
        <v>27</v>
      </c>
      <c r="O931">
        <v>300</v>
      </c>
      <c r="P931">
        <v>300</v>
      </c>
      <c r="R931" s="3" t="str">
        <f>HYPERLINK("https://panda.att.com.mx/ODKServer/view/binaryData?blobKey=FSSuministroFluidosv3%5B%40version%3Dnull+and+%40uiVersion%3Dnull%5D%2Fdata%5B%40key%3Duuid%3A40f51c5d-7589-4f89-a74b-3ee2464b5f53%5D%2FgroupInfoFuel%5B%40ordinal%3D1%5D%2FpicFuelRecibeInterno","Descargar")</f>
        <v>Descargar</v>
      </c>
    </row>
    <row r="932" spans="1:18" x14ac:dyDescent="0.3">
      <c r="A932">
        <v>1590447</v>
      </c>
      <c r="B932" t="s">
        <v>18</v>
      </c>
      <c r="C932" t="s">
        <v>59</v>
      </c>
      <c r="D932" t="s">
        <v>636</v>
      </c>
      <c r="E932" t="s">
        <v>929</v>
      </c>
      <c r="F932" t="s">
        <v>22</v>
      </c>
      <c r="G932" t="s">
        <v>23</v>
      </c>
      <c r="H932" t="s">
        <v>37</v>
      </c>
      <c r="I932" t="s">
        <v>25</v>
      </c>
      <c r="J932" t="s">
        <v>1406</v>
      </c>
      <c r="K932">
        <v>4</v>
      </c>
      <c r="L932">
        <v>8</v>
      </c>
      <c r="M932">
        <v>2025</v>
      </c>
      <c r="N932" t="s">
        <v>27</v>
      </c>
      <c r="O932">
        <v>300</v>
      </c>
      <c r="P932">
        <v>300</v>
      </c>
      <c r="R932" s="3" t="str">
        <f>HYPERLINK("https://panda.att.com.mx/ODKServer/view/binaryData?blobKey=FSSuministroFluidosv3%5B%40version%3Dnull+and+%40uiVersion%3Dnull%5D%2Fdata%5B%40key%3Duuid%3A306b003a-d5f2-4030-b08f-2ab44ac33ba3%5D%2FgroupInfoFuel%5B%40ordinal%3D1%5D%2FpicFuelRecibeInterno","Descargar")</f>
        <v>Descargar</v>
      </c>
    </row>
    <row r="933" spans="1:18" x14ac:dyDescent="0.3">
      <c r="A933">
        <v>1590435</v>
      </c>
      <c r="B933" t="s">
        <v>18</v>
      </c>
      <c r="C933" t="s">
        <v>59</v>
      </c>
      <c r="D933" t="s">
        <v>636</v>
      </c>
      <c r="E933" t="s">
        <v>1044</v>
      </c>
      <c r="F933" t="s">
        <v>22</v>
      </c>
      <c r="G933" t="s">
        <v>23</v>
      </c>
      <c r="H933" t="s">
        <v>37</v>
      </c>
      <c r="I933" t="s">
        <v>25</v>
      </c>
      <c r="J933" t="s">
        <v>1407</v>
      </c>
      <c r="K933">
        <v>4</v>
      </c>
      <c r="L933">
        <v>8</v>
      </c>
      <c r="M933">
        <v>2025</v>
      </c>
      <c r="N933" t="s">
        <v>27</v>
      </c>
      <c r="O933">
        <v>200</v>
      </c>
      <c r="P933">
        <v>200</v>
      </c>
      <c r="R933" s="3" t="str">
        <f>HYPERLINK("https://panda.att.com.mx/ODKServer/view/binaryData?blobKey=FSSuministroFluidosv3%5B%40version%3Dnull+and+%40uiVersion%3Dnull%5D%2Fdata%5B%40key%3Duuid%3Abd970e50-b5c1-4d5a-8358-ff95207ab61c%5D%2FgroupInfoFuel%5B%40ordinal%3D1%5D%2FpicFuelRecibeInterno","Descargar")</f>
        <v>Descargar</v>
      </c>
    </row>
    <row r="934" spans="1:18" x14ac:dyDescent="0.3">
      <c r="A934">
        <v>1590411</v>
      </c>
      <c r="B934" t="s">
        <v>18</v>
      </c>
      <c r="C934" t="s">
        <v>28</v>
      </c>
      <c r="D934" t="s">
        <v>66</v>
      </c>
      <c r="E934" t="s">
        <v>1408</v>
      </c>
      <c r="F934" t="s">
        <v>22</v>
      </c>
      <c r="G934" t="s">
        <v>23</v>
      </c>
      <c r="H934" t="s">
        <v>24</v>
      </c>
      <c r="I934" t="s">
        <v>25</v>
      </c>
      <c r="J934" t="s">
        <v>1409</v>
      </c>
      <c r="K934">
        <v>3</v>
      </c>
      <c r="L934">
        <v>8</v>
      </c>
      <c r="M934">
        <v>2025</v>
      </c>
      <c r="N934" t="s">
        <v>44</v>
      </c>
      <c r="O934">
        <v>40</v>
      </c>
      <c r="Q934">
        <v>40</v>
      </c>
      <c r="R934" s="3" t="str">
        <f>HYPERLINK("https://panda.att.com.mx/ODKServer/view/binaryData?blobKey=FSSuministroFluidosv3%5B%40version%3Dnull+and+%40uiVersion%3Dnull%5D%2Fdata%5B%40key%3Duuid%3A766c04b8-24cb-4a50-8802-81a942754b93%5D%2FgroupInfoFuel%5B%40ordinal%3D1%5D%2FpicFuelRecibeInterno","Descargar")</f>
        <v>Descargar</v>
      </c>
    </row>
    <row r="935" spans="1:18" x14ac:dyDescent="0.3">
      <c r="A935">
        <v>1590316</v>
      </c>
      <c r="B935" t="s">
        <v>18</v>
      </c>
      <c r="C935" t="s">
        <v>19</v>
      </c>
      <c r="D935" t="s">
        <v>45</v>
      </c>
      <c r="E935" t="s">
        <v>383</v>
      </c>
      <c r="F935" t="s">
        <v>22</v>
      </c>
      <c r="G935" t="s">
        <v>23</v>
      </c>
      <c r="H935" t="s">
        <v>24</v>
      </c>
      <c r="I935" t="s">
        <v>25</v>
      </c>
      <c r="J935" t="s">
        <v>1410</v>
      </c>
      <c r="K935">
        <v>3</v>
      </c>
      <c r="L935">
        <v>8</v>
      </c>
      <c r="M935">
        <v>2025</v>
      </c>
      <c r="N935" t="s">
        <v>27</v>
      </c>
      <c r="O935">
        <v>300</v>
      </c>
      <c r="P935">
        <v>300</v>
      </c>
      <c r="R935" s="3" t="str">
        <f>HYPERLINK("https://panda.att.com.mx/ODKServer/view/binaryData?blobKey=FSSuministroFluidosv3%5B%40version%3Dnull+and+%40uiVersion%3Dnull%5D%2Fdata%5B%40key%3Duuid%3A3af3e01c-c4f8-4980-a37b-30a0e728b2f0%5D%2FgroupInfoFuel%5B%40ordinal%3D1%5D%2FpicFuelRecibeInterno","Descargar")</f>
        <v>Descargar</v>
      </c>
    </row>
    <row r="936" spans="1:18" x14ac:dyDescent="0.3">
      <c r="A936">
        <v>1590309</v>
      </c>
      <c r="B936" t="s">
        <v>18</v>
      </c>
      <c r="C936" t="s">
        <v>19</v>
      </c>
      <c r="D936" t="s">
        <v>45</v>
      </c>
      <c r="E936" t="s">
        <v>1411</v>
      </c>
      <c r="F936" t="s">
        <v>22</v>
      </c>
      <c r="G936" t="s">
        <v>23</v>
      </c>
      <c r="H936" t="s">
        <v>24</v>
      </c>
      <c r="I936" t="s">
        <v>25</v>
      </c>
      <c r="J936" t="s">
        <v>1412</v>
      </c>
      <c r="K936">
        <v>4</v>
      </c>
      <c r="L936">
        <v>8</v>
      </c>
      <c r="M936">
        <v>2025</v>
      </c>
      <c r="N936" t="s">
        <v>27</v>
      </c>
      <c r="O936">
        <v>100</v>
      </c>
      <c r="P936">
        <v>100</v>
      </c>
      <c r="R936" s="3" t="str">
        <f>HYPERLINK("https://panda.att.com.mx/ODKServer/view/binaryData?blobKey=FSSuministroFluidosv3%5B%40version%3Dnull+and+%40uiVersion%3Dnull%5D%2Fdata%5B%40key%3Duuid%3Ab350c406-0774-478a-ac39-f491ba8a75fc%5D%2FgroupInfoFuel%5B%40ordinal%3D1%5D%2FpicFuelRecibeInterno","Descargar")</f>
        <v>Descargar</v>
      </c>
    </row>
    <row r="937" spans="1:18" x14ac:dyDescent="0.3">
      <c r="A937">
        <v>1590201</v>
      </c>
      <c r="B937" t="s">
        <v>18</v>
      </c>
      <c r="C937" t="s">
        <v>55</v>
      </c>
      <c r="D937" t="s">
        <v>64</v>
      </c>
      <c r="E937" t="s">
        <v>1413</v>
      </c>
      <c r="F937" t="s">
        <v>22</v>
      </c>
      <c r="G937" t="s">
        <v>23</v>
      </c>
      <c r="H937" t="s">
        <v>58</v>
      </c>
      <c r="I937" t="s">
        <v>25</v>
      </c>
      <c r="J937" t="s">
        <v>1414</v>
      </c>
      <c r="K937">
        <v>4</v>
      </c>
      <c r="L937">
        <v>8</v>
      </c>
      <c r="M937">
        <v>2025</v>
      </c>
      <c r="N937" t="s">
        <v>27</v>
      </c>
      <c r="O937">
        <v>150</v>
      </c>
      <c r="P937">
        <v>150</v>
      </c>
      <c r="R937" s="3" t="str">
        <f>HYPERLINK("https://panda.att.com.mx/ODKServer/view/binaryData?blobKey=FSSuministroFluidosv3%5B%40version%3Dnull+and+%40uiVersion%3Dnull%5D%2Fdata%5B%40key%3Duuid%3A5fe1f98c-390e-4579-bab2-49a7df336aaa%5D%2FgroupInfoFuel%5B%40ordinal%3D1%5D%2FpicFuelRecibeInterno","Descargar")</f>
        <v>Descargar</v>
      </c>
    </row>
    <row r="938" spans="1:18" x14ac:dyDescent="0.3">
      <c r="A938">
        <v>1590200</v>
      </c>
      <c r="B938" t="s">
        <v>18</v>
      </c>
      <c r="C938" t="s">
        <v>55</v>
      </c>
      <c r="D938" t="s">
        <v>64</v>
      </c>
      <c r="E938" t="s">
        <v>1317</v>
      </c>
      <c r="F938" t="s">
        <v>22</v>
      </c>
      <c r="G938" t="s">
        <v>23</v>
      </c>
      <c r="H938" t="s">
        <v>58</v>
      </c>
      <c r="I938" t="s">
        <v>25</v>
      </c>
      <c r="J938" t="s">
        <v>1415</v>
      </c>
      <c r="K938">
        <v>4</v>
      </c>
      <c r="L938">
        <v>8</v>
      </c>
      <c r="M938">
        <v>2025</v>
      </c>
      <c r="N938" t="s">
        <v>27</v>
      </c>
      <c r="O938">
        <v>200</v>
      </c>
      <c r="P938">
        <v>200</v>
      </c>
      <c r="R938" s="3" t="str">
        <f>HYPERLINK("https://panda.att.com.mx/ODKServer/view/binaryData?blobKey=FSSuministroFluidosv3%5B%40version%3Dnull+and+%40uiVersion%3Dnull%5D%2Fdata%5B%40key%3Duuid%3Afe0da8ce-1cd0-435d-bd39-884bb90a3f8c%5D%2FgroupInfoFuel%5B%40ordinal%3D1%5D%2FpicFuelRecibeInterno","Descargar")</f>
        <v>Descargar</v>
      </c>
    </row>
    <row r="939" spans="1:18" x14ac:dyDescent="0.3">
      <c r="A939">
        <v>1590171</v>
      </c>
      <c r="B939" t="s">
        <v>18</v>
      </c>
      <c r="C939" t="s">
        <v>100</v>
      </c>
      <c r="D939" t="s">
        <v>716</v>
      </c>
      <c r="E939" t="s">
        <v>717</v>
      </c>
      <c r="F939" t="s">
        <v>22</v>
      </c>
      <c r="G939" t="s">
        <v>83</v>
      </c>
      <c r="H939" t="s">
        <v>58</v>
      </c>
      <c r="I939" t="s">
        <v>25</v>
      </c>
      <c r="J939" t="s">
        <v>1416</v>
      </c>
      <c r="K939">
        <v>3</v>
      </c>
      <c r="L939">
        <v>8</v>
      </c>
      <c r="M939">
        <v>2025</v>
      </c>
      <c r="N939" t="s">
        <v>27</v>
      </c>
      <c r="O939">
        <v>130</v>
      </c>
      <c r="P939">
        <v>130</v>
      </c>
      <c r="R939" s="3" t="str">
        <f>HYPERLINK("https://panda.att.com.mx/ODKServer/view/binaryData?blobKey=FSSuministroFluidosv3%5B%40version%3Dnull+and+%40uiVersion%3Dnull%5D%2Fdata%5B%40key%3Duuid%3A58036816-cd73-45cb-be6a-a2310cec9826%5D%2FgroupInfoFuel%5B%40ordinal%3D1%5D%2FpicFuelRecibeInterno","Descargar")</f>
        <v>Descargar</v>
      </c>
    </row>
    <row r="940" spans="1:18" x14ac:dyDescent="0.3">
      <c r="A940">
        <v>1590164</v>
      </c>
      <c r="B940" t="s">
        <v>18</v>
      </c>
      <c r="C940" t="s">
        <v>34</v>
      </c>
      <c r="D940" t="s">
        <v>53</v>
      </c>
      <c r="E940" t="s">
        <v>1417</v>
      </c>
      <c r="F940" t="s">
        <v>22</v>
      </c>
      <c r="G940" t="s">
        <v>23</v>
      </c>
      <c r="H940" t="s">
        <v>37</v>
      </c>
      <c r="I940" t="s">
        <v>25</v>
      </c>
      <c r="J940" t="s">
        <v>1418</v>
      </c>
      <c r="K940">
        <v>4</v>
      </c>
      <c r="L940">
        <v>8</v>
      </c>
      <c r="M940">
        <v>2025</v>
      </c>
      <c r="N940" t="s">
        <v>27</v>
      </c>
      <c r="O940">
        <v>200</v>
      </c>
      <c r="P940">
        <v>200</v>
      </c>
      <c r="R940" s="3" t="str">
        <f>HYPERLINK("https://panda.att.com.mx/ODKServer/view/binaryData?blobKey=FSSuministroFluidosv3%5B%40version%3Dnull+and+%40uiVersion%3Dnull%5D%2Fdata%5B%40key%3Duuid%3A21cb9cda-04ef-4575-9497-e23bd3d92d76%5D%2FgroupInfoFuel%5B%40ordinal%3D1%5D%2FpicFuelRecibeInterno","Descargar")</f>
        <v>Descargar</v>
      </c>
    </row>
    <row r="941" spans="1:18" x14ac:dyDescent="0.3">
      <c r="A941">
        <v>1590047</v>
      </c>
      <c r="B941" t="s">
        <v>18</v>
      </c>
      <c r="C941" t="s">
        <v>19</v>
      </c>
      <c r="D941" t="s">
        <v>45</v>
      </c>
      <c r="E941" t="s">
        <v>383</v>
      </c>
      <c r="F941" t="s">
        <v>22</v>
      </c>
      <c r="G941" t="s">
        <v>23</v>
      </c>
      <c r="H941" t="s">
        <v>24</v>
      </c>
      <c r="I941" t="s">
        <v>25</v>
      </c>
      <c r="J941" t="s">
        <v>1419</v>
      </c>
      <c r="K941">
        <v>2</v>
      </c>
      <c r="L941">
        <v>8</v>
      </c>
      <c r="M941">
        <v>2025</v>
      </c>
      <c r="N941" t="s">
        <v>27</v>
      </c>
      <c r="O941">
        <v>300</v>
      </c>
      <c r="P941">
        <v>300</v>
      </c>
      <c r="R941" s="3" t="str">
        <f>HYPERLINK("https://panda.att.com.mx/ODKServer/view/binaryData?blobKey=FSSuministroFluidosv3%5B%40version%3Dnull+and+%40uiVersion%3Dnull%5D%2Fdata%5B%40key%3Duuid%3A6e33d0a1-f594-4387-936d-c95e6ad8391a%5D%2FgroupInfoFuel%5B%40ordinal%3D1%5D%2FpicFuelRecibeInterno","Descargar")</f>
        <v>Descargar</v>
      </c>
    </row>
    <row r="942" spans="1:18" x14ac:dyDescent="0.3">
      <c r="A942">
        <v>1590006</v>
      </c>
      <c r="B942" t="s">
        <v>18</v>
      </c>
      <c r="C942" t="s">
        <v>68</v>
      </c>
      <c r="D942" t="s">
        <v>1420</v>
      </c>
      <c r="E942" t="s">
        <v>1421</v>
      </c>
      <c r="F942" t="s">
        <v>22</v>
      </c>
      <c r="G942" t="s">
        <v>1422</v>
      </c>
      <c r="H942" t="s">
        <v>37</v>
      </c>
      <c r="I942" t="s">
        <v>25</v>
      </c>
      <c r="J942" t="s">
        <v>1423</v>
      </c>
      <c r="K942">
        <v>4</v>
      </c>
      <c r="L942">
        <v>8</v>
      </c>
      <c r="M942">
        <v>2025</v>
      </c>
      <c r="N942" t="s">
        <v>27</v>
      </c>
      <c r="O942">
        <v>250</v>
      </c>
      <c r="P942">
        <v>250</v>
      </c>
      <c r="Q942">
        <v>0</v>
      </c>
      <c r="R942" s="3" t="str">
        <f>HYPERLINK("https://panda.att.com.mx/ODKServer/view/binaryData?blobKey=FSSuministroFluidosv3%5B%40version%3Dnull+and+%40uiVersion%3Dnull%5D%2Fdata%5B%40key%3Duuid%3A5baba6b0-a4d3-4691-a26a-b625b29cfade%5D%2FgroupInfoFuel%5B%40ordinal%3D1%5D%2FpicFuelRecibeInterno","Descargar")</f>
        <v>Descargar</v>
      </c>
    </row>
    <row r="943" spans="1:18" x14ac:dyDescent="0.3">
      <c r="A943">
        <v>1590005</v>
      </c>
      <c r="B943" t="s">
        <v>18</v>
      </c>
      <c r="C943" t="s">
        <v>34</v>
      </c>
      <c r="D943" t="s">
        <v>53</v>
      </c>
      <c r="E943" t="s">
        <v>54</v>
      </c>
      <c r="F943" t="s">
        <v>22</v>
      </c>
      <c r="G943" t="s">
        <v>23</v>
      </c>
      <c r="H943" t="s">
        <v>37</v>
      </c>
      <c r="I943" t="s">
        <v>25</v>
      </c>
      <c r="J943" t="s">
        <v>1424</v>
      </c>
      <c r="K943">
        <v>4</v>
      </c>
      <c r="L943">
        <v>8</v>
      </c>
      <c r="M943">
        <v>2025</v>
      </c>
      <c r="N943" t="s">
        <v>27</v>
      </c>
      <c r="O943">
        <v>200</v>
      </c>
      <c r="Q943">
        <v>200</v>
      </c>
      <c r="R943" s="3" t="str">
        <f>HYPERLINK("https://panda.att.com.mx/ODKServer/view/binaryData?blobKey=FSSuministroFluidosv3%5B%40version%3Dnull+and+%40uiVersion%3Dnull%5D%2Fdata%5B%40key%3Duuid%3Ad7dc629d-49d4-467d-94a2-c4f42af18f98%5D%2FgroupInfoFuel%5B%40ordinal%3D1%5D%2FpicFuelRecibeInterno","Descargar")</f>
        <v>Descargar</v>
      </c>
    </row>
    <row r="944" spans="1:18" x14ac:dyDescent="0.3">
      <c r="A944">
        <v>1589984</v>
      </c>
      <c r="B944" t="s">
        <v>18</v>
      </c>
      <c r="C944" t="s">
        <v>167</v>
      </c>
      <c r="D944" t="s">
        <v>168</v>
      </c>
      <c r="E944" t="s">
        <v>266</v>
      </c>
      <c r="F944" t="s">
        <v>22</v>
      </c>
      <c r="G944" t="s">
        <v>83</v>
      </c>
      <c r="H944" t="s">
        <v>58</v>
      </c>
      <c r="I944" t="s">
        <v>25</v>
      </c>
      <c r="J944" t="s">
        <v>1425</v>
      </c>
      <c r="K944">
        <v>4</v>
      </c>
      <c r="L944">
        <v>8</v>
      </c>
      <c r="M944">
        <v>2025</v>
      </c>
      <c r="N944" t="s">
        <v>27</v>
      </c>
      <c r="O944">
        <v>450</v>
      </c>
      <c r="P944">
        <v>450</v>
      </c>
      <c r="R944" s="3" t="str">
        <f>HYPERLINK("https://panda.att.com.mx/ODKServer/view/binaryData?blobKey=FSSuministroFluidosv3%5B%40version%3Dnull+and+%40uiVersion%3Dnull%5D%2Fdata%5B%40key%3Duuid%3Aa074d7b5-4438-4136-b79e-50d3c1a4bfa7%5D%2FgroupInfoFuel%5B%40ordinal%3D1%5D%2FpicFuelRecibeInterno","Descargar")</f>
        <v>Descargar</v>
      </c>
    </row>
    <row r="945" spans="1:18" x14ac:dyDescent="0.3">
      <c r="A945">
        <v>1589981</v>
      </c>
      <c r="B945" t="s">
        <v>18</v>
      </c>
      <c r="C945" t="s">
        <v>100</v>
      </c>
      <c r="D945" t="s">
        <v>101</v>
      </c>
      <c r="E945" t="s">
        <v>102</v>
      </c>
      <c r="F945" t="s">
        <v>22</v>
      </c>
      <c r="G945" t="s">
        <v>83</v>
      </c>
      <c r="H945" t="s">
        <v>58</v>
      </c>
      <c r="I945" t="s">
        <v>25</v>
      </c>
      <c r="J945" t="s">
        <v>1426</v>
      </c>
      <c r="K945">
        <v>4</v>
      </c>
      <c r="L945">
        <v>8</v>
      </c>
      <c r="M945">
        <v>2025</v>
      </c>
      <c r="N945" t="s">
        <v>44</v>
      </c>
      <c r="O945">
        <v>60</v>
      </c>
      <c r="P945">
        <v>60</v>
      </c>
      <c r="R945" s="3" t="str">
        <f>HYPERLINK("https://panda.att.com.mx/ODKServer/view/binaryData?blobKey=FSSuministroFluidosv3%5B%40version%3Dnull+and+%40uiVersion%3Dnull%5D%2Fdata%5B%40key%3Duuid%3A60fa734a-f011-465e-8e35-b7fab7a32c86%5D%2FgroupInfoFuel%5B%40ordinal%3D1%5D%2FpicFuelRecibeInterno","Descargar")</f>
        <v>Descargar</v>
      </c>
    </row>
    <row r="946" spans="1:18" x14ac:dyDescent="0.3">
      <c r="A946">
        <v>1589846</v>
      </c>
      <c r="B946" t="s">
        <v>18</v>
      </c>
      <c r="C946" t="s">
        <v>68</v>
      </c>
      <c r="D946" t="s">
        <v>556</v>
      </c>
      <c r="E946" t="s">
        <v>1427</v>
      </c>
      <c r="F946" t="s">
        <v>22</v>
      </c>
      <c r="G946" t="s">
        <v>47</v>
      </c>
      <c r="H946" t="s">
        <v>37</v>
      </c>
      <c r="I946" t="s">
        <v>25</v>
      </c>
      <c r="J946" t="s">
        <v>1428</v>
      </c>
      <c r="K946">
        <v>4</v>
      </c>
      <c r="L946">
        <v>8</v>
      </c>
      <c r="M946">
        <v>2025</v>
      </c>
      <c r="N946" t="s">
        <v>44</v>
      </c>
      <c r="O946">
        <v>50</v>
      </c>
      <c r="P946">
        <v>50</v>
      </c>
      <c r="R946" s="3" t="str">
        <f>HYPERLINK("https://panda.att.com.mx/ODKServer/view/binaryData?blobKey=FSSuministroFluidosv3%5B%40version%3Dnull+and+%40uiVersion%3Dnull%5D%2Fdata%5B%40key%3Duuid%3A07cc2b51-3590-4792-bdbc-e1d81dba8b7d%5D%2FgroupInfoFuel%5B%40ordinal%3D1%5D%2FpicFuelRecibeInterno","Descargar")</f>
        <v>Descargar</v>
      </c>
    </row>
    <row r="947" spans="1:18" x14ac:dyDescent="0.3">
      <c r="A947">
        <v>1589845</v>
      </c>
      <c r="B947" t="s">
        <v>18</v>
      </c>
      <c r="C947" t="s">
        <v>68</v>
      </c>
      <c r="D947" t="s">
        <v>132</v>
      </c>
      <c r="E947" t="s">
        <v>1002</v>
      </c>
      <c r="F947" t="s">
        <v>22</v>
      </c>
      <c r="G947" t="s">
        <v>23</v>
      </c>
      <c r="H947" t="s">
        <v>37</v>
      </c>
      <c r="I947" t="s">
        <v>25</v>
      </c>
      <c r="J947" t="s">
        <v>1429</v>
      </c>
      <c r="K947">
        <v>3</v>
      </c>
      <c r="L947">
        <v>8</v>
      </c>
      <c r="M947">
        <v>2025</v>
      </c>
      <c r="N947" t="s">
        <v>27</v>
      </c>
      <c r="O947">
        <v>100</v>
      </c>
      <c r="P947">
        <v>100</v>
      </c>
      <c r="R947" s="3" t="str">
        <f>HYPERLINK("https://panda.att.com.mx/ODKServer/view/binaryData?blobKey=FSSuministroFluidosv3%5B%40version%3Dnull+and+%40uiVersion%3Dnull%5D%2Fdata%5B%40key%3Duuid%3Ad18af132-ddd5-43b7-84bd-24ff1d2f2820%5D%2FgroupInfoFuel%5B%40ordinal%3D1%5D%2FpicFuelRecibeInterno","Descargar")</f>
        <v>Descargar</v>
      </c>
    </row>
    <row r="948" spans="1:18" x14ac:dyDescent="0.3">
      <c r="A948">
        <v>1589844</v>
      </c>
      <c r="B948" t="s">
        <v>18</v>
      </c>
      <c r="C948" t="s">
        <v>68</v>
      </c>
      <c r="D948" t="s">
        <v>132</v>
      </c>
      <c r="E948" t="s">
        <v>1002</v>
      </c>
      <c r="F948" t="s">
        <v>22</v>
      </c>
      <c r="G948" t="s">
        <v>23</v>
      </c>
      <c r="H948" t="s">
        <v>37</v>
      </c>
      <c r="I948" t="s">
        <v>25</v>
      </c>
      <c r="J948" t="s">
        <v>1430</v>
      </c>
      <c r="K948">
        <v>3</v>
      </c>
      <c r="L948">
        <v>8</v>
      </c>
      <c r="M948">
        <v>2025</v>
      </c>
      <c r="N948" t="s">
        <v>27</v>
      </c>
      <c r="O948">
        <v>80</v>
      </c>
      <c r="P948">
        <v>80</v>
      </c>
      <c r="R948" s="3" t="str">
        <f>HYPERLINK("https://panda.att.com.mx/ODKServer/view/binaryData?blobKey=FSSuministroFluidosv3%5B%40version%3Dnull+and+%40uiVersion%3Dnull%5D%2Fdata%5B%40key%3Duuid%3A1112a294-372c-4ef1-b95c-5452c7a5ef3e%5D%2FgroupInfoFuel%5B%40ordinal%3D1%5D%2FpicFuelRecibeInterno","Descargar")</f>
        <v>Descargar</v>
      </c>
    </row>
    <row r="949" spans="1:18" x14ac:dyDescent="0.3">
      <c r="A949">
        <v>1589843</v>
      </c>
      <c r="B949" t="s">
        <v>18</v>
      </c>
      <c r="C949" t="s">
        <v>68</v>
      </c>
      <c r="D949" t="s">
        <v>132</v>
      </c>
      <c r="E949" t="s">
        <v>1002</v>
      </c>
      <c r="F949" t="s">
        <v>22</v>
      </c>
      <c r="G949" t="s">
        <v>23</v>
      </c>
      <c r="H949" t="s">
        <v>37</v>
      </c>
      <c r="I949" t="s">
        <v>25</v>
      </c>
      <c r="J949" t="s">
        <v>1431</v>
      </c>
      <c r="K949">
        <v>3</v>
      </c>
      <c r="L949">
        <v>8</v>
      </c>
      <c r="M949">
        <v>2025</v>
      </c>
      <c r="N949" t="s">
        <v>27</v>
      </c>
      <c r="O949">
        <v>70</v>
      </c>
      <c r="P949">
        <v>70</v>
      </c>
      <c r="R949" s="3" t="str">
        <f>HYPERLINK("https://panda.att.com.mx/ODKServer/view/binaryData?blobKey=FSSuministroFluidosv3%5B%40version%3Dnull+and+%40uiVersion%3Dnull%5D%2Fdata%5B%40key%3Duuid%3A171e4faf-812b-4fa9-9143-d7852b4cc6d4%5D%2FgroupInfoFuel%5B%40ordinal%3D1%5D%2FpicFuelRecibeInterno","Descargar")</f>
        <v>Descargar</v>
      </c>
    </row>
    <row r="950" spans="1:18" x14ac:dyDescent="0.3">
      <c r="A950">
        <v>1589802</v>
      </c>
      <c r="B950" t="s">
        <v>18</v>
      </c>
      <c r="C950" t="s">
        <v>28</v>
      </c>
      <c r="D950" t="s">
        <v>181</v>
      </c>
      <c r="E950" t="s">
        <v>1432</v>
      </c>
      <c r="F950" t="s">
        <v>22</v>
      </c>
      <c r="G950" t="s">
        <v>23</v>
      </c>
      <c r="H950" t="s">
        <v>24</v>
      </c>
      <c r="I950" t="s">
        <v>25</v>
      </c>
      <c r="J950" t="s">
        <v>1433</v>
      </c>
      <c r="K950">
        <v>3</v>
      </c>
      <c r="L950">
        <v>8</v>
      </c>
      <c r="M950">
        <v>2025</v>
      </c>
      <c r="N950" t="s">
        <v>27</v>
      </c>
      <c r="O950">
        <v>100</v>
      </c>
      <c r="P950">
        <v>100</v>
      </c>
      <c r="R950" s="3" t="str">
        <f>HYPERLINK("https://panda.att.com.mx/ODKServer/view/binaryData?blobKey=FSSuministroFluidosv3%5B%40version%3Dnull+and+%40uiVersion%3Dnull%5D%2Fdata%5B%40key%3Duuid%3Ac80ca29e-ecc5-4166-93b2-a827973efb9a%5D%2FgroupInfoFuel%5B%40ordinal%3D1%5D%2FpicFuelRecibeInterno","Descargar")</f>
        <v>Descargar</v>
      </c>
    </row>
    <row r="951" spans="1:18" x14ac:dyDescent="0.3">
      <c r="A951">
        <v>1589799</v>
      </c>
      <c r="B951" t="s">
        <v>18</v>
      </c>
      <c r="C951" t="s">
        <v>28</v>
      </c>
      <c r="D951" t="s">
        <v>1036</v>
      </c>
      <c r="E951" t="s">
        <v>1434</v>
      </c>
      <c r="F951" t="s">
        <v>22</v>
      </c>
      <c r="G951" t="s">
        <v>23</v>
      </c>
      <c r="H951" t="s">
        <v>37</v>
      </c>
      <c r="I951" t="s">
        <v>25</v>
      </c>
      <c r="J951" t="s">
        <v>1435</v>
      </c>
      <c r="K951">
        <v>3</v>
      </c>
      <c r="L951">
        <v>8</v>
      </c>
      <c r="M951">
        <v>2025</v>
      </c>
      <c r="N951" t="s">
        <v>44</v>
      </c>
      <c r="O951">
        <v>60</v>
      </c>
      <c r="P951">
        <v>60</v>
      </c>
      <c r="R951" s="3" t="str">
        <f>HYPERLINK("https://panda.att.com.mx/ODKServer/view/binaryData?blobKey=FSSuministroFluidosv3%5B%40version%3Dnull+and+%40uiVersion%3Dnull%5D%2Fdata%5B%40key%3Duuid%3A53ac7ac4-54dd-43b7-8c0d-694d5af24503%5D%2FgroupInfoFuel%5B%40ordinal%3D1%5D%2FpicFuelRecibeInterno","Descargar")</f>
        <v>Descargar</v>
      </c>
    </row>
    <row r="952" spans="1:18" x14ac:dyDescent="0.3">
      <c r="A952">
        <v>1589797</v>
      </c>
      <c r="B952" t="s">
        <v>18</v>
      </c>
      <c r="C952" t="s">
        <v>28</v>
      </c>
      <c r="D952" t="s">
        <v>66</v>
      </c>
      <c r="E952" t="s">
        <v>276</v>
      </c>
      <c r="F952" t="s">
        <v>22</v>
      </c>
      <c r="G952" t="s">
        <v>23</v>
      </c>
      <c r="H952" t="s">
        <v>24</v>
      </c>
      <c r="I952" t="s">
        <v>25</v>
      </c>
      <c r="J952" t="s">
        <v>1436</v>
      </c>
      <c r="K952">
        <v>3</v>
      </c>
      <c r="L952">
        <v>8</v>
      </c>
      <c r="M952">
        <v>2025</v>
      </c>
      <c r="N952" t="s">
        <v>44</v>
      </c>
      <c r="O952">
        <v>40</v>
      </c>
      <c r="P952">
        <v>40</v>
      </c>
      <c r="R952" s="3" t="str">
        <f>HYPERLINK("https://panda.att.com.mx/ODKServer/view/binaryData?blobKey=FSSuministroFluidosv3%5B%40version%3Dnull+and+%40uiVersion%3Dnull%5D%2Fdata%5B%40key%3Duuid%3Aaa2d9bd4-d761-4460-9e35-7361d972fc8a%5D%2FgroupInfoFuel%5B%40ordinal%3D1%5D%2FpicFuelRecibeInterno","Descargar")</f>
        <v>Descargar</v>
      </c>
    </row>
    <row r="953" spans="1:18" x14ac:dyDescent="0.3">
      <c r="A953">
        <v>1589794</v>
      </c>
      <c r="B953" t="s">
        <v>18</v>
      </c>
      <c r="C953" t="s">
        <v>34</v>
      </c>
      <c r="D953" t="s">
        <v>53</v>
      </c>
      <c r="E953" t="s">
        <v>649</v>
      </c>
      <c r="F953" t="s">
        <v>22</v>
      </c>
      <c r="G953" t="s">
        <v>23</v>
      </c>
      <c r="H953" t="s">
        <v>37</v>
      </c>
      <c r="I953" t="s">
        <v>25</v>
      </c>
      <c r="J953" t="s">
        <v>1437</v>
      </c>
      <c r="K953">
        <v>3</v>
      </c>
      <c r="L953">
        <v>8</v>
      </c>
      <c r="M953">
        <v>2025</v>
      </c>
      <c r="N953" t="s">
        <v>27</v>
      </c>
      <c r="O953">
        <v>200</v>
      </c>
      <c r="P953">
        <v>200</v>
      </c>
      <c r="R953" s="3" t="str">
        <f>HYPERLINK("https://panda.att.com.mx/ODKServer/view/binaryData?blobKey=FSSuministroFluidosv3%5B%40version%3Dnull+and+%40uiVersion%3Dnull%5D%2Fdata%5B%40key%3Duuid%3Afce18357-acb0-413a-aa08-4fd3f2b87161%5D%2FgroupInfoFuel%5B%40ordinal%3D1%5D%2FpicFuelRecibeInterno","Descargar")</f>
        <v>Descargar</v>
      </c>
    </row>
    <row r="954" spans="1:18" x14ac:dyDescent="0.3">
      <c r="A954">
        <v>1589788</v>
      </c>
      <c r="B954" t="s">
        <v>18</v>
      </c>
      <c r="C954" t="s">
        <v>19</v>
      </c>
      <c r="D954" t="s">
        <v>62</v>
      </c>
      <c r="E954" t="s">
        <v>615</v>
      </c>
      <c r="F954" t="s">
        <v>22</v>
      </c>
      <c r="G954" t="s">
        <v>23</v>
      </c>
      <c r="H954" t="s">
        <v>24</v>
      </c>
      <c r="I954" t="s">
        <v>25</v>
      </c>
      <c r="J954" t="s">
        <v>1438</v>
      </c>
      <c r="K954">
        <v>3</v>
      </c>
      <c r="L954">
        <v>8</v>
      </c>
      <c r="M954">
        <v>2025</v>
      </c>
      <c r="N954" t="s">
        <v>44</v>
      </c>
      <c r="O954">
        <v>50</v>
      </c>
      <c r="P954">
        <v>50</v>
      </c>
      <c r="R954" s="3" t="str">
        <f>HYPERLINK("https://panda.att.com.mx/ODKServer/view/binaryData?blobKey=FSSuministroFluidosv3%5B%40version%3Dnull+and+%40uiVersion%3Dnull%5D%2Fdata%5B%40key%3Duuid%3A13c27006-ec8d-4f60-a8bb-d6ae93d40536%5D%2FgroupInfoFuel%5B%40ordinal%3D1%5D%2FpicFuelRecibeInterno","Descargar")</f>
        <v>Descargar</v>
      </c>
    </row>
    <row r="955" spans="1:18" x14ac:dyDescent="0.3">
      <c r="A955">
        <v>1589787</v>
      </c>
      <c r="B955" t="s">
        <v>18</v>
      </c>
      <c r="C955" t="s">
        <v>19</v>
      </c>
      <c r="D955" t="s">
        <v>62</v>
      </c>
      <c r="E955" t="s">
        <v>615</v>
      </c>
      <c r="F955" t="s">
        <v>22</v>
      </c>
      <c r="G955" t="s">
        <v>23</v>
      </c>
      <c r="H955" t="s">
        <v>24</v>
      </c>
      <c r="I955" t="s">
        <v>25</v>
      </c>
      <c r="J955" t="s">
        <v>1439</v>
      </c>
      <c r="K955">
        <v>3</v>
      </c>
      <c r="L955">
        <v>8</v>
      </c>
      <c r="M955">
        <v>2025</v>
      </c>
      <c r="N955" t="s">
        <v>44</v>
      </c>
      <c r="O955">
        <v>50</v>
      </c>
      <c r="P955">
        <v>50</v>
      </c>
      <c r="R955" s="3" t="str">
        <f>HYPERLINK("https://panda.att.com.mx/ODKServer/view/binaryData?blobKey=FSSuministroFluidosv3%5B%40version%3Dnull+and+%40uiVersion%3Dnull%5D%2Fdata%5B%40key%3Duuid%3A1dbde1a0-f13b-4c84-9f9d-37bc2480cd44%5D%2FgroupInfoFuel%5B%40ordinal%3D1%5D%2FpicFuelRecibeInterno","Descargar")</f>
        <v>Descargar</v>
      </c>
    </row>
    <row r="956" spans="1:18" x14ac:dyDescent="0.3">
      <c r="A956">
        <v>1589786</v>
      </c>
      <c r="B956" t="s">
        <v>18</v>
      </c>
      <c r="C956" t="s">
        <v>19</v>
      </c>
      <c r="D956" t="s">
        <v>62</v>
      </c>
      <c r="E956" t="s">
        <v>615</v>
      </c>
      <c r="F956" t="s">
        <v>22</v>
      </c>
      <c r="G956" t="s">
        <v>23</v>
      </c>
      <c r="H956" t="s">
        <v>24</v>
      </c>
      <c r="I956" t="s">
        <v>25</v>
      </c>
      <c r="J956" t="s">
        <v>1440</v>
      </c>
      <c r="K956">
        <v>3</v>
      </c>
      <c r="L956">
        <v>8</v>
      </c>
      <c r="M956">
        <v>2025</v>
      </c>
      <c r="N956" t="s">
        <v>44</v>
      </c>
      <c r="O956">
        <v>50</v>
      </c>
      <c r="P956">
        <v>50</v>
      </c>
      <c r="R956" s="3" t="str">
        <f>HYPERLINK("https://panda.att.com.mx/ODKServer/view/binaryData?blobKey=FSSuministroFluidosv3%5B%40version%3Dnull+and+%40uiVersion%3Dnull%5D%2Fdata%5B%40key%3Duuid%3A56bf3d0a-88c4-4335-8cb2-c74b6205e16c%5D%2FgroupInfoFuel%5B%40ordinal%3D1%5D%2FpicFuelRecibeInterno","Descargar")</f>
        <v>Descargar</v>
      </c>
    </row>
    <row r="957" spans="1:18" x14ac:dyDescent="0.3">
      <c r="A957">
        <v>1589784</v>
      </c>
      <c r="B957" t="s">
        <v>18</v>
      </c>
      <c r="C957" t="s">
        <v>19</v>
      </c>
      <c r="D957" t="s">
        <v>140</v>
      </c>
      <c r="E957" t="s">
        <v>257</v>
      </c>
      <c r="F957" t="s">
        <v>22</v>
      </c>
      <c r="G957" t="s">
        <v>23</v>
      </c>
      <c r="H957" t="s">
        <v>24</v>
      </c>
      <c r="I957" t="s">
        <v>25</v>
      </c>
      <c r="J957" t="s">
        <v>1441</v>
      </c>
      <c r="K957">
        <v>3</v>
      </c>
      <c r="L957">
        <v>8</v>
      </c>
      <c r="M957">
        <v>2025</v>
      </c>
      <c r="N957" t="s">
        <v>27</v>
      </c>
      <c r="O957">
        <v>195</v>
      </c>
      <c r="P957">
        <v>195</v>
      </c>
      <c r="R957" s="3" t="str">
        <f>HYPERLINK("https://panda.att.com.mx/ODKServer/view/binaryData?blobKey=FSSuministroFluidosv3%5B%40version%3Dnull+and+%40uiVersion%3Dnull%5D%2Fdata%5B%40key%3Duuid%3Ac78cb0a4-af88-4f34-ad01-e477f1234018%5D%2FgroupInfoFuel%5B%40ordinal%3D1%5D%2FpicFuelRecibeInterno","Descargar")</f>
        <v>Descargar</v>
      </c>
    </row>
    <row r="958" spans="1:18" x14ac:dyDescent="0.3">
      <c r="A958">
        <v>1589781</v>
      </c>
      <c r="B958" t="s">
        <v>18</v>
      </c>
      <c r="C958" t="s">
        <v>19</v>
      </c>
      <c r="D958" t="s">
        <v>62</v>
      </c>
      <c r="E958" t="s">
        <v>615</v>
      </c>
      <c r="F958" t="s">
        <v>22</v>
      </c>
      <c r="G958" t="s">
        <v>23</v>
      </c>
      <c r="H958" t="s">
        <v>24</v>
      </c>
      <c r="I958" t="s">
        <v>25</v>
      </c>
      <c r="J958" t="s">
        <v>1442</v>
      </c>
      <c r="K958">
        <v>3</v>
      </c>
      <c r="L958">
        <v>8</v>
      </c>
      <c r="M958">
        <v>2025</v>
      </c>
      <c r="N958" t="s">
        <v>44</v>
      </c>
      <c r="O958">
        <v>50</v>
      </c>
      <c r="P958">
        <v>50</v>
      </c>
      <c r="R958" s="3" t="str">
        <f>HYPERLINK("https://panda.att.com.mx/ODKServer/view/binaryData?blobKey=FSSuministroFluidosv3%5B%40version%3Dnull+and+%40uiVersion%3Dnull%5D%2Fdata%5B%40key%3Duuid%3A5195b1a9-c74c-478d-8c7b-689ea30cd517%5D%2FgroupInfoFuel%5B%40ordinal%3D1%5D%2FpicFuelRecibeInterno","Descargar")</f>
        <v>Descargar</v>
      </c>
    </row>
    <row r="959" spans="1:18" x14ac:dyDescent="0.3">
      <c r="A959">
        <v>1589770</v>
      </c>
      <c r="B959" t="s">
        <v>18</v>
      </c>
      <c r="C959" t="s">
        <v>100</v>
      </c>
      <c r="D959" t="s">
        <v>833</v>
      </c>
      <c r="E959" t="s">
        <v>1303</v>
      </c>
      <c r="F959" t="s">
        <v>22</v>
      </c>
      <c r="G959" t="s">
        <v>23</v>
      </c>
      <c r="H959" t="s">
        <v>58</v>
      </c>
      <c r="I959" t="s">
        <v>25</v>
      </c>
      <c r="J959" t="s">
        <v>1443</v>
      </c>
      <c r="K959">
        <v>3</v>
      </c>
      <c r="L959">
        <v>8</v>
      </c>
      <c r="M959">
        <v>2025</v>
      </c>
      <c r="N959" t="s">
        <v>44</v>
      </c>
      <c r="O959">
        <v>60</v>
      </c>
      <c r="P959">
        <v>60</v>
      </c>
      <c r="R959" s="3" t="str">
        <f>HYPERLINK("https://panda.att.com.mx/ODKServer/view/binaryData?blobKey=FSSuministroFluidosv3%5B%40version%3Dnull+and+%40uiVersion%3Dnull%5D%2Fdata%5B%40key%3Duuid%3A95a03978-666e-4f16-87b7-428bc23997ac%5D%2FgroupInfoFuel%5B%40ordinal%3D1%5D%2FpicFuelRecibeInterno","Descargar")</f>
        <v>Descargar</v>
      </c>
    </row>
    <row r="960" spans="1:18" x14ac:dyDescent="0.3">
      <c r="A960">
        <v>1589762</v>
      </c>
      <c r="B960" t="s">
        <v>18</v>
      </c>
      <c r="C960" t="s">
        <v>100</v>
      </c>
      <c r="D960" t="s">
        <v>101</v>
      </c>
      <c r="E960" t="s">
        <v>102</v>
      </c>
      <c r="F960" t="s">
        <v>22</v>
      </c>
      <c r="G960" t="s">
        <v>23</v>
      </c>
      <c r="H960" t="s">
        <v>58</v>
      </c>
      <c r="I960" t="s">
        <v>25</v>
      </c>
      <c r="J960" t="s">
        <v>1444</v>
      </c>
      <c r="K960">
        <v>3</v>
      </c>
      <c r="L960">
        <v>8</v>
      </c>
      <c r="M960">
        <v>2025</v>
      </c>
      <c r="N960" t="s">
        <v>44</v>
      </c>
      <c r="O960">
        <v>60</v>
      </c>
      <c r="P960">
        <v>60</v>
      </c>
      <c r="R960" s="3" t="str">
        <f>HYPERLINK("https://panda.att.com.mx/ODKServer/view/binaryData?blobKey=FSSuministroFluidosv3%5B%40version%3Dnull+and+%40uiVersion%3Dnull%5D%2Fdata%5B%40key%3Duuid%3A5f13ad02-3bd2-433a-8bbd-544c93497e64%5D%2FgroupInfoFuel%5B%40ordinal%3D1%5D%2FpicFuelRecibeInterno","Descargar")</f>
        <v>Descargar</v>
      </c>
    </row>
    <row r="961" spans="1:18" x14ac:dyDescent="0.3">
      <c r="A961">
        <v>1589713</v>
      </c>
      <c r="B961" t="s">
        <v>18</v>
      </c>
      <c r="C961" t="s">
        <v>100</v>
      </c>
      <c r="D961" t="s">
        <v>833</v>
      </c>
      <c r="E961" t="s">
        <v>1303</v>
      </c>
      <c r="F961" t="s">
        <v>22</v>
      </c>
      <c r="G961" t="s">
        <v>23</v>
      </c>
      <c r="H961" t="s">
        <v>58</v>
      </c>
      <c r="I961" t="s">
        <v>25</v>
      </c>
      <c r="J961" t="s">
        <v>1445</v>
      </c>
      <c r="K961">
        <v>3</v>
      </c>
      <c r="L961">
        <v>8</v>
      </c>
      <c r="M961">
        <v>2025</v>
      </c>
      <c r="N961" t="s">
        <v>44</v>
      </c>
      <c r="O961">
        <v>60</v>
      </c>
      <c r="P961">
        <v>60</v>
      </c>
      <c r="R961" s="3" t="str">
        <f>HYPERLINK("https://panda.att.com.mx/ODKServer/view/binaryData?blobKey=FSSuministroFluidosv3%5B%40version%3Dnull+and+%40uiVersion%3Dnull%5D%2Fdata%5B%40key%3Duuid%3Aa10255b9-c5f8-4e45-89a7-2540e709b5ff%5D%2FgroupInfoFuel%5B%40ordinal%3D1%5D%2FpicFuelRecibeInterno","Descargar")</f>
        <v>Descargar</v>
      </c>
    </row>
    <row r="962" spans="1:18" x14ac:dyDescent="0.3">
      <c r="A962">
        <v>1589707</v>
      </c>
      <c r="B962" t="s">
        <v>18</v>
      </c>
      <c r="C962" t="s">
        <v>19</v>
      </c>
      <c r="D962" t="s">
        <v>175</v>
      </c>
      <c r="E962" t="s">
        <v>1446</v>
      </c>
      <c r="F962" t="s">
        <v>22</v>
      </c>
      <c r="G962" t="s">
        <v>23</v>
      </c>
      <c r="H962" t="s">
        <v>24</v>
      </c>
      <c r="I962" t="s">
        <v>25</v>
      </c>
      <c r="J962" t="s">
        <v>1447</v>
      </c>
      <c r="K962">
        <v>2</v>
      </c>
      <c r="L962">
        <v>8</v>
      </c>
      <c r="M962">
        <v>2025</v>
      </c>
      <c r="N962" t="s">
        <v>27</v>
      </c>
      <c r="O962">
        <v>90</v>
      </c>
      <c r="P962">
        <v>90</v>
      </c>
      <c r="R962" s="3" t="str">
        <f>HYPERLINK("https://panda.att.com.mx/ODKServer/view/binaryData?blobKey=FSSuministroFluidosv3%5B%40version%3Dnull+and+%40uiVersion%3Dnull%5D%2Fdata%5B%40key%3Duuid%3A1c8a20de-3ad8-4a81-8f45-3b31c2274c8f%5D%2FgroupInfoFuel%5B%40ordinal%3D1%5D%2FpicFuelRecibeInterno","Descargar")</f>
        <v>Descargar</v>
      </c>
    </row>
    <row r="963" spans="1:18" x14ac:dyDescent="0.3">
      <c r="A963">
        <v>1589694</v>
      </c>
      <c r="B963" t="s">
        <v>18</v>
      </c>
      <c r="C963" t="s">
        <v>100</v>
      </c>
      <c r="D963" t="s">
        <v>101</v>
      </c>
      <c r="E963" t="s">
        <v>102</v>
      </c>
      <c r="F963" t="s">
        <v>22</v>
      </c>
      <c r="G963" t="s">
        <v>23</v>
      </c>
      <c r="H963" t="s">
        <v>58</v>
      </c>
      <c r="I963" t="s">
        <v>25</v>
      </c>
      <c r="J963" t="s">
        <v>1448</v>
      </c>
      <c r="K963">
        <v>2</v>
      </c>
      <c r="L963">
        <v>8</v>
      </c>
      <c r="M963">
        <v>2025</v>
      </c>
      <c r="N963" t="s">
        <v>44</v>
      </c>
      <c r="O963">
        <v>60</v>
      </c>
      <c r="P963">
        <v>60</v>
      </c>
      <c r="R963" s="3" t="str">
        <f>HYPERLINK("https://panda.att.com.mx/ODKServer/view/binaryData?blobKey=FSSuministroFluidosv3%5B%40version%3Dnull+and+%40uiVersion%3Dnull%5D%2Fdata%5B%40key%3Duuid%3A7cdf9945-d00d-4bf1-b076-a7e950a7a521%5D%2FgroupInfoFuel%5B%40ordinal%3D1%5D%2FpicFuelRecibeInterno","Descargar")</f>
        <v>Descargar</v>
      </c>
    </row>
    <row r="964" spans="1:18" x14ac:dyDescent="0.3">
      <c r="A964">
        <v>1589682</v>
      </c>
      <c r="B964" t="s">
        <v>18</v>
      </c>
      <c r="C964" t="s">
        <v>19</v>
      </c>
      <c r="D964" t="s">
        <v>189</v>
      </c>
      <c r="E964" t="s">
        <v>1337</v>
      </c>
      <c r="F964" t="s">
        <v>22</v>
      </c>
      <c r="G964" t="s">
        <v>23</v>
      </c>
      <c r="H964" t="s">
        <v>24</v>
      </c>
      <c r="I964" t="s">
        <v>25</v>
      </c>
      <c r="J964" s="2">
        <v>45868.66510416667</v>
      </c>
      <c r="K964">
        <v>30</v>
      </c>
      <c r="L964">
        <v>7</v>
      </c>
      <c r="M964">
        <v>2025</v>
      </c>
      <c r="N964" t="s">
        <v>27</v>
      </c>
      <c r="O964">
        <v>50</v>
      </c>
      <c r="Q964">
        <v>50</v>
      </c>
      <c r="R964" s="3" t="str">
        <f>HYPERLINK("https://panda.att.com.mx/ODKServer/view/binaryData?blobKey=FSSuministroFluidosv3%5B%40version%3Dnull+and+%40uiVersion%3Dnull%5D%2Fdata%5B%40key%3Duuid%3A810f41b6-6515-409d-8fd6-05c4a1577e6a%5D%2FgroupInfoFuel%5B%40ordinal%3D1%5D%2FpicFuelRecibeInterno","Descargar")</f>
        <v>Descargar</v>
      </c>
    </row>
    <row r="965" spans="1:18" x14ac:dyDescent="0.3">
      <c r="A965">
        <v>1589652</v>
      </c>
      <c r="B965" t="s">
        <v>18</v>
      </c>
      <c r="C965" t="s">
        <v>100</v>
      </c>
      <c r="D965" t="s">
        <v>833</v>
      </c>
      <c r="E965" t="s">
        <v>1303</v>
      </c>
      <c r="F965" t="s">
        <v>22</v>
      </c>
      <c r="G965" t="s">
        <v>23</v>
      </c>
      <c r="H965" t="s">
        <v>58</v>
      </c>
      <c r="I965" t="s">
        <v>25</v>
      </c>
      <c r="J965" t="s">
        <v>1449</v>
      </c>
      <c r="K965">
        <v>2</v>
      </c>
      <c r="L965">
        <v>8</v>
      </c>
      <c r="M965">
        <v>2025</v>
      </c>
      <c r="N965" t="s">
        <v>44</v>
      </c>
      <c r="O965">
        <v>60</v>
      </c>
      <c r="P965">
        <v>60</v>
      </c>
      <c r="R965" s="3" t="str">
        <f>HYPERLINK("https://panda.att.com.mx/ODKServer/view/binaryData?blobKey=FSSuministroFluidosv3%5B%40version%3Dnull+and+%40uiVersion%3Dnull%5D%2Fdata%5B%40key%3Duuid%3A514b5159-72b9-49fb-b80d-1236582f5667%5D%2FgroupInfoFuel%5B%40ordinal%3D1%5D%2FpicFuelRecibeInterno","Descargar")</f>
        <v>Descargar</v>
      </c>
    </row>
    <row r="966" spans="1:18" x14ac:dyDescent="0.3">
      <c r="A966">
        <v>1589640</v>
      </c>
      <c r="B966" t="s">
        <v>18</v>
      </c>
      <c r="C966" t="s">
        <v>34</v>
      </c>
      <c r="D966" t="s">
        <v>53</v>
      </c>
      <c r="E966" t="s">
        <v>327</v>
      </c>
      <c r="F966" t="s">
        <v>22</v>
      </c>
      <c r="G966" t="s">
        <v>23</v>
      </c>
      <c r="H966" t="s">
        <v>37</v>
      </c>
      <c r="I966" t="s">
        <v>25</v>
      </c>
      <c r="J966" t="s">
        <v>1450</v>
      </c>
      <c r="K966">
        <v>2</v>
      </c>
      <c r="L966">
        <v>8</v>
      </c>
      <c r="M966">
        <v>2025</v>
      </c>
      <c r="N966" t="s">
        <v>27</v>
      </c>
      <c r="O966">
        <v>500</v>
      </c>
      <c r="P966">
        <v>500</v>
      </c>
      <c r="R966" s="3" t="str">
        <f>HYPERLINK("https://panda.att.com.mx/ODKServer/view/binaryData?blobKey=FSSuministroFluidosv3%5B%40version%3Dnull+and+%40uiVersion%3Dnull%5D%2Fdata%5B%40key%3Duuid%3A10d9500e-8001-46d8-baa9-d0faa0ab0b44%5D%2FgroupInfoFuel%5B%40ordinal%3D1%5D%2FpicFuelRecibeInterno","Descargar")</f>
        <v>Descargar</v>
      </c>
    </row>
    <row r="967" spans="1:18" x14ac:dyDescent="0.3">
      <c r="A967">
        <v>1589631</v>
      </c>
      <c r="B967" t="s">
        <v>18</v>
      </c>
      <c r="C967" t="s">
        <v>150</v>
      </c>
      <c r="D967" t="s">
        <v>154</v>
      </c>
      <c r="E967" t="s">
        <v>1451</v>
      </c>
      <c r="F967" t="s">
        <v>22</v>
      </c>
      <c r="G967" t="s">
        <v>23</v>
      </c>
      <c r="H967" t="s">
        <v>58</v>
      </c>
      <c r="I967" t="s">
        <v>25</v>
      </c>
      <c r="J967" t="s">
        <v>1452</v>
      </c>
      <c r="K967">
        <v>2</v>
      </c>
      <c r="L967">
        <v>8</v>
      </c>
      <c r="M967">
        <v>2025</v>
      </c>
      <c r="N967" t="s">
        <v>27</v>
      </c>
      <c r="O967">
        <v>50</v>
      </c>
      <c r="P967">
        <v>50</v>
      </c>
      <c r="R967" s="3" t="str">
        <f>HYPERLINK("https://panda.att.com.mx/ODKServer/view/binaryData?blobKey=FSSuministroFluidosv3%5B%40version%3Dnull+and+%40uiVersion%3Dnull%5D%2Fdata%5B%40key%3Duuid%3A01a287dd-d046-471b-96b4-c673063f4d37%5D%2FgroupInfoFuel%5B%40ordinal%3D1%5D%2FpicFuelRecibeInterno","Descargar")</f>
        <v>Descargar</v>
      </c>
    </row>
    <row r="968" spans="1:18" x14ac:dyDescent="0.3">
      <c r="A968">
        <v>1589627</v>
      </c>
      <c r="B968" t="s">
        <v>18</v>
      </c>
      <c r="C968" t="s">
        <v>55</v>
      </c>
      <c r="D968" t="s">
        <v>56</v>
      </c>
      <c r="E968" t="s">
        <v>1453</v>
      </c>
      <c r="F968" t="s">
        <v>22</v>
      </c>
      <c r="G968" t="s">
        <v>23</v>
      </c>
      <c r="H968" t="s">
        <v>58</v>
      </c>
      <c r="I968" t="s">
        <v>25</v>
      </c>
      <c r="J968" t="s">
        <v>1454</v>
      </c>
      <c r="K968">
        <v>2</v>
      </c>
      <c r="L968">
        <v>8</v>
      </c>
      <c r="M968">
        <v>2025</v>
      </c>
      <c r="N968" t="s">
        <v>27</v>
      </c>
      <c r="O968">
        <v>100</v>
      </c>
      <c r="P968">
        <v>100</v>
      </c>
      <c r="R968" s="3" t="str">
        <f>HYPERLINK("https://panda.att.com.mx/ODKServer/view/binaryData?blobKey=FSSuministroFluidosv3%5B%40version%3Dnull+and+%40uiVersion%3Dnull%5D%2Fdata%5B%40key%3Duuid%3A4fa04979-4867-4aee-9f97-a0a9707bddff%5D%2FgroupInfoFuel%5B%40ordinal%3D1%5D%2FpicFuelRecibeInterno","Descargar")</f>
        <v>Descargar</v>
      </c>
    </row>
    <row r="969" spans="1:18" x14ac:dyDescent="0.3">
      <c r="A969">
        <v>1589621</v>
      </c>
      <c r="B969" t="s">
        <v>18</v>
      </c>
      <c r="C969" t="s">
        <v>55</v>
      </c>
      <c r="D969" t="s">
        <v>56</v>
      </c>
      <c r="E969" t="s">
        <v>320</v>
      </c>
      <c r="F969" t="s">
        <v>22</v>
      </c>
      <c r="G969" t="s">
        <v>23</v>
      </c>
      <c r="H969" t="s">
        <v>58</v>
      </c>
      <c r="I969" t="s">
        <v>25</v>
      </c>
      <c r="J969" t="s">
        <v>1455</v>
      </c>
      <c r="K969">
        <v>1</v>
      </c>
      <c r="L969">
        <v>8</v>
      </c>
      <c r="M969">
        <v>2025</v>
      </c>
      <c r="N969" t="s">
        <v>27</v>
      </c>
      <c r="O969">
        <v>300</v>
      </c>
      <c r="P969">
        <v>300</v>
      </c>
      <c r="R969" s="3" t="str">
        <f>HYPERLINK("https://panda.att.com.mx/ODKServer/view/binaryData?blobKey=FSSuministroFluidosv3%5B%40version%3Dnull+and+%40uiVersion%3Dnull%5D%2Fdata%5B%40key%3Duuid%3Ac5bdf4bf-a3db-4e12-8958-ae1d09a62e85%5D%2FgroupInfoFuel%5B%40ordinal%3D1%5D%2FpicFuelRecibeInterno","Descargar")</f>
        <v>Descargar</v>
      </c>
    </row>
    <row r="970" spans="1:18" x14ac:dyDescent="0.3">
      <c r="A970">
        <v>1589620</v>
      </c>
      <c r="B970" t="s">
        <v>18</v>
      </c>
      <c r="C970" t="s">
        <v>55</v>
      </c>
      <c r="D970" t="s">
        <v>56</v>
      </c>
      <c r="E970" t="s">
        <v>848</v>
      </c>
      <c r="F970" t="s">
        <v>22</v>
      </c>
      <c r="G970" t="s">
        <v>23</v>
      </c>
      <c r="H970" t="s">
        <v>58</v>
      </c>
      <c r="I970" t="s">
        <v>25</v>
      </c>
      <c r="J970" t="s">
        <v>1456</v>
      </c>
      <c r="K970">
        <v>1</v>
      </c>
      <c r="L970">
        <v>8</v>
      </c>
      <c r="M970">
        <v>2025</v>
      </c>
      <c r="N970" t="s">
        <v>27</v>
      </c>
      <c r="O970">
        <v>100</v>
      </c>
      <c r="P970">
        <v>100</v>
      </c>
      <c r="R970" s="3" t="str">
        <f>HYPERLINK("https://panda.att.com.mx/ODKServer/view/binaryData?blobKey=FSSuministroFluidosv3%5B%40version%3Dnull+and+%40uiVersion%3Dnull%5D%2Fdata%5B%40key%3Duuid%3Aafbb4f88-b17f-4ef1-aa46-93c420688c58%5D%2FgroupInfoFuel%5B%40ordinal%3D1%5D%2FpicFuelRecibeInterno","Descargar")</f>
        <v>Descargar</v>
      </c>
    </row>
    <row r="971" spans="1:18" x14ac:dyDescent="0.3">
      <c r="A971">
        <v>1589619</v>
      </c>
      <c r="B971" t="s">
        <v>18</v>
      </c>
      <c r="C971" t="s">
        <v>55</v>
      </c>
      <c r="D971" t="s">
        <v>56</v>
      </c>
      <c r="E971" t="s">
        <v>1235</v>
      </c>
      <c r="F971" t="s">
        <v>22</v>
      </c>
      <c r="G971" t="s">
        <v>23</v>
      </c>
      <c r="H971" t="s">
        <v>58</v>
      </c>
      <c r="I971" t="s">
        <v>25</v>
      </c>
      <c r="J971" t="s">
        <v>1457</v>
      </c>
      <c r="K971">
        <v>1</v>
      </c>
      <c r="L971">
        <v>8</v>
      </c>
      <c r="M971">
        <v>2025</v>
      </c>
      <c r="N971" t="s">
        <v>27</v>
      </c>
      <c r="O971">
        <v>100</v>
      </c>
      <c r="P971">
        <v>100</v>
      </c>
      <c r="R971" s="3" t="str">
        <f>HYPERLINK("https://panda.att.com.mx/ODKServer/view/binaryData?blobKey=FSSuministroFluidosv3%5B%40version%3Dnull+and+%40uiVersion%3Dnull%5D%2Fdata%5B%40key%3Duuid%3Ab7ed5264-8dbe-4759-ba1a-675b0ad94b85%5D%2FgroupInfoFuel%5B%40ordinal%3D1%5D%2FpicFuelRecibeInterno","Descargar")</f>
        <v>Descargar</v>
      </c>
    </row>
    <row r="972" spans="1:18" x14ac:dyDescent="0.3">
      <c r="A972">
        <v>1589618</v>
      </c>
      <c r="B972" t="s">
        <v>18</v>
      </c>
      <c r="C972" t="s">
        <v>150</v>
      </c>
      <c r="D972" t="s">
        <v>154</v>
      </c>
      <c r="E972" t="s">
        <v>1451</v>
      </c>
      <c r="F972" t="s">
        <v>22</v>
      </c>
      <c r="G972" t="s">
        <v>23</v>
      </c>
      <c r="H972" t="s">
        <v>58</v>
      </c>
      <c r="I972" t="s">
        <v>25</v>
      </c>
      <c r="J972" t="s">
        <v>1458</v>
      </c>
      <c r="K972">
        <v>2</v>
      </c>
      <c r="L972">
        <v>8</v>
      </c>
      <c r="M972">
        <v>2025</v>
      </c>
      <c r="N972" t="s">
        <v>27</v>
      </c>
      <c r="O972">
        <v>64.36</v>
      </c>
      <c r="P972">
        <v>64.36</v>
      </c>
      <c r="R972" s="3" t="str">
        <f>HYPERLINK("https://panda.att.com.mx/ODKServer/view/binaryData?blobKey=FSSuministroFluidosv3%5B%40version%3Dnull+and+%40uiVersion%3Dnull%5D%2Fdata%5B%40key%3Duuid%3A6b80b26a-7fe3-4425-a1bb-082db9c1f6c1%5D%2FgroupInfoFuel%5B%40ordinal%3D1%5D%2FpicFuelRecibeInterno","Descargar")</f>
        <v>Descargar</v>
      </c>
    </row>
    <row r="973" spans="1:18" x14ac:dyDescent="0.3">
      <c r="A973">
        <v>1589617</v>
      </c>
      <c r="B973" t="s">
        <v>18</v>
      </c>
      <c r="C973" t="s">
        <v>59</v>
      </c>
      <c r="D973" t="s">
        <v>597</v>
      </c>
      <c r="E973" t="s">
        <v>1459</v>
      </c>
      <c r="F973" t="s">
        <v>22</v>
      </c>
      <c r="G973" t="s">
        <v>23</v>
      </c>
      <c r="H973" t="s">
        <v>37</v>
      </c>
      <c r="I973" t="s">
        <v>25</v>
      </c>
      <c r="J973" t="s">
        <v>1460</v>
      </c>
      <c r="K973">
        <v>2</v>
      </c>
      <c r="L973">
        <v>8</v>
      </c>
      <c r="M973">
        <v>2025</v>
      </c>
      <c r="N973" t="s">
        <v>27</v>
      </c>
      <c r="O973">
        <v>450</v>
      </c>
      <c r="P973">
        <v>450</v>
      </c>
      <c r="R973" s="3" t="str">
        <f>HYPERLINK("https://panda.att.com.mx/ODKServer/view/binaryData?blobKey=FSSuministroFluidosv3%5B%40version%3Dnull+and+%40uiVersion%3Dnull%5D%2Fdata%5B%40key%3Duuid%3A85292f35-3e17-46eb-931e-daab3200b485%5D%2FgroupInfoFuel%5B%40ordinal%3D1%5D%2FpicFuelRecibeInterno","Descargar")</f>
        <v>Descargar</v>
      </c>
    </row>
    <row r="974" spans="1:18" x14ac:dyDescent="0.3">
      <c r="A974">
        <v>1589612</v>
      </c>
      <c r="B974" t="s">
        <v>18</v>
      </c>
      <c r="C974" t="s">
        <v>55</v>
      </c>
      <c r="D974" t="s">
        <v>56</v>
      </c>
      <c r="E974" t="s">
        <v>77</v>
      </c>
      <c r="F974" t="s">
        <v>22</v>
      </c>
      <c r="G974" t="s">
        <v>23</v>
      </c>
      <c r="H974" t="s">
        <v>58</v>
      </c>
      <c r="I974" t="s">
        <v>25</v>
      </c>
      <c r="J974" t="s">
        <v>1461</v>
      </c>
      <c r="K974">
        <v>2</v>
      </c>
      <c r="L974">
        <v>8</v>
      </c>
      <c r="M974">
        <v>2025</v>
      </c>
      <c r="N974" t="s">
        <v>27</v>
      </c>
      <c r="O974">
        <v>300</v>
      </c>
      <c r="P974">
        <v>300</v>
      </c>
      <c r="R974" s="3" t="str">
        <f>HYPERLINK("https://panda.att.com.mx/ODKServer/view/binaryData?blobKey=FSSuministroFluidosv3%5B%40version%3Dnull+and+%40uiVersion%3Dnull%5D%2Fdata%5B%40key%3Duuid%3Ac06fc842-ff81-4901-9ca7-7812f61b950e%5D%2FgroupInfoFuel%5B%40ordinal%3D1%5D%2FpicFuelRecibeInterno","Descargar")</f>
        <v>Descargar</v>
      </c>
    </row>
    <row r="975" spans="1:18" x14ac:dyDescent="0.3">
      <c r="A975">
        <v>1589596</v>
      </c>
      <c r="B975" t="s">
        <v>18</v>
      </c>
      <c r="C975" t="s">
        <v>100</v>
      </c>
      <c r="D975" t="s">
        <v>101</v>
      </c>
      <c r="E975" t="s">
        <v>102</v>
      </c>
      <c r="F975" t="s">
        <v>22</v>
      </c>
      <c r="G975" t="s">
        <v>23</v>
      </c>
      <c r="H975" t="s">
        <v>58</v>
      </c>
      <c r="I975" t="s">
        <v>25</v>
      </c>
      <c r="J975" t="s">
        <v>1462</v>
      </c>
      <c r="K975">
        <v>2</v>
      </c>
      <c r="L975">
        <v>8</v>
      </c>
      <c r="M975">
        <v>2025</v>
      </c>
      <c r="N975" t="s">
        <v>44</v>
      </c>
      <c r="O975">
        <v>60</v>
      </c>
      <c r="P975">
        <v>60</v>
      </c>
      <c r="R975" s="3" t="str">
        <f>HYPERLINK("https://panda.att.com.mx/ODKServer/view/binaryData?blobKey=FSSuministroFluidosv3%5B%40version%3Dnull+and+%40uiVersion%3Dnull%5D%2Fdata%5B%40key%3Duuid%3A9851efd9-c664-4511-806a-94b2abd75371%5D%2FgroupInfoFuel%5B%40ordinal%3D1%5D%2FpicFuelRecibeInterno","Descargar")</f>
        <v>Descargar</v>
      </c>
    </row>
    <row r="976" spans="1:18" x14ac:dyDescent="0.3">
      <c r="A976">
        <v>1589595</v>
      </c>
      <c r="B976" t="s">
        <v>18</v>
      </c>
      <c r="C976" t="s">
        <v>100</v>
      </c>
      <c r="D976" t="s">
        <v>101</v>
      </c>
      <c r="E976" t="s">
        <v>102</v>
      </c>
      <c r="F976" t="s">
        <v>22</v>
      </c>
      <c r="G976" t="s">
        <v>23</v>
      </c>
      <c r="H976" t="s">
        <v>58</v>
      </c>
      <c r="I976" t="s">
        <v>25</v>
      </c>
      <c r="J976" s="2">
        <v>45869.878333333327</v>
      </c>
      <c r="K976">
        <v>31</v>
      </c>
      <c r="L976">
        <v>7</v>
      </c>
      <c r="M976">
        <v>2025</v>
      </c>
      <c r="N976" t="s">
        <v>44</v>
      </c>
      <c r="O976">
        <v>60</v>
      </c>
      <c r="P976">
        <v>60</v>
      </c>
      <c r="R976" s="3" t="str">
        <f>HYPERLINK("https://panda.att.com.mx/ODKServer/view/binaryData?blobKey=FSSuministroFluidosv3%5B%40version%3Dnull+and+%40uiVersion%3Dnull%5D%2Fdata%5B%40key%3Duuid%3A7175b008-ce87-4862-9cf9-03e51fa50586%5D%2FgroupInfoFuel%5B%40ordinal%3D1%5D%2FpicFuelRecibeInterno","Descargar")</f>
        <v>Descargar</v>
      </c>
    </row>
    <row r="977" spans="1:18" x14ac:dyDescent="0.3">
      <c r="A977">
        <v>1589567</v>
      </c>
      <c r="B977" t="s">
        <v>18</v>
      </c>
      <c r="C977" t="s">
        <v>150</v>
      </c>
      <c r="D977" t="s">
        <v>154</v>
      </c>
      <c r="E977" t="s">
        <v>954</v>
      </c>
      <c r="F977" t="s">
        <v>22</v>
      </c>
      <c r="G977" t="s">
        <v>23</v>
      </c>
      <c r="H977" t="s">
        <v>58</v>
      </c>
      <c r="I977" t="s">
        <v>25</v>
      </c>
      <c r="J977" t="s">
        <v>1463</v>
      </c>
      <c r="K977">
        <v>2</v>
      </c>
      <c r="L977">
        <v>8</v>
      </c>
      <c r="M977">
        <v>2025</v>
      </c>
      <c r="N977" t="s">
        <v>27</v>
      </c>
      <c r="O977">
        <v>369.7</v>
      </c>
      <c r="P977">
        <v>369.7</v>
      </c>
      <c r="R977" s="3" t="str">
        <f>HYPERLINK("https://panda.att.com.mx/ODKServer/view/binaryData?blobKey=FSSuministroFluidosv3%5B%40version%3Dnull+and+%40uiVersion%3Dnull%5D%2Fdata%5B%40key%3Duuid%3A0d8c1100-eede-4297-b132-93739095072b%5D%2FgroupInfoFuel%5B%40ordinal%3D1%5D%2FpicFuelRecibeInterno","Descargar")</f>
        <v>Descargar</v>
      </c>
    </row>
    <row r="978" spans="1:18" x14ac:dyDescent="0.3">
      <c r="A978">
        <v>1589554</v>
      </c>
      <c r="B978" t="s">
        <v>18</v>
      </c>
      <c r="C978" t="s">
        <v>68</v>
      </c>
      <c r="D978" t="s">
        <v>132</v>
      </c>
      <c r="E978" t="s">
        <v>1464</v>
      </c>
      <c r="F978" t="s">
        <v>22</v>
      </c>
      <c r="G978" t="s">
        <v>1270</v>
      </c>
      <c r="H978" t="s">
        <v>37</v>
      </c>
      <c r="I978" t="s">
        <v>25</v>
      </c>
      <c r="J978" t="s">
        <v>1465</v>
      </c>
      <c r="K978">
        <v>2</v>
      </c>
      <c r="L978">
        <v>8</v>
      </c>
      <c r="M978">
        <v>2025</v>
      </c>
      <c r="N978" t="s">
        <v>44</v>
      </c>
      <c r="O978">
        <v>55</v>
      </c>
      <c r="P978">
        <v>55</v>
      </c>
      <c r="R978" s="3" t="str">
        <f>HYPERLINK("https://panda.att.com.mx/ODKServer/view/binaryData?blobKey=FSSuministroFluidosv3%5B%40version%3Dnull+and+%40uiVersion%3Dnull%5D%2Fdata%5B%40key%3Duuid%3Abd3e80cf-5bec-491b-af61-a5619960810e%5D%2FgroupInfoFuel%5B%40ordinal%3D1%5D%2FpicFuelRecibeInterno","Descargar")</f>
        <v>Descargar</v>
      </c>
    </row>
    <row r="979" spans="1:18" x14ac:dyDescent="0.3">
      <c r="A979">
        <v>1589548</v>
      </c>
      <c r="B979" t="s">
        <v>18</v>
      </c>
      <c r="C979" t="s">
        <v>167</v>
      </c>
      <c r="D979" t="s">
        <v>168</v>
      </c>
      <c r="E979" t="s">
        <v>1466</v>
      </c>
      <c r="F979" t="s">
        <v>22</v>
      </c>
      <c r="G979" t="s">
        <v>23</v>
      </c>
      <c r="H979" t="s">
        <v>58</v>
      </c>
      <c r="I979" t="s">
        <v>25</v>
      </c>
      <c r="J979" t="s">
        <v>1467</v>
      </c>
      <c r="K979">
        <v>2</v>
      </c>
      <c r="L979">
        <v>8</v>
      </c>
      <c r="M979">
        <v>2025</v>
      </c>
      <c r="N979" t="s">
        <v>27</v>
      </c>
      <c r="O979">
        <v>200</v>
      </c>
      <c r="P979">
        <v>200</v>
      </c>
      <c r="R979" s="3" t="str">
        <f>HYPERLINK("https://panda.att.com.mx/ODKServer/view/binaryData?blobKey=FSSuministroFluidosv3%5B%40version%3Dnull+and+%40uiVersion%3Dnull%5D%2Fdata%5B%40key%3Duuid%3A939cece8-1bd2-40d7-96bd-9eab2ca4be1b%5D%2FgroupInfoFuel%5B%40ordinal%3D1%5D%2FpicFuelRecibeInterno","Descargar")</f>
        <v>Descargar</v>
      </c>
    </row>
    <row r="980" spans="1:18" x14ac:dyDescent="0.3">
      <c r="A980">
        <v>1589520</v>
      </c>
      <c r="B980" t="s">
        <v>18</v>
      </c>
      <c r="C980" t="s">
        <v>28</v>
      </c>
      <c r="D980" t="s">
        <v>66</v>
      </c>
      <c r="E980" t="s">
        <v>485</v>
      </c>
      <c r="F980" t="s">
        <v>22</v>
      </c>
      <c r="G980" t="s">
        <v>23</v>
      </c>
      <c r="H980" t="s">
        <v>24</v>
      </c>
      <c r="I980" t="s">
        <v>25</v>
      </c>
      <c r="J980" s="2">
        <v>45868.566111111111</v>
      </c>
      <c r="K980">
        <v>30</v>
      </c>
      <c r="L980">
        <v>7</v>
      </c>
      <c r="M980">
        <v>2025</v>
      </c>
      <c r="N980" t="s">
        <v>27</v>
      </c>
      <c r="O980">
        <v>400</v>
      </c>
      <c r="P980">
        <v>400</v>
      </c>
      <c r="R980" s="3" t="str">
        <f>HYPERLINK("https://panda.att.com.mx/ODKServer/view/binaryData?blobKey=FSSuministroFluidosv3%5B%40version%3Dnull+and+%40uiVersion%3Dnull%5D%2Fdata%5B%40key%3Duuid%3Acfd2ed45-4229-4f7f-a376-34dd24912271%5D%2FgroupInfoFuel%5B%40ordinal%3D1%5D%2FpicFuelRecibeInterno","Descargar")</f>
        <v>Descargar</v>
      </c>
    </row>
    <row r="981" spans="1:18" x14ac:dyDescent="0.3">
      <c r="A981">
        <v>1589508</v>
      </c>
      <c r="B981" t="s">
        <v>18</v>
      </c>
      <c r="C981" t="s">
        <v>28</v>
      </c>
      <c r="D981" t="s">
        <v>181</v>
      </c>
      <c r="E981" t="s">
        <v>218</v>
      </c>
      <c r="F981" t="s">
        <v>22</v>
      </c>
      <c r="G981" t="s">
        <v>23</v>
      </c>
      <c r="H981" t="s">
        <v>24</v>
      </c>
      <c r="I981" t="s">
        <v>25</v>
      </c>
      <c r="J981" s="2">
        <v>45868.722199074073</v>
      </c>
      <c r="K981">
        <v>30</v>
      </c>
      <c r="L981">
        <v>7</v>
      </c>
      <c r="M981">
        <v>2025</v>
      </c>
      <c r="N981" t="s">
        <v>27</v>
      </c>
      <c r="O981">
        <v>550</v>
      </c>
      <c r="P981">
        <v>550</v>
      </c>
      <c r="R981" s="3" t="str">
        <f>HYPERLINK("https://panda.att.com.mx/ODKServer/view/binaryData?blobKey=FSSuministroFluidosv3%5B%40version%3Dnull+and+%40uiVersion%3Dnull%5D%2Fdata%5B%40key%3Duuid%3A9fdd5e13-5278-4d25-9fea-46730708651b%5D%2FgroupInfoFuel%5B%40ordinal%3D1%5D%2FpicFuelRecibeInterno","Descargar")</f>
        <v>Descargar</v>
      </c>
    </row>
    <row r="982" spans="1:18" x14ac:dyDescent="0.3">
      <c r="A982">
        <v>1589503</v>
      </c>
      <c r="B982" t="s">
        <v>18</v>
      </c>
      <c r="C982" t="s">
        <v>34</v>
      </c>
      <c r="D982" t="s">
        <v>53</v>
      </c>
      <c r="E982" t="s">
        <v>285</v>
      </c>
      <c r="F982" t="s">
        <v>22</v>
      </c>
      <c r="G982" t="s">
        <v>23</v>
      </c>
      <c r="H982" t="s">
        <v>37</v>
      </c>
      <c r="I982" t="s">
        <v>25</v>
      </c>
      <c r="J982" t="s">
        <v>1468</v>
      </c>
      <c r="K982">
        <v>1</v>
      </c>
      <c r="L982">
        <v>8</v>
      </c>
      <c r="M982">
        <v>2025</v>
      </c>
      <c r="N982" t="s">
        <v>27</v>
      </c>
      <c r="O982">
        <v>150</v>
      </c>
      <c r="P982">
        <v>150</v>
      </c>
      <c r="R982" s="3" t="str">
        <f>HYPERLINK("https://panda.att.com.mx/ODKServer/view/binaryData?blobKey=FSSuministroFluidosv3%5B%40version%3Dnull+and+%40uiVersion%3Dnull%5D%2Fdata%5B%40key%3Duuid%3A2da43377-efd3-4472-a664-644e01ef9a09%5D%2FgroupInfoFuel%5B%40ordinal%3D1%5D%2FpicFuelRecibeInterno","Descargar")</f>
        <v>Descargar</v>
      </c>
    </row>
    <row r="983" spans="1:18" x14ac:dyDescent="0.3">
      <c r="A983">
        <v>1589502</v>
      </c>
      <c r="B983" t="s">
        <v>18</v>
      </c>
      <c r="C983" t="s">
        <v>28</v>
      </c>
      <c r="D983" t="s">
        <v>181</v>
      </c>
      <c r="E983" t="s">
        <v>218</v>
      </c>
      <c r="F983" t="s">
        <v>22</v>
      </c>
      <c r="G983" t="s">
        <v>23</v>
      </c>
      <c r="H983" t="s">
        <v>24</v>
      </c>
      <c r="I983" t="s">
        <v>25</v>
      </c>
      <c r="J983" s="2">
        <v>45868.443668981483</v>
      </c>
      <c r="K983">
        <v>30</v>
      </c>
      <c r="L983">
        <v>7</v>
      </c>
      <c r="M983">
        <v>2025</v>
      </c>
      <c r="N983" t="s">
        <v>44</v>
      </c>
      <c r="O983">
        <v>50</v>
      </c>
      <c r="P983">
        <v>50</v>
      </c>
      <c r="R983" s="3" t="str">
        <f>HYPERLINK("https://panda.att.com.mx/ODKServer/view/binaryData?blobKey=FSSuministroFluidosv3%5B%40version%3Dnull+and+%40uiVersion%3Dnull%5D%2Fdata%5B%40key%3Duuid%3A66a1fee5-5e1a-4e4e-9edd-89847ce386b9%5D%2FgroupInfoFuel%5B%40ordinal%3D1%5D%2FpicFuelRecibeInterno","Descargar")</f>
        <v>Descargar</v>
      </c>
    </row>
    <row r="984" spans="1:18" x14ac:dyDescent="0.3">
      <c r="A984">
        <v>1589499</v>
      </c>
      <c r="B984" t="s">
        <v>18</v>
      </c>
      <c r="C984" t="s">
        <v>100</v>
      </c>
      <c r="D984" t="s">
        <v>854</v>
      </c>
      <c r="E984" t="s">
        <v>993</v>
      </c>
      <c r="F984" t="s">
        <v>22</v>
      </c>
      <c r="G984" t="s">
        <v>83</v>
      </c>
      <c r="H984" t="s">
        <v>58</v>
      </c>
      <c r="I984" t="s">
        <v>25</v>
      </c>
      <c r="J984" t="s">
        <v>1469</v>
      </c>
      <c r="K984">
        <v>1</v>
      </c>
      <c r="L984">
        <v>8</v>
      </c>
      <c r="M984">
        <v>2025</v>
      </c>
      <c r="N984" t="s">
        <v>27</v>
      </c>
      <c r="O984">
        <v>400</v>
      </c>
      <c r="Q984">
        <v>400</v>
      </c>
      <c r="R984" s="3" t="str">
        <f>HYPERLINK("https://panda.att.com.mx/ODKServer/view/binaryData?blobKey=FSSuministroFluidosv3%5B%40version%3Dnull+and+%40uiVersion%3Dnull%5D%2Fdata%5B%40key%3Duuid%3Aa57202b4-d6e4-48f0-944a-56482e773e4a%5D%2FgroupInfoFuel%5B%40ordinal%3D1%5D%2FpicFuelRecibeInterno","Descargar")</f>
        <v>Descargar</v>
      </c>
    </row>
    <row r="985" spans="1:18" x14ac:dyDescent="0.3">
      <c r="A985">
        <v>1589493</v>
      </c>
      <c r="B985" t="s">
        <v>18</v>
      </c>
      <c r="C985" t="s">
        <v>19</v>
      </c>
      <c r="D985" t="s">
        <v>175</v>
      </c>
      <c r="E985" t="s">
        <v>1470</v>
      </c>
      <c r="F985" t="s">
        <v>22</v>
      </c>
      <c r="G985" t="s">
        <v>23</v>
      </c>
      <c r="H985" t="s">
        <v>37</v>
      </c>
      <c r="I985" t="s">
        <v>25</v>
      </c>
      <c r="J985" t="s">
        <v>1471</v>
      </c>
      <c r="K985">
        <v>1</v>
      </c>
      <c r="L985">
        <v>8</v>
      </c>
      <c r="M985">
        <v>2025</v>
      </c>
      <c r="N985" t="s">
        <v>44</v>
      </c>
      <c r="O985">
        <v>40</v>
      </c>
      <c r="P985">
        <v>40</v>
      </c>
      <c r="R985" s="3" t="str">
        <f>HYPERLINK("https://panda.att.com.mx/ODKServer/view/binaryData?blobKey=FSSuministroFluidosv3%5B%40version%3Dnull+and+%40uiVersion%3Dnull%5D%2Fdata%5B%40key%3Duuid%3A2c20806b-c8ac-4d8a-8446-6779929929ae%5D%2FgroupInfoFuel%5B%40ordinal%3D1%5D%2FpicFuelRecibeInterno","Descargar")</f>
        <v>Descargar</v>
      </c>
    </row>
    <row r="986" spans="1:18" x14ac:dyDescent="0.3">
      <c r="A986">
        <v>1589468</v>
      </c>
      <c r="B986" t="s">
        <v>18</v>
      </c>
      <c r="C986" t="s">
        <v>34</v>
      </c>
      <c r="D986" t="s">
        <v>53</v>
      </c>
      <c r="E986" t="s">
        <v>649</v>
      </c>
      <c r="F986" t="s">
        <v>22</v>
      </c>
      <c r="G986" t="s">
        <v>23</v>
      </c>
      <c r="H986" t="s">
        <v>37</v>
      </c>
      <c r="I986" t="s">
        <v>25</v>
      </c>
      <c r="J986" t="s">
        <v>1472</v>
      </c>
      <c r="K986">
        <v>1</v>
      </c>
      <c r="L986">
        <v>8</v>
      </c>
      <c r="M986">
        <v>2025</v>
      </c>
      <c r="N986" t="s">
        <v>27</v>
      </c>
      <c r="O986">
        <v>200</v>
      </c>
      <c r="P986">
        <v>200</v>
      </c>
      <c r="R986" s="3" t="str">
        <f>HYPERLINK("https://panda.att.com.mx/ODKServer/view/binaryData?blobKey=FSSuministroFluidosv3%5B%40version%3Dnull+and+%40uiVersion%3Dnull%5D%2Fdata%5B%40key%3Duuid%3A96bae199-9bd1-42f7-83bc-4e881f00e3dc%5D%2FgroupInfoFuel%5B%40ordinal%3D1%5D%2FpicFuelRecibeInterno","Descargar")</f>
        <v>Descargar</v>
      </c>
    </row>
    <row r="987" spans="1:18" x14ac:dyDescent="0.3">
      <c r="A987">
        <v>1589460</v>
      </c>
      <c r="B987" t="s">
        <v>18</v>
      </c>
      <c r="C987" t="s">
        <v>150</v>
      </c>
      <c r="D987" t="s">
        <v>164</v>
      </c>
      <c r="E987" t="s">
        <v>165</v>
      </c>
      <c r="F987" t="s">
        <v>22</v>
      </c>
      <c r="G987" t="s">
        <v>23</v>
      </c>
      <c r="H987" t="s">
        <v>58</v>
      </c>
      <c r="I987" t="s">
        <v>25</v>
      </c>
      <c r="J987" t="s">
        <v>1473</v>
      </c>
      <c r="K987">
        <v>1</v>
      </c>
      <c r="L987">
        <v>8</v>
      </c>
      <c r="M987">
        <v>2025</v>
      </c>
      <c r="N987" t="s">
        <v>27</v>
      </c>
      <c r="O987">
        <v>400</v>
      </c>
      <c r="P987">
        <v>400</v>
      </c>
      <c r="R987" s="3" t="str">
        <f>HYPERLINK("https://panda.att.com.mx/ODKServer/view/binaryData?blobKey=FSSuministroFluidosv3%5B%40version%3Dnull+and+%40uiVersion%3Dnull%5D%2Fdata%5B%40key%3Duuid%3A3640f085-176f-4526-aec2-200ceac40fe0%5D%2FgroupInfoFuel%5B%40ordinal%3D1%5D%2FpicFuelRecibeInterno","Descargar")</f>
        <v>Descargar</v>
      </c>
    </row>
    <row r="988" spans="1:18" x14ac:dyDescent="0.3">
      <c r="A988">
        <v>1589444</v>
      </c>
      <c r="B988" t="s">
        <v>18</v>
      </c>
      <c r="C988" t="s">
        <v>59</v>
      </c>
      <c r="D988" t="s">
        <v>597</v>
      </c>
      <c r="E988" t="s">
        <v>1474</v>
      </c>
      <c r="F988" t="s">
        <v>22</v>
      </c>
      <c r="G988" t="s">
        <v>23</v>
      </c>
      <c r="H988" t="s">
        <v>37</v>
      </c>
      <c r="I988" t="s">
        <v>25</v>
      </c>
      <c r="J988" t="s">
        <v>1475</v>
      </c>
      <c r="K988">
        <v>1</v>
      </c>
      <c r="L988">
        <v>8</v>
      </c>
      <c r="M988">
        <v>2025</v>
      </c>
      <c r="N988" t="s">
        <v>27</v>
      </c>
      <c r="O988">
        <v>350</v>
      </c>
      <c r="P988">
        <v>350</v>
      </c>
      <c r="R988" s="3" t="str">
        <f>HYPERLINK("https://panda.att.com.mx/ODKServer/view/binaryData?blobKey=FSSuministroFluidosv3%5B%40version%3Dnull+and+%40uiVersion%3Dnull%5D%2Fdata%5B%40key%3Duuid%3A8464d570-c634-4dd0-b1b1-d23ce70a1495%5D%2FgroupInfoFuel%5B%40ordinal%3D1%5D%2FpicFuelRecibeInterno","Descargar")</f>
        <v>Descargar</v>
      </c>
    </row>
    <row r="989" spans="1:18" x14ac:dyDescent="0.3">
      <c r="A989">
        <v>1589432</v>
      </c>
      <c r="B989" t="s">
        <v>18</v>
      </c>
      <c r="C989" t="s">
        <v>55</v>
      </c>
      <c r="D989" t="s">
        <v>56</v>
      </c>
      <c r="E989" t="s">
        <v>1476</v>
      </c>
      <c r="F989" t="s">
        <v>22</v>
      </c>
      <c r="G989" t="s">
        <v>23</v>
      </c>
      <c r="H989" t="s">
        <v>58</v>
      </c>
      <c r="I989" t="s">
        <v>25</v>
      </c>
      <c r="J989" t="s">
        <v>1477</v>
      </c>
      <c r="K989">
        <v>1</v>
      </c>
      <c r="L989">
        <v>8</v>
      </c>
      <c r="M989">
        <v>2025</v>
      </c>
      <c r="N989" t="s">
        <v>27</v>
      </c>
      <c r="O989">
        <v>100.03</v>
      </c>
      <c r="P989">
        <v>100.03</v>
      </c>
      <c r="R989" s="3" t="str">
        <f>HYPERLINK("https://panda.att.com.mx/ODKServer/view/binaryData?blobKey=FSSuministroFluidosv3%5B%40version%3Dnull+and+%40uiVersion%3Dnull%5D%2Fdata%5B%40key%3Duuid%3Ad9fba23b-260e-47d1-a3ad-6e24d10e1e53%5D%2FgroupInfoFuel%5B%40ordinal%3D1%5D%2FpicFuelRecibeInterno","Descargar")</f>
        <v>Descargar</v>
      </c>
    </row>
    <row r="990" spans="1:18" x14ac:dyDescent="0.3">
      <c r="A990">
        <v>1589399</v>
      </c>
      <c r="B990" t="s">
        <v>18</v>
      </c>
      <c r="C990" t="s">
        <v>19</v>
      </c>
      <c r="D990" t="s">
        <v>45</v>
      </c>
      <c r="E990" t="s">
        <v>1478</v>
      </c>
      <c r="F990" t="s">
        <v>22</v>
      </c>
      <c r="G990" t="s">
        <v>23</v>
      </c>
      <c r="H990" t="s">
        <v>24</v>
      </c>
      <c r="I990" t="s">
        <v>25</v>
      </c>
      <c r="J990" s="2">
        <v>45865.768738425933</v>
      </c>
      <c r="K990">
        <v>27</v>
      </c>
      <c r="L990">
        <v>7</v>
      </c>
      <c r="M990">
        <v>2025</v>
      </c>
      <c r="N990" t="s">
        <v>27</v>
      </c>
      <c r="O990">
        <v>300</v>
      </c>
      <c r="P990">
        <v>300</v>
      </c>
      <c r="R990" s="3" t="str">
        <f>HYPERLINK("https://panda.att.com.mx/ODKServer/view/binaryData?blobKey=FSSuministroFluidosv3%5B%40version%3Dnull+and+%40uiVersion%3Dnull%5D%2Fdata%5B%40key%3Duuid%3Ac38688ee-cefd-430c-b821-cbb107d1ba55%5D%2FgroupInfoFuel%5B%40ordinal%3D1%5D%2FpicFuelRecibeInterno","Descargar")</f>
        <v>Descargar</v>
      </c>
    </row>
    <row r="991" spans="1:18" x14ac:dyDescent="0.3">
      <c r="A991">
        <v>1589398</v>
      </c>
      <c r="B991" t="s">
        <v>18</v>
      </c>
      <c r="C991" t="s">
        <v>19</v>
      </c>
      <c r="D991" t="s">
        <v>45</v>
      </c>
      <c r="E991" t="s">
        <v>1265</v>
      </c>
      <c r="F991" t="s">
        <v>22</v>
      </c>
      <c r="G991" t="s">
        <v>23</v>
      </c>
      <c r="H991" t="s">
        <v>24</v>
      </c>
      <c r="I991" t="s">
        <v>25</v>
      </c>
      <c r="J991" t="s">
        <v>1479</v>
      </c>
      <c r="K991">
        <v>1</v>
      </c>
      <c r="L991">
        <v>8</v>
      </c>
      <c r="M991">
        <v>2025</v>
      </c>
      <c r="N991" t="s">
        <v>27</v>
      </c>
      <c r="O991">
        <v>400</v>
      </c>
      <c r="P991">
        <v>400</v>
      </c>
      <c r="R991" s="3" t="str">
        <f>HYPERLINK("https://panda.att.com.mx/ODKServer/view/binaryData?blobKey=FSSuministroFluidosv3%5B%40version%3Dnull+and+%40uiVersion%3Dnull%5D%2Fdata%5B%40key%3Duuid%3A6d77956f-147a-4b4c-877f-f94bbbf6b3e9%5D%2FgroupInfoFuel%5B%40ordinal%3D1%5D%2FpicFuelRecibeInterno","Descargar")</f>
        <v>Descargar</v>
      </c>
    </row>
    <row r="992" spans="1:18" x14ac:dyDescent="0.3">
      <c r="A992">
        <v>1589352</v>
      </c>
      <c r="B992" t="s">
        <v>18</v>
      </c>
      <c r="C992" t="s">
        <v>100</v>
      </c>
      <c r="D992" t="s">
        <v>651</v>
      </c>
      <c r="E992" t="s">
        <v>1480</v>
      </c>
      <c r="F992" t="s">
        <v>22</v>
      </c>
      <c r="G992" t="s">
        <v>23</v>
      </c>
      <c r="H992" t="s">
        <v>58</v>
      </c>
      <c r="I992" t="s">
        <v>25</v>
      </c>
      <c r="J992" t="s">
        <v>1481</v>
      </c>
      <c r="K992">
        <v>1</v>
      </c>
      <c r="L992">
        <v>8</v>
      </c>
      <c r="M992">
        <v>2025</v>
      </c>
      <c r="N992" t="s">
        <v>27</v>
      </c>
      <c r="O992">
        <v>250</v>
      </c>
      <c r="P992">
        <v>250</v>
      </c>
      <c r="R992" s="3" t="str">
        <f>HYPERLINK("https://panda.att.com.mx/ODKServer/view/binaryData?blobKey=FSSuministroFluidosv3%5B%40version%3Dnull+and+%40uiVersion%3Dnull%5D%2Fdata%5B%40key%3Duuid%3Ad43c0299-1a02-424a-9cfc-bcacf50db0f4%5D%2FgroupInfoFuel%5B%40ordinal%3D1%5D%2FpicFuelRecibeInterno","Descargar")</f>
        <v>Descargar</v>
      </c>
    </row>
    <row r="993" spans="1:18" x14ac:dyDescent="0.3">
      <c r="A993">
        <v>1589307</v>
      </c>
      <c r="B993" t="s">
        <v>18</v>
      </c>
      <c r="C993" t="s">
        <v>19</v>
      </c>
      <c r="D993" t="s">
        <v>45</v>
      </c>
      <c r="E993" t="s">
        <v>1482</v>
      </c>
      <c r="F993" t="s">
        <v>22</v>
      </c>
      <c r="G993" t="s">
        <v>23</v>
      </c>
      <c r="H993" t="s">
        <v>37</v>
      </c>
      <c r="I993" t="s">
        <v>25</v>
      </c>
      <c r="J993" s="2">
        <v>45869.625578703701</v>
      </c>
      <c r="K993">
        <v>31</v>
      </c>
      <c r="L993">
        <v>7</v>
      </c>
      <c r="M993">
        <v>2025</v>
      </c>
      <c r="N993" t="s">
        <v>27</v>
      </c>
      <c r="O993">
        <v>200</v>
      </c>
      <c r="P993">
        <v>200</v>
      </c>
      <c r="R993" s="3" t="str">
        <f>HYPERLINK("https://panda.att.com.mx/ODKServer/view/binaryData?blobKey=FSSuministroFluidosv3%5B%40version%3Dnull+and+%40uiVersion%3Dnull%5D%2Fdata%5B%40key%3Duuid%3Add9c7e17-bf15-4cbf-9ceb-664d9960e51b%5D%2FgroupInfoFuel%5B%40ordinal%3D1%5D%2FpicFuelRecibeInterno","Descargar")</f>
        <v>Descargar</v>
      </c>
    </row>
    <row r="994" spans="1:18" x14ac:dyDescent="0.3">
      <c r="A994">
        <v>1589293</v>
      </c>
      <c r="B994" t="s">
        <v>18</v>
      </c>
      <c r="C994" t="s">
        <v>55</v>
      </c>
      <c r="D994" t="s">
        <v>56</v>
      </c>
      <c r="E994" t="s">
        <v>77</v>
      </c>
      <c r="F994" t="s">
        <v>22</v>
      </c>
      <c r="G994" t="s">
        <v>23</v>
      </c>
      <c r="H994" t="s">
        <v>58</v>
      </c>
      <c r="I994" t="s">
        <v>25</v>
      </c>
      <c r="J994" s="2">
        <v>45869.47550925926</v>
      </c>
      <c r="K994">
        <v>31</v>
      </c>
      <c r="L994">
        <v>7</v>
      </c>
      <c r="M994">
        <v>2025</v>
      </c>
      <c r="N994" t="s">
        <v>27</v>
      </c>
      <c r="O994">
        <v>200</v>
      </c>
      <c r="P994">
        <v>200</v>
      </c>
      <c r="R994" s="3" t="str">
        <f>HYPERLINK("https://panda.att.com.mx/ODKServer/view/binaryData?blobKey=FSSuministroFluidosv3%5B%40version%3Dnull+and+%40uiVersion%3Dnull%5D%2Fdata%5B%40key%3Duuid%3Af8c91a07-a706-4900-9763-6b18b1d56444%5D%2FgroupInfoFuel%5B%40ordinal%3D1%5D%2FpicFuelRecibeInterno","Descargar")</f>
        <v>Descargar</v>
      </c>
    </row>
    <row r="995" spans="1:18" x14ac:dyDescent="0.3">
      <c r="A995">
        <v>1589290</v>
      </c>
      <c r="B995" t="s">
        <v>18</v>
      </c>
      <c r="C995" t="s">
        <v>55</v>
      </c>
      <c r="D995" t="s">
        <v>56</v>
      </c>
      <c r="E995" t="s">
        <v>848</v>
      </c>
      <c r="F995" t="s">
        <v>22</v>
      </c>
      <c r="G995" t="s">
        <v>23</v>
      </c>
      <c r="H995" t="s">
        <v>58</v>
      </c>
      <c r="I995" t="s">
        <v>25</v>
      </c>
      <c r="J995" s="2">
        <v>45869.442511574067</v>
      </c>
      <c r="K995">
        <v>31</v>
      </c>
      <c r="L995">
        <v>7</v>
      </c>
      <c r="M995">
        <v>2025</v>
      </c>
      <c r="N995" t="s">
        <v>27</v>
      </c>
      <c r="O995">
        <v>150</v>
      </c>
      <c r="P995">
        <v>150</v>
      </c>
      <c r="R995" s="3" t="str">
        <f>HYPERLINK("https://panda.att.com.mx/ODKServer/view/binaryData?blobKey=FSSuministroFluidosv3%5B%40version%3Dnull+and+%40uiVersion%3Dnull%5D%2Fdata%5B%40key%3Duuid%3A0d1549af-b82a-4a02-9c50-b982307b1774%5D%2FgroupInfoFuel%5B%40ordinal%3D1%5D%2FpicFuelRecibeInterno","Descargar")</f>
        <v>Descargar</v>
      </c>
    </row>
    <row r="996" spans="1:18" x14ac:dyDescent="0.3">
      <c r="A996">
        <v>1589289</v>
      </c>
      <c r="B996" t="s">
        <v>18</v>
      </c>
      <c r="C996" t="s">
        <v>55</v>
      </c>
      <c r="D996" t="s">
        <v>56</v>
      </c>
      <c r="E996" t="s">
        <v>1235</v>
      </c>
      <c r="F996" t="s">
        <v>22</v>
      </c>
      <c r="G996" t="s">
        <v>23</v>
      </c>
      <c r="H996" t="s">
        <v>58</v>
      </c>
      <c r="I996" t="s">
        <v>25</v>
      </c>
      <c r="J996" s="2">
        <v>45869.640451388892</v>
      </c>
      <c r="K996">
        <v>31</v>
      </c>
      <c r="L996">
        <v>7</v>
      </c>
      <c r="M996">
        <v>2025</v>
      </c>
      <c r="N996" t="s">
        <v>27</v>
      </c>
      <c r="O996">
        <v>150</v>
      </c>
      <c r="P996">
        <v>150</v>
      </c>
      <c r="R996" s="3" t="str">
        <f>HYPERLINK("https://panda.att.com.mx/ODKServer/view/binaryData?blobKey=FSSuministroFluidosv3%5B%40version%3Dnull+and+%40uiVersion%3Dnull%5D%2Fdata%5B%40key%3Duuid%3A06e6cf1f-f41a-4503-9b8f-585d153b8545%5D%2FgroupInfoFuel%5B%40ordinal%3D1%5D%2FpicFuelRecibeInterno","Descargar")</f>
        <v>Descargar</v>
      </c>
    </row>
    <row r="997" spans="1:18" x14ac:dyDescent="0.3">
      <c r="A997">
        <v>1589260</v>
      </c>
      <c r="B997" t="s">
        <v>18</v>
      </c>
      <c r="C997" t="s">
        <v>19</v>
      </c>
      <c r="D997" t="s">
        <v>347</v>
      </c>
      <c r="E997" t="s">
        <v>369</v>
      </c>
      <c r="F997" t="s">
        <v>22</v>
      </c>
      <c r="G997" t="s">
        <v>23</v>
      </c>
      <c r="H997" t="s">
        <v>24</v>
      </c>
      <c r="I997" t="s">
        <v>25</v>
      </c>
      <c r="J997" s="2">
        <v>45868.379629629628</v>
      </c>
      <c r="K997">
        <v>30</v>
      </c>
      <c r="L997">
        <v>7</v>
      </c>
      <c r="M997">
        <v>2025</v>
      </c>
      <c r="N997" t="s">
        <v>27</v>
      </c>
      <c r="O997">
        <v>100</v>
      </c>
      <c r="P997">
        <v>100</v>
      </c>
      <c r="R997" s="3" t="str">
        <f>HYPERLINK("https://panda.att.com.mx/ODKServer/view/binaryData?blobKey=FSSuministroFluidosv3%5B%40version%3Dnull+and+%40uiVersion%3Dnull%5D%2Fdata%5B%40key%3Duuid%3Aa80d0f3d-dbe5-4982-9e27-e9fbfaf609fa%5D%2FgroupInfoFuel%5B%40ordinal%3D1%5D%2FpicFuelRecibeInterno","Descargar")</f>
        <v>Descargar</v>
      </c>
    </row>
    <row r="998" spans="1:18" x14ac:dyDescent="0.3">
      <c r="A998">
        <v>1589250</v>
      </c>
      <c r="B998" t="s">
        <v>18</v>
      </c>
      <c r="C998" t="s">
        <v>28</v>
      </c>
      <c r="D998" t="s">
        <v>138</v>
      </c>
      <c r="E998" t="s">
        <v>1483</v>
      </c>
      <c r="F998" t="s">
        <v>22</v>
      </c>
      <c r="G998" t="s">
        <v>23</v>
      </c>
      <c r="H998" t="s">
        <v>24</v>
      </c>
      <c r="I998" t="s">
        <v>25</v>
      </c>
      <c r="J998" s="2">
        <v>45865.594560185193</v>
      </c>
      <c r="K998">
        <v>27</v>
      </c>
      <c r="L998">
        <v>7</v>
      </c>
      <c r="M998">
        <v>2025</v>
      </c>
      <c r="N998" t="s">
        <v>27</v>
      </c>
      <c r="O998">
        <v>500</v>
      </c>
      <c r="P998">
        <v>500</v>
      </c>
      <c r="R998" s="3" t="str">
        <f>HYPERLINK("https://panda.att.com.mx/ODKServer/view/binaryData?blobKey=FSSuministroFluidosv3%5B%40version%3Dnull+and+%40uiVersion%3Dnull%5D%2Fdata%5B%40key%3Duuid%3A946df706-94da-4088-a8d2-36a3034e42b9%5D%2FgroupInfoFuel%5B%40ordinal%3D1%5D%2FpicFuelRecibeInterno","Descargar")</f>
        <v>Descargar</v>
      </c>
    </row>
    <row r="999" spans="1:18" x14ac:dyDescent="0.3">
      <c r="A999">
        <v>1589249</v>
      </c>
      <c r="B999" t="s">
        <v>18</v>
      </c>
      <c r="C999" t="s">
        <v>28</v>
      </c>
      <c r="D999" t="s">
        <v>1484</v>
      </c>
      <c r="E999" t="s">
        <v>1485</v>
      </c>
      <c r="F999" t="s">
        <v>22</v>
      </c>
      <c r="G999" t="s">
        <v>23</v>
      </c>
      <c r="H999" t="s">
        <v>24</v>
      </c>
      <c r="I999" t="s">
        <v>25</v>
      </c>
      <c r="J999" s="2">
        <v>45867.501296296286</v>
      </c>
      <c r="K999">
        <v>29</v>
      </c>
      <c r="L999">
        <v>7</v>
      </c>
      <c r="M999">
        <v>2025</v>
      </c>
      <c r="N999" t="s">
        <v>27</v>
      </c>
      <c r="O999">
        <v>500</v>
      </c>
      <c r="P999">
        <v>500</v>
      </c>
      <c r="R999" s="3" t="str">
        <f>HYPERLINK("https://panda.att.com.mx/ODKServer/view/binaryData?blobKey=FSSuministroFluidosv3%5B%40version%3Dnull+and+%40uiVersion%3Dnull%5D%2Fdata%5B%40key%3Duuid%3Aaded1ec7-c70c-4598-be42-c068044d5583%5D%2FgroupInfoFuel%5B%40ordinal%3D1%5D%2FpicFuelRecibeInterno","Descargar")</f>
        <v>Descargar</v>
      </c>
    </row>
    <row r="1000" spans="1:18" x14ac:dyDescent="0.3">
      <c r="A1000">
        <v>1589248</v>
      </c>
      <c r="B1000" t="s">
        <v>18</v>
      </c>
      <c r="C1000" t="s">
        <v>28</v>
      </c>
      <c r="D1000" t="s">
        <v>138</v>
      </c>
      <c r="E1000" t="s">
        <v>1483</v>
      </c>
      <c r="F1000" t="s">
        <v>22</v>
      </c>
      <c r="G1000" t="s">
        <v>23</v>
      </c>
      <c r="H1000" t="s">
        <v>24</v>
      </c>
      <c r="I1000" t="s">
        <v>25</v>
      </c>
      <c r="J1000" s="2">
        <v>45869.575810185182</v>
      </c>
      <c r="K1000">
        <v>31</v>
      </c>
      <c r="L1000">
        <v>7</v>
      </c>
      <c r="M1000">
        <v>2025</v>
      </c>
      <c r="N1000" t="s">
        <v>27</v>
      </c>
      <c r="O1000">
        <v>300</v>
      </c>
      <c r="P1000">
        <v>300</v>
      </c>
      <c r="R1000" s="3" t="str">
        <f>HYPERLINK("https://panda.att.com.mx/ODKServer/view/binaryData?blobKey=FSSuministroFluidosv3%5B%40version%3Dnull+and+%40uiVersion%3Dnull%5D%2Fdata%5B%40key%3Duuid%3A987e25ab-1d6e-43fb-aac1-244aa035e0b9%5D%2FgroupInfoFuel%5B%40ordinal%3D1%5D%2FpicFuelRecibeInterno","Descargar")</f>
        <v>Descargar</v>
      </c>
    </row>
    <row r="1001" spans="1:18" x14ac:dyDescent="0.3">
      <c r="A1001">
        <v>1589225</v>
      </c>
      <c r="B1001" t="s">
        <v>18</v>
      </c>
      <c r="C1001" t="s">
        <v>28</v>
      </c>
      <c r="D1001" t="s">
        <v>118</v>
      </c>
      <c r="E1001" t="s">
        <v>1486</v>
      </c>
      <c r="F1001" t="s">
        <v>22</v>
      </c>
      <c r="G1001" t="s">
        <v>23</v>
      </c>
      <c r="H1001" t="s">
        <v>24</v>
      </c>
      <c r="I1001" t="s">
        <v>25</v>
      </c>
      <c r="J1001" t="s">
        <v>1487</v>
      </c>
      <c r="K1001">
        <v>1</v>
      </c>
      <c r="L1001">
        <v>8</v>
      </c>
      <c r="M1001">
        <v>2025</v>
      </c>
      <c r="N1001" t="s">
        <v>27</v>
      </c>
      <c r="O1001">
        <v>200</v>
      </c>
      <c r="P1001">
        <v>200</v>
      </c>
      <c r="R1001" s="3" t="str">
        <f>HYPERLINK("https://panda.att.com.mx/ODKServer/view/binaryData?blobKey=FSSuministroFluidosv3%5B%40version%3Dnull+and+%40uiVersion%3Dnull%5D%2Fdata%5B%40key%3Duuid%3A7780f571-5376-4b4a-ad89-67ab4968065e%5D%2FgroupInfoFuel%5B%40ordinal%3D1%5D%2FpicFuelRecibeInterno","Descargar")</f>
        <v>Descargar</v>
      </c>
    </row>
    <row r="1002" spans="1:18" x14ac:dyDescent="0.3">
      <c r="A1002">
        <v>1589179</v>
      </c>
      <c r="B1002" t="s">
        <v>18</v>
      </c>
      <c r="C1002" t="s">
        <v>34</v>
      </c>
      <c r="D1002" t="s">
        <v>187</v>
      </c>
      <c r="E1002" t="s">
        <v>742</v>
      </c>
      <c r="F1002" t="s">
        <v>22</v>
      </c>
      <c r="G1002" t="s">
        <v>23</v>
      </c>
      <c r="H1002" t="s">
        <v>24</v>
      </c>
      <c r="I1002" t="s">
        <v>25</v>
      </c>
      <c r="J1002" s="2">
        <v>45867.753750000003</v>
      </c>
      <c r="K1002">
        <v>29</v>
      </c>
      <c r="L1002">
        <v>7</v>
      </c>
      <c r="M1002">
        <v>2025</v>
      </c>
      <c r="N1002" t="s">
        <v>44</v>
      </c>
      <c r="O1002">
        <v>40</v>
      </c>
      <c r="P1002">
        <v>40</v>
      </c>
      <c r="R1002" s="3" t="str">
        <f>HYPERLINK("https://panda.att.com.mx/ODKServer/view/binaryData?blobKey=FSSuministroFluidosv3%5B%40version%3Dnull+and+%40uiVersion%3Dnull%5D%2Fdata%5B%40key%3Duuid%3Abb104555-b5f1-4b74-8df2-b15cfa8eae5f%5D%2FgroupInfoFuel%5B%40ordinal%3D1%5D%2FpicFuelRecibeInterno","Descargar")</f>
        <v>Descargar</v>
      </c>
    </row>
    <row r="1003" spans="1:18" x14ac:dyDescent="0.3">
      <c r="A1003">
        <v>1589124</v>
      </c>
      <c r="B1003" t="s">
        <v>18</v>
      </c>
      <c r="C1003" t="s">
        <v>100</v>
      </c>
      <c r="D1003" t="s">
        <v>716</v>
      </c>
      <c r="E1003" t="s">
        <v>717</v>
      </c>
      <c r="F1003" t="s">
        <v>22</v>
      </c>
      <c r="G1003" t="s">
        <v>83</v>
      </c>
      <c r="H1003" t="s">
        <v>58</v>
      </c>
      <c r="I1003" t="s">
        <v>25</v>
      </c>
      <c r="J1003" t="s">
        <v>1488</v>
      </c>
      <c r="K1003">
        <v>1</v>
      </c>
      <c r="L1003">
        <v>8</v>
      </c>
      <c r="M1003">
        <v>2025</v>
      </c>
      <c r="N1003" t="s">
        <v>27</v>
      </c>
      <c r="O1003">
        <v>130</v>
      </c>
      <c r="P1003">
        <v>130</v>
      </c>
      <c r="R1003" s="3" t="str">
        <f>HYPERLINK("https://panda.att.com.mx/ODKServer/view/binaryData?blobKey=FSSuministroFluidosv3%5B%40version%3Dnull+and+%40uiVersion%3Dnull%5D%2Fdata%5B%40key%3Duuid%3A0858553c-dbe9-4c4d-8668-22c3f1c64acd%5D%2FgroupInfoFuel%5B%40ordinal%3D1%5D%2FpicFuelRecibeInterno","Descargar")</f>
        <v>Descargar</v>
      </c>
    </row>
    <row r="1004" spans="1:18" x14ac:dyDescent="0.3">
      <c r="A1004">
        <v>1589097</v>
      </c>
      <c r="B1004" t="s">
        <v>18</v>
      </c>
      <c r="C1004" t="s">
        <v>100</v>
      </c>
      <c r="D1004" t="s">
        <v>833</v>
      </c>
      <c r="E1004" t="s">
        <v>1303</v>
      </c>
      <c r="F1004" t="s">
        <v>22</v>
      </c>
      <c r="G1004" t="s">
        <v>83</v>
      </c>
      <c r="H1004" t="s">
        <v>58</v>
      </c>
      <c r="I1004" t="s">
        <v>25</v>
      </c>
      <c r="J1004" t="s">
        <v>1489</v>
      </c>
      <c r="K1004">
        <v>1</v>
      </c>
      <c r="L1004">
        <v>8</v>
      </c>
      <c r="M1004">
        <v>2025</v>
      </c>
      <c r="N1004" t="s">
        <v>27</v>
      </c>
      <c r="O1004">
        <v>150</v>
      </c>
      <c r="P1004">
        <v>150</v>
      </c>
      <c r="R1004" s="3" t="str">
        <f>HYPERLINK("https://panda.att.com.mx/ODKServer/view/binaryData?blobKey=FSSuministroFluidosv3%5B%40version%3Dnull+and+%40uiVersion%3Dnull%5D%2Fdata%5B%40key%3Duuid%3A9d643959-72ea-4f0e-b03e-c318613f48ca%5D%2FgroupInfoFuel%5B%40ordinal%3D1%5D%2FpicFuelRecibeInterno","Descargar")</f>
        <v>Descargar</v>
      </c>
    </row>
    <row r="1005" spans="1:18" x14ac:dyDescent="0.3">
      <c r="A1005">
        <v>1589087</v>
      </c>
      <c r="B1005" t="s">
        <v>18</v>
      </c>
      <c r="C1005" t="s">
        <v>59</v>
      </c>
      <c r="D1005" t="s">
        <v>60</v>
      </c>
      <c r="E1005" t="s">
        <v>1490</v>
      </c>
      <c r="F1005" t="s">
        <v>22</v>
      </c>
      <c r="G1005" t="s">
        <v>23</v>
      </c>
      <c r="H1005" t="s">
        <v>37</v>
      </c>
      <c r="I1005" t="s">
        <v>25</v>
      </c>
      <c r="J1005" s="2">
        <v>45866.935682870368</v>
      </c>
      <c r="K1005">
        <v>28</v>
      </c>
      <c r="L1005">
        <v>7</v>
      </c>
      <c r="M1005">
        <v>2025</v>
      </c>
      <c r="N1005" t="s">
        <v>27</v>
      </c>
      <c r="O1005">
        <v>94</v>
      </c>
      <c r="P1005">
        <v>94</v>
      </c>
      <c r="R1005" s="3" t="str">
        <f>HYPERLINK("https://panda.att.com.mx/ODKServer/view/binaryData?blobKey=FSSuministroFluidosv3%5B%40version%3Dnull+and+%40uiVersion%3Dnull%5D%2Fdata%5B%40key%3Duuid%3A69820010-f3a2-486a-99cb-d95f5716c5a4%5D%2FgroupInfoFuel%5B%40ordinal%3D1%5D%2FpicFuelRecibeInterno","Descargar")</f>
        <v>Descargar</v>
      </c>
    </row>
    <row r="1006" spans="1:18" x14ac:dyDescent="0.3">
      <c r="A1006">
        <v>1589082</v>
      </c>
      <c r="B1006" t="s">
        <v>18</v>
      </c>
      <c r="C1006" t="s">
        <v>59</v>
      </c>
      <c r="D1006" t="s">
        <v>60</v>
      </c>
      <c r="E1006" t="s">
        <v>1491</v>
      </c>
      <c r="F1006" t="s">
        <v>22</v>
      </c>
      <c r="G1006" t="s">
        <v>23</v>
      </c>
      <c r="H1006" t="s">
        <v>37</v>
      </c>
      <c r="I1006" t="s">
        <v>25</v>
      </c>
      <c r="J1006" s="2">
        <v>45841.869270833333</v>
      </c>
      <c r="K1006">
        <v>3</v>
      </c>
      <c r="L1006">
        <v>7</v>
      </c>
      <c r="M1006">
        <v>2025</v>
      </c>
      <c r="N1006" t="s">
        <v>27</v>
      </c>
      <c r="O1006">
        <v>37</v>
      </c>
      <c r="P1006">
        <v>37</v>
      </c>
      <c r="R1006" s="3" t="str">
        <f>HYPERLINK("https://panda.att.com.mx/ODKServer/view/binaryData?blobKey=FSSuministroFluidosv3%5B%40version%3Dnull+and+%40uiVersion%3Dnull%5D%2Fdata%5B%40key%3Duuid%3A785bcd01-77db-4cfc-8174-46bf2c8dd207%5D%2FgroupInfoFuel%5B%40ordinal%3D1%5D%2FpicFuelRecibeInterno","Descargar")</f>
        <v>Descargar</v>
      </c>
    </row>
    <row r="1007" spans="1:18" x14ac:dyDescent="0.3">
      <c r="A1007">
        <v>1589068</v>
      </c>
      <c r="B1007" t="s">
        <v>18</v>
      </c>
      <c r="C1007" t="s">
        <v>19</v>
      </c>
      <c r="D1007" t="s">
        <v>45</v>
      </c>
      <c r="E1007" t="s">
        <v>1265</v>
      </c>
      <c r="F1007" t="s">
        <v>22</v>
      </c>
      <c r="G1007" t="s">
        <v>23</v>
      </c>
      <c r="H1007" t="s">
        <v>24</v>
      </c>
      <c r="I1007" t="s">
        <v>25</v>
      </c>
      <c r="J1007" s="2">
        <v>45866.709409722222</v>
      </c>
      <c r="K1007">
        <v>28</v>
      </c>
      <c r="L1007">
        <v>7</v>
      </c>
      <c r="M1007">
        <v>2025</v>
      </c>
      <c r="N1007" t="s">
        <v>27</v>
      </c>
      <c r="O1007">
        <v>400</v>
      </c>
      <c r="P1007">
        <v>400</v>
      </c>
      <c r="R1007" s="3" t="str">
        <f>HYPERLINK("https://panda.att.com.mx/ODKServer/view/binaryData?blobKey=FSSuministroFluidosv3%5B%40version%3Dnull+and+%40uiVersion%3Dnull%5D%2Fdata%5B%40key%3Duuid%3Ae620e076-e9f5-494c-b023-2bb6a9c359ab%5D%2FgroupInfoFuel%5B%40ordinal%3D1%5D%2FpicFuelRecibeInterno","Descargar")</f>
        <v>Descargar</v>
      </c>
    </row>
    <row r="1008" spans="1:18" x14ac:dyDescent="0.3">
      <c r="A1008">
        <v>1588987</v>
      </c>
      <c r="B1008" t="s">
        <v>18</v>
      </c>
      <c r="C1008" t="s">
        <v>28</v>
      </c>
      <c r="D1008" t="s">
        <v>1492</v>
      </c>
      <c r="E1008" t="s">
        <v>1493</v>
      </c>
      <c r="F1008" t="s">
        <v>22</v>
      </c>
      <c r="G1008" t="s">
        <v>23</v>
      </c>
      <c r="H1008" t="s">
        <v>24</v>
      </c>
      <c r="I1008" t="s">
        <v>25</v>
      </c>
      <c r="J1008" s="2">
        <v>45863.861296296287</v>
      </c>
      <c r="K1008">
        <v>25</v>
      </c>
      <c r="L1008">
        <v>7</v>
      </c>
      <c r="M1008">
        <v>2025</v>
      </c>
      <c r="N1008" t="s">
        <v>27</v>
      </c>
      <c r="O1008">
        <v>125</v>
      </c>
      <c r="P1008">
        <v>125</v>
      </c>
      <c r="R1008" s="3" t="str">
        <f>HYPERLINK("https://panda.att.com.mx/ODKServer/view/binaryData?blobKey=FSSuministroFluidosv3%5B%40version%3Dnull+and+%40uiVersion%3Dnull%5D%2Fdata%5B%40key%3Duuid%3Ab7cd283c-002b-4189-b927-14dcb0166c6a%5D%2FgroupInfoFuel%5B%40ordinal%3D1%5D%2FpicFuelRecibeInterno","Descargar")</f>
        <v>Descargar</v>
      </c>
    </row>
    <row r="1009" spans="1:18" x14ac:dyDescent="0.3">
      <c r="A1009">
        <v>1588963</v>
      </c>
      <c r="B1009" t="s">
        <v>18</v>
      </c>
      <c r="C1009" t="s">
        <v>55</v>
      </c>
      <c r="D1009" t="s">
        <v>56</v>
      </c>
      <c r="E1009" t="s">
        <v>105</v>
      </c>
      <c r="F1009" t="s">
        <v>22</v>
      </c>
      <c r="G1009" t="s">
        <v>23</v>
      </c>
      <c r="H1009" t="s">
        <v>58</v>
      </c>
      <c r="I1009" t="s">
        <v>25</v>
      </c>
      <c r="J1009" s="2">
        <v>45867.659270833326</v>
      </c>
      <c r="K1009">
        <v>29</v>
      </c>
      <c r="L1009">
        <v>7</v>
      </c>
      <c r="M1009">
        <v>2025</v>
      </c>
      <c r="N1009" t="s">
        <v>27</v>
      </c>
      <c r="O1009">
        <v>100</v>
      </c>
      <c r="P1009">
        <v>100</v>
      </c>
      <c r="R1009" s="3" t="str">
        <f>HYPERLINK("https://panda.att.com.mx/ODKServer/view/binaryData?blobKey=FSSuministroFluidosv3%5B%40version%3Dnull+and+%40uiVersion%3Dnull%5D%2Fdata%5B%40key%3Duuid%3Aaaff8813-85a1-43a0-8ddc-13aff77cc4d4%5D%2FgroupInfoFuel%5B%40ordinal%3D1%5D%2FpicFuelRecibeInterno","Descargar")</f>
        <v>Descargar</v>
      </c>
    </row>
    <row r="1010" spans="1:18" x14ac:dyDescent="0.3">
      <c r="A1010">
        <v>1588923</v>
      </c>
      <c r="B1010" t="s">
        <v>18</v>
      </c>
      <c r="C1010" t="s">
        <v>34</v>
      </c>
      <c r="D1010" t="s">
        <v>53</v>
      </c>
      <c r="E1010" t="s">
        <v>1494</v>
      </c>
      <c r="F1010" t="s">
        <v>22</v>
      </c>
      <c r="G1010" t="s">
        <v>23</v>
      </c>
      <c r="H1010" t="s">
        <v>37</v>
      </c>
      <c r="I1010" t="s">
        <v>25</v>
      </c>
      <c r="J1010" s="2">
        <v>45869.815740740742</v>
      </c>
      <c r="K1010">
        <v>31</v>
      </c>
      <c r="L1010">
        <v>7</v>
      </c>
      <c r="M1010">
        <v>2025</v>
      </c>
      <c r="N1010" t="s">
        <v>27</v>
      </c>
      <c r="O1010">
        <v>200</v>
      </c>
      <c r="P1010">
        <v>200</v>
      </c>
      <c r="R1010" s="3" t="str">
        <f>HYPERLINK("https://panda.att.com.mx/ODKServer/view/binaryData?blobKey=FSSuministroFluidosv3%5B%40version%3Dnull+and+%40uiVersion%3Dnull%5D%2Fdata%5B%40key%3Duuid%3A3eaa5dbf-2e72-46bf-a8df-0dd40f32a496%5D%2FgroupInfoFuel%5B%40ordinal%3D1%5D%2FpicFuelRecibeInterno","Descargar")</f>
        <v>Descargar</v>
      </c>
    </row>
    <row r="1011" spans="1:18" x14ac:dyDescent="0.3">
      <c r="A1011">
        <v>1588847</v>
      </c>
      <c r="B1011" t="s">
        <v>18</v>
      </c>
      <c r="C1011" t="s">
        <v>59</v>
      </c>
      <c r="D1011" t="s">
        <v>597</v>
      </c>
      <c r="E1011" t="s">
        <v>1495</v>
      </c>
      <c r="F1011" t="s">
        <v>22</v>
      </c>
      <c r="G1011" t="s">
        <v>23</v>
      </c>
      <c r="H1011" t="s">
        <v>37</v>
      </c>
      <c r="I1011" t="s">
        <v>25</v>
      </c>
      <c r="J1011" s="2">
        <v>45869.541805555556</v>
      </c>
      <c r="K1011">
        <v>31</v>
      </c>
      <c r="L1011">
        <v>7</v>
      </c>
      <c r="M1011">
        <v>2025</v>
      </c>
      <c r="N1011" t="s">
        <v>44</v>
      </c>
      <c r="O1011">
        <v>35</v>
      </c>
      <c r="P1011">
        <v>35</v>
      </c>
      <c r="R1011" s="3" t="str">
        <f>HYPERLINK("https://panda.att.com.mx/ODKServer/view/binaryData?blobKey=FSSuministroFluidosv3%5B%40version%3Dnull+and+%40uiVersion%3Dnull%5D%2Fdata%5B%40key%3Duuid%3A80cb350f-f5c6-4a9a-b327-03d6c8ea25cd%5D%2FgroupInfoFuel%5B%40ordinal%3D1%5D%2FpicFuelRecibeInterno","Descargar")</f>
        <v>Descargar</v>
      </c>
    </row>
    <row r="1012" spans="1:18" x14ac:dyDescent="0.3">
      <c r="A1012">
        <v>1588840</v>
      </c>
      <c r="B1012" t="s">
        <v>18</v>
      </c>
      <c r="C1012" t="s">
        <v>100</v>
      </c>
      <c r="D1012" t="s">
        <v>854</v>
      </c>
      <c r="E1012" t="s">
        <v>993</v>
      </c>
      <c r="F1012" t="s">
        <v>22</v>
      </c>
      <c r="G1012" t="s">
        <v>83</v>
      </c>
      <c r="H1012" t="s">
        <v>58</v>
      </c>
      <c r="I1012" t="s">
        <v>25</v>
      </c>
      <c r="J1012" s="2">
        <v>45867.528252314813</v>
      </c>
      <c r="K1012">
        <v>29</v>
      </c>
      <c r="L1012">
        <v>7</v>
      </c>
      <c r="M1012">
        <v>2025</v>
      </c>
      <c r="N1012" t="s">
        <v>27</v>
      </c>
      <c r="O1012">
        <v>200</v>
      </c>
      <c r="P1012">
        <v>200</v>
      </c>
      <c r="R1012" s="3" t="str">
        <f>HYPERLINK("https://panda.att.com.mx/ODKServer/view/binaryData?blobKey=FSSuministroFluidosv3%5B%40version%3Dnull+and+%40uiVersion%3Dnull%5D%2Fdata%5B%40key%3Duuid%3A52e665e2-904d-4c7d-a4bb-9a4aab1885dd%5D%2FgroupInfoFuel%5B%40ordinal%3D1%5D%2FpicFuelRecibeInterno","Descargar")</f>
        <v>Descargar</v>
      </c>
    </row>
    <row r="1013" spans="1:18" x14ac:dyDescent="0.3">
      <c r="A1013">
        <v>1588819</v>
      </c>
      <c r="B1013" t="s">
        <v>18</v>
      </c>
      <c r="C1013" t="s">
        <v>19</v>
      </c>
      <c r="D1013" t="s">
        <v>347</v>
      </c>
      <c r="E1013" t="s">
        <v>364</v>
      </c>
      <c r="F1013" t="s">
        <v>22</v>
      </c>
      <c r="G1013" t="s">
        <v>23</v>
      </c>
      <c r="H1013" t="s">
        <v>24</v>
      </c>
      <c r="I1013" t="s">
        <v>25</v>
      </c>
      <c r="J1013" s="2">
        <v>45855.513287037043</v>
      </c>
      <c r="K1013">
        <v>17</v>
      </c>
      <c r="L1013">
        <v>7</v>
      </c>
      <c r="M1013">
        <v>2025</v>
      </c>
      <c r="N1013" t="s">
        <v>27</v>
      </c>
      <c r="O1013">
        <v>300</v>
      </c>
      <c r="P1013">
        <v>300</v>
      </c>
      <c r="R1013" s="3" t="str">
        <f>HYPERLINK("https://panda.att.com.mx/ODKServer/view/binaryData?blobKey=FSSuministroFluidosv3%5B%40version%3Dnull+and+%40uiVersion%3Dnull%5D%2Fdata%5B%40key%3Duuid%3A7d327a3c-2a59-4cc9-a1b9-3ed1006ccb72%5D%2FgroupInfoFuel%5B%40ordinal%3D1%5D%2FpicFuelRecibeInterno","Descargar")</f>
        <v>Descargar</v>
      </c>
    </row>
    <row r="1014" spans="1:18" x14ac:dyDescent="0.3">
      <c r="A1014">
        <v>1588818</v>
      </c>
      <c r="B1014" t="s">
        <v>18</v>
      </c>
      <c r="C1014" t="s">
        <v>19</v>
      </c>
      <c r="D1014" t="s">
        <v>170</v>
      </c>
      <c r="E1014" t="s">
        <v>1496</v>
      </c>
      <c r="F1014" t="s">
        <v>22</v>
      </c>
      <c r="G1014" t="s">
        <v>23</v>
      </c>
      <c r="H1014" t="s">
        <v>24</v>
      </c>
      <c r="I1014" t="s">
        <v>25</v>
      </c>
      <c r="J1014" s="2">
        <v>45868.979050925933</v>
      </c>
      <c r="K1014">
        <v>30</v>
      </c>
      <c r="L1014">
        <v>7</v>
      </c>
      <c r="M1014">
        <v>2025</v>
      </c>
      <c r="N1014" t="s">
        <v>27</v>
      </c>
      <c r="O1014">
        <v>400</v>
      </c>
      <c r="P1014">
        <v>400</v>
      </c>
      <c r="R1014" s="3" t="str">
        <f>HYPERLINK("https://panda.att.com.mx/ODKServer/view/binaryData?blobKey=FSSuministroFluidosv3%5B%40version%3Dnull+and+%40uiVersion%3Dnull%5D%2Fdata%5B%40key%3Duuid%3A8bc76153-ba99-4669-8955-06d1a95dfb8b%5D%2FgroupInfoFuel%5B%40ordinal%3D1%5D%2FpicFuelRecibeInterno","Descargar")</f>
        <v>Descargar</v>
      </c>
    </row>
    <row r="1015" spans="1:18" x14ac:dyDescent="0.3">
      <c r="A1015">
        <v>1588734</v>
      </c>
      <c r="B1015" t="s">
        <v>18</v>
      </c>
      <c r="C1015" t="s">
        <v>34</v>
      </c>
      <c r="D1015" t="s">
        <v>53</v>
      </c>
      <c r="E1015" t="s">
        <v>144</v>
      </c>
      <c r="F1015" t="s">
        <v>22</v>
      </c>
      <c r="G1015" t="s">
        <v>83</v>
      </c>
      <c r="H1015" t="s">
        <v>390</v>
      </c>
      <c r="I1015" t="s">
        <v>25</v>
      </c>
      <c r="J1015" s="2">
        <v>45868.589594907397</v>
      </c>
      <c r="K1015">
        <v>30</v>
      </c>
      <c r="L1015">
        <v>7</v>
      </c>
      <c r="M1015">
        <v>2025</v>
      </c>
      <c r="N1015" t="s">
        <v>27</v>
      </c>
      <c r="O1015">
        <v>300</v>
      </c>
      <c r="P1015">
        <v>300</v>
      </c>
      <c r="R1015" s="3" t="str">
        <f>HYPERLINK("https://panda.att.com.mx/ODKServer/view/binaryData?blobKey=FSSuministroFluidosv3%5B%40version%3Dnull+and+%40uiVersion%3Dnull%5D%2Fdata%5B%40key%3Duuid%3A3f8bf3df-7869-4bb1-8eda-b30a53e40b39%5D%2FgroupInfoFuel%5B%40ordinal%3D1%5D%2FpicFuelRecibeInterno","Descargar")</f>
        <v>Descargar</v>
      </c>
    </row>
    <row r="1016" spans="1:18" x14ac:dyDescent="0.3">
      <c r="A1016">
        <v>1588733</v>
      </c>
      <c r="B1016" t="s">
        <v>18</v>
      </c>
      <c r="C1016" t="s">
        <v>34</v>
      </c>
      <c r="D1016" t="s">
        <v>53</v>
      </c>
      <c r="E1016" t="s">
        <v>459</v>
      </c>
      <c r="F1016" t="s">
        <v>22</v>
      </c>
      <c r="G1016" t="s">
        <v>83</v>
      </c>
      <c r="H1016" t="s">
        <v>390</v>
      </c>
      <c r="I1016" t="s">
        <v>25</v>
      </c>
      <c r="J1016" s="2">
        <v>45867.52202546296</v>
      </c>
      <c r="K1016">
        <v>29</v>
      </c>
      <c r="L1016">
        <v>7</v>
      </c>
      <c r="M1016">
        <v>2025</v>
      </c>
      <c r="N1016" t="s">
        <v>27</v>
      </c>
      <c r="O1016">
        <v>500</v>
      </c>
      <c r="P1016">
        <v>500</v>
      </c>
      <c r="R1016" s="3" t="str">
        <f>HYPERLINK("https://panda.att.com.mx/ODKServer/view/binaryData?blobKey=FSSuministroFluidosv3%5B%40version%3Dnull+and+%40uiVersion%3Dnull%5D%2Fdata%5B%40key%3Duuid%3A3b9b80c2-c633-4ea2-8655-4d6fc8ff85ff%5D%2FgroupInfoFuel%5B%40ordinal%3D1%5D%2FpicFuelRecibeInterno","Descargar")</f>
        <v>Descargar</v>
      </c>
    </row>
    <row r="1017" spans="1:18" x14ac:dyDescent="0.3">
      <c r="A1017">
        <v>1588692</v>
      </c>
      <c r="B1017" t="s">
        <v>18</v>
      </c>
      <c r="C1017" t="s">
        <v>55</v>
      </c>
      <c r="D1017" t="s">
        <v>366</v>
      </c>
      <c r="E1017" t="s">
        <v>815</v>
      </c>
      <c r="F1017" t="s">
        <v>22</v>
      </c>
      <c r="G1017" t="s">
        <v>23</v>
      </c>
      <c r="H1017" t="s">
        <v>58</v>
      </c>
      <c r="I1017" t="s">
        <v>25</v>
      </c>
      <c r="J1017" s="2">
        <v>45869.663807870369</v>
      </c>
      <c r="K1017">
        <v>31</v>
      </c>
      <c r="L1017">
        <v>7</v>
      </c>
      <c r="M1017">
        <v>2025</v>
      </c>
      <c r="N1017" t="s">
        <v>27</v>
      </c>
      <c r="O1017">
        <v>350</v>
      </c>
      <c r="P1017">
        <v>350</v>
      </c>
      <c r="R1017" s="3" t="str">
        <f>HYPERLINK("https://panda.att.com.mx/ODKServer/view/binaryData?blobKey=FSSuministroFluidosv3%5B%40version%3Dnull+and+%40uiVersion%3Dnull%5D%2Fdata%5B%40key%3Duuid%3Abb9f9d4a-579c-4f3b-b73d-761c6ddc875a%5D%2FgroupInfoFuel%5B%40ordinal%3D1%5D%2FpicFuelRecibeInterno","Descargar")</f>
        <v>Descargar</v>
      </c>
    </row>
    <row r="1018" spans="1:18" x14ac:dyDescent="0.3">
      <c r="A1018">
        <v>1588627</v>
      </c>
      <c r="B1018" t="s">
        <v>18</v>
      </c>
      <c r="C1018" t="s">
        <v>183</v>
      </c>
      <c r="D1018" t="s">
        <v>184</v>
      </c>
      <c r="E1018" t="s">
        <v>1497</v>
      </c>
      <c r="F1018" t="s">
        <v>22</v>
      </c>
      <c r="G1018" t="s">
        <v>23</v>
      </c>
      <c r="H1018" t="s">
        <v>24</v>
      </c>
      <c r="I1018" t="s">
        <v>25</v>
      </c>
      <c r="J1018" s="2">
        <v>45831.610092592593</v>
      </c>
      <c r="K1018">
        <v>23</v>
      </c>
      <c r="L1018">
        <v>6</v>
      </c>
      <c r="M1018">
        <v>2025</v>
      </c>
      <c r="N1018" t="s">
        <v>44</v>
      </c>
      <c r="O1018">
        <v>35</v>
      </c>
      <c r="Q1018">
        <v>35</v>
      </c>
      <c r="R1018" s="3" t="str">
        <f>HYPERLINK("https://panda.att.com.mx/ODKServer/view/binaryData?blobKey=FSSuministroFluidosv3%5B%40version%3Dnull+and+%40uiVersion%3Dnull%5D%2Fdata%5B%40key%3Duuid%3A70b461cf-acd9-4ca4-9fef-7149b2c2f03e%5D%2FgroupInfoFuel%5B%40ordinal%3D1%5D%2FpicFuelRecibeInterno","Descargar")</f>
        <v>Descargar</v>
      </c>
    </row>
    <row r="1019" spans="1:18" x14ac:dyDescent="0.3">
      <c r="A1019">
        <v>1588399</v>
      </c>
      <c r="B1019" t="s">
        <v>18</v>
      </c>
      <c r="C1019" t="s">
        <v>55</v>
      </c>
      <c r="D1019" t="s">
        <v>64</v>
      </c>
      <c r="E1019" t="s">
        <v>1498</v>
      </c>
      <c r="F1019" t="s">
        <v>22</v>
      </c>
      <c r="G1019" t="s">
        <v>23</v>
      </c>
      <c r="H1019" t="s">
        <v>58</v>
      </c>
      <c r="I1019" t="s">
        <v>25</v>
      </c>
      <c r="J1019" s="2">
        <v>45869.443124999998</v>
      </c>
      <c r="K1019">
        <v>31</v>
      </c>
      <c r="L1019">
        <v>7</v>
      </c>
      <c r="M1019">
        <v>2025</v>
      </c>
      <c r="N1019" t="s">
        <v>27</v>
      </c>
      <c r="O1019">
        <v>150</v>
      </c>
      <c r="P1019">
        <v>150</v>
      </c>
      <c r="R1019" s="3" t="str">
        <f>HYPERLINK("https://panda.att.com.mx/ODKServer/view/binaryData?blobKey=FSSuministroFluidosv3%5B%40version%3Dnull+and+%40uiVersion%3Dnull%5D%2Fdata%5B%40key%3Duuid%3A384722de-d0e4-47c9-b5e5-3be78f149887%5D%2FgroupInfoFuel%5B%40ordinal%3D1%5D%2FpicFuelRecibeInterno","Descargar")</f>
        <v>Descargar</v>
      </c>
    </row>
    <row r="1020" spans="1:18" x14ac:dyDescent="0.3">
      <c r="A1020">
        <v>1588380</v>
      </c>
      <c r="B1020" t="s">
        <v>18</v>
      </c>
      <c r="C1020" t="s">
        <v>59</v>
      </c>
      <c r="D1020" t="s">
        <v>307</v>
      </c>
      <c r="E1020" t="s">
        <v>1499</v>
      </c>
      <c r="F1020" t="s">
        <v>22</v>
      </c>
      <c r="G1020" t="s">
        <v>23</v>
      </c>
      <c r="H1020" t="s">
        <v>37</v>
      </c>
      <c r="I1020" t="s">
        <v>25</v>
      </c>
      <c r="J1020" s="2">
        <v>45869.542384259257</v>
      </c>
      <c r="K1020">
        <v>31</v>
      </c>
      <c r="L1020">
        <v>7</v>
      </c>
      <c r="M1020">
        <v>2025</v>
      </c>
      <c r="N1020" t="s">
        <v>27</v>
      </c>
      <c r="O1020">
        <v>250</v>
      </c>
      <c r="P1020">
        <v>250</v>
      </c>
      <c r="R1020" s="3" t="str">
        <f>HYPERLINK("https://panda.att.com.mx/ODKServer/view/binaryData?blobKey=FSSuministroFluidosv3%5B%40version%3Dnull+and+%40uiVersion%3Dnull%5D%2Fdata%5B%40key%3Duuid%3Aff55897c-72f1-40bd-b210-d62d865e0b2c%5D%2FgroupInfoFuel%5B%40ordinal%3D1%5D%2FpicFuelRecibeInterno","Descargar")</f>
        <v>Descargar</v>
      </c>
    </row>
    <row r="1021" spans="1:18" x14ac:dyDescent="0.3">
      <c r="A1021">
        <v>1588354</v>
      </c>
      <c r="B1021" t="s">
        <v>18</v>
      </c>
      <c r="C1021" t="s">
        <v>55</v>
      </c>
      <c r="D1021" t="s">
        <v>1500</v>
      </c>
      <c r="E1021" t="s">
        <v>1501</v>
      </c>
      <c r="F1021" t="s">
        <v>22</v>
      </c>
      <c r="G1021" t="s">
        <v>23</v>
      </c>
      <c r="H1021" t="s">
        <v>58</v>
      </c>
      <c r="I1021" t="s">
        <v>25</v>
      </c>
      <c r="J1021" s="2">
        <v>45869.548587962963</v>
      </c>
      <c r="K1021">
        <v>31</v>
      </c>
      <c r="L1021">
        <v>7</v>
      </c>
      <c r="M1021">
        <v>2025</v>
      </c>
      <c r="N1021" t="s">
        <v>27</v>
      </c>
      <c r="O1021">
        <v>100</v>
      </c>
      <c r="P1021">
        <v>100</v>
      </c>
      <c r="R1021" s="3" t="str">
        <f>HYPERLINK("https://panda.att.com.mx/ODKServer/view/binaryData?blobKey=FSSuministroFluidosv3%5B%40version%3Dnull+and+%40uiVersion%3Dnull%5D%2Fdata%5B%40key%3Duuid%3Ab5e119ad-4243-4efa-bf25-ac1719a6bb64%5D%2FgroupInfoFuel%5B%40ordinal%3D1%5D%2FpicFuelRecibeInterno","Descargar")</f>
        <v>Descargar</v>
      </c>
    </row>
    <row r="1022" spans="1:18" x14ac:dyDescent="0.3">
      <c r="A1022">
        <v>1588276</v>
      </c>
      <c r="B1022" t="s">
        <v>18</v>
      </c>
      <c r="C1022" t="s">
        <v>150</v>
      </c>
      <c r="D1022" t="s">
        <v>151</v>
      </c>
      <c r="E1022" t="s">
        <v>232</v>
      </c>
      <c r="F1022" t="s">
        <v>22</v>
      </c>
      <c r="G1022" t="s">
        <v>23</v>
      </c>
      <c r="H1022" t="s">
        <v>58</v>
      </c>
      <c r="I1022" t="s">
        <v>25</v>
      </c>
      <c r="J1022" s="2">
        <v>45869.525995370372</v>
      </c>
      <c r="K1022">
        <v>31</v>
      </c>
      <c r="L1022">
        <v>7</v>
      </c>
      <c r="M1022">
        <v>2025</v>
      </c>
      <c r="N1022" t="s">
        <v>27</v>
      </c>
      <c r="O1022">
        <v>150</v>
      </c>
      <c r="P1022">
        <v>150</v>
      </c>
      <c r="R1022" s="3" t="str">
        <f>HYPERLINK("https://panda.att.com.mx/ODKServer/view/binaryData?blobKey=FSSuministroFluidosv3%5B%40version%3Dnull+and+%40uiVersion%3Dnull%5D%2Fdata%5B%40key%3Duuid%3A11e6d743-e924-4c6d-9ca7-cb3c35e29522%5D%2FgroupInfoFuel%5B%40ordinal%3D1%5D%2FpicFuelRecibeInterno","Descargar")</f>
        <v>Descargar</v>
      </c>
    </row>
    <row r="1023" spans="1:18" x14ac:dyDescent="0.3">
      <c r="A1023">
        <v>1588275</v>
      </c>
      <c r="B1023" t="s">
        <v>18</v>
      </c>
      <c r="C1023" t="s">
        <v>167</v>
      </c>
      <c r="D1023" t="s">
        <v>168</v>
      </c>
      <c r="E1023" t="s">
        <v>1502</v>
      </c>
      <c r="F1023" t="s">
        <v>22</v>
      </c>
      <c r="G1023" t="s">
        <v>23</v>
      </c>
      <c r="H1023" t="s">
        <v>58</v>
      </c>
      <c r="I1023" t="s">
        <v>25</v>
      </c>
      <c r="J1023" s="2">
        <v>45869.532037037039</v>
      </c>
      <c r="K1023">
        <v>31</v>
      </c>
      <c r="L1023">
        <v>7</v>
      </c>
      <c r="M1023">
        <v>2025</v>
      </c>
      <c r="N1023" t="s">
        <v>27</v>
      </c>
      <c r="O1023">
        <v>50</v>
      </c>
      <c r="P1023">
        <v>50</v>
      </c>
      <c r="R1023" s="3" t="str">
        <f>HYPERLINK("https://panda.att.com.mx/ODKServer/view/binaryData?blobKey=FSSuministroFluidosv3%5B%40version%3Dnull+and+%40uiVersion%3Dnull%5D%2Fdata%5B%40key%3Duuid%3A9e950fa1-1edb-4d76-9a0c-2b8a13f0c643%5D%2FgroupInfoFuel%5B%40ordinal%3D1%5D%2FpicFuelRecibeInterno","Descargar")</f>
        <v>Descargar</v>
      </c>
    </row>
    <row r="1024" spans="1:18" x14ac:dyDescent="0.3">
      <c r="A1024">
        <v>1588246</v>
      </c>
      <c r="B1024" t="s">
        <v>18</v>
      </c>
      <c r="C1024" t="s">
        <v>59</v>
      </c>
      <c r="D1024" t="s">
        <v>307</v>
      </c>
      <c r="E1024" t="s">
        <v>1499</v>
      </c>
      <c r="F1024" t="s">
        <v>22</v>
      </c>
      <c r="G1024" t="s">
        <v>23</v>
      </c>
      <c r="H1024" t="s">
        <v>37</v>
      </c>
      <c r="I1024" t="s">
        <v>25</v>
      </c>
      <c r="J1024" s="2">
        <v>45869.495023148149</v>
      </c>
      <c r="K1024">
        <v>31</v>
      </c>
      <c r="L1024">
        <v>7</v>
      </c>
      <c r="M1024">
        <v>2025</v>
      </c>
      <c r="N1024" t="s">
        <v>27</v>
      </c>
      <c r="O1024">
        <v>250</v>
      </c>
      <c r="P1024">
        <v>250</v>
      </c>
      <c r="R1024" s="3" t="str">
        <f>HYPERLINK("https://panda.att.com.mx/ODKServer/view/binaryData?blobKey=FSSuministroFluidosv3%5B%40version%3Dnull+and+%40uiVersion%3Dnull%5D%2Fdata%5B%40key%3Duuid%3Af95bd183-3fd5-4b70-8155-a5adccd6146a%5D%2FgroupInfoFuel%5B%40ordinal%3D1%5D%2FpicFuelRecibeInterno","Descargar")</f>
        <v>Descargar</v>
      </c>
    </row>
    <row r="1025" spans="1:18" x14ac:dyDescent="0.3">
      <c r="A1025">
        <v>1588225</v>
      </c>
      <c r="B1025" t="s">
        <v>18</v>
      </c>
      <c r="C1025" t="s">
        <v>19</v>
      </c>
      <c r="D1025" t="s">
        <v>347</v>
      </c>
      <c r="E1025" t="s">
        <v>353</v>
      </c>
      <c r="F1025" t="s">
        <v>22</v>
      </c>
      <c r="G1025" t="s">
        <v>23</v>
      </c>
      <c r="H1025" t="s">
        <v>24</v>
      </c>
      <c r="I1025" t="s">
        <v>25</v>
      </c>
      <c r="J1025" s="2">
        <v>45867.425810185188</v>
      </c>
      <c r="K1025">
        <v>29</v>
      </c>
      <c r="L1025">
        <v>7</v>
      </c>
      <c r="M1025">
        <v>2025</v>
      </c>
      <c r="N1025" t="s">
        <v>27</v>
      </c>
      <c r="O1025">
        <v>400</v>
      </c>
      <c r="P1025">
        <v>400</v>
      </c>
      <c r="R1025" s="3" t="str">
        <f>HYPERLINK("https://panda.att.com.mx/ODKServer/view/binaryData?blobKey=FSSuministroFluidosv3%5B%40version%3Dnull+and+%40uiVersion%3Dnull%5D%2Fdata%5B%40key%3Duuid%3A530ea1dd-8c6f-463c-8197-003d16fc35d8%5D%2FgroupInfoFuel%5B%40ordinal%3D1%5D%2FpicFuelRecibeInterno","Descargar")</f>
        <v>Descargar</v>
      </c>
    </row>
    <row r="1026" spans="1:18" x14ac:dyDescent="0.3">
      <c r="A1026">
        <v>1588215</v>
      </c>
      <c r="B1026" t="s">
        <v>18</v>
      </c>
      <c r="C1026" t="s">
        <v>19</v>
      </c>
      <c r="D1026" t="s">
        <v>1503</v>
      </c>
      <c r="E1026" t="s">
        <v>1504</v>
      </c>
      <c r="F1026" t="s">
        <v>22</v>
      </c>
      <c r="G1026" t="s">
        <v>23</v>
      </c>
      <c r="H1026" t="s">
        <v>24</v>
      </c>
      <c r="I1026" t="s">
        <v>25</v>
      </c>
      <c r="J1026" s="2">
        <v>45863.271747685183</v>
      </c>
      <c r="K1026">
        <v>25</v>
      </c>
      <c r="L1026">
        <v>7</v>
      </c>
      <c r="M1026">
        <v>2025</v>
      </c>
      <c r="N1026" t="s">
        <v>27</v>
      </c>
      <c r="O1026">
        <v>200</v>
      </c>
      <c r="P1026">
        <v>200</v>
      </c>
      <c r="R1026" s="3" t="str">
        <f>HYPERLINK("https://panda.att.com.mx/ODKServer/view/binaryData?blobKey=FSSuministroFluidosv3%5B%40version%3Dnull+and+%40uiVersion%3Dnull%5D%2Fdata%5B%40key%3Duuid%3A9f2a2677-7fee-4c18-a002-e2d95e6b0aff%5D%2FgroupInfoFuel%5B%40ordinal%3D1%5D%2FpicFuelRecibeInterno","Descargar")</f>
        <v>Descargar</v>
      </c>
    </row>
    <row r="1027" spans="1:18" x14ac:dyDescent="0.3">
      <c r="A1027">
        <v>1588181</v>
      </c>
      <c r="B1027" t="s">
        <v>18</v>
      </c>
      <c r="C1027" t="s">
        <v>19</v>
      </c>
      <c r="D1027" t="s">
        <v>347</v>
      </c>
      <c r="E1027" t="s">
        <v>353</v>
      </c>
      <c r="F1027" t="s">
        <v>22</v>
      </c>
      <c r="G1027" t="s">
        <v>23</v>
      </c>
      <c r="H1027" t="s">
        <v>24</v>
      </c>
      <c r="I1027" t="s">
        <v>25</v>
      </c>
      <c r="J1027" s="2">
        <v>45862.484976851847</v>
      </c>
      <c r="K1027">
        <v>24</v>
      </c>
      <c r="L1027">
        <v>7</v>
      </c>
      <c r="M1027">
        <v>2025</v>
      </c>
      <c r="N1027" t="s">
        <v>27</v>
      </c>
      <c r="O1027">
        <v>500</v>
      </c>
      <c r="P1027">
        <v>500</v>
      </c>
      <c r="R1027" s="3" t="str">
        <f>HYPERLINK("https://panda.att.com.mx/ODKServer/view/binaryData?blobKey=FSSuministroFluidosv3%5B%40version%3Dnull+and+%40uiVersion%3Dnull%5D%2Fdata%5B%40key%3Duuid%3Ad82d7ebb-29e8-4d74-bd98-c60f5b0c7ab5%5D%2FgroupInfoFuel%5B%40ordinal%3D1%5D%2FpicFuelRecibeInterno","Descargar")</f>
        <v>Descargar</v>
      </c>
    </row>
    <row r="1028" spans="1:18" x14ac:dyDescent="0.3">
      <c r="A1028">
        <v>1588173</v>
      </c>
      <c r="B1028" t="s">
        <v>18</v>
      </c>
      <c r="C1028" t="s">
        <v>19</v>
      </c>
      <c r="D1028" t="s">
        <v>347</v>
      </c>
      <c r="E1028" t="s">
        <v>1505</v>
      </c>
      <c r="F1028" t="s">
        <v>22</v>
      </c>
      <c r="G1028" t="s">
        <v>23</v>
      </c>
      <c r="H1028" t="s">
        <v>24</v>
      </c>
      <c r="I1028" t="s">
        <v>25</v>
      </c>
      <c r="J1028" s="2">
        <v>45860.798634259263</v>
      </c>
      <c r="K1028">
        <v>22</v>
      </c>
      <c r="L1028">
        <v>7</v>
      </c>
      <c r="M1028">
        <v>2025</v>
      </c>
      <c r="N1028" t="s">
        <v>27</v>
      </c>
      <c r="O1028">
        <v>100</v>
      </c>
      <c r="P1028">
        <v>100</v>
      </c>
      <c r="R1028" s="3" t="str">
        <f>HYPERLINK("https://panda.att.com.mx/ODKServer/view/binaryData?blobKey=FSSuministroFluidosv3%5B%40version%3Dnull+and+%40uiVersion%3Dnull%5D%2Fdata%5B%40key%3Duuid%3A2d5a1d62-26c4-4190-9ae4-beb384769ae3%5D%2FgroupInfoFuel%5B%40ordinal%3D1%5D%2FpicFuelRecibeInterno","Descargar")</f>
        <v>Descargar</v>
      </c>
    </row>
    <row r="1029" spans="1:18" x14ac:dyDescent="0.3">
      <c r="A1029">
        <v>1588112</v>
      </c>
      <c r="B1029" t="s">
        <v>18</v>
      </c>
      <c r="C1029" t="s">
        <v>59</v>
      </c>
      <c r="D1029" t="s">
        <v>307</v>
      </c>
      <c r="E1029" t="s">
        <v>1499</v>
      </c>
      <c r="F1029" t="s">
        <v>22</v>
      </c>
      <c r="G1029" t="s">
        <v>23</v>
      </c>
      <c r="H1029" t="s">
        <v>37</v>
      </c>
      <c r="I1029" t="s">
        <v>25</v>
      </c>
      <c r="J1029" s="2">
        <v>45868.840902777767</v>
      </c>
      <c r="K1029">
        <v>30</v>
      </c>
      <c r="L1029">
        <v>7</v>
      </c>
      <c r="M1029">
        <v>2025</v>
      </c>
      <c r="N1029" t="s">
        <v>27</v>
      </c>
      <c r="O1029">
        <v>250</v>
      </c>
      <c r="P1029">
        <v>250</v>
      </c>
      <c r="R1029" s="3" t="str">
        <f>HYPERLINK("https://panda.att.com.mx/ODKServer/view/binaryData?blobKey=FSSuministroFluidosv3%5B%40version%3Dnull+and+%40uiVersion%3Dnull%5D%2Fdata%5B%40key%3Duuid%3A8b018e05-c6a1-42e4-94dc-2f3452d916e1%5D%2FgroupInfoFuel%5B%40ordinal%3D1%5D%2FpicFuelRecibeInterno","Descargar")</f>
        <v>Descargar</v>
      </c>
    </row>
    <row r="1030" spans="1:18" x14ac:dyDescent="0.3">
      <c r="A1030">
        <v>1588108</v>
      </c>
      <c r="B1030" t="s">
        <v>18</v>
      </c>
      <c r="C1030" t="s">
        <v>167</v>
      </c>
      <c r="D1030" t="s">
        <v>168</v>
      </c>
      <c r="E1030" t="s">
        <v>1506</v>
      </c>
      <c r="F1030" t="s">
        <v>22</v>
      </c>
      <c r="G1030" t="s">
        <v>23</v>
      </c>
      <c r="H1030" t="s">
        <v>58</v>
      </c>
      <c r="I1030" t="s">
        <v>25</v>
      </c>
      <c r="J1030" s="2">
        <v>45869.441388888888</v>
      </c>
      <c r="K1030">
        <v>31</v>
      </c>
      <c r="L1030">
        <v>7</v>
      </c>
      <c r="M1030">
        <v>2025</v>
      </c>
      <c r="N1030" t="s">
        <v>27</v>
      </c>
      <c r="O1030">
        <v>120</v>
      </c>
      <c r="P1030">
        <v>120</v>
      </c>
      <c r="R1030" s="3" t="str">
        <f>HYPERLINK("https://panda.att.com.mx/ODKServer/view/binaryData?blobKey=FSSuministroFluidosv3%5B%40version%3Dnull+and+%40uiVersion%3Dnull%5D%2Fdata%5B%40key%3Duuid%3A3fcc8cb9-edd8-47b5-b0f1-f14917282280%5D%2FgroupInfoFuel%5B%40ordinal%3D1%5D%2FpicFuelRecibeInterno","Descargar")</f>
        <v>Descargar</v>
      </c>
    </row>
    <row r="1031" spans="1:18" x14ac:dyDescent="0.3">
      <c r="A1031">
        <v>1588085</v>
      </c>
      <c r="B1031" t="s">
        <v>18</v>
      </c>
      <c r="C1031" t="s">
        <v>100</v>
      </c>
      <c r="D1031" t="s">
        <v>101</v>
      </c>
      <c r="E1031" t="s">
        <v>102</v>
      </c>
      <c r="F1031" t="s">
        <v>22</v>
      </c>
      <c r="G1031" t="s">
        <v>83</v>
      </c>
      <c r="H1031" t="s">
        <v>58</v>
      </c>
      <c r="I1031" t="s">
        <v>25</v>
      </c>
      <c r="J1031" s="2">
        <v>45869.417870370373</v>
      </c>
      <c r="K1031">
        <v>31</v>
      </c>
      <c r="L1031">
        <v>7</v>
      </c>
      <c r="M1031">
        <v>2025</v>
      </c>
      <c r="N1031" t="s">
        <v>44</v>
      </c>
      <c r="O1031">
        <v>60</v>
      </c>
      <c r="P1031">
        <v>60</v>
      </c>
      <c r="R1031" s="3" t="str">
        <f>HYPERLINK("https://panda.att.com.mx/ODKServer/view/binaryData?blobKey=FSSuministroFluidosv3%5B%40version%3Dnull+and+%40uiVersion%3Dnull%5D%2Fdata%5B%40key%3Duuid%3A5af29874-5d9a-4c2b-8f02-b605a577d82e%5D%2FgroupInfoFuel%5B%40ordinal%3D1%5D%2FpicFuelRecibeInterno","Descargar")</f>
        <v>Descargar</v>
      </c>
    </row>
    <row r="1032" spans="1:18" x14ac:dyDescent="0.3">
      <c r="A1032">
        <v>1588059</v>
      </c>
      <c r="B1032" t="s">
        <v>18</v>
      </c>
      <c r="C1032" t="s">
        <v>19</v>
      </c>
      <c r="D1032" t="s">
        <v>175</v>
      </c>
      <c r="E1032" t="s">
        <v>1009</v>
      </c>
      <c r="F1032" t="s">
        <v>22</v>
      </c>
      <c r="G1032" t="s">
        <v>23</v>
      </c>
      <c r="H1032" t="s">
        <v>24</v>
      </c>
      <c r="I1032" t="s">
        <v>25</v>
      </c>
      <c r="J1032" s="2">
        <v>45869.382719907408</v>
      </c>
      <c r="K1032">
        <v>31</v>
      </c>
      <c r="L1032">
        <v>7</v>
      </c>
      <c r="M1032">
        <v>2025</v>
      </c>
      <c r="N1032" t="s">
        <v>27</v>
      </c>
      <c r="O1032">
        <v>300</v>
      </c>
      <c r="P1032">
        <v>300</v>
      </c>
      <c r="R1032" s="3" t="str">
        <f>HYPERLINK("https://panda.att.com.mx/ODKServer/view/binaryData?blobKey=FSSuministroFluidosv3%5B%40version%3Dnull+and+%40uiVersion%3Dnull%5D%2Fdata%5B%40key%3Duuid%3A0f2c8bbb-d660-4a02-9317-2d71547ecee9%5D%2FgroupInfoFuel%5B%40ordinal%3D1%5D%2FpicFuelRecibeInterno","Descargar")</f>
        <v>Descargar</v>
      </c>
    </row>
    <row r="1033" spans="1:18" x14ac:dyDescent="0.3">
      <c r="A1033">
        <v>1588054</v>
      </c>
      <c r="B1033" t="s">
        <v>18</v>
      </c>
      <c r="C1033" t="s">
        <v>59</v>
      </c>
      <c r="D1033" t="s">
        <v>636</v>
      </c>
      <c r="E1033" t="s">
        <v>929</v>
      </c>
      <c r="F1033" t="s">
        <v>22</v>
      </c>
      <c r="G1033" t="s">
        <v>23</v>
      </c>
      <c r="H1033" t="s">
        <v>37</v>
      </c>
      <c r="I1033" t="s">
        <v>25</v>
      </c>
      <c r="J1033" s="2">
        <v>45868.46770833333</v>
      </c>
      <c r="K1033">
        <v>30</v>
      </c>
      <c r="L1033">
        <v>7</v>
      </c>
      <c r="M1033">
        <v>2025</v>
      </c>
      <c r="N1033" t="s">
        <v>27</v>
      </c>
      <c r="O1033">
        <v>300</v>
      </c>
      <c r="P1033">
        <v>300</v>
      </c>
      <c r="R1033" s="3" t="str">
        <f>HYPERLINK("https://panda.att.com.mx/ODKServer/view/binaryData?blobKey=FSSuministroFluidosv3%5B%40version%3Dnull+and+%40uiVersion%3Dnull%5D%2Fdata%5B%40key%3Duuid%3Abbb5b276-3181-4c22-8c0c-3c7e5d4c9e39%5D%2FgroupInfoFuel%5B%40ordinal%3D1%5D%2FpicFuelRecibeInterno","Descargar")</f>
        <v>Descargar</v>
      </c>
    </row>
    <row r="1034" spans="1:18" x14ac:dyDescent="0.3">
      <c r="A1034">
        <v>1588028</v>
      </c>
      <c r="B1034" t="s">
        <v>18</v>
      </c>
      <c r="C1034" t="s">
        <v>28</v>
      </c>
      <c r="D1034" t="s">
        <v>66</v>
      </c>
      <c r="E1034" t="s">
        <v>1507</v>
      </c>
      <c r="F1034" t="s">
        <v>22</v>
      </c>
      <c r="G1034" t="s">
        <v>23</v>
      </c>
      <c r="H1034" t="s">
        <v>24</v>
      </c>
      <c r="I1034" t="s">
        <v>25</v>
      </c>
      <c r="J1034" s="2">
        <v>45868.582407407397</v>
      </c>
      <c r="K1034">
        <v>30</v>
      </c>
      <c r="L1034">
        <v>7</v>
      </c>
      <c r="M1034">
        <v>2025</v>
      </c>
      <c r="N1034" t="s">
        <v>27</v>
      </c>
      <c r="O1034">
        <v>400</v>
      </c>
      <c r="P1034">
        <v>400</v>
      </c>
      <c r="R1034" s="3" t="str">
        <f>HYPERLINK("https://panda.att.com.mx/ODKServer/view/binaryData?blobKey=FSSuministroFluidosv3%5B%40version%3Dnull+and+%40uiVersion%3Dnull%5D%2Fdata%5B%40key%3Duuid%3Af7cda3d0-9b61-4650-a6bc-06e9967994eb%5D%2FgroupInfoFuel%5B%40ordinal%3D1%5D%2FpicFuelRecibeInterno","Descargar")</f>
        <v>Descargar</v>
      </c>
    </row>
    <row r="1035" spans="1:18" x14ac:dyDescent="0.3">
      <c r="A1035">
        <v>1587926</v>
      </c>
      <c r="B1035" t="s">
        <v>18</v>
      </c>
      <c r="C1035" t="s">
        <v>19</v>
      </c>
      <c r="D1035" t="s">
        <v>170</v>
      </c>
      <c r="E1035" t="s">
        <v>376</v>
      </c>
      <c r="F1035" t="s">
        <v>22</v>
      </c>
      <c r="G1035" t="s">
        <v>23</v>
      </c>
      <c r="H1035" t="s">
        <v>24</v>
      </c>
      <c r="I1035" t="s">
        <v>25</v>
      </c>
      <c r="J1035" s="2">
        <v>45868.764918981477</v>
      </c>
      <c r="K1035">
        <v>30</v>
      </c>
      <c r="L1035">
        <v>7</v>
      </c>
      <c r="M1035">
        <v>2025</v>
      </c>
      <c r="N1035" t="s">
        <v>27</v>
      </c>
      <c r="O1035">
        <v>300</v>
      </c>
      <c r="P1035">
        <v>300</v>
      </c>
      <c r="R1035" s="3" t="str">
        <f>HYPERLINK("https://panda.att.com.mx/ODKServer/view/binaryData?blobKey=FSSuministroFluidosv3%5B%40version%3Dnull+and+%40uiVersion%3Dnull%5D%2Fdata%5B%40key%3Duuid%3A99338c6b-8bba-4179-b2e5-7b49f17c0e6b%5D%2FgroupInfoFuel%5B%40ordinal%3D1%5D%2FpicFuelRecibeInterno","Descargar")</f>
        <v>Descargar</v>
      </c>
    </row>
    <row r="1036" spans="1:18" x14ac:dyDescent="0.3">
      <c r="A1036">
        <v>1587908</v>
      </c>
      <c r="B1036" t="s">
        <v>18</v>
      </c>
      <c r="C1036" t="s">
        <v>34</v>
      </c>
      <c r="D1036" t="s">
        <v>53</v>
      </c>
      <c r="E1036" t="s">
        <v>1508</v>
      </c>
      <c r="F1036" t="s">
        <v>22</v>
      </c>
      <c r="G1036" t="s">
        <v>23</v>
      </c>
      <c r="H1036" t="s">
        <v>37</v>
      </c>
      <c r="I1036" t="s">
        <v>25</v>
      </c>
      <c r="J1036" s="2">
        <v>45868.827141203707</v>
      </c>
      <c r="K1036">
        <v>30</v>
      </c>
      <c r="L1036">
        <v>7</v>
      </c>
      <c r="M1036">
        <v>2025</v>
      </c>
      <c r="N1036" t="s">
        <v>27</v>
      </c>
      <c r="O1036">
        <v>150</v>
      </c>
      <c r="P1036">
        <v>150</v>
      </c>
      <c r="R1036" s="3" t="str">
        <f>HYPERLINK("https://panda.att.com.mx/ODKServer/view/binaryData?blobKey=FSSuministroFluidosv3%5B%40version%3Dnull+and+%40uiVersion%3Dnull%5D%2Fdata%5B%40key%3Duuid%3Ae58f92ea-c4bb-4016-80e7-1ab948c5b17b%5D%2FgroupInfoFuel%5B%40ordinal%3D1%5D%2FpicFuelRecibeInterno","Descargar")</f>
        <v>Descargar</v>
      </c>
    </row>
    <row r="1037" spans="1:18" x14ac:dyDescent="0.3">
      <c r="A1037">
        <v>1587895</v>
      </c>
      <c r="B1037" t="s">
        <v>18</v>
      </c>
      <c r="C1037" t="s">
        <v>34</v>
      </c>
      <c r="D1037" t="s">
        <v>53</v>
      </c>
      <c r="E1037" t="s">
        <v>457</v>
      </c>
      <c r="F1037" t="s">
        <v>22</v>
      </c>
      <c r="G1037" t="s">
        <v>83</v>
      </c>
      <c r="H1037" t="s">
        <v>390</v>
      </c>
      <c r="I1037" t="s">
        <v>25</v>
      </c>
      <c r="J1037" s="2">
        <v>45867.454375000001</v>
      </c>
      <c r="K1037">
        <v>29</v>
      </c>
      <c r="L1037">
        <v>7</v>
      </c>
      <c r="M1037">
        <v>2025</v>
      </c>
      <c r="N1037" t="s">
        <v>27</v>
      </c>
      <c r="O1037">
        <v>450</v>
      </c>
      <c r="P1037">
        <v>450</v>
      </c>
      <c r="R1037" s="3" t="str">
        <f>HYPERLINK("https://panda.att.com.mx/ODKServer/view/binaryData?blobKey=FSSuministroFluidosv3%5B%40version%3Dnull+and+%40uiVersion%3Dnull%5D%2Fdata%5B%40key%3Duuid%3Ac633f884-f2f5-499c-9e92-5d3baf5363a0%5D%2FgroupInfoFuel%5B%40ordinal%3D1%5D%2FpicFuelRecibeInterno","Descargar")</f>
        <v>Descargar</v>
      </c>
    </row>
    <row r="1038" spans="1:18" x14ac:dyDescent="0.3">
      <c r="A1038">
        <v>1587813</v>
      </c>
      <c r="B1038" t="s">
        <v>18</v>
      </c>
      <c r="C1038" t="s">
        <v>34</v>
      </c>
      <c r="D1038" t="s">
        <v>292</v>
      </c>
      <c r="E1038" t="s">
        <v>293</v>
      </c>
      <c r="F1038" t="s">
        <v>22</v>
      </c>
      <c r="G1038" t="s">
        <v>23</v>
      </c>
      <c r="H1038" t="s">
        <v>37</v>
      </c>
      <c r="I1038" t="s">
        <v>25</v>
      </c>
      <c r="J1038" s="2">
        <v>45868.703842592593</v>
      </c>
      <c r="K1038">
        <v>30</v>
      </c>
      <c r="L1038">
        <v>7</v>
      </c>
      <c r="M1038">
        <v>2025</v>
      </c>
      <c r="N1038" t="s">
        <v>27</v>
      </c>
      <c r="O1038">
        <v>600</v>
      </c>
      <c r="P1038">
        <v>600</v>
      </c>
      <c r="R1038" s="3" t="str">
        <f>HYPERLINK("https://panda.att.com.mx/ODKServer/view/binaryData?blobKey=FSSuministroFluidosv3%5B%40version%3Dnull+and+%40uiVersion%3Dnull%5D%2Fdata%5B%40key%3Duuid%3A23bbade9-a8d0-4a9f-920e-c83fa8f4cc9b%5D%2FgroupInfoFuel%5B%40ordinal%3D1%5D%2FpicFuelRecibeInterno","Descargar")</f>
        <v>Descargar</v>
      </c>
    </row>
    <row r="1039" spans="1:18" x14ac:dyDescent="0.3">
      <c r="A1039">
        <v>1587772</v>
      </c>
      <c r="B1039" t="s">
        <v>18</v>
      </c>
      <c r="C1039" t="s">
        <v>100</v>
      </c>
      <c r="D1039" t="s">
        <v>101</v>
      </c>
      <c r="E1039" t="s">
        <v>126</v>
      </c>
      <c r="F1039" t="s">
        <v>22</v>
      </c>
      <c r="G1039" t="s">
        <v>83</v>
      </c>
      <c r="H1039" t="s">
        <v>58</v>
      </c>
      <c r="I1039" t="s">
        <v>25</v>
      </c>
      <c r="J1039" s="2">
        <v>45868.723402777781</v>
      </c>
      <c r="K1039">
        <v>30</v>
      </c>
      <c r="L1039">
        <v>7</v>
      </c>
      <c r="M1039">
        <v>2025</v>
      </c>
      <c r="N1039" t="s">
        <v>27</v>
      </c>
      <c r="O1039">
        <v>300</v>
      </c>
      <c r="P1039">
        <v>300</v>
      </c>
      <c r="R1039" s="3" t="str">
        <f>HYPERLINK("https://panda.att.com.mx/ODKServer/view/binaryData?blobKey=FSSuministroFluidosv3%5B%40version%3Dnull+and+%40uiVersion%3Dnull%5D%2Fdata%5B%40key%3Duuid%3A31c28094-2b52-4166-90f8-c5edb77b24e4%5D%2FgroupInfoFuel%5B%40ordinal%3D1%5D%2FpicFuelRecibeInterno","Descargar")</f>
        <v>Descargar</v>
      </c>
    </row>
    <row r="1040" spans="1:18" x14ac:dyDescent="0.3">
      <c r="A1040">
        <v>1587771</v>
      </c>
      <c r="B1040" t="s">
        <v>18</v>
      </c>
      <c r="C1040" t="s">
        <v>100</v>
      </c>
      <c r="D1040" t="s">
        <v>101</v>
      </c>
      <c r="E1040" t="s">
        <v>102</v>
      </c>
      <c r="F1040" t="s">
        <v>22</v>
      </c>
      <c r="G1040" t="s">
        <v>83</v>
      </c>
      <c r="H1040" t="s">
        <v>58</v>
      </c>
      <c r="I1040" t="s">
        <v>25</v>
      </c>
      <c r="J1040" s="2">
        <v>45868.5622337963</v>
      </c>
      <c r="K1040">
        <v>30</v>
      </c>
      <c r="L1040">
        <v>7</v>
      </c>
      <c r="M1040">
        <v>2025</v>
      </c>
      <c r="N1040" t="s">
        <v>44</v>
      </c>
      <c r="O1040">
        <v>50</v>
      </c>
      <c r="P1040">
        <v>50</v>
      </c>
      <c r="R1040" s="3" t="str">
        <f>HYPERLINK("https://panda.att.com.mx/ODKServer/view/binaryData?blobKey=FSSuministroFluidosv3%5B%40version%3Dnull+and+%40uiVersion%3Dnull%5D%2Fdata%5B%40key%3Duuid%3A3dfcd27b-3efa-47a0-98a3-88917112bf9c%5D%2FgroupInfoFuel%5B%40ordinal%3D1%5D%2FpicFuelRecibeInterno","Descargar")</f>
        <v>Descargar</v>
      </c>
    </row>
    <row r="1041" spans="1:18" x14ac:dyDescent="0.3">
      <c r="A1041">
        <v>1587770</v>
      </c>
      <c r="B1041" t="s">
        <v>18</v>
      </c>
      <c r="C1041" t="s">
        <v>100</v>
      </c>
      <c r="D1041" t="s">
        <v>101</v>
      </c>
      <c r="E1041" t="s">
        <v>102</v>
      </c>
      <c r="F1041" t="s">
        <v>22</v>
      </c>
      <c r="G1041" t="s">
        <v>83</v>
      </c>
      <c r="H1041" t="s">
        <v>58</v>
      </c>
      <c r="I1041" t="s">
        <v>25</v>
      </c>
      <c r="J1041" s="2">
        <v>45867.819074074083</v>
      </c>
      <c r="K1041">
        <v>29</v>
      </c>
      <c r="L1041">
        <v>7</v>
      </c>
      <c r="M1041">
        <v>2025</v>
      </c>
      <c r="N1041" t="s">
        <v>44</v>
      </c>
      <c r="O1041">
        <v>40</v>
      </c>
      <c r="P1041">
        <v>40</v>
      </c>
      <c r="R1041" s="3" t="str">
        <f>HYPERLINK("https://panda.att.com.mx/ODKServer/view/binaryData?blobKey=FSSuministroFluidosv3%5B%40version%3Dnull+and+%40uiVersion%3Dnull%5D%2Fdata%5B%40key%3Duuid%3Aa97a6df9-7562-42c8-98a2-ead8856f3750%5D%2FgroupInfoFuel%5B%40ordinal%3D1%5D%2FpicFuelRecibeInterno","Descargar")</f>
        <v>Descargar</v>
      </c>
    </row>
    <row r="1042" spans="1:18" x14ac:dyDescent="0.3">
      <c r="A1042">
        <v>1587733</v>
      </c>
      <c r="B1042" t="s">
        <v>18</v>
      </c>
      <c r="C1042" t="s">
        <v>150</v>
      </c>
      <c r="D1042" t="s">
        <v>230</v>
      </c>
      <c r="E1042" t="s">
        <v>1509</v>
      </c>
      <c r="F1042" t="s">
        <v>22</v>
      </c>
      <c r="G1042" t="s">
        <v>23</v>
      </c>
      <c r="H1042" t="s">
        <v>58</v>
      </c>
      <c r="I1042" t="s">
        <v>25</v>
      </c>
      <c r="J1042" s="2">
        <v>45868.613796296297</v>
      </c>
      <c r="K1042">
        <v>30</v>
      </c>
      <c r="L1042">
        <v>7</v>
      </c>
      <c r="M1042">
        <v>2025</v>
      </c>
      <c r="N1042" t="s">
        <v>27</v>
      </c>
      <c r="O1042">
        <v>150</v>
      </c>
      <c r="P1042">
        <v>150</v>
      </c>
      <c r="R1042" s="3" t="str">
        <f>HYPERLINK("https://panda.att.com.mx/ODKServer/view/binaryData?blobKey=FSSuministroFluidosv3%5B%40version%3Dnull+and+%40uiVersion%3Dnull%5D%2Fdata%5B%40key%3Duuid%3Ad93da3b6-e618-4b23-bb24-9150f6d2a131%5D%2FgroupInfoFuel%5B%40ordinal%3D1%5D%2FpicFuelRecibeInterno","Descargar")</f>
        <v>Descargar</v>
      </c>
    </row>
    <row r="1043" spans="1:18" x14ac:dyDescent="0.3">
      <c r="A1043">
        <v>1587732</v>
      </c>
      <c r="B1043" t="s">
        <v>18</v>
      </c>
      <c r="C1043" t="s">
        <v>150</v>
      </c>
      <c r="D1043" t="s">
        <v>230</v>
      </c>
      <c r="E1043" t="s">
        <v>1510</v>
      </c>
      <c r="F1043" t="s">
        <v>22</v>
      </c>
      <c r="G1043" t="s">
        <v>23</v>
      </c>
      <c r="H1043" t="s">
        <v>58</v>
      </c>
      <c r="I1043" t="s">
        <v>25</v>
      </c>
      <c r="J1043" s="2">
        <v>45868.590104166673</v>
      </c>
      <c r="K1043">
        <v>30</v>
      </c>
      <c r="L1043">
        <v>7</v>
      </c>
      <c r="M1043">
        <v>2025</v>
      </c>
      <c r="N1043" t="s">
        <v>27</v>
      </c>
      <c r="O1043">
        <v>300</v>
      </c>
      <c r="P1043">
        <v>300</v>
      </c>
      <c r="R1043" s="3" t="str">
        <f>HYPERLINK("https://panda.att.com.mx/ODKServer/view/binaryData?blobKey=FSSuministroFluidosv3%5B%40version%3Dnull+and+%40uiVersion%3Dnull%5D%2Fdata%5B%40key%3Duuid%3Acc864c89-ee0a-4f5c-824e-b223686f3ee5%5D%2FgroupInfoFuel%5B%40ordinal%3D1%5D%2FpicFuelRecibeInterno","Descargar")</f>
        <v>Descargar</v>
      </c>
    </row>
    <row r="1044" spans="1:18" x14ac:dyDescent="0.3">
      <c r="A1044">
        <v>1587700</v>
      </c>
      <c r="B1044" t="s">
        <v>18</v>
      </c>
      <c r="C1044" t="s">
        <v>34</v>
      </c>
      <c r="D1044" t="s">
        <v>187</v>
      </c>
      <c r="E1044" t="s">
        <v>742</v>
      </c>
      <c r="F1044" t="s">
        <v>22</v>
      </c>
      <c r="G1044" t="s">
        <v>23</v>
      </c>
      <c r="H1044" t="s">
        <v>24</v>
      </c>
      <c r="I1044" t="s">
        <v>25</v>
      </c>
      <c r="J1044" s="2">
        <v>45867.753877314812</v>
      </c>
      <c r="K1044">
        <v>29</v>
      </c>
      <c r="L1044">
        <v>7</v>
      </c>
      <c r="M1044">
        <v>2025</v>
      </c>
      <c r="N1044" t="s">
        <v>44</v>
      </c>
      <c r="O1044">
        <v>40</v>
      </c>
      <c r="P1044">
        <v>40</v>
      </c>
      <c r="R1044" s="3" t="str">
        <f>HYPERLINK("https://panda.att.com.mx/ODKServer/view/binaryData?blobKey=FSSuministroFluidosv3%5B%40version%3Dnull+and+%40uiVersion%3Dnull%5D%2Fdata%5B%40key%3Duuid%3A59feb454-d6b9-4959-b866-537153002316%5D%2FgroupInfoFuel%5B%40ordinal%3D1%5D%2FpicFuelRecibeInterno","Descargar")</f>
        <v>Descargar</v>
      </c>
    </row>
    <row r="1045" spans="1:18" x14ac:dyDescent="0.3">
      <c r="A1045">
        <v>1587564</v>
      </c>
      <c r="B1045" t="s">
        <v>18</v>
      </c>
      <c r="C1045" t="s">
        <v>59</v>
      </c>
      <c r="D1045" t="s">
        <v>597</v>
      </c>
      <c r="E1045" t="s">
        <v>1459</v>
      </c>
      <c r="F1045" t="s">
        <v>22</v>
      </c>
      <c r="G1045" t="s">
        <v>23</v>
      </c>
      <c r="H1045" t="s">
        <v>37</v>
      </c>
      <c r="I1045" t="s">
        <v>84</v>
      </c>
      <c r="J1045" s="2">
        <v>45868.385601851849</v>
      </c>
      <c r="K1045">
        <v>30</v>
      </c>
      <c r="L1045">
        <v>7</v>
      </c>
      <c r="M1045">
        <v>2025</v>
      </c>
      <c r="N1045" t="s">
        <v>27</v>
      </c>
      <c r="O1045">
        <v>350</v>
      </c>
      <c r="P1045">
        <v>350</v>
      </c>
      <c r="R1045" s="3" t="str">
        <f>HYPERLINK("https://panda.att.com.mx/ODKServer/view/binaryData?blobKey=FSSuministroFluidosv3%5B%40version%3Dnull+and+%40uiVersion%3Dnull%5D%2Fdata%5B%40key%3Duuid%3A630844d6-a21a-43a7-a8c9-21c22b1c9e1b%5D%2FgroupInfoFuel%5B%40ordinal%3D1%5D%2FpicFuelRecibeInterno","Descargar")</f>
        <v>Descargar</v>
      </c>
    </row>
    <row r="1046" spans="1:18" x14ac:dyDescent="0.3">
      <c r="A1046">
        <v>1587516</v>
      </c>
      <c r="B1046" t="s">
        <v>18</v>
      </c>
      <c r="C1046" t="s">
        <v>59</v>
      </c>
      <c r="D1046" t="s">
        <v>233</v>
      </c>
      <c r="E1046" t="s">
        <v>1511</v>
      </c>
      <c r="F1046" t="s">
        <v>22</v>
      </c>
      <c r="G1046" t="s">
        <v>23</v>
      </c>
      <c r="H1046" t="s">
        <v>37</v>
      </c>
      <c r="I1046" t="s">
        <v>25</v>
      </c>
      <c r="J1046" s="2">
        <v>45866.683321759258</v>
      </c>
      <c r="K1046">
        <v>28</v>
      </c>
      <c r="L1046">
        <v>7</v>
      </c>
      <c r="M1046">
        <v>2025</v>
      </c>
      <c r="N1046" t="s">
        <v>27</v>
      </c>
      <c r="O1046">
        <v>300</v>
      </c>
      <c r="P1046">
        <v>300</v>
      </c>
      <c r="R1046" s="3" t="str">
        <f>HYPERLINK("https://panda.att.com.mx/ODKServer/view/binaryData?blobKey=FSSuministroFluidosv3%5B%40version%3Dnull+and+%40uiVersion%3Dnull%5D%2Fdata%5B%40key%3Duuid%3Acfbc23f1-f368-401f-8d10-67e589060d36%5D%2FgroupInfoFuel%5B%40ordinal%3D1%5D%2FpicFuelRecibeInterno","Descargar")</f>
        <v>Descargar</v>
      </c>
    </row>
    <row r="1047" spans="1:18" x14ac:dyDescent="0.3">
      <c r="A1047">
        <v>1587403</v>
      </c>
      <c r="B1047" t="s">
        <v>18</v>
      </c>
      <c r="C1047" t="s">
        <v>150</v>
      </c>
      <c r="D1047" t="s">
        <v>151</v>
      </c>
      <c r="E1047" t="s">
        <v>1512</v>
      </c>
      <c r="F1047" t="s">
        <v>22</v>
      </c>
      <c r="G1047" t="s">
        <v>23</v>
      </c>
      <c r="H1047" t="s">
        <v>58</v>
      </c>
      <c r="I1047" t="s">
        <v>25</v>
      </c>
      <c r="J1047" s="2">
        <v>45868.488483796304</v>
      </c>
      <c r="K1047">
        <v>30</v>
      </c>
      <c r="L1047">
        <v>7</v>
      </c>
      <c r="M1047">
        <v>2025</v>
      </c>
      <c r="N1047" t="s">
        <v>27</v>
      </c>
      <c r="O1047">
        <v>84.23</v>
      </c>
      <c r="P1047">
        <v>84.23</v>
      </c>
      <c r="R1047" s="3" t="str">
        <f>HYPERLINK("https://panda.att.com.mx/ODKServer/view/binaryData?blobKey=FSSuministroFluidosv3%5B%40version%3Dnull+and+%40uiVersion%3Dnull%5D%2Fdata%5B%40key%3Duuid%3Ab35f51d3-be6e-4766-90e8-1f9041e4bd1d%5D%2FgroupInfoFuel%5B%40ordinal%3D1%5D%2FpicFuelRecibeInterno","Descargar")</f>
        <v>Descargar</v>
      </c>
    </row>
    <row r="1048" spans="1:18" x14ac:dyDescent="0.3">
      <c r="A1048">
        <v>1587335</v>
      </c>
      <c r="B1048" t="s">
        <v>18</v>
      </c>
      <c r="C1048" t="s">
        <v>34</v>
      </c>
      <c r="D1048" t="s">
        <v>53</v>
      </c>
      <c r="E1048" t="s">
        <v>649</v>
      </c>
      <c r="F1048" t="s">
        <v>22</v>
      </c>
      <c r="G1048" t="s">
        <v>23</v>
      </c>
      <c r="H1048" t="s">
        <v>37</v>
      </c>
      <c r="I1048" t="s">
        <v>25</v>
      </c>
      <c r="J1048" s="2">
        <v>45868.427557870367</v>
      </c>
      <c r="K1048">
        <v>30</v>
      </c>
      <c r="L1048">
        <v>7</v>
      </c>
      <c r="M1048">
        <v>2025</v>
      </c>
      <c r="N1048" t="s">
        <v>27</v>
      </c>
      <c r="O1048">
        <v>200</v>
      </c>
      <c r="P1048">
        <v>200</v>
      </c>
      <c r="R1048" s="3" t="str">
        <f>HYPERLINK("https://panda.att.com.mx/ODKServer/view/binaryData?blobKey=FSSuministroFluidosv3%5B%40version%3Dnull+and+%40uiVersion%3Dnull%5D%2Fdata%5B%40key%3Duuid%3Ac597c474-e0c4-4810-8e50-1c964d5a9b11%5D%2FgroupInfoFuel%5B%40ordinal%3D1%5D%2FpicFuelRecibeInterno","Descargar")</f>
        <v>Descargar</v>
      </c>
    </row>
    <row r="1049" spans="1:18" x14ac:dyDescent="0.3">
      <c r="A1049">
        <v>1587263</v>
      </c>
      <c r="B1049" t="s">
        <v>18</v>
      </c>
      <c r="C1049" t="s">
        <v>59</v>
      </c>
      <c r="D1049" t="s">
        <v>1242</v>
      </c>
      <c r="E1049" t="s">
        <v>1513</v>
      </c>
      <c r="F1049" t="s">
        <v>22</v>
      </c>
      <c r="G1049" t="s">
        <v>23</v>
      </c>
      <c r="H1049" t="s">
        <v>37</v>
      </c>
      <c r="I1049" t="s">
        <v>25</v>
      </c>
      <c r="J1049" s="2">
        <v>45868.340138888889</v>
      </c>
      <c r="K1049">
        <v>30</v>
      </c>
      <c r="L1049">
        <v>7</v>
      </c>
      <c r="M1049">
        <v>2025</v>
      </c>
      <c r="N1049" t="s">
        <v>27</v>
      </c>
      <c r="O1049">
        <v>350</v>
      </c>
      <c r="P1049">
        <v>350</v>
      </c>
      <c r="R1049" s="3" t="str">
        <f>HYPERLINK("https://panda.att.com.mx/ODKServer/view/binaryData?blobKey=FSSuministroFluidosv3%5B%40version%3Dnull+and+%40uiVersion%3Dnull%5D%2Fdata%5B%40key%3Duuid%3A65fe53ed-df6a-4f2c-acb7-f94bd7300fb0%5D%2FgroupInfoFuel%5B%40ordinal%3D1%5D%2FpicFuelRecibeInterno","Descargar")</f>
        <v>Descargar</v>
      </c>
    </row>
    <row r="1050" spans="1:18" x14ac:dyDescent="0.3">
      <c r="A1050">
        <v>1587248</v>
      </c>
      <c r="B1050" t="s">
        <v>18</v>
      </c>
      <c r="C1050" t="s">
        <v>55</v>
      </c>
      <c r="D1050" t="s">
        <v>64</v>
      </c>
      <c r="E1050" t="s">
        <v>798</v>
      </c>
      <c r="F1050" t="s">
        <v>22</v>
      </c>
      <c r="G1050" t="s">
        <v>23</v>
      </c>
      <c r="H1050" t="s">
        <v>58</v>
      </c>
      <c r="I1050" t="s">
        <v>25</v>
      </c>
      <c r="J1050" s="2">
        <v>45868.407766203702</v>
      </c>
      <c r="K1050">
        <v>30</v>
      </c>
      <c r="L1050">
        <v>7</v>
      </c>
      <c r="M1050">
        <v>2025</v>
      </c>
      <c r="N1050" t="s">
        <v>27</v>
      </c>
      <c r="O1050">
        <v>200</v>
      </c>
      <c r="P1050">
        <v>200</v>
      </c>
      <c r="R1050" s="3" t="str">
        <f>HYPERLINK("https://panda.att.com.mx/ODKServer/view/binaryData?blobKey=FSSuministroFluidosv3%5B%40version%3Dnull+and+%40uiVersion%3Dnull%5D%2Fdata%5B%40key%3Duuid%3A7a33e764-9230-4e9f-9ff7-634c984f84d2%5D%2FgroupInfoFuel%5B%40ordinal%3D1%5D%2FpicFuelRecibeInterno","Descargar")</f>
        <v>Descargar</v>
      </c>
    </row>
    <row r="1051" spans="1:18" x14ac:dyDescent="0.3">
      <c r="A1051">
        <v>1587234</v>
      </c>
      <c r="B1051" t="s">
        <v>18</v>
      </c>
      <c r="C1051" t="s">
        <v>100</v>
      </c>
      <c r="D1051" t="s">
        <v>716</v>
      </c>
      <c r="E1051" t="s">
        <v>717</v>
      </c>
      <c r="F1051" t="s">
        <v>22</v>
      </c>
      <c r="G1051" t="s">
        <v>83</v>
      </c>
      <c r="H1051" t="s">
        <v>58</v>
      </c>
      <c r="I1051" t="s">
        <v>25</v>
      </c>
      <c r="J1051" s="2">
        <v>45868.39203703704</v>
      </c>
      <c r="K1051">
        <v>30</v>
      </c>
      <c r="L1051">
        <v>7</v>
      </c>
      <c r="M1051">
        <v>2025</v>
      </c>
      <c r="N1051" t="s">
        <v>27</v>
      </c>
      <c r="O1051">
        <v>130</v>
      </c>
      <c r="P1051">
        <v>130</v>
      </c>
      <c r="R1051" s="3" t="str">
        <f>HYPERLINK("https://panda.att.com.mx/ODKServer/view/binaryData?blobKey=FSSuministroFluidosv3%5B%40version%3Dnull+and+%40uiVersion%3Dnull%5D%2Fdata%5B%40key%3Duuid%3A2c38e315-043b-47cf-8710-76ce07ed3a91%5D%2FgroupInfoFuel%5B%40ordinal%3D1%5D%2FpicFuelRecibeInterno","Descargar")</f>
        <v>Descargar</v>
      </c>
    </row>
    <row r="1052" spans="1:18" x14ac:dyDescent="0.3">
      <c r="A1052">
        <v>1587233</v>
      </c>
      <c r="B1052" t="s">
        <v>18</v>
      </c>
      <c r="C1052" t="s">
        <v>68</v>
      </c>
      <c r="D1052" t="s">
        <v>1514</v>
      </c>
      <c r="E1052" t="s">
        <v>1515</v>
      </c>
      <c r="F1052" t="s">
        <v>22</v>
      </c>
      <c r="G1052" t="s">
        <v>23</v>
      </c>
      <c r="H1052" t="s">
        <v>58</v>
      </c>
      <c r="I1052" t="s">
        <v>25</v>
      </c>
      <c r="J1052" s="2">
        <v>45868.372974537036</v>
      </c>
      <c r="K1052">
        <v>30</v>
      </c>
      <c r="L1052">
        <v>7</v>
      </c>
      <c r="M1052">
        <v>2025</v>
      </c>
      <c r="N1052" t="s">
        <v>27</v>
      </c>
      <c r="O1052">
        <v>150</v>
      </c>
      <c r="P1052">
        <v>150</v>
      </c>
      <c r="R1052" s="3" t="str">
        <f>HYPERLINK("https://panda.att.com.mx/ODKServer/view/binaryData?blobKey=FSSuministroFluidosv3%5B%40version%3Dnull+and+%40uiVersion%3Dnull%5D%2Fdata%5B%40key%3Duuid%3Ad6b4b424-05d5-4e4b-b07d-7f88bae2b207%5D%2FgroupInfoFuel%5B%40ordinal%3D1%5D%2FpicFuelRecibeInterno","Descargar")</f>
        <v>Descargar</v>
      </c>
    </row>
    <row r="1053" spans="1:18" x14ac:dyDescent="0.3">
      <c r="A1053">
        <v>1587204</v>
      </c>
      <c r="B1053" t="s">
        <v>18</v>
      </c>
      <c r="C1053" t="s">
        <v>55</v>
      </c>
      <c r="D1053" t="s">
        <v>56</v>
      </c>
      <c r="E1053" t="s">
        <v>320</v>
      </c>
      <c r="F1053" t="s">
        <v>22</v>
      </c>
      <c r="G1053" t="s">
        <v>23</v>
      </c>
      <c r="H1053" t="s">
        <v>58</v>
      </c>
      <c r="I1053" t="s">
        <v>25</v>
      </c>
      <c r="J1053" s="2">
        <v>45867.386145833327</v>
      </c>
      <c r="K1053">
        <v>29</v>
      </c>
      <c r="L1053">
        <v>7</v>
      </c>
      <c r="M1053">
        <v>2025</v>
      </c>
      <c r="N1053" t="s">
        <v>27</v>
      </c>
      <c r="O1053">
        <v>300</v>
      </c>
      <c r="P1053">
        <v>300</v>
      </c>
      <c r="R1053" s="3" t="str">
        <f>HYPERLINK("https://panda.att.com.mx/ODKServer/view/binaryData?blobKey=FSSuministroFluidosv3%5B%40version%3Dnull+and+%40uiVersion%3Dnull%5D%2Fdata%5B%40key%3Duuid%3A470db698-07ea-4637-917e-9d57d42ba974%5D%2FgroupInfoFuel%5B%40ordinal%3D1%5D%2FpicFuelRecibeInterno","Descargar")</f>
        <v>Descargar</v>
      </c>
    </row>
    <row r="1054" spans="1:18" x14ac:dyDescent="0.3">
      <c r="A1054">
        <v>1587203</v>
      </c>
      <c r="B1054" t="s">
        <v>18</v>
      </c>
      <c r="C1054" t="s">
        <v>55</v>
      </c>
      <c r="D1054" t="s">
        <v>56</v>
      </c>
      <c r="E1054" t="s">
        <v>81</v>
      </c>
      <c r="F1054" t="s">
        <v>22</v>
      </c>
      <c r="G1054" t="s">
        <v>23</v>
      </c>
      <c r="H1054" t="s">
        <v>58</v>
      </c>
      <c r="I1054" t="s">
        <v>25</v>
      </c>
      <c r="J1054" s="2">
        <v>45867.461377314823</v>
      </c>
      <c r="K1054">
        <v>29</v>
      </c>
      <c r="L1054">
        <v>7</v>
      </c>
      <c r="M1054">
        <v>2025</v>
      </c>
      <c r="N1054" t="s">
        <v>27</v>
      </c>
      <c r="O1054">
        <v>300</v>
      </c>
      <c r="P1054">
        <v>300</v>
      </c>
      <c r="R1054" s="3" t="str">
        <f>HYPERLINK("https://panda.att.com.mx/ODKServer/view/binaryData?blobKey=FSSuministroFluidosv3%5B%40version%3Dnull+and+%40uiVersion%3Dnull%5D%2Fdata%5B%40key%3Duuid%3A7e4dbf5b-f828-4728-bc62-7f7c893945ca%5D%2FgroupInfoFuel%5B%40ordinal%3D1%5D%2FpicFuelRecibeInterno","Descargar")</f>
        <v>Descargar</v>
      </c>
    </row>
    <row r="1055" spans="1:18" x14ac:dyDescent="0.3">
      <c r="A1055">
        <v>1587201</v>
      </c>
      <c r="B1055" t="s">
        <v>18</v>
      </c>
      <c r="C1055" t="s">
        <v>55</v>
      </c>
      <c r="D1055" t="s">
        <v>56</v>
      </c>
      <c r="E1055" t="s">
        <v>1516</v>
      </c>
      <c r="F1055" t="s">
        <v>22</v>
      </c>
      <c r="G1055" t="s">
        <v>23</v>
      </c>
      <c r="H1055" t="s">
        <v>58</v>
      </c>
      <c r="I1055" t="s">
        <v>25</v>
      </c>
      <c r="J1055" s="2">
        <v>45867.660254629627</v>
      </c>
      <c r="K1055">
        <v>29</v>
      </c>
      <c r="L1055">
        <v>7</v>
      </c>
      <c r="M1055">
        <v>2025</v>
      </c>
      <c r="N1055" t="s">
        <v>27</v>
      </c>
      <c r="O1055">
        <v>100</v>
      </c>
      <c r="P1055">
        <v>100</v>
      </c>
      <c r="R1055" s="3" t="str">
        <f>HYPERLINK("https://panda.att.com.mx/ODKServer/view/binaryData?blobKey=FSSuministroFluidosv3%5B%40version%3Dnull+and+%40uiVersion%3Dnull%5D%2Fdata%5B%40key%3Duuid%3Ad1681528-37c2-4805-be59-148581489141%5D%2FgroupInfoFuel%5B%40ordinal%3D1%5D%2FpicFuelRecibeInterno","Descargar")</f>
        <v>Descargar</v>
      </c>
    </row>
    <row r="1056" spans="1:18" x14ac:dyDescent="0.3">
      <c r="A1056">
        <v>1587197</v>
      </c>
      <c r="B1056" t="s">
        <v>18</v>
      </c>
      <c r="C1056" t="s">
        <v>55</v>
      </c>
      <c r="D1056" t="s">
        <v>56</v>
      </c>
      <c r="E1056" t="s">
        <v>1517</v>
      </c>
      <c r="F1056" t="s">
        <v>22</v>
      </c>
      <c r="G1056" t="s">
        <v>83</v>
      </c>
      <c r="H1056" t="s">
        <v>58</v>
      </c>
      <c r="I1056" t="s">
        <v>25</v>
      </c>
      <c r="J1056" s="2">
        <v>45867.767546296287</v>
      </c>
      <c r="K1056">
        <v>29</v>
      </c>
      <c r="L1056">
        <v>7</v>
      </c>
      <c r="M1056">
        <v>2025</v>
      </c>
      <c r="N1056" t="s">
        <v>27</v>
      </c>
      <c r="O1056">
        <v>100</v>
      </c>
      <c r="P1056">
        <v>100</v>
      </c>
      <c r="R1056" s="3" t="str">
        <f>HYPERLINK("https://panda.att.com.mx/ODKServer/view/binaryData?blobKey=FSSuministroFluidosv3%5B%40version%3Dnull+and+%40uiVersion%3Dnull%5D%2Fdata%5B%40key%3Duuid%3A9f1d42e4-5c5f-48f0-98f8-60935062da23%5D%2FgroupInfoFuel%5B%40ordinal%3D1%5D%2FpicFuelRecibeInterno","Descargar")</f>
        <v>Descargar</v>
      </c>
    </row>
    <row r="1057" spans="1:18" x14ac:dyDescent="0.3">
      <c r="A1057">
        <v>1587144</v>
      </c>
      <c r="B1057" t="s">
        <v>18</v>
      </c>
      <c r="C1057" t="s">
        <v>59</v>
      </c>
      <c r="D1057" t="s">
        <v>60</v>
      </c>
      <c r="E1057" t="s">
        <v>1518</v>
      </c>
      <c r="F1057" t="s">
        <v>22</v>
      </c>
      <c r="G1057" t="s">
        <v>23</v>
      </c>
      <c r="H1057" t="s">
        <v>37</v>
      </c>
      <c r="I1057" t="s">
        <v>25</v>
      </c>
      <c r="J1057" s="2">
        <v>45859.957754629628</v>
      </c>
      <c r="K1057">
        <v>21</v>
      </c>
      <c r="L1057">
        <v>7</v>
      </c>
      <c r="M1057">
        <v>2025</v>
      </c>
      <c r="N1057" t="s">
        <v>27</v>
      </c>
      <c r="O1057">
        <v>100</v>
      </c>
      <c r="P1057">
        <v>100</v>
      </c>
      <c r="R1057" s="3" t="str">
        <f>HYPERLINK("https://panda.att.com.mx/ODKServer/view/binaryData?blobKey=FSSuministroFluidosv3%5B%40version%3Dnull+and+%40uiVersion%3Dnull%5D%2Fdata%5B%40key%3Duuid%3A0d897f64-0b3a-4da9-8a88-950aa999b9eb%5D%2FgroupInfoFuel%5B%40ordinal%3D1%5D%2FpicFuelRecibeInterno","Descargar")</f>
        <v>Descargar</v>
      </c>
    </row>
    <row r="1058" spans="1:18" x14ac:dyDescent="0.3">
      <c r="A1058">
        <v>1587132</v>
      </c>
      <c r="B1058" t="s">
        <v>18</v>
      </c>
      <c r="C1058" t="s">
        <v>59</v>
      </c>
      <c r="D1058" t="s">
        <v>60</v>
      </c>
      <c r="E1058" t="s">
        <v>1519</v>
      </c>
      <c r="F1058" t="s">
        <v>22</v>
      </c>
      <c r="G1058" t="s">
        <v>23</v>
      </c>
      <c r="H1058" t="s">
        <v>37</v>
      </c>
      <c r="I1058" t="s">
        <v>25</v>
      </c>
      <c r="J1058" s="2">
        <v>45867.875787037039</v>
      </c>
      <c r="K1058">
        <v>29</v>
      </c>
      <c r="L1058">
        <v>7</v>
      </c>
      <c r="M1058">
        <v>2025</v>
      </c>
      <c r="N1058" t="s">
        <v>27</v>
      </c>
      <c r="O1058">
        <v>200</v>
      </c>
      <c r="Q1058">
        <v>200</v>
      </c>
      <c r="R1058" s="3" t="str">
        <f>HYPERLINK("https://panda.att.com.mx/ODKServer/view/binaryData?blobKey=FSSuministroFluidosv3%5B%40version%3Dnull+and+%40uiVersion%3Dnull%5D%2Fdata%5B%40key%3Duuid%3A130112be-8264-473a-b0e3-17c3fccf6729%5D%2FgroupInfoFuel%5B%40ordinal%3D1%5D%2FpicFuelRecibeInterno","Descargar")</f>
        <v>Descargar</v>
      </c>
    </row>
    <row r="1059" spans="1:18" x14ac:dyDescent="0.3">
      <c r="A1059">
        <v>1587103</v>
      </c>
      <c r="B1059" t="s">
        <v>18</v>
      </c>
      <c r="C1059" t="s">
        <v>19</v>
      </c>
      <c r="D1059" t="s">
        <v>189</v>
      </c>
      <c r="E1059" t="s">
        <v>237</v>
      </c>
      <c r="F1059" t="s">
        <v>22</v>
      </c>
      <c r="G1059" t="s">
        <v>23</v>
      </c>
      <c r="H1059" t="s">
        <v>24</v>
      </c>
      <c r="I1059" t="s">
        <v>25</v>
      </c>
      <c r="J1059" s="2">
        <v>45847.437557870369</v>
      </c>
      <c r="K1059">
        <v>9</v>
      </c>
      <c r="L1059">
        <v>7</v>
      </c>
      <c r="M1059">
        <v>2025</v>
      </c>
      <c r="N1059" t="s">
        <v>27</v>
      </c>
      <c r="O1059">
        <v>200</v>
      </c>
      <c r="P1059">
        <v>200</v>
      </c>
      <c r="R1059" s="3" t="str">
        <f>HYPERLINK("https://panda.att.com.mx/ODKServer/view/binaryData?blobKey=FSSuministroFluidosv3%5B%40version%3Dnull+and+%40uiVersion%3Dnull%5D%2Fdata%5B%40key%3Duuid%3A93948061-956a-46c0-afff-665ad10628e3%5D%2FgroupInfoFuel%5B%40ordinal%3D1%5D%2FpicFuelRecibeInterno","Descargar")</f>
        <v>Descargar</v>
      </c>
    </row>
    <row r="1060" spans="1:18" x14ac:dyDescent="0.3">
      <c r="A1060">
        <v>1587102</v>
      </c>
      <c r="B1060" t="s">
        <v>18</v>
      </c>
      <c r="C1060" t="s">
        <v>19</v>
      </c>
      <c r="D1060" t="s">
        <v>189</v>
      </c>
      <c r="E1060" t="s">
        <v>237</v>
      </c>
      <c r="F1060" t="s">
        <v>22</v>
      </c>
      <c r="G1060" t="s">
        <v>23</v>
      </c>
      <c r="H1060" t="s">
        <v>24</v>
      </c>
      <c r="I1060" t="s">
        <v>25</v>
      </c>
      <c r="J1060" s="2">
        <v>45846.333090277767</v>
      </c>
      <c r="K1060">
        <v>8</v>
      </c>
      <c r="L1060">
        <v>7</v>
      </c>
      <c r="M1060">
        <v>2025</v>
      </c>
      <c r="N1060" t="s">
        <v>27</v>
      </c>
      <c r="O1060">
        <v>350</v>
      </c>
      <c r="P1060">
        <v>350</v>
      </c>
      <c r="R1060" s="3" t="str">
        <f>HYPERLINK("https://panda.att.com.mx/ODKServer/view/binaryData?blobKey=FSSuministroFluidosv3%5B%40version%3Dnull+and+%40uiVersion%3Dnull%5D%2Fdata%5B%40key%3Duuid%3Aea0cae19-100b-4d75-ba53-7001917180fd%5D%2FgroupInfoFuel%5B%40ordinal%3D1%5D%2FpicFuelRecibeInterno","Descargar")</f>
        <v>Descargar</v>
      </c>
    </row>
    <row r="1061" spans="1:18" x14ac:dyDescent="0.3">
      <c r="A1061">
        <v>1587091</v>
      </c>
      <c r="B1061" t="s">
        <v>18</v>
      </c>
      <c r="C1061" t="s">
        <v>28</v>
      </c>
      <c r="D1061" t="s">
        <v>66</v>
      </c>
      <c r="E1061" t="s">
        <v>1520</v>
      </c>
      <c r="F1061" t="s">
        <v>22</v>
      </c>
      <c r="G1061" t="s">
        <v>23</v>
      </c>
      <c r="H1061" t="s">
        <v>24</v>
      </c>
      <c r="I1061" t="s">
        <v>25</v>
      </c>
      <c r="J1061" s="2">
        <v>45867.441458333327</v>
      </c>
      <c r="K1061">
        <v>29</v>
      </c>
      <c r="L1061">
        <v>7</v>
      </c>
      <c r="M1061">
        <v>2025</v>
      </c>
      <c r="N1061" t="s">
        <v>44</v>
      </c>
      <c r="O1061">
        <v>30</v>
      </c>
      <c r="Q1061">
        <v>30</v>
      </c>
      <c r="R1061" s="3" t="str">
        <f>HYPERLINK("https://panda.att.com.mx/ODKServer/view/binaryData?blobKey=FSSuministroFluidosv3%5B%40version%3Dnull+and+%40uiVersion%3Dnull%5D%2Fdata%5B%40key%3Duuid%3A1da5fe6d-f994-400a-be8a-39360d6f4bd5%5D%2FgroupInfoFuel%5B%40ordinal%3D1%5D%2FpicFuelRecibeInterno","Descargar")</f>
        <v>Descargar</v>
      </c>
    </row>
    <row r="1062" spans="1:18" x14ac:dyDescent="0.3">
      <c r="A1062">
        <v>1587085</v>
      </c>
      <c r="B1062" t="s">
        <v>18</v>
      </c>
      <c r="C1062" t="s">
        <v>100</v>
      </c>
      <c r="D1062" t="s">
        <v>833</v>
      </c>
      <c r="E1062" t="s">
        <v>1303</v>
      </c>
      <c r="F1062" t="s">
        <v>22</v>
      </c>
      <c r="G1062" t="s">
        <v>83</v>
      </c>
      <c r="H1062" t="s">
        <v>58</v>
      </c>
      <c r="I1062" t="s">
        <v>25</v>
      </c>
      <c r="J1062" s="2">
        <v>45867.872719907413</v>
      </c>
      <c r="K1062">
        <v>29</v>
      </c>
      <c r="L1062">
        <v>7</v>
      </c>
      <c r="M1062">
        <v>2025</v>
      </c>
      <c r="N1062" t="s">
        <v>27</v>
      </c>
      <c r="O1062">
        <v>250</v>
      </c>
      <c r="P1062">
        <v>250</v>
      </c>
      <c r="R1062" s="3" t="str">
        <f>HYPERLINK("https://panda.att.com.mx/ODKServer/view/binaryData?blobKey=FSSuministroFluidosv3%5B%40version%3Dnull+and+%40uiVersion%3Dnull%5D%2Fdata%5B%40key%3Duuid%3A4f2936cd-bd40-4452-9a50-3f22d5eba00e%5D%2FgroupInfoFuel%5B%40ordinal%3D1%5D%2FpicFuelRecibeInterno","Descargar")</f>
        <v>Descargar</v>
      </c>
    </row>
    <row r="1063" spans="1:18" x14ac:dyDescent="0.3">
      <c r="A1063">
        <v>1587078</v>
      </c>
      <c r="B1063" t="s">
        <v>18</v>
      </c>
      <c r="C1063" t="s">
        <v>59</v>
      </c>
      <c r="D1063" t="s">
        <v>574</v>
      </c>
      <c r="E1063" t="s">
        <v>1521</v>
      </c>
      <c r="F1063" t="s">
        <v>22</v>
      </c>
      <c r="G1063" t="s">
        <v>23</v>
      </c>
      <c r="H1063" t="s">
        <v>37</v>
      </c>
      <c r="I1063" t="s">
        <v>25</v>
      </c>
      <c r="J1063" s="2">
        <v>45867.827847222223</v>
      </c>
      <c r="K1063">
        <v>29</v>
      </c>
      <c r="L1063">
        <v>7</v>
      </c>
      <c r="M1063">
        <v>2025</v>
      </c>
      <c r="N1063" t="s">
        <v>27</v>
      </c>
      <c r="O1063">
        <v>300</v>
      </c>
      <c r="P1063">
        <v>300</v>
      </c>
      <c r="R1063" s="3" t="str">
        <f>HYPERLINK("https://panda.att.com.mx/ODKServer/view/binaryData?blobKey=FSSuministroFluidosv3%5B%40version%3Dnull+and+%40uiVersion%3Dnull%5D%2Fdata%5B%40key%3Duuid%3A53a35f86-730f-40a3-b532-8b06e6e7918a%5D%2FgroupInfoFuel%5B%40ordinal%3D1%5D%2FpicFuelRecibeInterno","Descargar")</f>
        <v>Descargar</v>
      </c>
    </row>
    <row r="1064" spans="1:18" x14ac:dyDescent="0.3">
      <c r="A1064">
        <v>1587067</v>
      </c>
      <c r="B1064" t="s">
        <v>18</v>
      </c>
      <c r="C1064" t="s">
        <v>183</v>
      </c>
      <c r="D1064" t="s">
        <v>1522</v>
      </c>
      <c r="E1064" t="s">
        <v>1523</v>
      </c>
      <c r="F1064" t="s">
        <v>22</v>
      </c>
      <c r="G1064" t="s">
        <v>23</v>
      </c>
      <c r="H1064" t="s">
        <v>37</v>
      </c>
      <c r="I1064" t="s">
        <v>25</v>
      </c>
      <c r="J1064" s="2">
        <v>45865.62122685185</v>
      </c>
      <c r="K1064">
        <v>27</v>
      </c>
      <c r="L1064">
        <v>7</v>
      </c>
      <c r="M1064">
        <v>2025</v>
      </c>
      <c r="N1064" t="s">
        <v>27</v>
      </c>
      <c r="O1064">
        <v>170</v>
      </c>
      <c r="P1064">
        <v>170</v>
      </c>
      <c r="R1064" s="3" t="str">
        <f>HYPERLINK("https://panda.att.com.mx/ODKServer/view/binaryData?blobKey=FSSuministroFluidosv3%5B%40version%3Dnull+and+%40uiVersion%3Dnull%5D%2Fdata%5B%40key%3Duuid%3A2c40cab5-c364-4aa4-ba00-1b76bb7e4e6f%5D%2FgroupInfoFuel%5B%40ordinal%3D1%5D%2FpicFuelRecibeInterno","Descargar")</f>
        <v>Descargar</v>
      </c>
    </row>
    <row r="1065" spans="1:18" x14ac:dyDescent="0.3">
      <c r="A1065">
        <v>1587061</v>
      </c>
      <c r="B1065" t="s">
        <v>18</v>
      </c>
      <c r="C1065" t="s">
        <v>150</v>
      </c>
      <c r="D1065" t="s">
        <v>151</v>
      </c>
      <c r="E1065" t="s">
        <v>152</v>
      </c>
      <c r="F1065" t="s">
        <v>22</v>
      </c>
      <c r="G1065" t="s">
        <v>23</v>
      </c>
      <c r="H1065" t="s">
        <v>58</v>
      </c>
      <c r="I1065" t="s">
        <v>25</v>
      </c>
      <c r="J1065" s="2">
        <v>45867.851342592592</v>
      </c>
      <c r="K1065">
        <v>29</v>
      </c>
      <c r="L1065">
        <v>7</v>
      </c>
      <c r="M1065">
        <v>2025</v>
      </c>
      <c r="N1065" t="s">
        <v>27</v>
      </c>
      <c r="O1065">
        <v>52.13</v>
      </c>
      <c r="P1065">
        <v>52.13</v>
      </c>
      <c r="R1065" s="3" t="str">
        <f>HYPERLINK("https://panda.att.com.mx/ODKServer/view/binaryData?blobKey=FSSuministroFluidosv3%5B%40version%3Dnull+and+%40uiVersion%3Dnull%5D%2Fdata%5B%40key%3Duuid%3Ae2233dfc-ff57-4bbc-8eaa-34069187d4a1%5D%2FgroupInfoFuel%5B%40ordinal%3D1%5D%2FpicFuelRecibeInterno","Descargar")</f>
        <v>Descargar</v>
      </c>
    </row>
    <row r="1066" spans="1:18" x14ac:dyDescent="0.3">
      <c r="A1066">
        <v>1586811</v>
      </c>
      <c r="B1066" t="s">
        <v>18</v>
      </c>
      <c r="C1066" t="s">
        <v>19</v>
      </c>
      <c r="D1066" t="s">
        <v>1524</v>
      </c>
      <c r="E1066" t="s">
        <v>1525</v>
      </c>
      <c r="F1066" t="s">
        <v>22</v>
      </c>
      <c r="G1066" t="s">
        <v>23</v>
      </c>
      <c r="H1066" t="s">
        <v>37</v>
      </c>
      <c r="I1066" t="s">
        <v>25</v>
      </c>
      <c r="J1066" s="2">
        <v>45866.607800925929</v>
      </c>
      <c r="K1066">
        <v>28</v>
      </c>
      <c r="L1066">
        <v>7</v>
      </c>
      <c r="M1066">
        <v>2025</v>
      </c>
      <c r="N1066" t="s">
        <v>27</v>
      </c>
      <c r="O1066">
        <v>250</v>
      </c>
      <c r="P1066">
        <v>250</v>
      </c>
      <c r="R1066" s="3" t="str">
        <f>HYPERLINK("https://panda.att.com.mx/ODKServer/view/binaryData?blobKey=FSSuministroFluidosv3%5B%40version%3Dnull+and+%40uiVersion%3Dnull%5D%2Fdata%5B%40key%3Duuid%3A80f1f1fc-3541-490c-9585-0db80c0be2f2%5D%2FgroupInfoFuel%5B%40ordinal%3D1%5D%2FpicFuelRecibeInterno","Descargar")</f>
        <v>Descargar</v>
      </c>
    </row>
    <row r="1067" spans="1:18" x14ac:dyDescent="0.3">
      <c r="A1067">
        <v>1586781</v>
      </c>
      <c r="B1067" t="s">
        <v>18</v>
      </c>
      <c r="C1067" t="s">
        <v>19</v>
      </c>
      <c r="D1067" t="s">
        <v>45</v>
      </c>
      <c r="E1067" t="s">
        <v>622</v>
      </c>
      <c r="F1067" t="s">
        <v>22</v>
      </c>
      <c r="G1067" t="s">
        <v>23</v>
      </c>
      <c r="H1067" t="s">
        <v>24</v>
      </c>
      <c r="I1067" t="s">
        <v>25</v>
      </c>
      <c r="J1067" s="2">
        <v>45866.407951388886</v>
      </c>
      <c r="K1067">
        <v>28</v>
      </c>
      <c r="L1067">
        <v>7</v>
      </c>
      <c r="M1067">
        <v>2025</v>
      </c>
      <c r="N1067" t="s">
        <v>27</v>
      </c>
      <c r="O1067">
        <v>100</v>
      </c>
      <c r="P1067">
        <v>100</v>
      </c>
      <c r="R1067" s="3" t="str">
        <f>HYPERLINK("https://panda.att.com.mx/ODKServer/view/binaryData?blobKey=FSSuministroFluidosv3%5B%40version%3Dnull+and+%40uiVersion%3Dnull%5D%2Fdata%5B%40key%3Duuid%3A52f2d7d6-068d-4e73-9cd6-7a5fd52c792a%5D%2FgroupInfoFuel%5B%40ordinal%3D1%5D%2FpicFuelRecibeInterno","Descargar")</f>
        <v>Descargar</v>
      </c>
    </row>
    <row r="1068" spans="1:18" x14ac:dyDescent="0.3">
      <c r="A1068">
        <v>1586698</v>
      </c>
      <c r="B1068" t="s">
        <v>18</v>
      </c>
      <c r="C1068" t="s">
        <v>55</v>
      </c>
      <c r="D1068" t="s">
        <v>56</v>
      </c>
      <c r="E1068" t="s">
        <v>105</v>
      </c>
      <c r="F1068" t="s">
        <v>22</v>
      </c>
      <c r="G1068" t="s">
        <v>23</v>
      </c>
      <c r="H1068" t="s">
        <v>58</v>
      </c>
      <c r="I1068" t="s">
        <v>25</v>
      </c>
      <c r="J1068" s="2">
        <v>45867.458379629628</v>
      </c>
      <c r="K1068">
        <v>29</v>
      </c>
      <c r="L1068">
        <v>7</v>
      </c>
      <c r="M1068">
        <v>2025</v>
      </c>
      <c r="N1068" t="s">
        <v>27</v>
      </c>
      <c r="O1068">
        <v>300</v>
      </c>
      <c r="P1068">
        <v>300</v>
      </c>
      <c r="R1068" s="3" t="str">
        <f>HYPERLINK("https://panda.att.com.mx/ODKServer/view/binaryData?blobKey=FSSuministroFluidosv3%5B%40version%3Dnull+and+%40uiVersion%3Dnull%5D%2Fdata%5B%40key%3Duuid%3A892af64e-f9af-4f25-9805-50285862bd0f%5D%2FgroupInfoFuel%5B%40ordinal%3D1%5D%2FpicFuelRecibeInterno","Descargar")</f>
        <v>Descargar</v>
      </c>
    </row>
    <row r="1069" spans="1:18" x14ac:dyDescent="0.3">
      <c r="A1069">
        <v>1586651</v>
      </c>
      <c r="B1069" t="s">
        <v>18</v>
      </c>
      <c r="C1069" t="s">
        <v>34</v>
      </c>
      <c r="D1069" t="s">
        <v>53</v>
      </c>
      <c r="E1069" t="s">
        <v>1526</v>
      </c>
      <c r="F1069" t="s">
        <v>22</v>
      </c>
      <c r="G1069" t="s">
        <v>23</v>
      </c>
      <c r="H1069" t="s">
        <v>37</v>
      </c>
      <c r="I1069" t="s">
        <v>25</v>
      </c>
      <c r="J1069" s="2">
        <v>45867.532430555562</v>
      </c>
      <c r="K1069">
        <v>29</v>
      </c>
      <c r="L1069">
        <v>7</v>
      </c>
      <c r="M1069">
        <v>2025</v>
      </c>
      <c r="N1069" t="s">
        <v>27</v>
      </c>
      <c r="O1069">
        <v>200</v>
      </c>
      <c r="Q1069">
        <v>200</v>
      </c>
      <c r="R1069" s="3" t="str">
        <f>HYPERLINK("https://panda.att.com.mx/ODKServer/view/binaryData?blobKey=FSSuministroFluidosv3%5B%40version%3Dnull+and+%40uiVersion%3Dnull%5D%2Fdata%5B%40key%3Duuid%3A877d2f2d-62f9-4161-bf47-3e4345f08d8d%5D%2FgroupInfoFuel%5B%40ordinal%3D1%5D%2FpicFuelRecibeInterno","Descargar")</f>
        <v>Descargar</v>
      </c>
    </row>
    <row r="1070" spans="1:18" x14ac:dyDescent="0.3">
      <c r="A1070">
        <v>1586636</v>
      </c>
      <c r="B1070" t="s">
        <v>18</v>
      </c>
      <c r="C1070" t="s">
        <v>34</v>
      </c>
      <c r="D1070" t="s">
        <v>53</v>
      </c>
      <c r="E1070" t="s">
        <v>1527</v>
      </c>
      <c r="F1070" t="s">
        <v>22</v>
      </c>
      <c r="G1070" t="s">
        <v>23</v>
      </c>
      <c r="H1070" t="s">
        <v>37</v>
      </c>
      <c r="I1070" t="s">
        <v>25</v>
      </c>
      <c r="J1070" s="2">
        <v>45867.524652777778</v>
      </c>
      <c r="K1070">
        <v>29</v>
      </c>
      <c r="L1070">
        <v>7</v>
      </c>
      <c r="M1070">
        <v>2025</v>
      </c>
      <c r="N1070" t="s">
        <v>27</v>
      </c>
      <c r="O1070">
        <v>250</v>
      </c>
      <c r="P1070">
        <v>250</v>
      </c>
      <c r="R1070" s="3" t="str">
        <f>HYPERLINK("https://panda.att.com.mx/ODKServer/view/binaryData?blobKey=FSSuministroFluidosv3%5B%40version%3Dnull+and+%40uiVersion%3Dnull%5D%2Fdata%5B%40key%3Duuid%3A4b0f94f9-1e57-40e2-a9e7-c42bd33a566d%5D%2FgroupInfoFuel%5B%40ordinal%3D1%5D%2FpicFuelRecibeInterno","Descargar")</f>
        <v>Descargar</v>
      </c>
    </row>
    <row r="1071" spans="1:18" x14ac:dyDescent="0.3">
      <c r="A1071">
        <v>1586613</v>
      </c>
      <c r="B1071" t="s">
        <v>18</v>
      </c>
      <c r="C1071" t="s">
        <v>19</v>
      </c>
      <c r="D1071" t="s">
        <v>20</v>
      </c>
      <c r="E1071" t="s">
        <v>1528</v>
      </c>
      <c r="F1071" t="s">
        <v>22</v>
      </c>
      <c r="G1071" t="s">
        <v>23</v>
      </c>
      <c r="H1071" t="s">
        <v>24</v>
      </c>
      <c r="I1071" t="s">
        <v>25</v>
      </c>
      <c r="J1071" s="2">
        <v>45867.505335648151</v>
      </c>
      <c r="K1071">
        <v>29</v>
      </c>
      <c r="L1071">
        <v>7</v>
      </c>
      <c r="M1071">
        <v>2025</v>
      </c>
      <c r="N1071" t="s">
        <v>27</v>
      </c>
      <c r="O1071">
        <v>150</v>
      </c>
      <c r="P1071">
        <v>150</v>
      </c>
      <c r="R1071" s="3" t="str">
        <f>HYPERLINK("https://panda.att.com.mx/ODKServer/view/binaryData?blobKey=FSSuministroFluidosv3%5B%40version%3Dnull+and+%40uiVersion%3Dnull%5D%2Fdata%5B%40key%3Duuid%3A4da9b3a8-53c4-4076-8f6e-945e891f72d4%5D%2FgroupInfoFuel%5B%40ordinal%3D1%5D%2FpicFuelRecibeInterno","Descargar")</f>
        <v>Descargar</v>
      </c>
    </row>
    <row r="1072" spans="1:18" x14ac:dyDescent="0.3">
      <c r="A1072">
        <v>1586597</v>
      </c>
      <c r="B1072" t="s">
        <v>18</v>
      </c>
      <c r="C1072" t="s">
        <v>55</v>
      </c>
      <c r="D1072" t="s">
        <v>887</v>
      </c>
      <c r="E1072" t="s">
        <v>888</v>
      </c>
      <c r="F1072" t="s">
        <v>22</v>
      </c>
      <c r="G1072" t="s">
        <v>23</v>
      </c>
      <c r="H1072" t="s">
        <v>58</v>
      </c>
      <c r="I1072" t="s">
        <v>25</v>
      </c>
      <c r="J1072" s="2">
        <v>45867.5233912037</v>
      </c>
      <c r="K1072">
        <v>29</v>
      </c>
      <c r="L1072">
        <v>7</v>
      </c>
      <c r="M1072">
        <v>2025</v>
      </c>
      <c r="N1072" t="s">
        <v>27</v>
      </c>
      <c r="O1072">
        <v>350</v>
      </c>
      <c r="P1072">
        <v>350</v>
      </c>
      <c r="R1072" s="3" t="str">
        <f>HYPERLINK("https://panda.att.com.mx/ODKServer/view/binaryData?blobKey=FSSuministroFluidosv3%5B%40version%3Dnull+and+%40uiVersion%3Dnull%5D%2Fdata%5B%40key%3Duuid%3A3a76f3c6-339a-42ee-baf5-fbd9b93e9e1f%5D%2FgroupInfoFuel%5B%40ordinal%3D1%5D%2FpicFuelRecibeInterno","Descargar")</f>
        <v>Descargar</v>
      </c>
    </row>
    <row r="1073" spans="1:18" x14ac:dyDescent="0.3">
      <c r="A1073">
        <v>1586569</v>
      </c>
      <c r="B1073" t="s">
        <v>18</v>
      </c>
      <c r="C1073" t="s">
        <v>100</v>
      </c>
      <c r="D1073" t="s">
        <v>101</v>
      </c>
      <c r="E1073" t="s">
        <v>102</v>
      </c>
      <c r="F1073" t="s">
        <v>22</v>
      </c>
      <c r="G1073" t="s">
        <v>83</v>
      </c>
      <c r="H1073" t="s">
        <v>58</v>
      </c>
      <c r="I1073" t="s">
        <v>25</v>
      </c>
      <c r="J1073" s="2">
        <v>45866.805011574077</v>
      </c>
      <c r="K1073">
        <v>28</v>
      </c>
      <c r="L1073">
        <v>7</v>
      </c>
      <c r="M1073">
        <v>2025</v>
      </c>
      <c r="N1073" t="s">
        <v>44</v>
      </c>
      <c r="O1073">
        <v>60</v>
      </c>
      <c r="P1073">
        <v>60</v>
      </c>
      <c r="R1073" s="3" t="str">
        <f>HYPERLINK("https://panda.att.com.mx/ODKServer/view/binaryData?blobKey=FSSuministroFluidosv3%5B%40version%3Dnull+and+%40uiVersion%3Dnull%5D%2Fdata%5B%40key%3Duuid%3Aa62fb208-d8fc-4602-9632-5b0aee058b5c%5D%2FgroupInfoFuel%5B%40ordinal%3D1%5D%2FpicFuelRecibeInterno","Descargar")</f>
        <v>Descargar</v>
      </c>
    </row>
    <row r="1074" spans="1:18" x14ac:dyDescent="0.3">
      <c r="A1074">
        <v>1586568</v>
      </c>
      <c r="B1074" t="s">
        <v>18</v>
      </c>
      <c r="C1074" t="s">
        <v>100</v>
      </c>
      <c r="D1074" t="s">
        <v>101</v>
      </c>
      <c r="E1074" t="s">
        <v>102</v>
      </c>
      <c r="F1074" t="s">
        <v>22</v>
      </c>
      <c r="G1074" t="s">
        <v>83</v>
      </c>
      <c r="H1074" t="s">
        <v>58</v>
      </c>
      <c r="I1074" t="s">
        <v>25</v>
      </c>
      <c r="J1074" s="2">
        <v>45867.502766203703</v>
      </c>
      <c r="K1074">
        <v>29</v>
      </c>
      <c r="L1074">
        <v>7</v>
      </c>
      <c r="M1074">
        <v>2025</v>
      </c>
      <c r="N1074" t="s">
        <v>44</v>
      </c>
      <c r="O1074">
        <v>60</v>
      </c>
      <c r="P1074">
        <v>60</v>
      </c>
      <c r="R1074" s="3" t="str">
        <f>HYPERLINK("https://panda.att.com.mx/ODKServer/view/binaryData?blobKey=FSSuministroFluidosv3%5B%40version%3Dnull+and+%40uiVersion%3Dnull%5D%2Fdata%5B%40key%3Duuid%3Ad5cfd698-15e5-4d3f-a7f2-1f56ce2ac07d%5D%2FgroupInfoFuel%5B%40ordinal%3D1%5D%2FpicFuelRecibeInterno","Descargar")</f>
        <v>Descargar</v>
      </c>
    </row>
    <row r="1075" spans="1:18" x14ac:dyDescent="0.3">
      <c r="A1075">
        <v>1586567</v>
      </c>
      <c r="B1075" t="s">
        <v>18</v>
      </c>
      <c r="C1075" t="s">
        <v>100</v>
      </c>
      <c r="D1075" t="s">
        <v>716</v>
      </c>
      <c r="E1075" t="s">
        <v>989</v>
      </c>
      <c r="F1075" t="s">
        <v>22</v>
      </c>
      <c r="G1075" t="s">
        <v>23</v>
      </c>
      <c r="H1075" t="s">
        <v>58</v>
      </c>
      <c r="I1075" t="s">
        <v>25</v>
      </c>
      <c r="J1075" s="2">
        <v>45867.507048611107</v>
      </c>
      <c r="K1075">
        <v>29</v>
      </c>
      <c r="L1075">
        <v>7</v>
      </c>
      <c r="M1075">
        <v>2025</v>
      </c>
      <c r="N1075" t="s">
        <v>27</v>
      </c>
      <c r="O1075">
        <v>200</v>
      </c>
      <c r="P1075">
        <v>200</v>
      </c>
      <c r="R1075" s="3" t="str">
        <f>HYPERLINK("https://panda.att.com.mx/ODKServer/view/binaryData?blobKey=FSSuministroFluidosv3%5B%40version%3Dnull+and+%40uiVersion%3Dnull%5D%2Fdata%5B%40key%3Duuid%3A819974ac-eef2-4ee8-8557-2a32375fafe4%5D%2FgroupInfoFuel%5B%40ordinal%3D1%5D%2FpicFuelRecibeInterno","Descargar")</f>
        <v>Descargar</v>
      </c>
    </row>
    <row r="1076" spans="1:18" x14ac:dyDescent="0.3">
      <c r="A1076">
        <v>1586494</v>
      </c>
      <c r="B1076" t="s">
        <v>18</v>
      </c>
      <c r="C1076" t="s">
        <v>28</v>
      </c>
      <c r="D1076" t="s">
        <v>1529</v>
      </c>
      <c r="E1076" t="s">
        <v>1530</v>
      </c>
      <c r="F1076" t="s">
        <v>22</v>
      </c>
      <c r="G1076" t="s">
        <v>23</v>
      </c>
      <c r="H1076" t="s">
        <v>24</v>
      </c>
      <c r="I1076" t="s">
        <v>25</v>
      </c>
      <c r="J1076" s="2">
        <v>45860.532997685194</v>
      </c>
      <c r="K1076">
        <v>22</v>
      </c>
      <c r="L1076">
        <v>7</v>
      </c>
      <c r="M1076">
        <v>2025</v>
      </c>
      <c r="N1076" t="s">
        <v>27</v>
      </c>
      <c r="O1076">
        <v>400</v>
      </c>
      <c r="Q1076">
        <v>400</v>
      </c>
      <c r="R1076" s="3" t="str">
        <f>HYPERLINK("https://panda.att.com.mx/ODKServer/view/binaryData?blobKey=FSSuministroFluidosv3%5B%40version%3Dnull+and+%40uiVersion%3Dnull%5D%2Fdata%5B%40key%3Duuid%3A1c07ace7-0695-4c77-b9eb-9d78a1c212c2%5D%2FgroupInfoFuel%5B%40ordinal%3D1%5D%2FpicFuelRecibeInterno","Descargar")</f>
        <v>Descargar</v>
      </c>
    </row>
    <row r="1077" spans="1:18" x14ac:dyDescent="0.3">
      <c r="A1077">
        <v>1586389</v>
      </c>
      <c r="B1077" t="s">
        <v>18</v>
      </c>
      <c r="C1077" t="s">
        <v>28</v>
      </c>
      <c r="D1077" t="s">
        <v>118</v>
      </c>
      <c r="E1077" t="s">
        <v>1404</v>
      </c>
      <c r="F1077" t="s">
        <v>22</v>
      </c>
      <c r="G1077" t="s">
        <v>23</v>
      </c>
      <c r="H1077" t="s">
        <v>24</v>
      </c>
      <c r="I1077" t="s">
        <v>25</v>
      </c>
      <c r="J1077" s="2">
        <v>45864.833680555559</v>
      </c>
      <c r="K1077">
        <v>26</v>
      </c>
      <c r="L1077">
        <v>7</v>
      </c>
      <c r="M1077">
        <v>2025</v>
      </c>
      <c r="N1077" t="s">
        <v>44</v>
      </c>
      <c r="O1077">
        <v>40</v>
      </c>
      <c r="P1077">
        <v>40</v>
      </c>
      <c r="R1077" s="3" t="str">
        <f>HYPERLINK("https://panda.att.com.mx/ODKServer/view/binaryData?blobKey=FSSuministroFluidosv3%5B%40version%3Dnull+and+%40uiVersion%3Dnull%5D%2Fdata%5B%40key%3Duuid%3A9fd6ebbf-abf9-4096-97a6-476eca84526f%5D%2FgroupInfoFuel%5B%40ordinal%3D1%5D%2FpicFuelRecibeInterno","Descargar")</f>
        <v>Descargar</v>
      </c>
    </row>
    <row r="1078" spans="1:18" x14ac:dyDescent="0.3">
      <c r="A1078">
        <v>1586369</v>
      </c>
      <c r="B1078" t="s">
        <v>18</v>
      </c>
      <c r="C1078" t="s">
        <v>55</v>
      </c>
      <c r="D1078" t="s">
        <v>366</v>
      </c>
      <c r="E1078" t="s">
        <v>1531</v>
      </c>
      <c r="F1078" t="s">
        <v>22</v>
      </c>
      <c r="G1078" t="s">
        <v>23</v>
      </c>
      <c r="H1078" t="s">
        <v>58</v>
      </c>
      <c r="I1078" t="s">
        <v>25</v>
      </c>
      <c r="J1078" s="2">
        <v>45866.347685185188</v>
      </c>
      <c r="K1078">
        <v>28</v>
      </c>
      <c r="L1078">
        <v>7</v>
      </c>
      <c r="M1078">
        <v>2025</v>
      </c>
      <c r="N1078" t="s">
        <v>27</v>
      </c>
      <c r="O1078">
        <v>200</v>
      </c>
      <c r="P1078">
        <v>200</v>
      </c>
      <c r="R1078" s="3" t="str">
        <f>HYPERLINK("https://panda.att.com.mx/ODKServer/view/binaryData?blobKey=FSSuministroFluidosv3%5B%40version%3Dnull+and+%40uiVersion%3Dnull%5D%2Fdata%5B%40key%3Duuid%3A6c3b7c57-4677-4583-a64c-a50ca320d903%5D%2FgroupInfoFuel%5B%40ordinal%3D1%5D%2FpicFuelRecibeInterno","Descargar")</f>
        <v>Descargar</v>
      </c>
    </row>
    <row r="1079" spans="1:18" x14ac:dyDescent="0.3">
      <c r="A1079">
        <v>1586337</v>
      </c>
      <c r="B1079" t="s">
        <v>18</v>
      </c>
      <c r="C1079" t="s">
        <v>28</v>
      </c>
      <c r="D1079" t="s">
        <v>1484</v>
      </c>
      <c r="E1079" t="s">
        <v>1485</v>
      </c>
      <c r="F1079" t="s">
        <v>22</v>
      </c>
      <c r="G1079" t="s">
        <v>23</v>
      </c>
      <c r="H1079" t="s">
        <v>24</v>
      </c>
      <c r="I1079" t="s">
        <v>25</v>
      </c>
      <c r="J1079" s="2">
        <v>45862.529328703713</v>
      </c>
      <c r="K1079">
        <v>24</v>
      </c>
      <c r="L1079">
        <v>7</v>
      </c>
      <c r="M1079">
        <v>2025</v>
      </c>
      <c r="N1079" t="s">
        <v>27</v>
      </c>
      <c r="O1079">
        <v>300</v>
      </c>
      <c r="P1079">
        <v>300</v>
      </c>
      <c r="R1079" s="3" t="str">
        <f>HYPERLINK("https://panda.att.com.mx/ODKServer/view/binaryData?blobKey=FSSuministroFluidosv3%5B%40version%3Dnull+and+%40uiVersion%3Dnull%5D%2Fdata%5B%40key%3Duuid%3A0ce98d21-33e6-48c4-ac80-04eee50d21db%5D%2FgroupInfoFuel%5B%40ordinal%3D1%5D%2FpicFuelRecibeInterno","Descargar")</f>
        <v>Descargar</v>
      </c>
    </row>
    <row r="1080" spans="1:18" x14ac:dyDescent="0.3">
      <c r="A1080">
        <v>1586223</v>
      </c>
      <c r="B1080" t="s">
        <v>18</v>
      </c>
      <c r="C1080" t="s">
        <v>19</v>
      </c>
      <c r="D1080" t="s">
        <v>20</v>
      </c>
      <c r="E1080" t="s">
        <v>21</v>
      </c>
      <c r="F1080" t="s">
        <v>22</v>
      </c>
      <c r="G1080" t="s">
        <v>23</v>
      </c>
      <c r="H1080" t="s">
        <v>24</v>
      </c>
      <c r="I1080" t="s">
        <v>25</v>
      </c>
      <c r="J1080" s="2">
        <v>45866.403692129628</v>
      </c>
      <c r="K1080">
        <v>28</v>
      </c>
      <c r="L1080">
        <v>7</v>
      </c>
      <c r="M1080">
        <v>2025</v>
      </c>
      <c r="N1080" t="s">
        <v>27</v>
      </c>
      <c r="O1080">
        <v>300</v>
      </c>
      <c r="P1080">
        <v>300</v>
      </c>
      <c r="R1080" s="3" t="str">
        <f>HYPERLINK("https://panda.att.com.mx/ODKServer/view/binaryData?blobKey=FSSuministroFluidosv3%5B%40version%3Dnull+and+%40uiVersion%3Dnull%5D%2Fdata%5B%40key%3Duuid%3Aa8f87dac-1243-432d-b0be-89293e38ee4a%5D%2FgroupInfoFuel%5B%40ordinal%3D1%5D%2FpicFuelRecibeInterno","Descargar")</f>
        <v>Descargar</v>
      </c>
    </row>
    <row r="1081" spans="1:18" x14ac:dyDescent="0.3">
      <c r="A1081">
        <v>1586161</v>
      </c>
      <c r="B1081" t="s">
        <v>18</v>
      </c>
      <c r="C1081" t="s">
        <v>55</v>
      </c>
      <c r="D1081" t="s">
        <v>89</v>
      </c>
      <c r="E1081" t="s">
        <v>1532</v>
      </c>
      <c r="F1081" t="s">
        <v>22</v>
      </c>
      <c r="G1081" t="s">
        <v>23</v>
      </c>
      <c r="H1081" t="s">
        <v>58</v>
      </c>
      <c r="I1081" t="s">
        <v>25</v>
      </c>
      <c r="J1081" s="2">
        <v>45866.736932870372</v>
      </c>
      <c r="K1081">
        <v>28</v>
      </c>
      <c r="L1081">
        <v>7</v>
      </c>
      <c r="M1081">
        <v>2025</v>
      </c>
      <c r="N1081" t="s">
        <v>27</v>
      </c>
      <c r="O1081">
        <v>200</v>
      </c>
      <c r="P1081">
        <v>200</v>
      </c>
      <c r="R1081" s="3" t="str">
        <f>HYPERLINK("https://panda.att.com.mx/ODKServer/view/binaryData?blobKey=FSSuministroFluidosv3%5B%40version%3Dnull+and+%40uiVersion%3Dnull%5D%2Fdata%5B%40key%3Duuid%3Afafa29bb-4234-41f2-9d9b-1dfaa550a816%5D%2FgroupInfoFuel%5B%40ordinal%3D1%5D%2FpicFuelRecibeInterno","Descargar")</f>
        <v>Descargar</v>
      </c>
    </row>
    <row r="1082" spans="1:18" x14ac:dyDescent="0.3">
      <c r="A1082">
        <v>1586148</v>
      </c>
      <c r="B1082" t="s">
        <v>18</v>
      </c>
      <c r="C1082" t="s">
        <v>19</v>
      </c>
      <c r="D1082" t="s">
        <v>45</v>
      </c>
      <c r="E1082" t="s">
        <v>1533</v>
      </c>
      <c r="F1082" t="s">
        <v>22</v>
      </c>
      <c r="G1082" t="s">
        <v>23</v>
      </c>
      <c r="H1082" t="s">
        <v>24</v>
      </c>
      <c r="I1082" t="s">
        <v>25</v>
      </c>
      <c r="J1082" s="2">
        <v>45866.380104166667</v>
      </c>
      <c r="K1082">
        <v>28</v>
      </c>
      <c r="L1082">
        <v>7</v>
      </c>
      <c r="M1082">
        <v>2025</v>
      </c>
      <c r="N1082" t="s">
        <v>44</v>
      </c>
      <c r="O1082">
        <v>30</v>
      </c>
      <c r="P1082">
        <v>30</v>
      </c>
      <c r="R1082" s="3" t="str">
        <f>HYPERLINK("https://panda.att.com.mx/ODKServer/view/binaryData?blobKey=FSSuministroFluidosv3%5B%40version%3Dnull+and+%40uiVersion%3Dnull%5D%2Fdata%5B%40key%3Duuid%3A3cf4ae76-10b6-4942-99bd-732e509438d9%5D%2FgroupInfoFuel%5B%40ordinal%3D1%5D%2FpicFuelRecibeInterno","Descargar")</f>
        <v>Descargar</v>
      </c>
    </row>
    <row r="1083" spans="1:18" x14ac:dyDescent="0.3">
      <c r="A1083">
        <v>1586140</v>
      </c>
      <c r="B1083" t="s">
        <v>18</v>
      </c>
      <c r="C1083" t="s">
        <v>19</v>
      </c>
      <c r="D1083" t="s">
        <v>45</v>
      </c>
      <c r="E1083" t="s">
        <v>1533</v>
      </c>
      <c r="F1083" t="s">
        <v>22</v>
      </c>
      <c r="G1083" t="s">
        <v>23</v>
      </c>
      <c r="H1083" t="s">
        <v>24</v>
      </c>
      <c r="I1083" t="s">
        <v>25</v>
      </c>
      <c r="J1083" s="2">
        <v>45865.457916666674</v>
      </c>
      <c r="K1083">
        <v>27</v>
      </c>
      <c r="L1083">
        <v>7</v>
      </c>
      <c r="M1083">
        <v>2025</v>
      </c>
      <c r="N1083" t="s">
        <v>44</v>
      </c>
      <c r="O1083">
        <v>30</v>
      </c>
      <c r="P1083">
        <v>30</v>
      </c>
      <c r="R1083" s="3" t="str">
        <f>HYPERLINK("https://panda.att.com.mx/ODKServer/view/binaryData?blobKey=FSSuministroFluidosv3%5B%40version%3Dnull+and+%40uiVersion%3Dnull%5D%2Fdata%5B%40key%3Duuid%3Aef0328f2-0d90-45ad-9401-8286fe84f9b1%5D%2FgroupInfoFuel%5B%40ordinal%3D1%5D%2FpicFuelRecibeInterno","Descargar")</f>
        <v>Descargar</v>
      </c>
    </row>
    <row r="1084" spans="1:18" x14ac:dyDescent="0.3">
      <c r="A1084">
        <v>1586139</v>
      </c>
      <c r="B1084" t="s">
        <v>18</v>
      </c>
      <c r="C1084" t="s">
        <v>19</v>
      </c>
      <c r="D1084" t="s">
        <v>45</v>
      </c>
      <c r="E1084" t="s">
        <v>1533</v>
      </c>
      <c r="F1084" t="s">
        <v>22</v>
      </c>
      <c r="G1084" t="s">
        <v>23</v>
      </c>
      <c r="H1084" t="s">
        <v>24</v>
      </c>
      <c r="I1084" t="s">
        <v>25</v>
      </c>
      <c r="J1084" s="2">
        <v>45864.97047453704</v>
      </c>
      <c r="K1084">
        <v>26</v>
      </c>
      <c r="L1084">
        <v>7</v>
      </c>
      <c r="M1084">
        <v>2025</v>
      </c>
      <c r="N1084" t="s">
        <v>44</v>
      </c>
      <c r="O1084">
        <v>30</v>
      </c>
      <c r="P1084">
        <v>30</v>
      </c>
      <c r="R1084" s="3" t="str">
        <f>HYPERLINK("https://panda.att.com.mx/ODKServer/view/binaryData?blobKey=FSSuministroFluidosv3%5B%40version%3Dnull+and+%40uiVersion%3Dnull%5D%2Fdata%5B%40key%3Duuid%3Af49c3efc-79c9-45c2-85d3-4cc2862fb602%5D%2FgroupInfoFuel%5B%40ordinal%3D1%5D%2FpicFuelRecibeInterno","Descargar")</f>
        <v>Descargar</v>
      </c>
    </row>
    <row r="1085" spans="1:18" x14ac:dyDescent="0.3">
      <c r="A1085">
        <v>1586088</v>
      </c>
      <c r="B1085" t="s">
        <v>18</v>
      </c>
      <c r="C1085" t="s">
        <v>55</v>
      </c>
      <c r="D1085" t="s">
        <v>288</v>
      </c>
      <c r="E1085" t="s">
        <v>1534</v>
      </c>
      <c r="F1085" t="s">
        <v>22</v>
      </c>
      <c r="G1085" t="s">
        <v>23</v>
      </c>
      <c r="H1085" t="s">
        <v>58</v>
      </c>
      <c r="I1085" t="s">
        <v>25</v>
      </c>
      <c r="J1085" s="2">
        <v>45866.690462962957</v>
      </c>
      <c r="K1085">
        <v>28</v>
      </c>
      <c r="L1085">
        <v>7</v>
      </c>
      <c r="M1085">
        <v>2025</v>
      </c>
      <c r="N1085" t="s">
        <v>27</v>
      </c>
      <c r="O1085">
        <v>200</v>
      </c>
      <c r="P1085">
        <v>200</v>
      </c>
      <c r="R1085" s="3" t="str">
        <f>HYPERLINK("https://panda.att.com.mx/ODKServer/view/binaryData?blobKey=FSSuministroFluidosv3%5B%40version%3Dnull+and+%40uiVersion%3Dnull%5D%2Fdata%5B%40key%3Duuid%3A93d7851a-6be4-440f-8421-533075290b46%5D%2FgroupInfoFuel%5B%40ordinal%3D1%5D%2FpicFuelRecibeInterno","Descargar")</f>
        <v>Descargar</v>
      </c>
    </row>
    <row r="1086" spans="1:18" x14ac:dyDescent="0.3">
      <c r="A1086">
        <v>1586087</v>
      </c>
      <c r="B1086" t="s">
        <v>18</v>
      </c>
      <c r="C1086" t="s">
        <v>55</v>
      </c>
      <c r="D1086" t="s">
        <v>89</v>
      </c>
      <c r="E1086" t="s">
        <v>885</v>
      </c>
      <c r="F1086" t="s">
        <v>22</v>
      </c>
      <c r="G1086" t="s">
        <v>23</v>
      </c>
      <c r="H1086" t="s">
        <v>58</v>
      </c>
      <c r="I1086" t="s">
        <v>25</v>
      </c>
      <c r="J1086" s="2">
        <v>45866.530995370369</v>
      </c>
      <c r="K1086">
        <v>28</v>
      </c>
      <c r="L1086">
        <v>7</v>
      </c>
      <c r="M1086">
        <v>2025</v>
      </c>
      <c r="N1086" t="s">
        <v>27</v>
      </c>
      <c r="O1086">
        <v>200</v>
      </c>
      <c r="P1086">
        <v>200</v>
      </c>
      <c r="R1086" s="3" t="str">
        <f>HYPERLINK("https://panda.att.com.mx/ODKServer/view/binaryData?blobKey=FSSuministroFluidosv3%5B%40version%3Dnull+and+%40uiVersion%3Dnull%5D%2Fdata%5B%40key%3Duuid%3Afc6039c4-86a3-4d64-bfb1-238051b4d50d%5D%2FgroupInfoFuel%5B%40ordinal%3D1%5D%2FpicFuelRecibeInterno","Descargar")</f>
        <v>Descargar</v>
      </c>
    </row>
    <row r="1087" spans="1:18" x14ac:dyDescent="0.3">
      <c r="A1087">
        <v>1586074</v>
      </c>
      <c r="B1087" t="s">
        <v>18</v>
      </c>
      <c r="C1087" t="s">
        <v>19</v>
      </c>
      <c r="D1087" t="s">
        <v>45</v>
      </c>
      <c r="E1087" t="s">
        <v>622</v>
      </c>
      <c r="F1087" t="s">
        <v>22</v>
      </c>
      <c r="G1087" t="s">
        <v>23</v>
      </c>
      <c r="H1087" t="s">
        <v>24</v>
      </c>
      <c r="I1087" t="s">
        <v>25</v>
      </c>
      <c r="J1087" s="2">
        <v>45864.521238425928</v>
      </c>
      <c r="K1087">
        <v>26</v>
      </c>
      <c r="L1087">
        <v>7</v>
      </c>
      <c r="M1087">
        <v>2025</v>
      </c>
      <c r="N1087" t="s">
        <v>27</v>
      </c>
      <c r="O1087">
        <v>200</v>
      </c>
      <c r="P1087">
        <v>200</v>
      </c>
      <c r="R1087" s="3" t="str">
        <f>HYPERLINK("https://panda.att.com.mx/ODKServer/view/binaryData?blobKey=FSSuministroFluidosv3%5B%40version%3Dnull+and+%40uiVersion%3Dnull%5D%2Fdata%5B%40key%3Duuid%3A17040860-4208-4ed5-b086-a42769371eef%5D%2FgroupInfoFuel%5B%40ordinal%3D1%5D%2FpicFuelRecibeInterno","Descargar")</f>
        <v>Descargar</v>
      </c>
    </row>
    <row r="1088" spans="1:18" x14ac:dyDescent="0.3">
      <c r="A1088">
        <v>1586073</v>
      </c>
      <c r="B1088" t="s">
        <v>18</v>
      </c>
      <c r="C1088" t="s">
        <v>19</v>
      </c>
      <c r="D1088" t="s">
        <v>45</v>
      </c>
      <c r="E1088" t="s">
        <v>752</v>
      </c>
      <c r="F1088" t="s">
        <v>22</v>
      </c>
      <c r="G1088" t="s">
        <v>23</v>
      </c>
      <c r="H1088" t="s">
        <v>24</v>
      </c>
      <c r="I1088" t="s">
        <v>25</v>
      </c>
      <c r="J1088" s="2">
        <v>45861.749652777777</v>
      </c>
      <c r="K1088">
        <v>23</v>
      </c>
      <c r="L1088">
        <v>7</v>
      </c>
      <c r="M1088">
        <v>2025</v>
      </c>
      <c r="N1088" t="s">
        <v>27</v>
      </c>
      <c r="O1088">
        <v>300</v>
      </c>
      <c r="P1088">
        <v>300</v>
      </c>
      <c r="R1088" s="3" t="str">
        <f>HYPERLINK("https://panda.att.com.mx/ODKServer/view/binaryData?blobKey=FSSuministroFluidosv3%5B%40version%3Dnull+and+%40uiVersion%3Dnull%5D%2Fdata%5B%40key%3Duuid%3A719890e8-0c56-4065-8156-8be6cf2e98a1%5D%2FgroupInfoFuel%5B%40ordinal%3D1%5D%2FpicFuelRecibeInterno","Descargar")</f>
        <v>Descargar</v>
      </c>
    </row>
    <row r="1089" spans="1:18" x14ac:dyDescent="0.3">
      <c r="A1089">
        <v>1586072</v>
      </c>
      <c r="B1089" t="s">
        <v>18</v>
      </c>
      <c r="C1089" t="s">
        <v>19</v>
      </c>
      <c r="D1089" t="s">
        <v>45</v>
      </c>
      <c r="E1089" t="s">
        <v>752</v>
      </c>
      <c r="F1089" t="s">
        <v>22</v>
      </c>
      <c r="G1089" t="s">
        <v>23</v>
      </c>
      <c r="H1089" t="s">
        <v>24</v>
      </c>
      <c r="I1089" t="s">
        <v>25</v>
      </c>
      <c r="J1089" s="2">
        <v>45864.610949074071</v>
      </c>
      <c r="K1089">
        <v>26</v>
      </c>
      <c r="L1089">
        <v>7</v>
      </c>
      <c r="M1089">
        <v>2025</v>
      </c>
      <c r="N1089" t="s">
        <v>27</v>
      </c>
      <c r="O1089">
        <v>300</v>
      </c>
      <c r="P1089">
        <v>300</v>
      </c>
      <c r="R1089" s="3" t="str">
        <f>HYPERLINK("https://panda.att.com.mx/ODKServer/view/binaryData?blobKey=FSSuministroFluidosv3%5B%40version%3Dnull+and+%40uiVersion%3Dnull%5D%2Fdata%5B%40key%3Duuid%3Ac800e958-bc4f-4e29-93ca-823f7be91f12%5D%2FgroupInfoFuel%5B%40ordinal%3D1%5D%2FpicFuelRecibeInterno","Descargar")</f>
        <v>Descargar</v>
      </c>
    </row>
    <row r="1090" spans="1:18" x14ac:dyDescent="0.3">
      <c r="A1090">
        <v>1586049</v>
      </c>
      <c r="B1090" t="s">
        <v>18</v>
      </c>
      <c r="C1090" t="s">
        <v>150</v>
      </c>
      <c r="D1090" t="s">
        <v>164</v>
      </c>
      <c r="E1090" t="s">
        <v>165</v>
      </c>
      <c r="F1090" t="s">
        <v>22</v>
      </c>
      <c r="G1090" t="s">
        <v>23</v>
      </c>
      <c r="H1090" t="s">
        <v>58</v>
      </c>
      <c r="I1090" t="s">
        <v>25</v>
      </c>
      <c r="J1090" s="2">
        <v>45866.671527777777</v>
      </c>
      <c r="K1090">
        <v>28</v>
      </c>
      <c r="L1090">
        <v>7</v>
      </c>
      <c r="M1090">
        <v>2025</v>
      </c>
      <c r="N1090" t="s">
        <v>27</v>
      </c>
      <c r="O1090">
        <v>400</v>
      </c>
      <c r="P1090">
        <v>400</v>
      </c>
      <c r="R1090" s="3" t="str">
        <f>HYPERLINK("https://panda.att.com.mx/ODKServer/view/binaryData?blobKey=FSSuministroFluidosv3%5B%40version%3Dnull+and+%40uiVersion%3Dnull%5D%2Fdata%5B%40key%3Duuid%3A59029caa-1956-4512-ad8a-5a253326548b%5D%2FgroupInfoFuel%5B%40ordinal%3D1%5D%2FpicFuelRecibeInterno","Descargar")</f>
        <v>Descargar</v>
      </c>
    </row>
    <row r="1091" spans="1:18" x14ac:dyDescent="0.3">
      <c r="A1091">
        <v>1586048</v>
      </c>
      <c r="B1091" t="s">
        <v>18</v>
      </c>
      <c r="C1091" t="s">
        <v>68</v>
      </c>
      <c r="D1091" t="s">
        <v>116</v>
      </c>
      <c r="E1091" t="s">
        <v>476</v>
      </c>
      <c r="F1091" t="s">
        <v>22</v>
      </c>
      <c r="G1091" t="s">
        <v>23</v>
      </c>
      <c r="H1091" t="s">
        <v>37</v>
      </c>
      <c r="I1091" t="s">
        <v>25</v>
      </c>
      <c r="J1091" s="2">
        <v>45866.526030092587</v>
      </c>
      <c r="K1091">
        <v>28</v>
      </c>
      <c r="L1091">
        <v>7</v>
      </c>
      <c r="M1091">
        <v>2025</v>
      </c>
      <c r="N1091" t="s">
        <v>27</v>
      </c>
      <c r="O1091">
        <v>350</v>
      </c>
      <c r="P1091">
        <v>350</v>
      </c>
      <c r="R1091" s="3" t="str">
        <f>HYPERLINK("https://panda.att.com.mx/ODKServer/view/binaryData?blobKey=FSSuministroFluidosv3%5B%40version%3Dnull+and+%40uiVersion%3Dnull%5D%2Fdata%5B%40key%3Duuid%3A8c2c1ecf-4e31-400e-b665-a19bc817b5ba%5D%2FgroupInfoFuel%5B%40ordinal%3D1%5D%2FpicFuelRecibeInterno","Descargar")</f>
        <v>Descargar</v>
      </c>
    </row>
    <row r="1092" spans="1:18" x14ac:dyDescent="0.3">
      <c r="A1092">
        <v>1586020</v>
      </c>
      <c r="B1092" t="s">
        <v>18</v>
      </c>
      <c r="C1092" t="s">
        <v>34</v>
      </c>
      <c r="D1092" t="s">
        <v>53</v>
      </c>
      <c r="E1092" t="s">
        <v>1535</v>
      </c>
      <c r="F1092" t="s">
        <v>22</v>
      </c>
      <c r="G1092" t="s">
        <v>23</v>
      </c>
      <c r="H1092" t="s">
        <v>37</v>
      </c>
      <c r="I1092" t="s">
        <v>25</v>
      </c>
      <c r="J1092" s="2">
        <v>45866.586585648147</v>
      </c>
      <c r="K1092">
        <v>28</v>
      </c>
      <c r="L1092">
        <v>7</v>
      </c>
      <c r="M1092">
        <v>2025</v>
      </c>
      <c r="N1092" t="s">
        <v>27</v>
      </c>
      <c r="O1092">
        <v>250</v>
      </c>
      <c r="P1092">
        <v>250</v>
      </c>
      <c r="R1092" s="3" t="str">
        <f>HYPERLINK("https://panda.att.com.mx/ODKServer/view/binaryData?blobKey=FSSuministroFluidosv3%5B%40version%3Dnull+and+%40uiVersion%3Dnull%5D%2Fdata%5B%40key%3Duuid%3A7a770c38-b0ab-4583-ac70-14c61f5770b8%5D%2FgroupInfoFuel%5B%40ordinal%3D1%5D%2FpicFuelRecibeInterno","Descargar")</f>
        <v>Descargar</v>
      </c>
    </row>
    <row r="1093" spans="1:18" x14ac:dyDescent="0.3">
      <c r="A1093">
        <v>1586019</v>
      </c>
      <c r="B1093" t="s">
        <v>18</v>
      </c>
      <c r="C1093" t="s">
        <v>19</v>
      </c>
      <c r="D1093" t="s">
        <v>175</v>
      </c>
      <c r="E1093" t="s">
        <v>1536</v>
      </c>
      <c r="F1093" t="s">
        <v>22</v>
      </c>
      <c r="G1093" t="s">
        <v>23</v>
      </c>
      <c r="H1093" t="s">
        <v>37</v>
      </c>
      <c r="I1093" t="s">
        <v>25</v>
      </c>
      <c r="J1093" s="2">
        <v>45866.675266203703</v>
      </c>
      <c r="K1093">
        <v>28</v>
      </c>
      <c r="L1093">
        <v>7</v>
      </c>
      <c r="M1093">
        <v>2025</v>
      </c>
      <c r="N1093" t="s">
        <v>44</v>
      </c>
      <c r="O1093">
        <v>50</v>
      </c>
      <c r="P1093">
        <v>50</v>
      </c>
      <c r="R1093" s="3" t="str">
        <f>HYPERLINK("https://panda.att.com.mx/ODKServer/view/binaryData?blobKey=FSSuministroFluidosv3%5B%40version%3Dnull+and+%40uiVersion%3Dnull%5D%2Fdata%5B%40key%3Duuid%3Ac3b70cc5-158f-4bca-bb19-a4ce7bbc6578%5D%2FgroupInfoFuel%5B%40ordinal%3D1%5D%2FpicFuelRecibeInterno","Descargar")</f>
        <v>Descargar</v>
      </c>
    </row>
    <row r="1094" spans="1:18" x14ac:dyDescent="0.3">
      <c r="A1094">
        <v>1585977</v>
      </c>
      <c r="B1094" t="s">
        <v>18</v>
      </c>
      <c r="C1094" t="s">
        <v>19</v>
      </c>
      <c r="D1094" t="s">
        <v>20</v>
      </c>
      <c r="E1094" t="s">
        <v>21</v>
      </c>
      <c r="F1094" t="s">
        <v>22</v>
      </c>
      <c r="G1094" t="s">
        <v>23</v>
      </c>
      <c r="H1094" t="s">
        <v>24</v>
      </c>
      <c r="I1094" t="s">
        <v>25</v>
      </c>
      <c r="J1094" s="2">
        <v>45861.33861111111</v>
      </c>
      <c r="K1094">
        <v>23</v>
      </c>
      <c r="L1094">
        <v>7</v>
      </c>
      <c r="M1094">
        <v>2025</v>
      </c>
      <c r="N1094" t="s">
        <v>27</v>
      </c>
      <c r="O1094">
        <v>300</v>
      </c>
      <c r="P1094">
        <v>300</v>
      </c>
      <c r="R1094" s="3" t="str">
        <f>HYPERLINK("https://panda.att.com.mx/ODKServer/view/binaryData?blobKey=FSSuministroFluidosv3%5B%40version%3Dnull+and+%40uiVersion%3Dnull%5D%2Fdata%5B%40key%3Duuid%3Ae05c7bf0-ec8e-4e8c-b9ed-a9e497686a35%5D%2FgroupInfoFuel%5B%40ordinal%3D1%5D%2FpicFuelRecibeInterno","Descargar")</f>
        <v>Descargar</v>
      </c>
    </row>
    <row r="1095" spans="1:18" x14ac:dyDescent="0.3">
      <c r="A1095">
        <v>1585957</v>
      </c>
      <c r="B1095" t="s">
        <v>18</v>
      </c>
      <c r="C1095" t="s">
        <v>55</v>
      </c>
      <c r="D1095" t="s">
        <v>288</v>
      </c>
      <c r="E1095" t="s">
        <v>1537</v>
      </c>
      <c r="F1095" t="s">
        <v>22</v>
      </c>
      <c r="G1095" t="s">
        <v>23</v>
      </c>
      <c r="H1095" t="s">
        <v>58</v>
      </c>
      <c r="I1095" t="s">
        <v>25</v>
      </c>
      <c r="J1095" s="2">
        <v>45866.592210648138</v>
      </c>
      <c r="K1095">
        <v>28</v>
      </c>
      <c r="L1095">
        <v>7</v>
      </c>
      <c r="M1095">
        <v>2025</v>
      </c>
      <c r="N1095" t="s">
        <v>27</v>
      </c>
      <c r="O1095">
        <v>300</v>
      </c>
      <c r="P1095">
        <v>300</v>
      </c>
      <c r="R1095" s="3" t="str">
        <f>HYPERLINK("https://panda.att.com.mx/ODKServer/view/binaryData?blobKey=FSSuministroFluidosv3%5B%40version%3Dnull+and+%40uiVersion%3Dnull%5D%2Fdata%5B%40key%3Duuid%3Ae265cac0-13dd-4c1e-acc5-8d52e95b406a%5D%2FgroupInfoFuel%5B%40ordinal%3D1%5D%2FpicFuelRecibeInterno","Descargar")</f>
        <v>Descargar</v>
      </c>
    </row>
    <row r="1096" spans="1:18" x14ac:dyDescent="0.3">
      <c r="A1096">
        <v>1585797</v>
      </c>
      <c r="B1096" t="s">
        <v>18</v>
      </c>
      <c r="C1096" t="s">
        <v>55</v>
      </c>
      <c r="D1096" t="s">
        <v>288</v>
      </c>
      <c r="E1096" t="s">
        <v>440</v>
      </c>
      <c r="F1096" t="s">
        <v>22</v>
      </c>
      <c r="G1096" t="s">
        <v>23</v>
      </c>
      <c r="H1096" t="s">
        <v>58</v>
      </c>
      <c r="I1096" t="s">
        <v>25</v>
      </c>
      <c r="J1096" s="2">
        <v>45866.515717592592</v>
      </c>
      <c r="K1096">
        <v>28</v>
      </c>
      <c r="L1096">
        <v>7</v>
      </c>
      <c r="M1096">
        <v>2025</v>
      </c>
      <c r="N1096" t="s">
        <v>27</v>
      </c>
      <c r="O1096">
        <v>200</v>
      </c>
      <c r="P1096">
        <v>200</v>
      </c>
      <c r="R1096" s="3" t="str">
        <f>HYPERLINK("https://panda.att.com.mx/ODKServer/view/binaryData?blobKey=FSSuministroFluidosv3%5B%40version%3Dnull+and+%40uiVersion%3Dnull%5D%2Fdata%5B%40key%3Duuid%3Af6979cdb-6c6b-421b-a803-0ffbb3681a7e%5D%2FgroupInfoFuel%5B%40ordinal%3D1%5D%2FpicFuelRecibeInterno","Descargar")</f>
        <v>Descargar</v>
      </c>
    </row>
    <row r="1097" spans="1:18" x14ac:dyDescent="0.3">
      <c r="A1097">
        <v>1585789</v>
      </c>
      <c r="B1097" t="s">
        <v>18</v>
      </c>
      <c r="C1097" t="s">
        <v>167</v>
      </c>
      <c r="D1097" t="s">
        <v>168</v>
      </c>
      <c r="E1097" t="s">
        <v>169</v>
      </c>
      <c r="F1097" t="s">
        <v>22</v>
      </c>
      <c r="G1097" t="s">
        <v>83</v>
      </c>
      <c r="H1097" t="s">
        <v>58</v>
      </c>
      <c r="I1097" t="s">
        <v>25</v>
      </c>
      <c r="J1097" s="2">
        <v>45866.529849537037</v>
      </c>
      <c r="K1097">
        <v>28</v>
      </c>
      <c r="L1097">
        <v>7</v>
      </c>
      <c r="M1097">
        <v>2025</v>
      </c>
      <c r="N1097" t="s">
        <v>27</v>
      </c>
      <c r="O1097">
        <v>450</v>
      </c>
      <c r="P1097">
        <v>450</v>
      </c>
      <c r="R1097" s="3" t="str">
        <f>HYPERLINK("https://panda.att.com.mx/ODKServer/view/binaryData?blobKey=FSSuministroFluidosv3%5B%40version%3Dnull+and+%40uiVersion%3Dnull%5D%2Fdata%5B%40key%3Duuid%3A62ab5413-dca7-46a1-9426-41ffc6de20ee%5D%2FgroupInfoFuel%5B%40ordinal%3D1%5D%2FpicFuelRecibeInterno","Descargar")</f>
        <v>Descargar</v>
      </c>
    </row>
    <row r="1098" spans="1:18" x14ac:dyDescent="0.3">
      <c r="A1098">
        <v>1585760</v>
      </c>
      <c r="B1098" t="s">
        <v>18</v>
      </c>
      <c r="C1098" t="s">
        <v>55</v>
      </c>
      <c r="D1098" t="s">
        <v>89</v>
      </c>
      <c r="E1098" t="s">
        <v>1538</v>
      </c>
      <c r="F1098" t="s">
        <v>22</v>
      </c>
      <c r="G1098" t="s">
        <v>23</v>
      </c>
      <c r="H1098" t="s">
        <v>58</v>
      </c>
      <c r="I1098" t="s">
        <v>25</v>
      </c>
      <c r="J1098" s="2">
        <v>45866.422824074078</v>
      </c>
      <c r="K1098">
        <v>28</v>
      </c>
      <c r="L1098">
        <v>7</v>
      </c>
      <c r="M1098">
        <v>2025</v>
      </c>
      <c r="N1098" t="s">
        <v>27</v>
      </c>
      <c r="O1098">
        <v>200</v>
      </c>
      <c r="P1098">
        <v>200</v>
      </c>
      <c r="R1098" s="3" t="str">
        <f>HYPERLINK("https://panda.att.com.mx/ODKServer/view/binaryData?blobKey=FSSuministroFluidosv3%5B%40version%3Dnull+and+%40uiVersion%3Dnull%5D%2Fdata%5B%40key%3Duuid%3Af37ffc91-bbe9-48be-9703-f98a07d9cd03%5D%2FgroupInfoFuel%5B%40ordinal%3D1%5D%2FpicFuelRecibeInterno","Descargar")</f>
        <v>Descargar</v>
      </c>
    </row>
    <row r="1099" spans="1:18" x14ac:dyDescent="0.3">
      <c r="A1099">
        <v>1585754</v>
      </c>
      <c r="B1099" t="s">
        <v>18</v>
      </c>
      <c r="C1099" t="s">
        <v>59</v>
      </c>
      <c r="D1099" t="s">
        <v>60</v>
      </c>
      <c r="E1099" t="s">
        <v>1539</v>
      </c>
      <c r="F1099" t="s">
        <v>22</v>
      </c>
      <c r="G1099" t="s">
        <v>23</v>
      </c>
      <c r="H1099" t="s">
        <v>37</v>
      </c>
      <c r="I1099" t="s">
        <v>25</v>
      </c>
      <c r="J1099" s="2">
        <v>45858.946423611109</v>
      </c>
      <c r="K1099">
        <v>20</v>
      </c>
      <c r="L1099">
        <v>7</v>
      </c>
      <c r="M1099">
        <v>2025</v>
      </c>
      <c r="N1099" t="s">
        <v>27</v>
      </c>
      <c r="O1099">
        <v>40</v>
      </c>
      <c r="P1099">
        <v>40</v>
      </c>
      <c r="R1099" s="3" t="str">
        <f>HYPERLINK("https://panda.att.com.mx/ODKServer/view/binaryData?blobKey=FSSuministroFluidosv3%5B%40version%3Dnull+and+%40uiVersion%3Dnull%5D%2Fdata%5B%40key%3Duuid%3A647ec0e0-a8ba-4faa-b819-770440505f87%5D%2FgroupInfoFuel%5B%40ordinal%3D1%5D%2FpicFuelRecibeInterno","Descargar")</f>
        <v>Descargar</v>
      </c>
    </row>
    <row r="1100" spans="1:18" x14ac:dyDescent="0.3">
      <c r="A1100">
        <v>1585739</v>
      </c>
      <c r="B1100" t="s">
        <v>18</v>
      </c>
      <c r="C1100" t="s">
        <v>28</v>
      </c>
      <c r="D1100" t="s">
        <v>118</v>
      </c>
      <c r="E1100" t="s">
        <v>1540</v>
      </c>
      <c r="F1100" t="s">
        <v>22</v>
      </c>
      <c r="G1100" t="s">
        <v>23</v>
      </c>
      <c r="H1100" t="s">
        <v>24</v>
      </c>
      <c r="I1100" t="s">
        <v>25</v>
      </c>
      <c r="J1100" s="2">
        <v>45862.544606481482</v>
      </c>
      <c r="K1100">
        <v>24</v>
      </c>
      <c r="L1100">
        <v>7</v>
      </c>
      <c r="M1100">
        <v>2025</v>
      </c>
      <c r="N1100" t="s">
        <v>27</v>
      </c>
      <c r="O1100">
        <v>60</v>
      </c>
      <c r="P1100">
        <v>60</v>
      </c>
      <c r="R1100" s="3" t="str">
        <f>HYPERLINK("https://panda.att.com.mx/ODKServer/view/binaryData?blobKey=FSSuministroFluidosv3%5B%40version%3Dnull+and+%40uiVersion%3Dnull%5D%2Fdata%5B%40key%3Duuid%3A5daf8e68-c6ab-4fa2-8d28-bb015d1d47d6%5D%2FgroupInfoFuel%5B%40ordinal%3D1%5D%2FpicFuelRecibeInterno","Descargar")</f>
        <v>Descargar</v>
      </c>
    </row>
    <row r="1101" spans="1:18" x14ac:dyDescent="0.3">
      <c r="A1101">
        <v>1585707</v>
      </c>
      <c r="B1101" t="s">
        <v>18</v>
      </c>
      <c r="C1101" t="s">
        <v>19</v>
      </c>
      <c r="D1101" t="s">
        <v>109</v>
      </c>
      <c r="E1101" t="s">
        <v>1541</v>
      </c>
      <c r="F1101" t="s">
        <v>22</v>
      </c>
      <c r="G1101" t="s">
        <v>23</v>
      </c>
      <c r="H1101" t="s">
        <v>24</v>
      </c>
      <c r="I1101" t="s">
        <v>25</v>
      </c>
      <c r="J1101" s="2">
        <v>45865.653391203698</v>
      </c>
      <c r="K1101">
        <v>27</v>
      </c>
      <c r="L1101">
        <v>7</v>
      </c>
      <c r="M1101">
        <v>2025</v>
      </c>
      <c r="N1101" t="s">
        <v>44</v>
      </c>
      <c r="O1101">
        <v>30</v>
      </c>
      <c r="P1101">
        <v>30</v>
      </c>
      <c r="R1101" s="3" t="str">
        <f>HYPERLINK("https://panda.att.com.mx/ODKServer/view/binaryData?blobKey=FSSuministroFluidosv3%5B%40version%3Dnull+and+%40uiVersion%3Dnull%5D%2Fdata%5B%40key%3Duuid%3A1a54642f-8843-4c6c-a3ac-c7f4bf536ee2%5D%2FgroupInfoFuel%5B%40ordinal%3D1%5D%2FpicFuelRecibeInterno","Descargar")</f>
        <v>Descargar</v>
      </c>
    </row>
    <row r="1102" spans="1:18" x14ac:dyDescent="0.3">
      <c r="A1102">
        <v>1585698</v>
      </c>
      <c r="B1102" t="s">
        <v>18</v>
      </c>
      <c r="C1102" t="s">
        <v>34</v>
      </c>
      <c r="D1102" t="s">
        <v>53</v>
      </c>
      <c r="E1102" t="s">
        <v>649</v>
      </c>
      <c r="F1102" t="s">
        <v>22</v>
      </c>
      <c r="G1102" t="s">
        <v>23</v>
      </c>
      <c r="H1102" t="s">
        <v>37</v>
      </c>
      <c r="I1102" t="s">
        <v>25</v>
      </c>
      <c r="J1102" s="2">
        <v>45866.427511574067</v>
      </c>
      <c r="K1102">
        <v>28</v>
      </c>
      <c r="L1102">
        <v>7</v>
      </c>
      <c r="M1102">
        <v>2025</v>
      </c>
      <c r="N1102" t="s">
        <v>27</v>
      </c>
      <c r="O1102">
        <v>200</v>
      </c>
      <c r="P1102">
        <v>200</v>
      </c>
      <c r="R1102" s="3" t="str">
        <f>HYPERLINK("https://panda.att.com.mx/ODKServer/view/binaryData?blobKey=FSSuministroFluidosv3%5B%40version%3Dnull+and+%40uiVersion%3Dnull%5D%2Fdata%5B%40key%3Duuid%3Ae793226d-b4d8-464b-9808-bb3e6b80f251%5D%2FgroupInfoFuel%5B%40ordinal%3D1%5D%2FpicFuelRecibeInterno","Descargar")</f>
        <v>Descargar</v>
      </c>
    </row>
    <row r="1103" spans="1:18" x14ac:dyDescent="0.3">
      <c r="A1103">
        <v>1585682</v>
      </c>
      <c r="B1103" t="s">
        <v>18</v>
      </c>
      <c r="C1103" t="s">
        <v>19</v>
      </c>
      <c r="D1103" t="s">
        <v>62</v>
      </c>
      <c r="E1103" t="s">
        <v>1542</v>
      </c>
      <c r="F1103" t="s">
        <v>22</v>
      </c>
      <c r="G1103" t="s">
        <v>23</v>
      </c>
      <c r="H1103" t="s">
        <v>24</v>
      </c>
      <c r="I1103" t="s">
        <v>25</v>
      </c>
      <c r="J1103" s="2">
        <v>45865.778043981481</v>
      </c>
      <c r="K1103">
        <v>27</v>
      </c>
      <c r="L1103">
        <v>7</v>
      </c>
      <c r="M1103">
        <v>2025</v>
      </c>
      <c r="N1103" t="s">
        <v>27</v>
      </c>
      <c r="O1103">
        <v>100</v>
      </c>
      <c r="P1103">
        <v>100</v>
      </c>
      <c r="R1103" s="3" t="str">
        <f>HYPERLINK("https://panda.att.com.mx/ODKServer/view/binaryData?blobKey=FSSuministroFluidosv3%5B%40version%3Dnull+and+%40uiVersion%3Dnull%5D%2Fdata%5B%40key%3Duuid%3A09243a2c-4c6c-46e5-ac0d-2087179ae048%5D%2FgroupInfoFuel%5B%40ordinal%3D1%5D%2FpicFuelRecibeInterno","Descargar")</f>
        <v>Descargar</v>
      </c>
    </row>
    <row r="1104" spans="1:18" x14ac:dyDescent="0.3">
      <c r="A1104">
        <v>1585641</v>
      </c>
      <c r="B1104" t="s">
        <v>18</v>
      </c>
      <c r="C1104" t="s">
        <v>100</v>
      </c>
      <c r="D1104" t="s">
        <v>101</v>
      </c>
      <c r="E1104" t="s">
        <v>102</v>
      </c>
      <c r="F1104" t="s">
        <v>22</v>
      </c>
      <c r="G1104" t="s">
        <v>83</v>
      </c>
      <c r="H1104" t="s">
        <v>58</v>
      </c>
      <c r="I1104" t="s">
        <v>25</v>
      </c>
      <c r="J1104" s="2">
        <v>45866.411203703698</v>
      </c>
      <c r="K1104">
        <v>28</v>
      </c>
      <c r="L1104">
        <v>7</v>
      </c>
      <c r="M1104">
        <v>2025</v>
      </c>
      <c r="N1104" t="s">
        <v>44</v>
      </c>
      <c r="O1104">
        <v>60</v>
      </c>
      <c r="P1104">
        <v>60</v>
      </c>
      <c r="R1104" s="3" t="str">
        <f>HYPERLINK("https://panda.att.com.mx/ODKServer/view/binaryData?blobKey=FSSuministroFluidosv3%5B%40version%3Dnull+and+%40uiVersion%3Dnull%5D%2Fdata%5B%40key%3Duuid%3Af974d219-3d18-4c54-bd6d-363564c3241d%5D%2FgroupInfoFuel%5B%40ordinal%3D1%5D%2FpicFuelRecibeInterno","Descargar")</f>
        <v>Descargar</v>
      </c>
    </row>
    <row r="1105" spans="1:18" x14ac:dyDescent="0.3">
      <c r="A1105">
        <v>1585601</v>
      </c>
      <c r="B1105" t="s">
        <v>18</v>
      </c>
      <c r="C1105" t="s">
        <v>19</v>
      </c>
      <c r="D1105" t="s">
        <v>20</v>
      </c>
      <c r="E1105" t="s">
        <v>21</v>
      </c>
      <c r="F1105" t="s">
        <v>22</v>
      </c>
      <c r="G1105" t="s">
        <v>23</v>
      </c>
      <c r="H1105" t="s">
        <v>24</v>
      </c>
      <c r="I1105" t="s">
        <v>25</v>
      </c>
      <c r="J1105" s="2">
        <v>45864.563645833332</v>
      </c>
      <c r="K1105">
        <v>26</v>
      </c>
      <c r="L1105">
        <v>7</v>
      </c>
      <c r="M1105">
        <v>2025</v>
      </c>
      <c r="N1105" t="s">
        <v>27</v>
      </c>
      <c r="O1105">
        <v>300</v>
      </c>
      <c r="P1105">
        <v>300</v>
      </c>
      <c r="R1105" s="3" t="str">
        <f>HYPERLINK("https://panda.att.com.mx/ODKServer/view/binaryData?blobKey=FSSuministroFluidosv3%5B%40version%3Dnull+and+%40uiVersion%3Dnull%5D%2Fdata%5B%40key%3Duuid%3A0d7cf500-7c45-45f9-9538-0f9fc061e3f7%5D%2FgroupInfoFuel%5B%40ordinal%3D1%5D%2FpicFuelRecibeInterno","Descargar")</f>
        <v>Descargar</v>
      </c>
    </row>
    <row r="1106" spans="1:18" x14ac:dyDescent="0.3">
      <c r="A1106">
        <v>1585571</v>
      </c>
      <c r="B1106" t="s">
        <v>18</v>
      </c>
      <c r="C1106" t="s">
        <v>100</v>
      </c>
      <c r="D1106" t="s">
        <v>716</v>
      </c>
      <c r="E1106" t="s">
        <v>717</v>
      </c>
      <c r="F1106" t="s">
        <v>22</v>
      </c>
      <c r="G1106" t="s">
        <v>83</v>
      </c>
      <c r="H1106" t="s">
        <v>58</v>
      </c>
      <c r="I1106" t="s">
        <v>25</v>
      </c>
      <c r="J1106" s="2">
        <v>45866.350694444453</v>
      </c>
      <c r="K1106">
        <v>28</v>
      </c>
      <c r="L1106">
        <v>7</v>
      </c>
      <c r="M1106">
        <v>2025</v>
      </c>
      <c r="N1106" t="s">
        <v>27</v>
      </c>
      <c r="O1106">
        <v>130</v>
      </c>
      <c r="P1106">
        <v>130</v>
      </c>
      <c r="R1106" s="3" t="str">
        <f>HYPERLINK("https://panda.att.com.mx/ODKServer/view/binaryData?blobKey=FSSuministroFluidosv3%5B%40version%3Dnull+and+%40uiVersion%3Dnull%5D%2Fdata%5B%40key%3Duuid%3A3cb40f0a-51b3-4135-84f0-0549cf9a8f6a%5D%2FgroupInfoFuel%5B%40ordinal%3D1%5D%2FpicFuelRecibeInterno","Descargar")</f>
        <v>Descargar</v>
      </c>
    </row>
    <row r="1107" spans="1:18" x14ac:dyDescent="0.3">
      <c r="A1107">
        <v>1585566</v>
      </c>
      <c r="B1107" t="s">
        <v>18</v>
      </c>
      <c r="C1107" t="s">
        <v>100</v>
      </c>
      <c r="D1107" t="s">
        <v>101</v>
      </c>
      <c r="E1107" t="s">
        <v>102</v>
      </c>
      <c r="F1107" t="s">
        <v>22</v>
      </c>
      <c r="G1107" t="s">
        <v>83</v>
      </c>
      <c r="H1107" t="s">
        <v>58</v>
      </c>
      <c r="I1107" t="s">
        <v>25</v>
      </c>
      <c r="J1107" s="2">
        <v>45864.33666666667</v>
      </c>
      <c r="K1107">
        <v>26</v>
      </c>
      <c r="L1107">
        <v>7</v>
      </c>
      <c r="M1107">
        <v>2025</v>
      </c>
      <c r="N1107" t="s">
        <v>44</v>
      </c>
      <c r="O1107">
        <v>60</v>
      </c>
      <c r="P1107">
        <v>60</v>
      </c>
      <c r="R1107" s="3" t="str">
        <f>HYPERLINK("https://panda.att.com.mx/ODKServer/view/binaryData?blobKey=FSSuministroFluidosv3%5B%40version%3Dnull+and+%40uiVersion%3Dnull%5D%2Fdata%5B%40key%3Duuid%3A602fa5f2-ec52-4d78-8af7-85fcde39f07a%5D%2FgroupInfoFuel%5B%40ordinal%3D1%5D%2FpicFuelRecibeInterno","Descargar")</f>
        <v>Descargar</v>
      </c>
    </row>
    <row r="1108" spans="1:18" x14ac:dyDescent="0.3">
      <c r="A1108">
        <v>1585540</v>
      </c>
      <c r="B1108" t="s">
        <v>18</v>
      </c>
      <c r="C1108" t="s">
        <v>19</v>
      </c>
      <c r="D1108" t="s">
        <v>156</v>
      </c>
      <c r="E1108" t="s">
        <v>480</v>
      </c>
      <c r="F1108" t="s">
        <v>22</v>
      </c>
      <c r="G1108" t="s">
        <v>23</v>
      </c>
      <c r="H1108" t="s">
        <v>24</v>
      </c>
      <c r="I1108" t="s">
        <v>25</v>
      </c>
      <c r="J1108" s="2">
        <v>45828.049270833333</v>
      </c>
      <c r="K1108">
        <v>20</v>
      </c>
      <c r="L1108">
        <v>6</v>
      </c>
      <c r="M1108">
        <v>2025</v>
      </c>
      <c r="N1108" t="s">
        <v>27</v>
      </c>
      <c r="O1108">
        <v>300</v>
      </c>
      <c r="Q1108">
        <v>300</v>
      </c>
      <c r="R1108" s="3" t="str">
        <f>HYPERLINK("https://panda.att.com.mx/ODKServer/view/binaryData?blobKey=FSSuministroFluidosv3%5B%40version%3Dnull+and+%40uiVersion%3Dnull%5D%2Fdata%5B%40key%3Duuid%3A174548b3-969a-4b13-bfbb-f710fb0becae%5D%2FgroupInfoFuel%5B%40ordinal%3D1%5D%2FpicFuelRecibeInterno","Descargar")</f>
        <v>Descargar</v>
      </c>
    </row>
    <row r="1109" spans="1:18" x14ac:dyDescent="0.3">
      <c r="A1109">
        <v>1585429</v>
      </c>
      <c r="B1109" t="s">
        <v>18</v>
      </c>
      <c r="C1109" t="s">
        <v>34</v>
      </c>
      <c r="D1109" t="s">
        <v>53</v>
      </c>
      <c r="E1109" t="s">
        <v>1543</v>
      </c>
      <c r="F1109" t="s">
        <v>22</v>
      </c>
      <c r="G1109" t="s">
        <v>23</v>
      </c>
      <c r="H1109" t="s">
        <v>37</v>
      </c>
      <c r="I1109" t="s">
        <v>25</v>
      </c>
      <c r="J1109" s="2">
        <v>45865.661122685182</v>
      </c>
      <c r="K1109">
        <v>27</v>
      </c>
      <c r="L1109">
        <v>7</v>
      </c>
      <c r="M1109">
        <v>2025</v>
      </c>
      <c r="N1109" t="s">
        <v>27</v>
      </c>
      <c r="O1109">
        <v>260</v>
      </c>
      <c r="P1109">
        <v>260</v>
      </c>
      <c r="R1109" s="3" t="str">
        <f>HYPERLINK("https://panda.att.com.mx/ODKServer/view/binaryData?blobKey=FSSuministroFluidosv3%5B%40version%3Dnull+and+%40uiVersion%3Dnull%5D%2Fdata%5B%40key%3Duuid%3A4b9a97b2-5bad-4e86-97ba-cb559e0ec730%5D%2FgroupInfoFuel%5B%40ordinal%3D1%5D%2FpicFuelRecibeInterno","Descargar")</f>
        <v>Descargar</v>
      </c>
    </row>
    <row r="1110" spans="1:18" x14ac:dyDescent="0.3">
      <c r="A1110">
        <v>1585402</v>
      </c>
      <c r="B1110" t="s">
        <v>18</v>
      </c>
      <c r="C1110" t="s">
        <v>150</v>
      </c>
      <c r="D1110" t="s">
        <v>151</v>
      </c>
      <c r="E1110" t="s">
        <v>152</v>
      </c>
      <c r="F1110" t="s">
        <v>22</v>
      </c>
      <c r="G1110" t="s">
        <v>23</v>
      </c>
      <c r="H1110" t="s">
        <v>58</v>
      </c>
      <c r="I1110" t="s">
        <v>25</v>
      </c>
      <c r="J1110" s="2">
        <v>45865.577037037037</v>
      </c>
      <c r="K1110">
        <v>27</v>
      </c>
      <c r="L1110">
        <v>7</v>
      </c>
      <c r="M1110">
        <v>2025</v>
      </c>
      <c r="N1110" t="s">
        <v>27</v>
      </c>
      <c r="O1110">
        <v>100</v>
      </c>
      <c r="P1110">
        <v>100</v>
      </c>
      <c r="R1110" s="3" t="str">
        <f>HYPERLINK("https://panda.att.com.mx/ODKServer/view/binaryData?blobKey=FSSuministroFluidosv3%5B%40version%3Dnull+and+%40uiVersion%3Dnull%5D%2Fdata%5B%40key%3Duuid%3Afd270240-90dc-4cf3-94ed-bfca5659c8ef%5D%2FgroupInfoFuel%5B%40ordinal%3D1%5D%2FpicFuelRecibeInterno","Descargar")</f>
        <v>Descargar</v>
      </c>
    </row>
    <row r="1111" spans="1:18" x14ac:dyDescent="0.3">
      <c r="A1111">
        <v>1585399</v>
      </c>
      <c r="B1111" t="s">
        <v>18</v>
      </c>
      <c r="C1111" t="s">
        <v>34</v>
      </c>
      <c r="D1111" t="s">
        <v>53</v>
      </c>
      <c r="E1111" t="s">
        <v>1508</v>
      </c>
      <c r="F1111" t="s">
        <v>22</v>
      </c>
      <c r="G1111" t="s">
        <v>23</v>
      </c>
      <c r="H1111" t="s">
        <v>37</v>
      </c>
      <c r="I1111" t="s">
        <v>25</v>
      </c>
      <c r="J1111" s="2">
        <v>45865.542939814812</v>
      </c>
      <c r="K1111">
        <v>27</v>
      </c>
      <c r="L1111">
        <v>7</v>
      </c>
      <c r="M1111">
        <v>2025</v>
      </c>
      <c r="N1111" t="s">
        <v>27</v>
      </c>
      <c r="O1111">
        <v>200</v>
      </c>
      <c r="P1111">
        <v>200</v>
      </c>
      <c r="R1111" s="3" t="str">
        <f>HYPERLINK("https://panda.att.com.mx/ODKServer/view/binaryData?blobKey=FSSuministroFluidosv3%5B%40version%3Dnull+and+%40uiVersion%3Dnull%5D%2Fdata%5B%40key%3Duuid%3A9e50dac0-b3d2-4f3d-88ea-2510a50cad8f%5D%2FgroupInfoFuel%5B%40ordinal%3D1%5D%2FpicFuelRecibeInterno","Descargar")</f>
        <v>Descargar</v>
      </c>
    </row>
    <row r="1112" spans="1:18" x14ac:dyDescent="0.3">
      <c r="A1112">
        <v>1585393</v>
      </c>
      <c r="B1112" t="s">
        <v>18</v>
      </c>
      <c r="C1112" t="s">
        <v>55</v>
      </c>
      <c r="D1112" t="s">
        <v>366</v>
      </c>
      <c r="E1112" t="s">
        <v>1544</v>
      </c>
      <c r="F1112" t="s">
        <v>22</v>
      </c>
      <c r="G1112" t="s">
        <v>23</v>
      </c>
      <c r="H1112" t="s">
        <v>58</v>
      </c>
      <c r="I1112" t="s">
        <v>25</v>
      </c>
      <c r="J1112" s="2">
        <v>45865.555972222217</v>
      </c>
      <c r="K1112">
        <v>27</v>
      </c>
      <c r="L1112">
        <v>7</v>
      </c>
      <c r="M1112">
        <v>2025</v>
      </c>
      <c r="N1112" t="s">
        <v>27</v>
      </c>
      <c r="O1112">
        <v>100</v>
      </c>
      <c r="P1112">
        <v>100</v>
      </c>
      <c r="R1112" s="3" t="str">
        <f>HYPERLINK("https://panda.att.com.mx/ODKServer/view/binaryData?blobKey=FSSuministroFluidosv3%5B%40version%3Dnull+and+%40uiVersion%3Dnull%5D%2Fdata%5B%40key%3Duuid%3A37a97dec-fe87-45e0-a832-f50ff3f606c9%5D%2FgroupInfoFuel%5B%40ordinal%3D1%5D%2FpicFuelRecibeInterno","Descargar")</f>
        <v>Descargar</v>
      </c>
    </row>
    <row r="1113" spans="1:18" x14ac:dyDescent="0.3">
      <c r="A1113">
        <v>1585377</v>
      </c>
      <c r="B1113" t="s">
        <v>18</v>
      </c>
      <c r="C1113" t="s">
        <v>150</v>
      </c>
      <c r="D1113" t="s">
        <v>230</v>
      </c>
      <c r="E1113" t="s">
        <v>1510</v>
      </c>
      <c r="F1113" t="s">
        <v>22</v>
      </c>
      <c r="G1113" t="s">
        <v>23</v>
      </c>
      <c r="H1113" t="s">
        <v>58</v>
      </c>
      <c r="I1113" t="s">
        <v>25</v>
      </c>
      <c r="J1113" s="2">
        <v>45865.3987037037</v>
      </c>
      <c r="K1113">
        <v>27</v>
      </c>
      <c r="L1113">
        <v>7</v>
      </c>
      <c r="M1113">
        <v>2025</v>
      </c>
      <c r="N1113" t="s">
        <v>27</v>
      </c>
      <c r="O1113">
        <v>350</v>
      </c>
      <c r="P1113">
        <v>350</v>
      </c>
      <c r="R1113" s="3" t="str">
        <f>HYPERLINK("https://panda.att.com.mx/ODKServer/view/binaryData?blobKey=FSSuministroFluidosv3%5B%40version%3Dnull+and+%40uiVersion%3Dnull%5D%2Fdata%5B%40key%3Duuid%3A7535883a-c901-4ba3-8033-868f7761be23%5D%2FgroupInfoFuel%5B%40ordinal%3D1%5D%2FpicFuelRecibeInterno","Descargar")</f>
        <v>Descargar</v>
      </c>
    </row>
    <row r="1114" spans="1:18" x14ac:dyDescent="0.3">
      <c r="A1114">
        <v>1585354</v>
      </c>
      <c r="B1114" t="s">
        <v>18</v>
      </c>
      <c r="C1114" t="s">
        <v>100</v>
      </c>
      <c r="D1114" t="s">
        <v>101</v>
      </c>
      <c r="E1114" t="s">
        <v>102</v>
      </c>
      <c r="F1114" t="s">
        <v>22</v>
      </c>
      <c r="G1114" t="s">
        <v>83</v>
      </c>
      <c r="H1114" t="s">
        <v>58</v>
      </c>
      <c r="I1114" t="s">
        <v>25</v>
      </c>
      <c r="J1114" s="2">
        <v>45865.377858796302</v>
      </c>
      <c r="K1114">
        <v>27</v>
      </c>
      <c r="L1114">
        <v>7</v>
      </c>
      <c r="M1114">
        <v>2025</v>
      </c>
      <c r="N1114" t="s">
        <v>44</v>
      </c>
      <c r="O1114">
        <v>60</v>
      </c>
      <c r="P1114">
        <v>60</v>
      </c>
      <c r="R1114" s="3" t="str">
        <f>HYPERLINK("https://panda.att.com.mx/ODKServer/view/binaryData?blobKey=FSSuministroFluidosv3%5B%40version%3Dnull+and+%40uiVersion%3Dnull%5D%2Fdata%5B%40key%3Duuid%3A044fca0a-db62-42bb-9bcb-ae7fce5b5fc8%5D%2FgroupInfoFuel%5B%40ordinal%3D1%5D%2FpicFuelRecibeInterno","Descargar")</f>
        <v>Descargar</v>
      </c>
    </row>
    <row r="1115" spans="1:18" x14ac:dyDescent="0.3">
      <c r="A1115">
        <v>1585347</v>
      </c>
      <c r="B1115" t="s">
        <v>18</v>
      </c>
      <c r="C1115" t="s">
        <v>68</v>
      </c>
      <c r="D1115" t="s">
        <v>132</v>
      </c>
      <c r="E1115" t="s">
        <v>1545</v>
      </c>
      <c r="F1115" t="s">
        <v>22</v>
      </c>
      <c r="G1115" t="s">
        <v>23</v>
      </c>
      <c r="H1115" t="s">
        <v>37</v>
      </c>
      <c r="I1115" t="s">
        <v>25</v>
      </c>
      <c r="J1115" s="2">
        <v>45860.902002314811</v>
      </c>
      <c r="K1115">
        <v>22</v>
      </c>
      <c r="L1115">
        <v>7</v>
      </c>
      <c r="M1115">
        <v>2025</v>
      </c>
      <c r="N1115" t="s">
        <v>27</v>
      </c>
      <c r="O1115">
        <v>70</v>
      </c>
      <c r="P1115">
        <v>70</v>
      </c>
      <c r="R1115" s="3" t="str">
        <f>HYPERLINK("https://panda.att.com.mx/ODKServer/view/binaryData?blobKey=FSSuministroFluidosv3%5B%40version%3Dnull+and+%40uiVersion%3Dnull%5D%2Fdata%5B%40key%3Duuid%3Ae3543735-c525-45ec-a9b1-a0905fca6b0c%5D%2FgroupInfoFuel%5B%40ordinal%3D1%5D%2FpicFuelRecibeInterno","Descargar")</f>
        <v>Descargar</v>
      </c>
    </row>
    <row r="1116" spans="1:18" x14ac:dyDescent="0.3">
      <c r="A1116">
        <v>1585332</v>
      </c>
      <c r="B1116" t="s">
        <v>18</v>
      </c>
      <c r="C1116" t="s">
        <v>28</v>
      </c>
      <c r="D1116" t="s">
        <v>66</v>
      </c>
      <c r="E1116" t="s">
        <v>485</v>
      </c>
      <c r="F1116" t="s">
        <v>22</v>
      </c>
      <c r="G1116" t="s">
        <v>23</v>
      </c>
      <c r="H1116" t="s">
        <v>24</v>
      </c>
      <c r="I1116" t="s">
        <v>25</v>
      </c>
      <c r="J1116" s="2">
        <v>45864.569398148153</v>
      </c>
      <c r="K1116">
        <v>26</v>
      </c>
      <c r="L1116">
        <v>7</v>
      </c>
      <c r="M1116">
        <v>2025</v>
      </c>
      <c r="N1116" t="s">
        <v>27</v>
      </c>
      <c r="O1116">
        <v>550</v>
      </c>
      <c r="P1116">
        <v>550</v>
      </c>
      <c r="R1116" s="3" t="str">
        <f>HYPERLINK("https://panda.att.com.mx/ODKServer/view/binaryData?blobKey=FSSuministroFluidosv3%5B%40version%3Dnull+and+%40uiVersion%3Dnull%5D%2Fdata%5B%40key%3Duuid%3A38e18f63-a12e-4093-9be1-2f9602b8c544%5D%2FgroupInfoFuel%5B%40ordinal%3D1%5D%2FpicFuelRecibeInterno","Descargar")</f>
        <v>Descargar</v>
      </c>
    </row>
    <row r="1117" spans="1:18" x14ac:dyDescent="0.3">
      <c r="A1117">
        <v>1585313</v>
      </c>
      <c r="B1117" t="s">
        <v>18</v>
      </c>
      <c r="C1117" t="s">
        <v>28</v>
      </c>
      <c r="D1117" t="s">
        <v>181</v>
      </c>
      <c r="E1117" t="s">
        <v>182</v>
      </c>
      <c r="F1117" t="s">
        <v>22</v>
      </c>
      <c r="G1117" t="s">
        <v>23</v>
      </c>
      <c r="H1117" t="s">
        <v>24</v>
      </c>
      <c r="I1117" t="s">
        <v>25</v>
      </c>
      <c r="J1117" s="2">
        <v>45862.730104166672</v>
      </c>
      <c r="K1117">
        <v>24</v>
      </c>
      <c r="L1117">
        <v>7</v>
      </c>
      <c r="M1117">
        <v>2025</v>
      </c>
      <c r="N1117" t="s">
        <v>44</v>
      </c>
      <c r="O1117">
        <v>30</v>
      </c>
      <c r="P1117">
        <v>30</v>
      </c>
      <c r="R1117" s="3" t="str">
        <f>HYPERLINK("https://panda.att.com.mx/ODKServer/view/binaryData?blobKey=FSSuministroFluidosv3%5B%40version%3Dnull+and+%40uiVersion%3Dnull%5D%2Fdata%5B%40key%3Duuid%3Ad421b498-20f1-4309-8f7c-92324a1e727d%5D%2FgroupInfoFuel%5B%40ordinal%3D1%5D%2FpicFuelRecibeInterno","Descargar")</f>
        <v>Descargar</v>
      </c>
    </row>
    <row r="1118" spans="1:18" x14ac:dyDescent="0.3">
      <c r="A1118">
        <v>1585311</v>
      </c>
      <c r="B1118" t="s">
        <v>18</v>
      </c>
      <c r="C1118" t="s">
        <v>19</v>
      </c>
      <c r="D1118" t="s">
        <v>175</v>
      </c>
      <c r="E1118" t="s">
        <v>1546</v>
      </c>
      <c r="F1118" t="s">
        <v>22</v>
      </c>
      <c r="G1118" t="s">
        <v>23</v>
      </c>
      <c r="H1118" t="s">
        <v>24</v>
      </c>
      <c r="I1118" t="s">
        <v>25</v>
      </c>
      <c r="J1118" s="2">
        <v>45864.894062500003</v>
      </c>
      <c r="K1118">
        <v>26</v>
      </c>
      <c r="L1118">
        <v>7</v>
      </c>
      <c r="M1118">
        <v>2025</v>
      </c>
      <c r="N1118" t="s">
        <v>44</v>
      </c>
      <c r="O1118">
        <v>30</v>
      </c>
      <c r="P1118">
        <v>30</v>
      </c>
      <c r="R1118" s="3" t="str">
        <f>HYPERLINK("https://panda.att.com.mx/ODKServer/view/binaryData?blobKey=FSSuministroFluidosv3%5B%40version%3Dnull+and+%40uiVersion%3Dnull%5D%2Fdata%5B%40key%3Duuid%3A5c7e5d1a-bc3a-4c7c-a601-03c1b693837c%5D%2FgroupInfoFuel%5B%40ordinal%3D1%5D%2FpicFuelRecibeInterno","Descargar")</f>
        <v>Descargar</v>
      </c>
    </row>
    <row r="1119" spans="1:18" x14ac:dyDescent="0.3">
      <c r="A1119">
        <v>1585307</v>
      </c>
      <c r="B1119" t="s">
        <v>18</v>
      </c>
      <c r="C1119" t="s">
        <v>19</v>
      </c>
      <c r="D1119" t="s">
        <v>45</v>
      </c>
      <c r="E1119" t="s">
        <v>159</v>
      </c>
      <c r="F1119" t="s">
        <v>22</v>
      </c>
      <c r="G1119" t="s">
        <v>23</v>
      </c>
      <c r="H1119" t="s">
        <v>24</v>
      </c>
      <c r="I1119" t="s">
        <v>25</v>
      </c>
      <c r="J1119" s="2">
        <v>45863.737372685187</v>
      </c>
      <c r="K1119">
        <v>25</v>
      </c>
      <c r="L1119">
        <v>7</v>
      </c>
      <c r="M1119">
        <v>2025</v>
      </c>
      <c r="N1119" t="s">
        <v>27</v>
      </c>
      <c r="O1119">
        <v>400</v>
      </c>
      <c r="P1119">
        <v>400</v>
      </c>
      <c r="R1119" s="3" t="str">
        <f>HYPERLINK("https://panda.att.com.mx/ODKServer/view/binaryData?blobKey=FSSuministroFluidosv3%5B%40version%3Dnull+and+%40uiVersion%3Dnull%5D%2Fdata%5B%40key%3Duuid%3Ad4e3e044-c2c8-4e1a-a916-840ddd7b9f81%5D%2FgroupInfoFuel%5B%40ordinal%3D1%5D%2FpicFuelRecibeInterno","Descargar")</f>
        <v>Descargar</v>
      </c>
    </row>
    <row r="1120" spans="1:18" x14ac:dyDescent="0.3">
      <c r="A1120">
        <v>1585305</v>
      </c>
      <c r="B1120" t="s">
        <v>18</v>
      </c>
      <c r="C1120" t="s">
        <v>19</v>
      </c>
      <c r="D1120" t="s">
        <v>45</v>
      </c>
      <c r="E1120" t="s">
        <v>1265</v>
      </c>
      <c r="F1120" t="s">
        <v>22</v>
      </c>
      <c r="G1120" t="s">
        <v>23</v>
      </c>
      <c r="H1120" t="s">
        <v>24</v>
      </c>
      <c r="I1120" t="s">
        <v>25</v>
      </c>
      <c r="J1120" s="2">
        <v>45863.939456018517</v>
      </c>
      <c r="K1120">
        <v>25</v>
      </c>
      <c r="L1120">
        <v>7</v>
      </c>
      <c r="M1120">
        <v>2025</v>
      </c>
      <c r="N1120" t="s">
        <v>27</v>
      </c>
      <c r="O1120">
        <v>300</v>
      </c>
      <c r="P1120">
        <v>300</v>
      </c>
      <c r="R1120" s="3" t="str">
        <f>HYPERLINK("https://panda.att.com.mx/ODKServer/view/binaryData?blobKey=FSSuministroFluidosv3%5B%40version%3Dnull+and+%40uiVersion%3Dnull%5D%2Fdata%5B%40key%3Duuid%3Afcd8076f-e99d-4923-856d-7f060956a7a7%5D%2FgroupInfoFuel%5B%40ordinal%3D1%5D%2FpicFuelRecibeInterno","Descargar")</f>
        <v>Descargar</v>
      </c>
    </row>
    <row r="1121" spans="1:18" x14ac:dyDescent="0.3">
      <c r="A1121">
        <v>1585303</v>
      </c>
      <c r="B1121" t="s">
        <v>18</v>
      </c>
      <c r="C1121" t="s">
        <v>28</v>
      </c>
      <c r="D1121" t="s">
        <v>1036</v>
      </c>
      <c r="E1121" t="s">
        <v>1037</v>
      </c>
      <c r="F1121" t="s">
        <v>22</v>
      </c>
      <c r="G1121" t="s">
        <v>23</v>
      </c>
      <c r="H1121" t="s">
        <v>24</v>
      </c>
      <c r="I1121" t="s">
        <v>25</v>
      </c>
      <c r="J1121" s="2">
        <v>45861.883472222216</v>
      </c>
      <c r="K1121">
        <v>23</v>
      </c>
      <c r="L1121">
        <v>7</v>
      </c>
      <c r="M1121">
        <v>2025</v>
      </c>
      <c r="N1121" t="s">
        <v>27</v>
      </c>
      <c r="O1121">
        <v>300</v>
      </c>
      <c r="P1121">
        <v>300</v>
      </c>
      <c r="R1121" s="3" t="str">
        <f>HYPERLINK("https://panda.att.com.mx/ODKServer/view/binaryData?blobKey=FSSuministroFluidosv3%5B%40version%3Dnull+and+%40uiVersion%3Dnull%5D%2Fdata%5B%40key%3Duuid%3Ace327b1c-b986-4a77-9fa0-abc24aab569d%5D%2FgroupInfoFuel%5B%40ordinal%3D1%5D%2FpicFuelRecibeInterno","Descargar")</f>
        <v>Descargar</v>
      </c>
    </row>
    <row r="1122" spans="1:18" x14ac:dyDescent="0.3">
      <c r="A1122">
        <v>1585302</v>
      </c>
      <c r="B1122" t="s">
        <v>18</v>
      </c>
      <c r="C1122" t="s">
        <v>28</v>
      </c>
      <c r="D1122" t="s">
        <v>1036</v>
      </c>
      <c r="E1122" t="s">
        <v>1037</v>
      </c>
      <c r="F1122" t="s">
        <v>22</v>
      </c>
      <c r="G1122" t="s">
        <v>23</v>
      </c>
      <c r="H1122" t="s">
        <v>24</v>
      </c>
      <c r="I1122" t="s">
        <v>25</v>
      </c>
      <c r="J1122" s="2">
        <v>45858.510775462957</v>
      </c>
      <c r="K1122">
        <v>20</v>
      </c>
      <c r="L1122">
        <v>7</v>
      </c>
      <c r="M1122">
        <v>2025</v>
      </c>
      <c r="N1122" t="s">
        <v>27</v>
      </c>
      <c r="O1122">
        <v>250</v>
      </c>
      <c r="P1122">
        <v>250</v>
      </c>
      <c r="R1122" s="3" t="str">
        <f>HYPERLINK("https://panda.att.com.mx/ODKServer/view/binaryData?blobKey=FSSuministroFluidosv3%5B%40version%3Dnull+and+%40uiVersion%3Dnull%5D%2Fdata%5B%40key%3Duuid%3Ab3c5d4db-b87a-4441-b8da-9ec452830fbc%5D%2FgroupInfoFuel%5B%40ordinal%3D1%5D%2FpicFuelRecibeInterno","Descargar")</f>
        <v>Descargar</v>
      </c>
    </row>
    <row r="1123" spans="1:18" x14ac:dyDescent="0.3">
      <c r="A1123">
        <v>1585301</v>
      </c>
      <c r="B1123" t="s">
        <v>18</v>
      </c>
      <c r="C1123" t="s">
        <v>100</v>
      </c>
      <c r="D1123" t="s">
        <v>716</v>
      </c>
      <c r="E1123" t="s">
        <v>1547</v>
      </c>
      <c r="F1123" t="s">
        <v>22</v>
      </c>
      <c r="G1123" t="s">
        <v>23</v>
      </c>
      <c r="H1123" t="s">
        <v>58</v>
      </c>
      <c r="I1123" t="s">
        <v>25</v>
      </c>
      <c r="J1123" s="2">
        <v>45864.864664351851</v>
      </c>
      <c r="K1123">
        <v>26</v>
      </c>
      <c r="L1123">
        <v>7</v>
      </c>
      <c r="M1123">
        <v>2025</v>
      </c>
      <c r="N1123" t="s">
        <v>27</v>
      </c>
      <c r="O1123">
        <v>144.30000000000001</v>
      </c>
      <c r="P1123">
        <v>144.30000000000001</v>
      </c>
      <c r="R1123" s="3" t="str">
        <f>HYPERLINK("https://panda.att.com.mx/ODKServer/view/binaryData?blobKey=FSSuministroFluidosv3%5B%40version%3Dnull+and+%40uiVersion%3Dnull%5D%2Fdata%5B%40key%3Duuid%3A73ae6201-ca4b-417c-8854-777eb7a98fd6%5D%2FgroupInfoFuel%5B%40ordinal%3D1%5D%2FpicFuelRecibeInterno","Descargar")</f>
        <v>Descargar</v>
      </c>
    </row>
    <row r="1124" spans="1:18" x14ac:dyDescent="0.3">
      <c r="A1124">
        <v>1585298</v>
      </c>
      <c r="B1124" t="s">
        <v>18</v>
      </c>
      <c r="C1124" t="s">
        <v>19</v>
      </c>
      <c r="D1124" t="s">
        <v>62</v>
      </c>
      <c r="E1124" t="s">
        <v>1548</v>
      </c>
      <c r="F1124" t="s">
        <v>22</v>
      </c>
      <c r="G1124" t="s">
        <v>23</v>
      </c>
      <c r="H1124" t="s">
        <v>24</v>
      </c>
      <c r="I1124" t="s">
        <v>25</v>
      </c>
      <c r="J1124" s="2">
        <v>45864.854212962957</v>
      </c>
      <c r="K1124">
        <v>26</v>
      </c>
      <c r="L1124">
        <v>7</v>
      </c>
      <c r="M1124">
        <v>2025</v>
      </c>
      <c r="N1124" t="s">
        <v>27</v>
      </c>
      <c r="O1124">
        <v>115</v>
      </c>
      <c r="P1124">
        <v>115</v>
      </c>
      <c r="R1124" s="3" t="str">
        <f>HYPERLINK("https://panda.att.com.mx/ODKServer/view/binaryData?blobKey=FSSuministroFluidosv3%5B%40version%3Dnull+and+%40uiVersion%3Dnull%5D%2Fdata%5B%40key%3Duuid%3A0bc0f051-f66c-4500-a695-ba32c993bfbb%5D%2FgroupInfoFuel%5B%40ordinal%3D1%5D%2FpicFuelRecibeInterno","Descargar")</f>
        <v>Descargar</v>
      </c>
    </row>
    <row r="1125" spans="1:18" x14ac:dyDescent="0.3">
      <c r="A1125">
        <v>1585291</v>
      </c>
      <c r="B1125" t="s">
        <v>18</v>
      </c>
      <c r="C1125" t="s">
        <v>100</v>
      </c>
      <c r="D1125" t="s">
        <v>833</v>
      </c>
      <c r="E1125" t="s">
        <v>1303</v>
      </c>
      <c r="F1125" t="s">
        <v>22</v>
      </c>
      <c r="G1125" t="s">
        <v>83</v>
      </c>
      <c r="H1125" t="s">
        <v>58</v>
      </c>
      <c r="I1125" t="s">
        <v>25</v>
      </c>
      <c r="J1125" s="2">
        <v>45864.69222222222</v>
      </c>
      <c r="K1125">
        <v>26</v>
      </c>
      <c r="L1125">
        <v>7</v>
      </c>
      <c r="M1125">
        <v>2025</v>
      </c>
      <c r="N1125" t="s">
        <v>27</v>
      </c>
      <c r="O1125">
        <v>200</v>
      </c>
      <c r="P1125">
        <v>200</v>
      </c>
      <c r="R1125" s="3" t="str">
        <f>HYPERLINK("https://panda.att.com.mx/ODKServer/view/binaryData?blobKey=FSSuministroFluidosv3%5B%40version%3Dnull+and+%40uiVersion%3Dnull%5D%2Fdata%5B%40key%3Duuid%3Afdd9367b-7c21-4299-8adb-16457b24c746%5D%2FgroupInfoFuel%5B%40ordinal%3D1%5D%2FpicFuelRecibeInterno","Descargar")</f>
        <v>Descargar</v>
      </c>
    </row>
    <row r="1126" spans="1:18" x14ac:dyDescent="0.3">
      <c r="A1126">
        <v>1585287</v>
      </c>
      <c r="B1126" t="s">
        <v>18</v>
      </c>
      <c r="C1126" t="s">
        <v>19</v>
      </c>
      <c r="D1126" t="s">
        <v>42</v>
      </c>
      <c r="E1126" t="s">
        <v>980</v>
      </c>
      <c r="F1126" t="s">
        <v>22</v>
      </c>
      <c r="G1126" t="s">
        <v>23</v>
      </c>
      <c r="H1126" t="s">
        <v>24</v>
      </c>
      <c r="I1126" t="s">
        <v>25</v>
      </c>
      <c r="J1126" s="2">
        <v>45864.341215277767</v>
      </c>
      <c r="K1126">
        <v>26</v>
      </c>
      <c r="L1126">
        <v>7</v>
      </c>
      <c r="M1126">
        <v>2025</v>
      </c>
      <c r="N1126" t="s">
        <v>44</v>
      </c>
      <c r="O1126">
        <v>55</v>
      </c>
      <c r="P1126">
        <v>55</v>
      </c>
      <c r="R1126" s="3" t="str">
        <f>HYPERLINK("https://panda.att.com.mx/ODKServer/view/binaryData?blobKey=FSSuministroFluidosv3%5B%40version%3Dnull+and+%40uiVersion%3Dnull%5D%2Fdata%5B%40key%3Duuid%3Ade29f669-0c56-4cb1-b7f7-22ed5352366b%5D%2FgroupInfoFuel%5B%40ordinal%3D1%5D%2FpicFuelRecibeInterno","Descargar")</f>
        <v>Descargar</v>
      </c>
    </row>
    <row r="1127" spans="1:18" x14ac:dyDescent="0.3">
      <c r="A1127">
        <v>1584659</v>
      </c>
      <c r="B1127" t="s">
        <v>18</v>
      </c>
      <c r="C1127" t="s">
        <v>100</v>
      </c>
      <c r="D1127" t="s">
        <v>833</v>
      </c>
      <c r="E1127" t="s">
        <v>1303</v>
      </c>
      <c r="F1127" t="s">
        <v>22</v>
      </c>
      <c r="G1127" t="s">
        <v>83</v>
      </c>
      <c r="H1127" t="s">
        <v>58</v>
      </c>
      <c r="I1127" t="s">
        <v>25</v>
      </c>
      <c r="J1127" s="2">
        <v>45863.132731481477</v>
      </c>
      <c r="K1127">
        <v>25</v>
      </c>
      <c r="L1127">
        <v>7</v>
      </c>
      <c r="M1127">
        <v>2025</v>
      </c>
      <c r="N1127" t="s">
        <v>44</v>
      </c>
      <c r="O1127">
        <v>50</v>
      </c>
      <c r="P1127">
        <v>50</v>
      </c>
      <c r="R1127" s="3" t="str">
        <f>HYPERLINK("https://panda.att.com.mx/ODKServer/view/binaryData?blobKey=FSSuministroFluidosv3%5B%40version%3Dnull+and+%40uiVersion%3Dnull%5D%2Fdata%5B%40key%3Duuid%3A6d8b9e7c-3b77-4bbc-868e-e45700cc8b70%5D%2FgroupInfoFuel%5B%40ordinal%3D1%5D%2FpicFuelRecibeInterno","Descargar")</f>
        <v>Descargar</v>
      </c>
    </row>
    <row r="1128" spans="1:18" x14ac:dyDescent="0.3">
      <c r="A1128">
        <v>1584638</v>
      </c>
      <c r="B1128" t="s">
        <v>18</v>
      </c>
      <c r="C1128" t="s">
        <v>68</v>
      </c>
      <c r="D1128" t="s">
        <v>91</v>
      </c>
      <c r="E1128" t="s">
        <v>1549</v>
      </c>
      <c r="F1128" t="s">
        <v>22</v>
      </c>
      <c r="G1128" t="s">
        <v>23</v>
      </c>
      <c r="H1128" t="s">
        <v>37</v>
      </c>
      <c r="I1128" t="s">
        <v>25</v>
      </c>
      <c r="J1128" s="2">
        <v>45862.921238425923</v>
      </c>
      <c r="K1128">
        <v>24</v>
      </c>
      <c r="L1128">
        <v>7</v>
      </c>
      <c r="M1128">
        <v>2025</v>
      </c>
      <c r="N1128" t="s">
        <v>27</v>
      </c>
      <c r="R1128" s="3" t="str">
        <f>HYPERLINK("https://panda.att.com.mx/ODKServer/view/binaryData?blobKey=FSSuministroFluidosv3%5B%40version%3Dnull+and+%40uiVersion%3Dnull%5D%2Fdata%5B%40key%3Duuid%3A4a7548ff-19d4-4aa8-8322-4c10084b3c31%5D%2FgroupInfoFuel%5B%40ordinal%3D1%5D%2FpicFuelRecibeInterno","Descargar")</f>
        <v>Descargar</v>
      </c>
    </row>
    <row r="1129" spans="1:18" x14ac:dyDescent="0.3">
      <c r="A1129">
        <v>1584612</v>
      </c>
      <c r="B1129" t="s">
        <v>18</v>
      </c>
      <c r="C1129" t="s">
        <v>150</v>
      </c>
      <c r="D1129" t="s">
        <v>1550</v>
      </c>
      <c r="E1129" t="s">
        <v>1551</v>
      </c>
      <c r="F1129" t="s">
        <v>22</v>
      </c>
      <c r="G1129" t="s">
        <v>23</v>
      </c>
      <c r="H1129" t="s">
        <v>58</v>
      </c>
      <c r="I1129" t="s">
        <v>25</v>
      </c>
      <c r="J1129" s="2">
        <v>45863.552372685182</v>
      </c>
      <c r="K1129">
        <v>25</v>
      </c>
      <c r="L1129">
        <v>7</v>
      </c>
      <c r="M1129">
        <v>2025</v>
      </c>
      <c r="N1129" t="s">
        <v>27</v>
      </c>
      <c r="O1129">
        <v>75</v>
      </c>
      <c r="P1129">
        <v>75</v>
      </c>
      <c r="R1129" s="3" t="str">
        <f>HYPERLINK("https://panda.att.com.mx/ODKServer/view/binaryData?blobKey=FSSuministroFluidosv3%5B%40version%3Dnull+and+%40uiVersion%3Dnull%5D%2Fdata%5B%40key%3Duuid%3Ad6ad4990-3c55-46e2-9cd4-4fd621a7156f%5D%2FgroupInfoFuel%5B%40ordinal%3D1%5D%2FpicFuelRecibeInterno","Descargar")</f>
        <v>Descargar</v>
      </c>
    </row>
    <row r="1130" spans="1:18" x14ac:dyDescent="0.3">
      <c r="A1130">
        <v>1584611</v>
      </c>
      <c r="B1130" t="s">
        <v>18</v>
      </c>
      <c r="C1130" t="s">
        <v>100</v>
      </c>
      <c r="D1130" t="s">
        <v>101</v>
      </c>
      <c r="E1130" t="s">
        <v>1552</v>
      </c>
      <c r="F1130" t="s">
        <v>22</v>
      </c>
      <c r="G1130" t="s">
        <v>23</v>
      </c>
      <c r="H1130" t="s">
        <v>58</v>
      </c>
      <c r="I1130" t="s">
        <v>25</v>
      </c>
      <c r="J1130" s="2">
        <v>45863.547407407408</v>
      </c>
      <c r="K1130">
        <v>25</v>
      </c>
      <c r="L1130">
        <v>7</v>
      </c>
      <c r="M1130">
        <v>2025</v>
      </c>
      <c r="N1130" t="s">
        <v>27</v>
      </c>
      <c r="O1130">
        <v>200</v>
      </c>
      <c r="P1130">
        <v>200</v>
      </c>
      <c r="R1130" s="3" t="str">
        <f>HYPERLINK("https://panda.att.com.mx/ODKServer/view/binaryData?blobKey=FSSuministroFluidosv3%5B%40version%3Dnull+and+%40uiVersion%3Dnull%5D%2Fdata%5B%40key%3Duuid%3Ae33841b4-294d-44ce-994b-b19df46bb3af%5D%2FgroupInfoFuel%5B%40ordinal%3D1%5D%2FpicFuelRecibeInterno","Descargar")</f>
        <v>Descargar</v>
      </c>
    </row>
    <row r="1131" spans="1:18" x14ac:dyDescent="0.3">
      <c r="A1131">
        <v>1584598</v>
      </c>
      <c r="B1131" t="s">
        <v>18</v>
      </c>
      <c r="C1131" t="s">
        <v>55</v>
      </c>
      <c r="D1131" t="s">
        <v>64</v>
      </c>
      <c r="E1131" t="s">
        <v>1392</v>
      </c>
      <c r="F1131" t="s">
        <v>22</v>
      </c>
      <c r="G1131" t="s">
        <v>23</v>
      </c>
      <c r="H1131" t="s">
        <v>58</v>
      </c>
      <c r="I1131" t="s">
        <v>25</v>
      </c>
      <c r="J1131" s="2">
        <v>45863.437893518523</v>
      </c>
      <c r="K1131">
        <v>25</v>
      </c>
      <c r="L1131">
        <v>7</v>
      </c>
      <c r="M1131">
        <v>2025</v>
      </c>
      <c r="N1131" t="s">
        <v>27</v>
      </c>
      <c r="O1131">
        <v>200</v>
      </c>
      <c r="P1131">
        <v>200</v>
      </c>
      <c r="R1131" s="3" t="str">
        <f>HYPERLINK("https://panda.att.com.mx/ODKServer/view/binaryData?blobKey=FSSuministroFluidosv3%5B%40version%3Dnull+and+%40uiVersion%3Dnull%5D%2Fdata%5B%40key%3Duuid%3Aa49115b1-8a4f-4b76-9325-ab6d849a69ce%5D%2FgroupInfoFuel%5B%40ordinal%3D1%5D%2FpicFuelRecibeInterno","Descargar")</f>
        <v>Descargar</v>
      </c>
    </row>
    <row r="1132" spans="1:18" x14ac:dyDescent="0.3">
      <c r="A1132">
        <v>1584550</v>
      </c>
      <c r="B1132" t="s">
        <v>18</v>
      </c>
      <c r="C1132" t="s">
        <v>19</v>
      </c>
      <c r="D1132" t="s">
        <v>62</v>
      </c>
      <c r="E1132" t="s">
        <v>615</v>
      </c>
      <c r="F1132" t="s">
        <v>22</v>
      </c>
      <c r="G1132" t="s">
        <v>23</v>
      </c>
      <c r="H1132" t="s">
        <v>24</v>
      </c>
      <c r="I1132" t="s">
        <v>25</v>
      </c>
      <c r="J1132" s="2">
        <v>45863.542118055557</v>
      </c>
      <c r="K1132">
        <v>25</v>
      </c>
      <c r="L1132">
        <v>7</v>
      </c>
      <c r="M1132">
        <v>2025</v>
      </c>
      <c r="N1132" t="s">
        <v>44</v>
      </c>
      <c r="O1132">
        <v>50</v>
      </c>
      <c r="P1132">
        <v>50</v>
      </c>
      <c r="R1132" s="3" t="str">
        <f>HYPERLINK("https://panda.att.com.mx/ODKServer/view/binaryData?blobKey=FSSuministroFluidosv3%5B%40version%3Dnull+and+%40uiVersion%3Dnull%5D%2Fdata%5B%40key%3Duuid%3Ae92754a9-86bd-4a1e-b650-daa749f58d17%5D%2FgroupInfoFuel%5B%40ordinal%3D1%5D%2FpicFuelRecibeInterno","Descargar")</f>
        <v>Descargar</v>
      </c>
    </row>
    <row r="1133" spans="1:18" x14ac:dyDescent="0.3">
      <c r="A1133">
        <v>1584537</v>
      </c>
      <c r="B1133" t="s">
        <v>18</v>
      </c>
      <c r="C1133" t="s">
        <v>55</v>
      </c>
      <c r="D1133" t="s">
        <v>887</v>
      </c>
      <c r="E1133" t="s">
        <v>888</v>
      </c>
      <c r="F1133" t="s">
        <v>22</v>
      </c>
      <c r="G1133" t="s">
        <v>23</v>
      </c>
      <c r="H1133" t="s">
        <v>58</v>
      </c>
      <c r="I1133" t="s">
        <v>25</v>
      </c>
      <c r="J1133" s="2">
        <v>45863.502349537041</v>
      </c>
      <c r="K1133">
        <v>25</v>
      </c>
      <c r="L1133">
        <v>7</v>
      </c>
      <c r="M1133">
        <v>2025</v>
      </c>
      <c r="N1133" t="s">
        <v>27</v>
      </c>
      <c r="O1133">
        <v>250</v>
      </c>
      <c r="P1133">
        <v>250</v>
      </c>
      <c r="R1133" s="3" t="str">
        <f>HYPERLINK("https://panda.att.com.mx/ODKServer/view/binaryData?blobKey=FSSuministroFluidosv3%5B%40version%3Dnull+and+%40uiVersion%3Dnull%5D%2Fdata%5B%40key%3Duuid%3A42befcab-69c3-436c-9bdc-3a76bc1755c0%5D%2FgroupInfoFuel%5B%40ordinal%3D1%5D%2FpicFuelRecibeInterno","Descargar")</f>
        <v>Descargar</v>
      </c>
    </row>
    <row r="1134" spans="1:18" x14ac:dyDescent="0.3">
      <c r="A1134">
        <v>1584517</v>
      </c>
      <c r="B1134" t="s">
        <v>18</v>
      </c>
      <c r="C1134" t="s">
        <v>34</v>
      </c>
      <c r="D1134" t="s">
        <v>53</v>
      </c>
      <c r="E1134" t="s">
        <v>649</v>
      </c>
      <c r="F1134" t="s">
        <v>22</v>
      </c>
      <c r="G1134" t="s">
        <v>23</v>
      </c>
      <c r="H1134" t="s">
        <v>37</v>
      </c>
      <c r="I1134" t="s">
        <v>25</v>
      </c>
      <c r="J1134" s="2">
        <v>45863.475717592592</v>
      </c>
      <c r="K1134">
        <v>25</v>
      </c>
      <c r="L1134">
        <v>7</v>
      </c>
      <c r="M1134">
        <v>2025</v>
      </c>
      <c r="N1134" t="s">
        <v>27</v>
      </c>
      <c r="O1134">
        <v>200</v>
      </c>
      <c r="P1134">
        <v>200</v>
      </c>
      <c r="R1134" s="3" t="str">
        <f>HYPERLINK("https://panda.att.com.mx/ODKServer/view/binaryData?blobKey=FSSuministroFluidosv3%5B%40version%3Dnull+and+%40uiVersion%3Dnull%5D%2Fdata%5B%40key%3Duuid%3A97697281-85cc-444b-bee8-9ad85947f93a%5D%2FgroupInfoFuel%5B%40ordinal%3D1%5D%2FpicFuelRecibeInterno","Descargar")</f>
        <v>Descargar</v>
      </c>
    </row>
    <row r="1135" spans="1:18" x14ac:dyDescent="0.3">
      <c r="A1135">
        <v>1584510</v>
      </c>
      <c r="B1135" t="s">
        <v>18</v>
      </c>
      <c r="C1135" t="s">
        <v>19</v>
      </c>
      <c r="D1135" t="s">
        <v>62</v>
      </c>
      <c r="E1135" t="s">
        <v>615</v>
      </c>
      <c r="F1135" t="s">
        <v>22</v>
      </c>
      <c r="G1135" t="s">
        <v>23</v>
      </c>
      <c r="H1135" t="s">
        <v>24</v>
      </c>
      <c r="I1135" t="s">
        <v>25</v>
      </c>
      <c r="J1135" s="2">
        <v>45863.51185185185</v>
      </c>
      <c r="K1135">
        <v>25</v>
      </c>
      <c r="L1135">
        <v>7</v>
      </c>
      <c r="M1135">
        <v>2025</v>
      </c>
      <c r="N1135" t="s">
        <v>44</v>
      </c>
      <c r="O1135">
        <v>50</v>
      </c>
      <c r="P1135">
        <v>50</v>
      </c>
      <c r="R1135" s="3" t="str">
        <f>HYPERLINK("https://panda.att.com.mx/ODKServer/view/binaryData?blobKey=FSSuministroFluidosv3%5B%40version%3Dnull+and+%40uiVersion%3Dnull%5D%2Fdata%5B%40key%3Duuid%3Ae8c0c33d-d12b-49d9-b411-fe894e41030a%5D%2FgroupInfoFuel%5B%40ordinal%3D1%5D%2FpicFuelRecibeInterno","Descargar")</f>
        <v>Descargar</v>
      </c>
    </row>
    <row r="1136" spans="1:18" x14ac:dyDescent="0.3">
      <c r="A1136">
        <v>1584495</v>
      </c>
      <c r="B1136" t="s">
        <v>18</v>
      </c>
      <c r="C1136" t="s">
        <v>34</v>
      </c>
      <c r="D1136" t="s">
        <v>51</v>
      </c>
      <c r="E1136" t="s">
        <v>1553</v>
      </c>
      <c r="F1136" t="s">
        <v>22</v>
      </c>
      <c r="G1136" t="s">
        <v>23</v>
      </c>
      <c r="H1136" t="s">
        <v>24</v>
      </c>
      <c r="I1136" t="s">
        <v>25</v>
      </c>
      <c r="J1136" s="2">
        <v>45862.481134259258</v>
      </c>
      <c r="K1136">
        <v>24</v>
      </c>
      <c r="L1136">
        <v>7</v>
      </c>
      <c r="M1136">
        <v>2025</v>
      </c>
      <c r="N1136" t="s">
        <v>44</v>
      </c>
      <c r="O1136">
        <v>40</v>
      </c>
      <c r="Q1136">
        <v>40</v>
      </c>
      <c r="R1136" s="3" t="str">
        <f>HYPERLINK("https://panda.att.com.mx/ODKServer/view/binaryData?blobKey=FSSuministroFluidosv3%5B%40version%3Dnull+and+%40uiVersion%3Dnull%5D%2Fdata%5B%40key%3Duuid%3A311c5ca8-fa6e-4d01-8a54-af1aa0b59bf2%5D%2FgroupInfoFuel%5B%40ordinal%3D1%5D%2FpicFuelRecibeInterno","Descargar")</f>
        <v>Descargar</v>
      </c>
    </row>
    <row r="1137" spans="1:18" x14ac:dyDescent="0.3">
      <c r="A1137">
        <v>1584477</v>
      </c>
      <c r="B1137" t="s">
        <v>18</v>
      </c>
      <c r="C1137" t="s">
        <v>19</v>
      </c>
      <c r="D1137" t="s">
        <v>62</v>
      </c>
      <c r="E1137" t="s">
        <v>615</v>
      </c>
      <c r="F1137" t="s">
        <v>22</v>
      </c>
      <c r="G1137" t="s">
        <v>23</v>
      </c>
      <c r="H1137" t="s">
        <v>24</v>
      </c>
      <c r="I1137" t="s">
        <v>25</v>
      </c>
      <c r="J1137" s="2">
        <v>45863.481412037043</v>
      </c>
      <c r="K1137">
        <v>25</v>
      </c>
      <c r="L1137">
        <v>7</v>
      </c>
      <c r="M1137">
        <v>2025</v>
      </c>
      <c r="N1137" t="s">
        <v>44</v>
      </c>
      <c r="O1137">
        <v>50</v>
      </c>
      <c r="P1137">
        <v>50</v>
      </c>
      <c r="R1137" s="3" t="str">
        <f>HYPERLINK("https://panda.att.com.mx/ODKServer/view/binaryData?blobKey=FSSuministroFluidosv3%5B%40version%3Dnull+and+%40uiVersion%3Dnull%5D%2Fdata%5B%40key%3Duuid%3Acddf3bc7-ee85-4a77-b218-b2461a963a98%5D%2FgroupInfoFuel%5B%40ordinal%3D1%5D%2FpicFuelRecibeInterno","Descargar")</f>
        <v>Descargar</v>
      </c>
    </row>
    <row r="1138" spans="1:18" x14ac:dyDescent="0.3">
      <c r="A1138">
        <v>1584465</v>
      </c>
      <c r="B1138" t="s">
        <v>18</v>
      </c>
      <c r="C1138" t="s">
        <v>100</v>
      </c>
      <c r="D1138" t="s">
        <v>101</v>
      </c>
      <c r="E1138" t="s">
        <v>102</v>
      </c>
      <c r="F1138" t="s">
        <v>22</v>
      </c>
      <c r="G1138" t="s">
        <v>83</v>
      </c>
      <c r="H1138" t="s">
        <v>58</v>
      </c>
      <c r="I1138" t="s">
        <v>25</v>
      </c>
      <c r="J1138" s="2">
        <v>45863.465798611112</v>
      </c>
      <c r="K1138">
        <v>25</v>
      </c>
      <c r="L1138">
        <v>7</v>
      </c>
      <c r="M1138">
        <v>2025</v>
      </c>
      <c r="N1138" t="s">
        <v>44</v>
      </c>
      <c r="O1138">
        <v>60</v>
      </c>
      <c r="P1138">
        <v>60</v>
      </c>
      <c r="R1138" s="3" t="str">
        <f>HYPERLINK("https://panda.att.com.mx/ODKServer/view/binaryData?blobKey=FSSuministroFluidosv3%5B%40version%3Dnull+and+%40uiVersion%3Dnull%5D%2Fdata%5B%40key%3Duuid%3Aca0a85ce-6e9c-4667-9834-c87eba80b503%5D%2FgroupInfoFuel%5B%40ordinal%3D1%5D%2FpicFuelRecibeInterno","Descargar")</f>
        <v>Descargar</v>
      </c>
    </row>
    <row r="1139" spans="1:18" x14ac:dyDescent="0.3">
      <c r="A1139">
        <v>1584460</v>
      </c>
      <c r="B1139" t="s">
        <v>18</v>
      </c>
      <c r="C1139" t="s">
        <v>19</v>
      </c>
      <c r="D1139" t="s">
        <v>20</v>
      </c>
      <c r="E1139" t="s">
        <v>21</v>
      </c>
      <c r="F1139" t="s">
        <v>22</v>
      </c>
      <c r="G1139" t="s">
        <v>23</v>
      </c>
      <c r="H1139" t="s">
        <v>24</v>
      </c>
      <c r="I1139" t="s">
        <v>25</v>
      </c>
      <c r="J1139" s="2">
        <v>45857.440451388888</v>
      </c>
      <c r="K1139">
        <v>19</v>
      </c>
      <c r="L1139">
        <v>7</v>
      </c>
      <c r="M1139">
        <v>2025</v>
      </c>
      <c r="N1139" t="s">
        <v>27</v>
      </c>
      <c r="O1139">
        <v>300</v>
      </c>
      <c r="P1139">
        <v>300</v>
      </c>
      <c r="R1139" s="3" t="str">
        <f>HYPERLINK("https://panda.att.com.mx/ODKServer/view/binaryData?blobKey=FSSuministroFluidosv3%5B%40version%3Dnull+and+%40uiVersion%3Dnull%5D%2Fdata%5B%40key%3Duuid%3A9985bedc-2f94-4543-8e30-efecd9d11e60%5D%2FgroupInfoFuel%5B%40ordinal%3D1%5D%2FpicFuelRecibeInterno","Descargar")</f>
        <v>Descargar</v>
      </c>
    </row>
    <row r="1140" spans="1:18" x14ac:dyDescent="0.3">
      <c r="A1140">
        <v>1584458</v>
      </c>
      <c r="B1140" t="s">
        <v>18</v>
      </c>
      <c r="C1140" t="s">
        <v>150</v>
      </c>
      <c r="D1140" t="s">
        <v>230</v>
      </c>
      <c r="E1140" t="s">
        <v>1554</v>
      </c>
      <c r="F1140" t="s">
        <v>22</v>
      </c>
      <c r="G1140" t="s">
        <v>23</v>
      </c>
      <c r="H1140" t="s">
        <v>58</v>
      </c>
      <c r="I1140" t="s">
        <v>25</v>
      </c>
      <c r="J1140" s="2">
        <v>45863.382777777777</v>
      </c>
      <c r="K1140">
        <v>25</v>
      </c>
      <c r="L1140">
        <v>7</v>
      </c>
      <c r="M1140">
        <v>2025</v>
      </c>
      <c r="N1140" t="s">
        <v>27</v>
      </c>
      <c r="O1140">
        <v>140</v>
      </c>
      <c r="P1140">
        <v>140</v>
      </c>
      <c r="R1140" s="3" t="str">
        <f>HYPERLINK("https://panda.att.com.mx/ODKServer/view/binaryData?blobKey=FSSuministroFluidosv3%5B%40version%3Dnull+and+%40uiVersion%3Dnull%5D%2Fdata%5B%40key%3Duuid%3A78a4a7af-060e-46d6-9bc7-992e6b2a3a5d%5D%2FgroupInfoFuel%5B%40ordinal%3D1%5D%2FpicFuelRecibeInterno","Descargar")</f>
        <v>Descargar</v>
      </c>
    </row>
    <row r="1141" spans="1:18" x14ac:dyDescent="0.3">
      <c r="A1141">
        <v>1584440</v>
      </c>
      <c r="B1141" t="s">
        <v>18</v>
      </c>
      <c r="C1141" t="s">
        <v>55</v>
      </c>
      <c r="D1141" t="s">
        <v>56</v>
      </c>
      <c r="E1141" t="s">
        <v>1555</v>
      </c>
      <c r="F1141" t="s">
        <v>22</v>
      </c>
      <c r="G1141" t="s">
        <v>83</v>
      </c>
      <c r="H1141" t="s">
        <v>58</v>
      </c>
      <c r="I1141" t="s">
        <v>25</v>
      </c>
      <c r="J1141" s="2">
        <v>45863.394641203697</v>
      </c>
      <c r="K1141">
        <v>25</v>
      </c>
      <c r="L1141">
        <v>7</v>
      </c>
      <c r="M1141">
        <v>2025</v>
      </c>
      <c r="N1141" t="s">
        <v>27</v>
      </c>
      <c r="O1141">
        <v>300</v>
      </c>
      <c r="P1141">
        <v>300</v>
      </c>
      <c r="R1141" s="3" t="str">
        <f>HYPERLINK("https://panda.att.com.mx/ODKServer/view/binaryData?blobKey=FSSuministroFluidosv3%5B%40version%3Dnull+and+%40uiVersion%3Dnull%5D%2Fdata%5B%40key%3Duuid%3Afb4f5957-a6a1-4b2a-b7eb-cdb8bd7652f4%5D%2FgroupInfoFuel%5B%40ordinal%3D1%5D%2FpicFuelRecibeInterno","Descargar")</f>
        <v>Descargar</v>
      </c>
    </row>
    <row r="1142" spans="1:18" x14ac:dyDescent="0.3">
      <c r="A1142">
        <v>1584438</v>
      </c>
      <c r="B1142" t="s">
        <v>18</v>
      </c>
      <c r="C1142" t="s">
        <v>68</v>
      </c>
      <c r="D1142" t="s">
        <v>69</v>
      </c>
      <c r="E1142" t="s">
        <v>1556</v>
      </c>
      <c r="F1142" t="s">
        <v>22</v>
      </c>
      <c r="G1142" t="s">
        <v>23</v>
      </c>
      <c r="H1142" t="s">
        <v>37</v>
      </c>
      <c r="I1142" t="s">
        <v>25</v>
      </c>
      <c r="J1142" s="2">
        <v>45862.671527777777</v>
      </c>
      <c r="K1142">
        <v>24</v>
      </c>
      <c r="L1142">
        <v>7</v>
      </c>
      <c r="M1142">
        <v>2025</v>
      </c>
      <c r="N1142" t="s">
        <v>27</v>
      </c>
      <c r="O1142">
        <v>100</v>
      </c>
      <c r="P1142">
        <v>100</v>
      </c>
      <c r="R1142" s="3" t="str">
        <f>HYPERLINK("https://panda.att.com.mx/ODKServer/view/binaryData?blobKey=FSSuministroFluidosv3%5B%40version%3Dnull+and+%40uiVersion%3Dnull%5D%2Fdata%5B%40key%3Duuid%3Af2db4453-5ea4-48ac-8584-e8e967b69563%5D%2FgroupInfoFuel%5B%40ordinal%3D1%5D%2FpicFuelRecibeInterno","Descargar")</f>
        <v>Descargar</v>
      </c>
    </row>
    <row r="1143" spans="1:18" x14ac:dyDescent="0.3">
      <c r="A1143">
        <v>1584420</v>
      </c>
      <c r="B1143" t="s">
        <v>18</v>
      </c>
      <c r="C1143" t="s">
        <v>68</v>
      </c>
      <c r="D1143" t="s">
        <v>518</v>
      </c>
      <c r="E1143" t="s">
        <v>1557</v>
      </c>
      <c r="F1143" t="s">
        <v>22</v>
      </c>
      <c r="G1143" t="s">
        <v>23</v>
      </c>
      <c r="H1143" t="s">
        <v>37</v>
      </c>
      <c r="I1143" t="s">
        <v>25</v>
      </c>
      <c r="J1143" s="2">
        <v>45862.667581018519</v>
      </c>
      <c r="K1143">
        <v>24</v>
      </c>
      <c r="L1143">
        <v>7</v>
      </c>
      <c r="M1143">
        <v>2025</v>
      </c>
      <c r="N1143" t="s">
        <v>27</v>
      </c>
      <c r="O1143">
        <v>300</v>
      </c>
      <c r="P1143">
        <v>300</v>
      </c>
      <c r="R1143" s="3" t="str">
        <f>HYPERLINK("https://panda.att.com.mx/ODKServer/view/binaryData?blobKey=FSSuministroFluidosv3%5B%40version%3Dnull+and+%40uiVersion%3Dnull%5D%2Fdata%5B%40key%3Duuid%3Ac6dd0691-5ab0-4ee2-a220-a6ce74142d97%5D%2FgroupInfoFuel%5B%40ordinal%3D1%5D%2FpicFuelRecibeInterno","Descargar")</f>
        <v>Descargar</v>
      </c>
    </row>
    <row r="1144" spans="1:18" x14ac:dyDescent="0.3">
      <c r="A1144">
        <v>1584389</v>
      </c>
      <c r="B1144" t="s">
        <v>18</v>
      </c>
      <c r="C1144" t="s">
        <v>150</v>
      </c>
      <c r="D1144" t="s">
        <v>230</v>
      </c>
      <c r="E1144" t="s">
        <v>1558</v>
      </c>
      <c r="F1144" t="s">
        <v>22</v>
      </c>
      <c r="G1144" t="s">
        <v>23</v>
      </c>
      <c r="H1144" t="s">
        <v>58</v>
      </c>
      <c r="I1144" t="s">
        <v>25</v>
      </c>
      <c r="J1144" s="2">
        <v>45863.314502314817</v>
      </c>
      <c r="K1144">
        <v>25</v>
      </c>
      <c r="L1144">
        <v>7</v>
      </c>
      <c r="M1144">
        <v>2025</v>
      </c>
      <c r="N1144" t="s">
        <v>27</v>
      </c>
      <c r="O1144">
        <v>40</v>
      </c>
      <c r="P1144">
        <v>40</v>
      </c>
      <c r="R1144" s="3" t="str">
        <f>HYPERLINK("https://panda.att.com.mx/ODKServer/view/binaryData?blobKey=FSSuministroFluidosv3%5B%40version%3Dnull+and+%40uiVersion%3Dnull%5D%2Fdata%5B%40key%3Duuid%3Aac4941f6-1f44-4e9c-b4aa-15abe54fe70a%5D%2FgroupInfoFuel%5B%40ordinal%3D1%5D%2FpicFuelRecibeInterno","Descargar")</f>
        <v>Descargar</v>
      </c>
    </row>
    <row r="1145" spans="1:18" x14ac:dyDescent="0.3">
      <c r="A1145">
        <v>1584374</v>
      </c>
      <c r="B1145" t="s">
        <v>18</v>
      </c>
      <c r="C1145" t="s">
        <v>34</v>
      </c>
      <c r="D1145" t="s">
        <v>53</v>
      </c>
      <c r="E1145" t="s">
        <v>1559</v>
      </c>
      <c r="F1145" t="s">
        <v>22</v>
      </c>
      <c r="G1145" t="s">
        <v>23</v>
      </c>
      <c r="H1145" t="s">
        <v>37</v>
      </c>
      <c r="I1145" t="s">
        <v>25</v>
      </c>
      <c r="J1145" s="2">
        <v>45862.454675925917</v>
      </c>
      <c r="K1145">
        <v>24</v>
      </c>
      <c r="L1145">
        <v>7</v>
      </c>
      <c r="M1145">
        <v>2025</v>
      </c>
      <c r="N1145" t="s">
        <v>27</v>
      </c>
      <c r="O1145">
        <v>300</v>
      </c>
      <c r="Q1145">
        <v>300</v>
      </c>
      <c r="R1145" s="3" t="str">
        <f>HYPERLINK("https://panda.att.com.mx/ODKServer/view/binaryData?blobKey=FSSuministroFluidosv3%5B%40version%3Dnull+and+%40uiVersion%3Dnull%5D%2Fdata%5B%40key%3Duuid%3A7845758d-23a7-483f-818d-746a390caa84%5D%2FgroupInfoFuel%5B%40ordinal%3D1%5D%2FpicFuelRecibeInterno","Descargar")</f>
        <v>Descargar</v>
      </c>
    </row>
    <row r="1146" spans="1:18" x14ac:dyDescent="0.3">
      <c r="A1146">
        <v>1584344</v>
      </c>
      <c r="B1146" t="s">
        <v>18</v>
      </c>
      <c r="C1146" t="s">
        <v>34</v>
      </c>
      <c r="D1146" t="s">
        <v>53</v>
      </c>
      <c r="E1146" t="s">
        <v>1508</v>
      </c>
      <c r="F1146" t="s">
        <v>22</v>
      </c>
      <c r="G1146" t="s">
        <v>23</v>
      </c>
      <c r="H1146" t="s">
        <v>37</v>
      </c>
      <c r="I1146" t="s">
        <v>25</v>
      </c>
      <c r="J1146" s="2">
        <v>45862.621145833327</v>
      </c>
      <c r="K1146">
        <v>24</v>
      </c>
      <c r="L1146">
        <v>7</v>
      </c>
      <c r="M1146">
        <v>2025</v>
      </c>
      <c r="N1146" t="s">
        <v>27</v>
      </c>
      <c r="O1146">
        <v>200</v>
      </c>
      <c r="P1146">
        <v>200</v>
      </c>
      <c r="R1146" s="3" t="str">
        <f>HYPERLINK("https://panda.att.com.mx/ODKServer/view/binaryData?blobKey=FSSuministroFluidosv3%5B%40version%3Dnull+and+%40uiVersion%3Dnull%5D%2Fdata%5B%40key%3Duuid%3Ababd717a-287d-46d8-915f-c4ba3b342c6b%5D%2FgroupInfoFuel%5B%40ordinal%3D1%5D%2FpicFuelRecibeInterno","Descargar")</f>
        <v>Descargar</v>
      </c>
    </row>
    <row r="1147" spans="1:18" x14ac:dyDescent="0.3">
      <c r="A1147">
        <v>1584306</v>
      </c>
      <c r="B1147" t="s">
        <v>18</v>
      </c>
      <c r="C1147" t="s">
        <v>55</v>
      </c>
      <c r="D1147" t="s">
        <v>56</v>
      </c>
      <c r="E1147" t="s">
        <v>1560</v>
      </c>
      <c r="F1147" t="s">
        <v>22</v>
      </c>
      <c r="G1147" t="s">
        <v>23</v>
      </c>
      <c r="H1147" t="s">
        <v>58</v>
      </c>
      <c r="I1147" t="s">
        <v>25</v>
      </c>
      <c r="J1147" s="2">
        <v>45862.706990740742</v>
      </c>
      <c r="K1147">
        <v>24</v>
      </c>
      <c r="L1147">
        <v>7</v>
      </c>
      <c r="M1147">
        <v>2025</v>
      </c>
      <c r="N1147" t="s">
        <v>27</v>
      </c>
      <c r="O1147">
        <v>300</v>
      </c>
      <c r="P1147">
        <v>300</v>
      </c>
      <c r="R1147" s="3" t="str">
        <f>HYPERLINK("https://panda.att.com.mx/ODKServer/view/binaryData?blobKey=FSSuministroFluidosv3%5B%40version%3Dnull+and+%40uiVersion%3Dnull%5D%2Fdata%5B%40key%3Duuid%3A00fb460e-c912-40df-8e4b-49bdbb4fb6d0%5D%2FgroupInfoFuel%5B%40ordinal%3D1%5D%2FpicFuelRecibeInterno","Descargar")</f>
        <v>Descargar</v>
      </c>
    </row>
    <row r="1148" spans="1:18" x14ac:dyDescent="0.3">
      <c r="A1148">
        <v>1584283</v>
      </c>
      <c r="B1148" t="s">
        <v>18</v>
      </c>
      <c r="C1148" t="s">
        <v>34</v>
      </c>
      <c r="D1148" t="s">
        <v>121</v>
      </c>
      <c r="E1148" t="s">
        <v>1561</v>
      </c>
      <c r="F1148" t="s">
        <v>22</v>
      </c>
      <c r="G1148" t="s">
        <v>23</v>
      </c>
      <c r="H1148" t="s">
        <v>37</v>
      </c>
      <c r="I1148" t="s">
        <v>25</v>
      </c>
      <c r="J1148" s="2">
        <v>45862.599687499998</v>
      </c>
      <c r="K1148">
        <v>24</v>
      </c>
      <c r="L1148">
        <v>7</v>
      </c>
      <c r="M1148">
        <v>2025</v>
      </c>
      <c r="N1148" t="s">
        <v>44</v>
      </c>
      <c r="O1148">
        <v>30</v>
      </c>
      <c r="P1148">
        <v>30</v>
      </c>
      <c r="R1148" s="3" t="str">
        <f>HYPERLINK("https://panda.att.com.mx/ODKServer/view/binaryData?blobKey=FSSuministroFluidosv3%5B%40version%3Dnull+and+%40uiVersion%3Dnull%5D%2Fdata%5B%40key%3Duuid%3A8c990111-f54b-40df-ba19-9ff41629bf52%5D%2FgroupInfoFuel%5B%40ordinal%3D1%5D%2FpicFuelRecibeInterno","Descargar")</f>
        <v>Descargar</v>
      </c>
    </row>
    <row r="1149" spans="1:18" x14ac:dyDescent="0.3">
      <c r="A1149">
        <v>1584231</v>
      </c>
      <c r="B1149" t="s">
        <v>18</v>
      </c>
      <c r="C1149" t="s">
        <v>19</v>
      </c>
      <c r="D1149" t="s">
        <v>45</v>
      </c>
      <c r="E1149" t="s">
        <v>1562</v>
      </c>
      <c r="F1149" t="s">
        <v>22</v>
      </c>
      <c r="G1149" t="s">
        <v>23</v>
      </c>
      <c r="H1149" t="s">
        <v>24</v>
      </c>
      <c r="I1149" t="s">
        <v>25</v>
      </c>
      <c r="J1149" s="2">
        <v>45861.49796296296</v>
      </c>
      <c r="K1149">
        <v>23</v>
      </c>
      <c r="L1149">
        <v>7</v>
      </c>
      <c r="M1149">
        <v>2025</v>
      </c>
      <c r="N1149" t="s">
        <v>27</v>
      </c>
      <c r="O1149">
        <v>200</v>
      </c>
      <c r="P1149">
        <v>200</v>
      </c>
      <c r="R1149" s="3" t="str">
        <f>HYPERLINK("https://panda.att.com.mx/ODKServer/view/binaryData?blobKey=FSSuministroFluidosv3%5B%40version%3Dnull+and+%40uiVersion%3Dnull%5D%2Fdata%5B%40key%3Duuid%3Aa3888930-2c37-46f1-8c70-566ed70772e7%5D%2FgroupInfoFuel%5B%40ordinal%3D1%5D%2FpicFuelRecibeInterno","Descargar")</f>
        <v>Descargar</v>
      </c>
    </row>
    <row r="1150" spans="1:18" x14ac:dyDescent="0.3">
      <c r="A1150">
        <v>1584220</v>
      </c>
      <c r="B1150" t="s">
        <v>18</v>
      </c>
      <c r="C1150" t="s">
        <v>19</v>
      </c>
      <c r="D1150" t="s">
        <v>45</v>
      </c>
      <c r="E1150" t="s">
        <v>383</v>
      </c>
      <c r="F1150" t="s">
        <v>22</v>
      </c>
      <c r="G1150" t="s">
        <v>23</v>
      </c>
      <c r="H1150" t="s">
        <v>24</v>
      </c>
      <c r="I1150" t="s">
        <v>25</v>
      </c>
      <c r="J1150" s="2">
        <v>45856.749039351853</v>
      </c>
      <c r="K1150">
        <v>18</v>
      </c>
      <c r="L1150">
        <v>7</v>
      </c>
      <c r="M1150">
        <v>2025</v>
      </c>
      <c r="N1150" t="s">
        <v>27</v>
      </c>
      <c r="O1150">
        <v>100</v>
      </c>
      <c r="P1150">
        <v>100</v>
      </c>
      <c r="R1150" s="3" t="str">
        <f>HYPERLINK("https://panda.att.com.mx/ODKServer/view/binaryData?blobKey=FSSuministroFluidosv3%5B%40version%3Dnull+and+%40uiVersion%3Dnull%5D%2Fdata%5B%40key%3Duuid%3A741fd276-ec63-4f09-a15d-85cfd7f7dcd0%5D%2FgroupInfoFuel%5B%40ordinal%3D1%5D%2FpicFuelRecibeInterno","Descargar")</f>
        <v>Descargar</v>
      </c>
    </row>
    <row r="1151" spans="1:18" x14ac:dyDescent="0.3">
      <c r="A1151">
        <v>1584219</v>
      </c>
      <c r="B1151" t="s">
        <v>18</v>
      </c>
      <c r="C1151" t="s">
        <v>19</v>
      </c>
      <c r="D1151" t="s">
        <v>45</v>
      </c>
      <c r="E1151" t="s">
        <v>752</v>
      </c>
      <c r="F1151" t="s">
        <v>22</v>
      </c>
      <c r="G1151" t="s">
        <v>23</v>
      </c>
      <c r="H1151" t="s">
        <v>24</v>
      </c>
      <c r="I1151" t="s">
        <v>25</v>
      </c>
      <c r="J1151" s="2">
        <v>45857.481041666673</v>
      </c>
      <c r="K1151">
        <v>19</v>
      </c>
      <c r="L1151">
        <v>7</v>
      </c>
      <c r="M1151">
        <v>2025</v>
      </c>
      <c r="N1151" t="s">
        <v>27</v>
      </c>
      <c r="O1151">
        <v>300</v>
      </c>
      <c r="P1151">
        <v>300</v>
      </c>
      <c r="R1151" s="3" t="str">
        <f>HYPERLINK("https://panda.att.com.mx/ODKServer/view/binaryData?blobKey=FSSuministroFluidosv3%5B%40version%3Dnull+and+%40uiVersion%3Dnull%5D%2Fdata%5B%40key%3Duuid%3Ae3ae6e37-7fc8-457c-8236-ab7e9e91539e%5D%2FgroupInfoFuel%5B%40ordinal%3D1%5D%2FpicFuelRecibeInterno","Descargar")</f>
        <v>Descargar</v>
      </c>
    </row>
    <row r="1152" spans="1:18" x14ac:dyDescent="0.3">
      <c r="A1152">
        <v>1585286</v>
      </c>
      <c r="B1152" t="s">
        <v>18</v>
      </c>
      <c r="C1152" t="s">
        <v>19</v>
      </c>
      <c r="D1152" t="s">
        <v>42</v>
      </c>
      <c r="E1152" t="s">
        <v>1563</v>
      </c>
      <c r="F1152" t="s">
        <v>22</v>
      </c>
      <c r="G1152" t="s">
        <v>23</v>
      </c>
      <c r="H1152" t="s">
        <v>24</v>
      </c>
      <c r="I1152" t="s">
        <v>25</v>
      </c>
      <c r="J1152" s="2">
        <v>45862.606076388889</v>
      </c>
      <c r="K1152">
        <v>24</v>
      </c>
      <c r="L1152">
        <v>7</v>
      </c>
      <c r="M1152">
        <v>2025</v>
      </c>
      <c r="N1152" t="s">
        <v>27</v>
      </c>
      <c r="O1152">
        <v>120</v>
      </c>
      <c r="P1152">
        <v>120</v>
      </c>
      <c r="R1152" s="3" t="str">
        <f>HYPERLINK("https://panda.att.com.mx/ODKServer/view/binaryData?blobKey=FSSuministroFluidosv3%5B%40version%3Dnull+and+%40uiVersion%3Dnull%5D%2Fdata%5B%40key%3Duuid%3Ab2862b83-0d93-49cf-8611-4a279ecb3d14%5D%2FgroupInfoFuel%5B%40ordinal%3D1%5D%2FpicFuelRecibeInterno","Descargar")</f>
        <v>Descargar</v>
      </c>
    </row>
    <row r="1153" spans="1:18" x14ac:dyDescent="0.3">
      <c r="A1153">
        <v>1585253</v>
      </c>
      <c r="B1153" t="s">
        <v>18</v>
      </c>
      <c r="C1153" t="s">
        <v>19</v>
      </c>
      <c r="D1153" t="s">
        <v>347</v>
      </c>
      <c r="E1153" t="s">
        <v>364</v>
      </c>
      <c r="F1153" t="s">
        <v>22</v>
      </c>
      <c r="G1153" t="s">
        <v>23</v>
      </c>
      <c r="H1153" t="s">
        <v>24</v>
      </c>
      <c r="I1153" t="s">
        <v>25</v>
      </c>
      <c r="J1153" s="2">
        <v>45861.424768518518</v>
      </c>
      <c r="K1153">
        <v>23</v>
      </c>
      <c r="L1153">
        <v>7</v>
      </c>
      <c r="M1153">
        <v>2025</v>
      </c>
      <c r="N1153" t="s">
        <v>27</v>
      </c>
      <c r="O1153">
        <v>300</v>
      </c>
      <c r="P1153">
        <v>300</v>
      </c>
      <c r="R1153" s="3" t="str">
        <f>HYPERLINK("https://panda.att.com.mx/ODKServer/view/binaryData?blobKey=FSSuministroFluidosv3%5B%40version%3Dnull+and+%40uiVersion%3Dnull%5D%2Fdata%5B%40key%3Duuid%3A0992aa23-3107-46c0-b3c9-a576ff83d37b%5D%2FgroupInfoFuel%5B%40ordinal%3D1%5D%2FpicFuelRecibeInterno","Descargar")</f>
        <v>Descargar</v>
      </c>
    </row>
    <row r="1154" spans="1:18" x14ac:dyDescent="0.3">
      <c r="A1154">
        <v>1585252</v>
      </c>
      <c r="B1154" t="s">
        <v>18</v>
      </c>
      <c r="C1154" t="s">
        <v>19</v>
      </c>
      <c r="D1154" t="s">
        <v>347</v>
      </c>
      <c r="E1154" t="s">
        <v>364</v>
      </c>
      <c r="F1154" t="s">
        <v>22</v>
      </c>
      <c r="G1154" t="s">
        <v>23</v>
      </c>
      <c r="H1154" t="s">
        <v>24</v>
      </c>
      <c r="I1154" t="s">
        <v>25</v>
      </c>
      <c r="J1154" s="2">
        <v>45859.35428240741</v>
      </c>
      <c r="K1154">
        <v>21</v>
      </c>
      <c r="L1154">
        <v>7</v>
      </c>
      <c r="M1154">
        <v>2025</v>
      </c>
      <c r="N1154" t="s">
        <v>27</v>
      </c>
      <c r="O1154">
        <v>300</v>
      </c>
      <c r="P1154">
        <v>300</v>
      </c>
      <c r="R1154" s="3" t="str">
        <f>HYPERLINK("https://panda.att.com.mx/ODKServer/view/binaryData?blobKey=FSSuministroFluidosv3%5B%40version%3Dnull+and+%40uiVersion%3Dnull%5D%2Fdata%5B%40key%3Duuid%3A24a6c0e0-be47-4dcf-96e7-287465e2cc10%5D%2FgroupInfoFuel%5B%40ordinal%3D1%5D%2FpicFuelRecibeInterno","Descargar")</f>
        <v>Descargar</v>
      </c>
    </row>
    <row r="1155" spans="1:18" x14ac:dyDescent="0.3">
      <c r="A1155">
        <v>1585248</v>
      </c>
      <c r="B1155" t="s">
        <v>18</v>
      </c>
      <c r="C1155" t="s">
        <v>19</v>
      </c>
      <c r="D1155" t="s">
        <v>347</v>
      </c>
      <c r="E1155" t="s">
        <v>364</v>
      </c>
      <c r="F1155" t="s">
        <v>22</v>
      </c>
      <c r="G1155" t="s">
        <v>23</v>
      </c>
      <c r="H1155" t="s">
        <v>24</v>
      </c>
      <c r="I1155" t="s">
        <v>25</v>
      </c>
      <c r="J1155" s="2">
        <v>45852.411504629628</v>
      </c>
      <c r="K1155">
        <v>14</v>
      </c>
      <c r="L1155">
        <v>7</v>
      </c>
      <c r="M1155">
        <v>2025</v>
      </c>
      <c r="N1155" t="s">
        <v>27</v>
      </c>
      <c r="O1155">
        <v>300</v>
      </c>
      <c r="P1155">
        <v>300</v>
      </c>
      <c r="R1155" s="3" t="str">
        <f>HYPERLINK("https://panda.att.com.mx/ODKServer/view/binaryData?blobKey=FSSuministroFluidosv3%5B%40version%3Dnull+and+%40uiVersion%3Dnull%5D%2Fdata%5B%40key%3Duuid%3Ac28e6366-c808-4e98-a1df-5dadc3df0f21%5D%2FgroupInfoFuel%5B%40ordinal%3D1%5D%2FpicFuelRecibeInterno","Descargar")</f>
        <v>Descargar</v>
      </c>
    </row>
    <row r="1156" spans="1:18" x14ac:dyDescent="0.3">
      <c r="A1156">
        <v>1585246</v>
      </c>
      <c r="B1156" t="s">
        <v>18</v>
      </c>
      <c r="C1156" t="s">
        <v>19</v>
      </c>
      <c r="D1156" t="s">
        <v>347</v>
      </c>
      <c r="E1156" t="s">
        <v>364</v>
      </c>
      <c r="F1156" t="s">
        <v>22</v>
      </c>
      <c r="G1156" t="s">
        <v>23</v>
      </c>
      <c r="H1156" t="s">
        <v>24</v>
      </c>
      <c r="I1156" t="s">
        <v>25</v>
      </c>
      <c r="J1156" s="2">
        <v>45849.402719907397</v>
      </c>
      <c r="K1156">
        <v>11</v>
      </c>
      <c r="L1156">
        <v>7</v>
      </c>
      <c r="M1156">
        <v>2025</v>
      </c>
      <c r="N1156" t="s">
        <v>27</v>
      </c>
      <c r="O1156">
        <v>100</v>
      </c>
      <c r="P1156">
        <v>100</v>
      </c>
      <c r="R1156" s="3" t="str">
        <f>HYPERLINK("https://panda.att.com.mx/ODKServer/view/binaryData?blobKey=FSSuministroFluidosv3%5B%40version%3Dnull+and+%40uiVersion%3Dnull%5D%2Fdata%5B%40key%3Duuid%3A7aee6eca-e185-46ea-be32-421e949d1f0b%5D%2FgroupInfoFuel%5B%40ordinal%3D1%5D%2FpicFuelRecibeInterno","Descargar")</f>
        <v>Descargar</v>
      </c>
    </row>
    <row r="1157" spans="1:18" x14ac:dyDescent="0.3">
      <c r="A1157">
        <v>1585242</v>
      </c>
      <c r="B1157" t="s">
        <v>18</v>
      </c>
      <c r="C1157" t="s">
        <v>34</v>
      </c>
      <c r="D1157" t="s">
        <v>53</v>
      </c>
      <c r="E1157" t="s">
        <v>1564</v>
      </c>
      <c r="F1157" t="s">
        <v>33</v>
      </c>
      <c r="G1157" t="s">
        <v>23</v>
      </c>
      <c r="H1157" t="s">
        <v>37</v>
      </c>
      <c r="I1157" t="s">
        <v>25</v>
      </c>
      <c r="J1157" s="2">
        <v>45864.477222222216</v>
      </c>
      <c r="K1157">
        <v>26</v>
      </c>
      <c r="L1157">
        <v>7</v>
      </c>
      <c r="M1157">
        <v>2025</v>
      </c>
      <c r="N1157" t="s">
        <v>27</v>
      </c>
      <c r="O1157">
        <v>200</v>
      </c>
      <c r="Q1157">
        <v>200</v>
      </c>
      <c r="R1157" s="3" t="str">
        <f>HYPERLINK("https://panda.att.com.mx/ODKServer/view/binaryData?blobKey=FSSuministroFluidosv3%5B%40version%3Dnull+and+%40uiVersion%3Dnull%5D%2Fdata%5B%40key%3Duuid%3A5e69e684-076d-46b9-8dca-55a354f05fc0%5D%2FgroupInfoFuel%5B%40ordinal%3D1%5D%2FpicFuelRecibeInterno","Descargar")</f>
        <v>Descargar</v>
      </c>
    </row>
    <row r="1158" spans="1:18" x14ac:dyDescent="0.3">
      <c r="A1158">
        <v>1585241</v>
      </c>
      <c r="B1158" t="s">
        <v>18</v>
      </c>
      <c r="C1158" t="s">
        <v>55</v>
      </c>
      <c r="D1158" t="s">
        <v>366</v>
      </c>
      <c r="E1158" t="s">
        <v>1565</v>
      </c>
      <c r="F1158" t="s">
        <v>22</v>
      </c>
      <c r="G1158" t="s">
        <v>23</v>
      </c>
      <c r="H1158" t="s">
        <v>58</v>
      </c>
      <c r="I1158" t="s">
        <v>25</v>
      </c>
      <c r="J1158" s="2">
        <v>45863.554270833331</v>
      </c>
      <c r="K1158">
        <v>25</v>
      </c>
      <c r="L1158">
        <v>7</v>
      </c>
      <c r="M1158">
        <v>2025</v>
      </c>
      <c r="N1158" t="s">
        <v>27</v>
      </c>
      <c r="O1158">
        <v>250</v>
      </c>
      <c r="P1158">
        <v>250</v>
      </c>
      <c r="R1158" s="3" t="str">
        <f>HYPERLINK("https://panda.att.com.mx/ODKServer/view/binaryData?blobKey=FSSuministroFluidosv3%5B%40version%3Dnull+and+%40uiVersion%3Dnull%5D%2Fdata%5B%40key%3Duuid%3Aaf7628cf-e011-4d25-b5e6-1117f8d600bf%5D%2FgroupInfoFuel%5B%40ordinal%3D1%5D%2FpicFuelRecibeInterno","Descargar")</f>
        <v>Descargar</v>
      </c>
    </row>
    <row r="1159" spans="1:18" x14ac:dyDescent="0.3">
      <c r="A1159">
        <v>1585239</v>
      </c>
      <c r="B1159" t="s">
        <v>18</v>
      </c>
      <c r="C1159" t="s">
        <v>55</v>
      </c>
      <c r="D1159" t="s">
        <v>366</v>
      </c>
      <c r="E1159" t="s">
        <v>815</v>
      </c>
      <c r="F1159" t="s">
        <v>22</v>
      </c>
      <c r="G1159" t="s">
        <v>23</v>
      </c>
      <c r="H1159" t="s">
        <v>58</v>
      </c>
      <c r="I1159" t="s">
        <v>25</v>
      </c>
      <c r="J1159" s="2">
        <v>45864.645844907413</v>
      </c>
      <c r="K1159">
        <v>26</v>
      </c>
      <c r="L1159">
        <v>7</v>
      </c>
      <c r="M1159">
        <v>2025</v>
      </c>
      <c r="N1159" t="s">
        <v>27</v>
      </c>
      <c r="O1159">
        <v>300</v>
      </c>
      <c r="P1159">
        <v>300</v>
      </c>
      <c r="R1159" s="3" t="str">
        <f>HYPERLINK("https://panda.att.com.mx/ODKServer/view/binaryData?blobKey=FSSuministroFluidosv3%5B%40version%3Dnull+and+%40uiVersion%3Dnull%5D%2Fdata%5B%40key%3Duuid%3A1bdbd25b-cb15-48e4-89a9-02bb9fb86c74%5D%2FgroupInfoFuel%5B%40ordinal%3D1%5D%2FpicFuelRecibeInterno","Descargar")</f>
        <v>Descargar</v>
      </c>
    </row>
    <row r="1160" spans="1:18" x14ac:dyDescent="0.3">
      <c r="A1160">
        <v>1585234</v>
      </c>
      <c r="B1160" t="s">
        <v>18</v>
      </c>
      <c r="C1160" t="s">
        <v>28</v>
      </c>
      <c r="D1160" t="s">
        <v>261</v>
      </c>
      <c r="E1160" t="s">
        <v>262</v>
      </c>
      <c r="F1160" t="s">
        <v>22</v>
      </c>
      <c r="G1160" t="s">
        <v>23</v>
      </c>
      <c r="H1160" t="s">
        <v>37</v>
      </c>
      <c r="I1160" t="s">
        <v>25</v>
      </c>
      <c r="J1160" s="2">
        <v>45863.620613425926</v>
      </c>
      <c r="K1160">
        <v>25</v>
      </c>
      <c r="L1160">
        <v>7</v>
      </c>
      <c r="M1160">
        <v>2025</v>
      </c>
      <c r="N1160" t="s">
        <v>27</v>
      </c>
      <c r="O1160">
        <v>120</v>
      </c>
      <c r="P1160">
        <v>120</v>
      </c>
      <c r="R1160" s="3" t="str">
        <f>HYPERLINK("https://panda.att.com.mx/ODKServer/view/binaryData?blobKey=FSSuministroFluidosv3%5B%40version%3Dnull+and+%40uiVersion%3Dnull%5D%2Fdata%5B%40key%3Duuid%3A74540c95-e6cc-478f-a805-1a9c4c38f970%5D%2FgroupInfoFuel%5B%40ordinal%3D1%5D%2FpicFuelRecibeInterno","Descargar")</f>
        <v>Descargar</v>
      </c>
    </row>
    <row r="1161" spans="1:18" x14ac:dyDescent="0.3">
      <c r="A1161">
        <v>1585209</v>
      </c>
      <c r="B1161" t="s">
        <v>18</v>
      </c>
      <c r="C1161" t="s">
        <v>19</v>
      </c>
      <c r="D1161" t="s">
        <v>170</v>
      </c>
      <c r="E1161" t="s">
        <v>376</v>
      </c>
      <c r="F1161" t="s">
        <v>22</v>
      </c>
      <c r="G1161" t="s">
        <v>23</v>
      </c>
      <c r="H1161" t="s">
        <v>24</v>
      </c>
      <c r="I1161" t="s">
        <v>25</v>
      </c>
      <c r="J1161" s="2">
        <v>45857.427627314813</v>
      </c>
      <c r="K1161">
        <v>19</v>
      </c>
      <c r="L1161">
        <v>7</v>
      </c>
      <c r="M1161">
        <v>2025</v>
      </c>
      <c r="N1161" t="s">
        <v>27</v>
      </c>
      <c r="O1161">
        <v>300</v>
      </c>
      <c r="P1161">
        <v>300</v>
      </c>
      <c r="R1161" s="3" t="str">
        <f>HYPERLINK("https://panda.att.com.mx/ODKServer/view/binaryData?blobKey=FSSuministroFluidosv3%5B%40version%3Dnull+and+%40uiVersion%3Dnull%5D%2Fdata%5B%40key%3Duuid%3Ae2a944e1-e6a9-4741-bc57-0647c9901e2e%5D%2FgroupInfoFuel%5B%40ordinal%3D1%5D%2FpicFuelRecibeInterno","Descargar")</f>
        <v>Descargar</v>
      </c>
    </row>
    <row r="1162" spans="1:18" x14ac:dyDescent="0.3">
      <c r="A1162">
        <v>1585206</v>
      </c>
      <c r="B1162" t="s">
        <v>18</v>
      </c>
      <c r="C1162" t="s">
        <v>100</v>
      </c>
      <c r="D1162" t="s">
        <v>833</v>
      </c>
      <c r="E1162" t="s">
        <v>1303</v>
      </c>
      <c r="F1162" t="s">
        <v>22</v>
      </c>
      <c r="G1162" t="s">
        <v>83</v>
      </c>
      <c r="H1162" t="s">
        <v>58</v>
      </c>
      <c r="I1162" t="s">
        <v>25</v>
      </c>
      <c r="J1162" s="2">
        <v>45864.602106481478</v>
      </c>
      <c r="K1162">
        <v>26</v>
      </c>
      <c r="L1162">
        <v>7</v>
      </c>
      <c r="M1162">
        <v>2025</v>
      </c>
      <c r="N1162" t="s">
        <v>44</v>
      </c>
      <c r="O1162">
        <v>60</v>
      </c>
      <c r="P1162">
        <v>60</v>
      </c>
      <c r="R1162" s="3" t="str">
        <f>HYPERLINK("https://panda.att.com.mx/ODKServer/view/binaryData?blobKey=FSSuministroFluidosv3%5B%40version%3Dnull+and+%40uiVersion%3Dnull%5D%2Fdata%5B%40key%3Duuid%3A7f2eb609-d7f3-44b1-ab6c-4962a5a578c2%5D%2FgroupInfoFuel%5B%40ordinal%3D1%5D%2FpicFuelRecibeInterno","Descargar")</f>
        <v>Descargar</v>
      </c>
    </row>
    <row r="1163" spans="1:18" x14ac:dyDescent="0.3">
      <c r="A1163">
        <v>1585199</v>
      </c>
      <c r="B1163" t="s">
        <v>18</v>
      </c>
      <c r="C1163" t="s">
        <v>34</v>
      </c>
      <c r="D1163" t="s">
        <v>53</v>
      </c>
      <c r="E1163" t="s">
        <v>1527</v>
      </c>
      <c r="F1163" t="s">
        <v>22</v>
      </c>
      <c r="G1163" t="s">
        <v>23</v>
      </c>
      <c r="H1163" t="s">
        <v>37</v>
      </c>
      <c r="I1163" t="s">
        <v>25</v>
      </c>
      <c r="J1163" s="2">
        <v>45864.549155092587</v>
      </c>
      <c r="K1163">
        <v>26</v>
      </c>
      <c r="L1163">
        <v>7</v>
      </c>
      <c r="M1163">
        <v>2025</v>
      </c>
      <c r="N1163" t="s">
        <v>27</v>
      </c>
      <c r="O1163">
        <v>150</v>
      </c>
      <c r="P1163">
        <v>150</v>
      </c>
      <c r="R1163" s="3" t="str">
        <f>HYPERLINK("https://panda.att.com.mx/ODKServer/view/binaryData?blobKey=FSSuministroFluidosv3%5B%40version%3Dnull+and+%40uiVersion%3Dnull%5D%2Fdata%5B%40key%3Duuid%3A71397d55-2cce-43fc-9687-b616ea9b4014%5D%2FgroupInfoFuel%5B%40ordinal%3D1%5D%2FpicFuelRecibeInterno","Descargar")</f>
        <v>Descargar</v>
      </c>
    </row>
    <row r="1164" spans="1:18" x14ac:dyDescent="0.3">
      <c r="A1164">
        <v>1585176</v>
      </c>
      <c r="B1164" t="s">
        <v>18</v>
      </c>
      <c r="C1164" t="s">
        <v>100</v>
      </c>
      <c r="D1164" t="s">
        <v>716</v>
      </c>
      <c r="E1164" t="s">
        <v>991</v>
      </c>
      <c r="F1164" t="s">
        <v>22</v>
      </c>
      <c r="G1164" t="s">
        <v>23</v>
      </c>
      <c r="H1164" t="s">
        <v>58</v>
      </c>
      <c r="I1164" t="s">
        <v>25</v>
      </c>
      <c r="J1164" s="2">
        <v>45864.63009259259</v>
      </c>
      <c r="K1164">
        <v>26</v>
      </c>
      <c r="L1164">
        <v>7</v>
      </c>
      <c r="M1164">
        <v>2025</v>
      </c>
      <c r="N1164" t="s">
        <v>27</v>
      </c>
      <c r="O1164">
        <v>220</v>
      </c>
      <c r="P1164">
        <v>220</v>
      </c>
      <c r="R1164" s="3" t="str">
        <f>HYPERLINK("https://panda.att.com.mx/ODKServer/view/binaryData?blobKey=FSSuministroFluidosv3%5B%40version%3Dnull+and+%40uiVersion%3Dnull%5D%2Fdata%5B%40key%3Duuid%3Ab5d2d510-4f2b-4c5b-9081-63a6fa15b713%5D%2FgroupInfoFuel%5B%40ordinal%3D1%5D%2FpicFuelRecibeInterno","Descargar")</f>
        <v>Descargar</v>
      </c>
    </row>
    <row r="1165" spans="1:18" x14ac:dyDescent="0.3">
      <c r="A1165">
        <v>1585154</v>
      </c>
      <c r="B1165" t="s">
        <v>18</v>
      </c>
      <c r="C1165" t="s">
        <v>150</v>
      </c>
      <c r="D1165" t="s">
        <v>230</v>
      </c>
      <c r="E1165" t="s">
        <v>1566</v>
      </c>
      <c r="F1165" t="s">
        <v>22</v>
      </c>
      <c r="G1165" t="s">
        <v>23</v>
      </c>
      <c r="H1165" t="s">
        <v>58</v>
      </c>
      <c r="I1165" t="s">
        <v>25</v>
      </c>
      <c r="J1165" s="2">
        <v>45864.541597222233</v>
      </c>
      <c r="K1165">
        <v>26</v>
      </c>
      <c r="L1165">
        <v>7</v>
      </c>
      <c r="M1165">
        <v>2025</v>
      </c>
      <c r="N1165" t="s">
        <v>27</v>
      </c>
      <c r="O1165">
        <v>130</v>
      </c>
      <c r="P1165">
        <v>130</v>
      </c>
      <c r="R1165" s="3" t="str">
        <f>HYPERLINK("https://panda.att.com.mx/ODKServer/view/binaryData?blobKey=FSSuministroFluidosv3%5B%40version%3Dnull+and+%40uiVersion%3Dnull%5D%2Fdata%5B%40key%3Duuid%3A04b00e9a-37e3-42b6-a5a1-7bb09a3d742f%5D%2FgroupInfoFuel%5B%40ordinal%3D1%5D%2FpicFuelRecibeInterno","Descargar")</f>
        <v>Descargar</v>
      </c>
    </row>
    <row r="1166" spans="1:18" x14ac:dyDescent="0.3">
      <c r="A1166">
        <v>1585096</v>
      </c>
      <c r="B1166" t="s">
        <v>18</v>
      </c>
      <c r="C1166" t="s">
        <v>150</v>
      </c>
      <c r="D1166" t="s">
        <v>230</v>
      </c>
      <c r="E1166" t="s">
        <v>1567</v>
      </c>
      <c r="F1166" t="s">
        <v>22</v>
      </c>
      <c r="G1166" t="s">
        <v>23</v>
      </c>
      <c r="H1166" t="s">
        <v>58</v>
      </c>
      <c r="I1166" t="s">
        <v>25</v>
      </c>
      <c r="J1166" s="2">
        <v>45864.475127314807</v>
      </c>
      <c r="K1166">
        <v>26</v>
      </c>
      <c r="L1166">
        <v>7</v>
      </c>
      <c r="M1166">
        <v>2025</v>
      </c>
      <c r="N1166" t="s">
        <v>27</v>
      </c>
      <c r="O1166">
        <v>40</v>
      </c>
      <c r="P1166">
        <v>40</v>
      </c>
      <c r="R1166" s="3" t="str">
        <f>HYPERLINK("https://panda.att.com.mx/ODKServer/view/binaryData?blobKey=FSSuministroFluidosv3%5B%40version%3Dnull+and+%40uiVersion%3Dnull%5D%2Fdata%5B%40key%3Duuid%3Af39eb759-4c44-41cc-84a4-add685a81c22%5D%2FgroupInfoFuel%5B%40ordinal%3D1%5D%2FpicFuelRecibeInterno","Descargar")</f>
        <v>Descargar</v>
      </c>
    </row>
    <row r="1167" spans="1:18" x14ac:dyDescent="0.3">
      <c r="A1167">
        <v>1585095</v>
      </c>
      <c r="B1167" t="s">
        <v>18</v>
      </c>
      <c r="C1167" t="s">
        <v>28</v>
      </c>
      <c r="D1167" t="s">
        <v>177</v>
      </c>
      <c r="E1167" t="s">
        <v>1568</v>
      </c>
      <c r="F1167" t="s">
        <v>22</v>
      </c>
      <c r="G1167" t="s">
        <v>23</v>
      </c>
      <c r="H1167" t="s">
        <v>24</v>
      </c>
      <c r="I1167" t="s">
        <v>25</v>
      </c>
      <c r="J1167" s="2">
        <v>45839.74082175926</v>
      </c>
      <c r="K1167">
        <v>1</v>
      </c>
      <c r="L1167">
        <v>7</v>
      </c>
      <c r="M1167">
        <v>2025</v>
      </c>
      <c r="N1167" t="s">
        <v>44</v>
      </c>
      <c r="O1167">
        <v>50</v>
      </c>
      <c r="P1167">
        <v>50</v>
      </c>
      <c r="R1167" s="3" t="str">
        <f>HYPERLINK("https://panda.att.com.mx/ODKServer/view/binaryData?blobKey=FSSuministroFluidosv3%5B%40version%3Dnull+and+%40uiVersion%3Dnull%5D%2Fdata%5B%40key%3Duuid%3A7cf14d24-395f-4bd3-8ba2-e01f6a941386%5D%2FgroupInfoFuel%5B%40ordinal%3D1%5D%2FpicFuelRecibeInterno","Descargar")</f>
        <v>Descargar</v>
      </c>
    </row>
    <row r="1168" spans="1:18" x14ac:dyDescent="0.3">
      <c r="A1168">
        <v>1585074</v>
      </c>
      <c r="B1168" t="s">
        <v>18</v>
      </c>
      <c r="C1168" t="s">
        <v>55</v>
      </c>
      <c r="D1168" t="s">
        <v>56</v>
      </c>
      <c r="E1168" t="s">
        <v>320</v>
      </c>
      <c r="F1168" t="s">
        <v>22</v>
      </c>
      <c r="G1168" t="s">
        <v>23</v>
      </c>
      <c r="H1168" t="s">
        <v>58</v>
      </c>
      <c r="I1168" t="s">
        <v>25</v>
      </c>
      <c r="J1168" s="2">
        <v>45863.547627314823</v>
      </c>
      <c r="K1168">
        <v>25</v>
      </c>
      <c r="L1168">
        <v>7</v>
      </c>
      <c r="M1168">
        <v>2025</v>
      </c>
      <c r="N1168" t="s">
        <v>27</v>
      </c>
      <c r="O1168">
        <v>250</v>
      </c>
      <c r="P1168">
        <v>250</v>
      </c>
      <c r="R1168" s="3" t="str">
        <f>HYPERLINK("https://panda.att.com.mx/ODKServer/view/binaryData?blobKey=FSSuministroFluidosv3%5B%40version%3Dnull+and+%40uiVersion%3Dnull%5D%2Fdata%5B%40key%3Duuid%3Af51600a0-f403-4e5a-a010-8e9740890813%5D%2FgroupInfoFuel%5B%40ordinal%3D1%5D%2FpicFuelRecibeInterno","Descargar")</f>
        <v>Descargar</v>
      </c>
    </row>
    <row r="1169" spans="1:18" x14ac:dyDescent="0.3">
      <c r="A1169">
        <v>1585070</v>
      </c>
      <c r="B1169" t="s">
        <v>18</v>
      </c>
      <c r="C1169" t="s">
        <v>55</v>
      </c>
      <c r="D1169" t="s">
        <v>56</v>
      </c>
      <c r="E1169" t="s">
        <v>81</v>
      </c>
      <c r="F1169" t="s">
        <v>22</v>
      </c>
      <c r="G1169" t="s">
        <v>23</v>
      </c>
      <c r="H1169" t="s">
        <v>58</v>
      </c>
      <c r="I1169" t="s">
        <v>25</v>
      </c>
      <c r="J1169" s="2">
        <v>45863.616226851853</v>
      </c>
      <c r="K1169">
        <v>25</v>
      </c>
      <c r="L1169">
        <v>7</v>
      </c>
      <c r="M1169">
        <v>2025</v>
      </c>
      <c r="N1169" t="s">
        <v>27</v>
      </c>
      <c r="O1169">
        <v>250</v>
      </c>
      <c r="P1169">
        <v>250</v>
      </c>
      <c r="R1169" s="3" t="str">
        <f>HYPERLINK("https://panda.att.com.mx/ODKServer/view/binaryData?blobKey=FSSuministroFluidosv3%5B%40version%3Dnull+and+%40uiVersion%3Dnull%5D%2Fdata%5B%40key%3Duuid%3A1f3e5cc3-bbc7-48c1-b43a-bcda9ba681bd%5D%2FgroupInfoFuel%5B%40ordinal%3D1%5D%2FpicFuelRecibeInterno","Descargar")</f>
        <v>Descargar</v>
      </c>
    </row>
    <row r="1170" spans="1:18" x14ac:dyDescent="0.3">
      <c r="A1170">
        <v>1585051</v>
      </c>
      <c r="B1170" t="s">
        <v>18</v>
      </c>
      <c r="C1170" t="s">
        <v>100</v>
      </c>
      <c r="D1170" t="s">
        <v>716</v>
      </c>
      <c r="E1170" t="s">
        <v>717</v>
      </c>
      <c r="F1170" t="s">
        <v>22</v>
      </c>
      <c r="G1170" t="s">
        <v>83</v>
      </c>
      <c r="H1170" t="s">
        <v>58</v>
      </c>
      <c r="I1170" t="s">
        <v>25</v>
      </c>
      <c r="J1170" s="2">
        <v>45864.398564814823</v>
      </c>
      <c r="K1170">
        <v>26</v>
      </c>
      <c r="L1170">
        <v>7</v>
      </c>
      <c r="M1170">
        <v>2025</v>
      </c>
      <c r="N1170" t="s">
        <v>27</v>
      </c>
      <c r="O1170">
        <v>130</v>
      </c>
      <c r="P1170">
        <v>130</v>
      </c>
      <c r="R1170" s="3" t="str">
        <f>HYPERLINK("https://panda.att.com.mx/ODKServer/view/binaryData?blobKey=FSSuministroFluidosv3%5B%40version%3Dnull+and+%40uiVersion%3Dnull%5D%2Fdata%5B%40key%3Duuid%3Af8cbbd3b-a95d-49e1-80b6-ae741d1cd322%5D%2FgroupInfoFuel%5B%40ordinal%3D1%5D%2FpicFuelRecibeInterno","Descargar")</f>
        <v>Descargar</v>
      </c>
    </row>
    <row r="1171" spans="1:18" x14ac:dyDescent="0.3">
      <c r="A1171">
        <v>1585001</v>
      </c>
      <c r="B1171" t="s">
        <v>18</v>
      </c>
      <c r="C1171" t="s">
        <v>100</v>
      </c>
      <c r="D1171" t="s">
        <v>833</v>
      </c>
      <c r="E1171" t="s">
        <v>1303</v>
      </c>
      <c r="F1171" t="s">
        <v>22</v>
      </c>
      <c r="G1171" t="s">
        <v>83</v>
      </c>
      <c r="H1171" t="s">
        <v>58</v>
      </c>
      <c r="I1171" t="s">
        <v>25</v>
      </c>
      <c r="J1171" s="2">
        <v>45863.876620370371</v>
      </c>
      <c r="K1171">
        <v>25</v>
      </c>
      <c r="L1171">
        <v>7</v>
      </c>
      <c r="M1171">
        <v>2025</v>
      </c>
      <c r="N1171" t="s">
        <v>44</v>
      </c>
      <c r="O1171">
        <v>60</v>
      </c>
      <c r="P1171">
        <v>60</v>
      </c>
      <c r="R1171" s="3" t="str">
        <f>HYPERLINK("https://panda.att.com.mx/ODKServer/view/binaryData?blobKey=FSSuministroFluidosv3%5B%40version%3Dnull+and+%40uiVersion%3Dnull%5D%2Fdata%5B%40key%3Duuid%3A7990a1ce-dd39-4e7d-bf8e-da7bd9674988%5D%2FgroupInfoFuel%5B%40ordinal%3D1%5D%2FpicFuelRecibeInterno","Descargar")</f>
        <v>Descargar</v>
      </c>
    </row>
    <row r="1172" spans="1:18" x14ac:dyDescent="0.3">
      <c r="A1172">
        <v>1584935</v>
      </c>
      <c r="B1172" t="s">
        <v>18</v>
      </c>
      <c r="C1172" t="s">
        <v>28</v>
      </c>
      <c r="D1172" t="s">
        <v>118</v>
      </c>
      <c r="E1172" t="s">
        <v>1231</v>
      </c>
      <c r="F1172" t="s">
        <v>22</v>
      </c>
      <c r="G1172" t="s">
        <v>23</v>
      </c>
      <c r="H1172" t="s">
        <v>24</v>
      </c>
      <c r="I1172" t="s">
        <v>25</v>
      </c>
      <c r="J1172" s="2">
        <v>45863.448657407411</v>
      </c>
      <c r="K1172">
        <v>25</v>
      </c>
      <c r="L1172">
        <v>7</v>
      </c>
      <c r="M1172">
        <v>2025</v>
      </c>
      <c r="N1172" t="s">
        <v>27</v>
      </c>
      <c r="O1172">
        <v>250</v>
      </c>
      <c r="P1172">
        <v>250</v>
      </c>
      <c r="R1172" s="3" t="str">
        <f>HYPERLINK("https://panda.att.com.mx/ODKServer/view/binaryData?blobKey=FSSuministroFluidosv3%5B%40version%3Dnull+and+%40uiVersion%3Dnull%5D%2Fdata%5B%40key%3Duuid%3Ab3c9de51-22d8-4c1a-844d-cbcd6eff059f%5D%2FgroupInfoFuel%5B%40ordinal%3D1%5D%2FpicFuelRecibeInterno","Descargar")</f>
        <v>Descargar</v>
      </c>
    </row>
    <row r="1173" spans="1:18" x14ac:dyDescent="0.3">
      <c r="A1173">
        <v>1584841</v>
      </c>
      <c r="B1173" t="s">
        <v>18</v>
      </c>
      <c r="C1173" t="s">
        <v>59</v>
      </c>
      <c r="D1173" t="s">
        <v>636</v>
      </c>
      <c r="E1173" t="s">
        <v>929</v>
      </c>
      <c r="F1173" t="s">
        <v>22</v>
      </c>
      <c r="G1173" t="s">
        <v>23</v>
      </c>
      <c r="H1173" t="s">
        <v>37</v>
      </c>
      <c r="I1173" t="s">
        <v>25</v>
      </c>
      <c r="J1173" s="2">
        <v>45863.630844907413</v>
      </c>
      <c r="K1173">
        <v>25</v>
      </c>
      <c r="L1173">
        <v>7</v>
      </c>
      <c r="M1173">
        <v>2025</v>
      </c>
      <c r="N1173" t="s">
        <v>27</v>
      </c>
      <c r="O1173">
        <v>200</v>
      </c>
      <c r="P1173">
        <v>200</v>
      </c>
      <c r="R1173" s="3" t="str">
        <f>HYPERLINK("https://panda.att.com.mx/ODKServer/view/binaryData?blobKey=FSSuministroFluidosv3%5B%40version%3Dnull+and+%40uiVersion%3Dnull%5D%2Fdata%5B%40key%3Duuid%3A193ea2d8-82cd-436c-b3d9-401e1abda04f%5D%2FgroupInfoFuel%5B%40ordinal%3D1%5D%2FpicFuelRecibeInterno","Descargar")</f>
        <v>Descargar</v>
      </c>
    </row>
    <row r="1174" spans="1:18" x14ac:dyDescent="0.3">
      <c r="A1174">
        <v>1584806</v>
      </c>
      <c r="B1174" t="s">
        <v>18</v>
      </c>
      <c r="C1174" t="s">
        <v>34</v>
      </c>
      <c r="D1174" t="s">
        <v>51</v>
      </c>
      <c r="E1174" t="s">
        <v>1569</v>
      </c>
      <c r="F1174" t="s">
        <v>22</v>
      </c>
      <c r="G1174" t="s">
        <v>23</v>
      </c>
      <c r="H1174" t="s">
        <v>24</v>
      </c>
      <c r="I1174" t="s">
        <v>25</v>
      </c>
      <c r="J1174" s="2">
        <v>45862.419641203713</v>
      </c>
      <c r="K1174">
        <v>24</v>
      </c>
      <c r="L1174">
        <v>7</v>
      </c>
      <c r="M1174">
        <v>2025</v>
      </c>
      <c r="N1174" t="s">
        <v>44</v>
      </c>
      <c r="O1174">
        <v>40</v>
      </c>
      <c r="P1174">
        <v>40</v>
      </c>
      <c r="R1174" s="3" t="str">
        <f>HYPERLINK("https://panda.att.com.mx/ODKServer/view/binaryData?blobKey=FSSuministroFluidosv3%5B%40version%3Dnull+and+%40uiVersion%3Dnull%5D%2Fdata%5B%40key%3Duuid%3A91f50a9f-30e5-4250-8af5-d95f25a3ac98%5D%2FgroupInfoFuel%5B%40ordinal%3D1%5D%2FpicFuelRecibeInterno","Descargar")</f>
        <v>Descargar</v>
      </c>
    </row>
    <row r="1175" spans="1:18" x14ac:dyDescent="0.3">
      <c r="A1175">
        <v>1584715</v>
      </c>
      <c r="B1175" t="s">
        <v>18</v>
      </c>
      <c r="C1175" t="s">
        <v>68</v>
      </c>
      <c r="D1175" t="s">
        <v>132</v>
      </c>
      <c r="E1175" t="s">
        <v>133</v>
      </c>
      <c r="F1175" t="s">
        <v>22</v>
      </c>
      <c r="G1175" t="s">
        <v>23</v>
      </c>
      <c r="H1175" t="s">
        <v>37</v>
      </c>
      <c r="I1175" t="s">
        <v>25</v>
      </c>
      <c r="J1175" s="2">
        <v>45863.644363425927</v>
      </c>
      <c r="K1175">
        <v>25</v>
      </c>
      <c r="L1175">
        <v>7</v>
      </c>
      <c r="M1175">
        <v>2025</v>
      </c>
      <c r="N1175" t="s">
        <v>27</v>
      </c>
      <c r="O1175">
        <v>100</v>
      </c>
      <c r="P1175">
        <v>100</v>
      </c>
      <c r="R1175" s="3" t="str">
        <f>HYPERLINK("https://panda.att.com.mx/ODKServer/view/binaryData?blobKey=FSSuministroFluidosv3%5B%40version%3Dnull+and+%40uiVersion%3Dnull%5D%2Fdata%5B%40key%3Duuid%3A643b513b-2392-4da8-87fc-a08443405d17%5D%2FgroupInfoFuel%5B%40ordinal%3D1%5D%2FpicFuelRecibeInterno","Descargar")</f>
        <v>Descargar</v>
      </c>
    </row>
    <row r="1176" spans="1:18" x14ac:dyDescent="0.3">
      <c r="A1176">
        <v>1584696</v>
      </c>
      <c r="B1176" t="s">
        <v>18</v>
      </c>
      <c r="C1176" t="s">
        <v>167</v>
      </c>
      <c r="D1176" t="s">
        <v>264</v>
      </c>
      <c r="E1176" t="s">
        <v>284</v>
      </c>
      <c r="F1176" t="s">
        <v>22</v>
      </c>
      <c r="G1176" t="s">
        <v>83</v>
      </c>
      <c r="H1176" t="s">
        <v>58</v>
      </c>
      <c r="I1176" t="s">
        <v>25</v>
      </c>
      <c r="J1176" s="2">
        <v>45856.49082175926</v>
      </c>
      <c r="K1176">
        <v>18</v>
      </c>
      <c r="L1176">
        <v>7</v>
      </c>
      <c r="M1176">
        <v>2025</v>
      </c>
      <c r="N1176" t="s">
        <v>27</v>
      </c>
      <c r="O1176">
        <v>475.59</v>
      </c>
      <c r="P1176">
        <v>475.59</v>
      </c>
      <c r="R1176" s="3" t="str">
        <f>HYPERLINK("https://panda.att.com.mx/ODKServer/view/binaryData?blobKey=FSSuministroFluidosv3%5B%40version%3Dnull+and+%40uiVersion%3Dnull%5D%2Fdata%5B%40key%3Duuid%3Ab4ac5888-b434-45b7-b94a-26a7a8f14c22%5D%2FgroupInfoFuel%5B%40ordinal%3D1%5D%2FpicFuelRecibeInterno","Descargar")</f>
        <v>Descargar</v>
      </c>
    </row>
    <row r="1177" spans="1:18" x14ac:dyDescent="0.3">
      <c r="A1177">
        <v>1584211</v>
      </c>
      <c r="B1177" t="s">
        <v>18</v>
      </c>
      <c r="C1177" t="s">
        <v>19</v>
      </c>
      <c r="D1177" t="s">
        <v>45</v>
      </c>
      <c r="E1177" t="s">
        <v>752</v>
      </c>
      <c r="F1177" t="s">
        <v>22</v>
      </c>
      <c r="G1177" t="s">
        <v>23</v>
      </c>
      <c r="H1177" t="s">
        <v>24</v>
      </c>
      <c r="I1177" t="s">
        <v>25</v>
      </c>
      <c r="J1177" s="2">
        <v>45854.366851851853</v>
      </c>
      <c r="K1177">
        <v>16</v>
      </c>
      <c r="L1177">
        <v>7</v>
      </c>
      <c r="M1177">
        <v>2025</v>
      </c>
      <c r="N1177" t="s">
        <v>27</v>
      </c>
      <c r="O1177">
        <v>300</v>
      </c>
      <c r="P1177">
        <v>300</v>
      </c>
      <c r="R1177" s="3" t="str">
        <f>HYPERLINK("https://panda.att.com.mx/ODKServer/view/binaryData?blobKey=FSSuministroFluidosv3%5B%40version%3Dnull+and+%40uiVersion%3Dnull%5D%2Fdata%5B%40key%3Duuid%3A4ad56355-5c30-45f7-a30d-8922255c2a26%5D%2FgroupInfoFuel%5B%40ordinal%3D1%5D%2FpicFuelRecibeInterno","Descargar")</f>
        <v>Descargar</v>
      </c>
    </row>
    <row r="1178" spans="1:18" x14ac:dyDescent="0.3">
      <c r="A1178">
        <v>1584179</v>
      </c>
      <c r="B1178" t="s">
        <v>18</v>
      </c>
      <c r="C1178" t="s">
        <v>59</v>
      </c>
      <c r="D1178" t="s">
        <v>1242</v>
      </c>
      <c r="E1178" t="s">
        <v>1513</v>
      </c>
      <c r="F1178" t="s">
        <v>22</v>
      </c>
      <c r="G1178" t="s">
        <v>23</v>
      </c>
      <c r="H1178" t="s">
        <v>37</v>
      </c>
      <c r="I1178" t="s">
        <v>25</v>
      </c>
      <c r="J1178" s="2">
        <v>45861.58452546296</v>
      </c>
      <c r="K1178">
        <v>23</v>
      </c>
      <c r="L1178">
        <v>7</v>
      </c>
      <c r="M1178">
        <v>2025</v>
      </c>
      <c r="N1178" t="s">
        <v>27</v>
      </c>
      <c r="O1178">
        <v>300</v>
      </c>
      <c r="P1178">
        <v>300</v>
      </c>
      <c r="R1178" s="3" t="str">
        <f>HYPERLINK("https://panda.att.com.mx/ODKServer/view/binaryData?blobKey=FSSuministroFluidosv3%5B%40version%3Dnull+and+%40uiVersion%3Dnull%5D%2Fdata%5B%40key%3Duuid%3A9773e7b8-4571-4059-b7a9-82a3c69c90b6%5D%2FgroupInfoFuel%5B%40ordinal%3D1%5D%2FpicFuelRecibeInterno","Descargar")</f>
        <v>Descargar</v>
      </c>
    </row>
    <row r="1179" spans="1:18" x14ac:dyDescent="0.3">
      <c r="A1179">
        <v>1584167</v>
      </c>
      <c r="B1179" t="s">
        <v>18</v>
      </c>
      <c r="C1179" t="s">
        <v>100</v>
      </c>
      <c r="D1179" t="s">
        <v>101</v>
      </c>
      <c r="E1179" t="s">
        <v>126</v>
      </c>
      <c r="F1179" t="s">
        <v>22</v>
      </c>
      <c r="G1179" t="s">
        <v>83</v>
      </c>
      <c r="H1179" t="s">
        <v>58</v>
      </c>
      <c r="I1179" t="s">
        <v>25</v>
      </c>
      <c r="J1179" s="2">
        <v>45862.735891203702</v>
      </c>
      <c r="K1179">
        <v>24</v>
      </c>
      <c r="L1179">
        <v>7</v>
      </c>
      <c r="M1179">
        <v>2025</v>
      </c>
      <c r="N1179" t="s">
        <v>27</v>
      </c>
      <c r="O1179">
        <v>300</v>
      </c>
      <c r="P1179">
        <v>300</v>
      </c>
      <c r="R1179" s="3" t="str">
        <f>HYPERLINK("https://panda.att.com.mx/ODKServer/view/binaryData?blobKey=FSSuministroFluidosv3%5B%40version%3Dnull+and+%40uiVersion%3Dnull%5D%2Fdata%5B%40key%3Duuid%3A41135f37-4c36-4dc9-8502-b665c36699f2%5D%2FgroupInfoFuel%5B%40ordinal%3D1%5D%2FpicFuelRecibeInterno","Descargar")</f>
        <v>Descargar</v>
      </c>
    </row>
    <row r="1180" spans="1:18" x14ac:dyDescent="0.3">
      <c r="A1180">
        <v>1584146</v>
      </c>
      <c r="B1180" t="s">
        <v>18</v>
      </c>
      <c r="C1180" t="s">
        <v>183</v>
      </c>
      <c r="D1180" t="s">
        <v>956</v>
      </c>
      <c r="E1180" t="s">
        <v>1570</v>
      </c>
      <c r="F1180" t="s">
        <v>22</v>
      </c>
      <c r="G1180" t="s">
        <v>23</v>
      </c>
      <c r="H1180" t="s">
        <v>24</v>
      </c>
      <c r="I1180" t="s">
        <v>25</v>
      </c>
      <c r="J1180" s="2">
        <v>45862.563090277778</v>
      </c>
      <c r="K1180">
        <v>24</v>
      </c>
      <c r="L1180">
        <v>7</v>
      </c>
      <c r="M1180">
        <v>2025</v>
      </c>
      <c r="N1180" t="s">
        <v>27</v>
      </c>
      <c r="O1180">
        <v>250</v>
      </c>
      <c r="Q1180">
        <v>250</v>
      </c>
      <c r="R1180" s="3" t="str">
        <f>HYPERLINK("https://panda.att.com.mx/ODKServer/view/binaryData?blobKey=FSSuministroFluidosv3%5B%40version%3Dnull+and+%40uiVersion%3Dnull%5D%2Fdata%5B%40key%3Duuid%3Ab5f2fc1a-e959-4880-940d-9b29c84e88db%5D%2FgroupInfoFuel%5B%40ordinal%3D1%5D%2FpicFuelRecibeInterno","Descargar")</f>
        <v>Descargar</v>
      </c>
    </row>
    <row r="1181" spans="1:18" x14ac:dyDescent="0.3">
      <c r="A1181">
        <v>1584083</v>
      </c>
      <c r="B1181" t="s">
        <v>18</v>
      </c>
      <c r="C1181" t="s">
        <v>34</v>
      </c>
      <c r="D1181" t="s">
        <v>53</v>
      </c>
      <c r="E1181" t="s">
        <v>144</v>
      </c>
      <c r="F1181" t="s">
        <v>22</v>
      </c>
      <c r="G1181" t="s">
        <v>23</v>
      </c>
      <c r="H1181" t="s">
        <v>37</v>
      </c>
      <c r="I1181" t="s">
        <v>25</v>
      </c>
      <c r="J1181" s="2">
        <v>45862.607743055552</v>
      </c>
      <c r="K1181">
        <v>24</v>
      </c>
      <c r="L1181">
        <v>7</v>
      </c>
      <c r="M1181">
        <v>2025</v>
      </c>
      <c r="N1181" t="s">
        <v>27</v>
      </c>
      <c r="O1181">
        <v>350</v>
      </c>
      <c r="P1181">
        <v>350</v>
      </c>
      <c r="R1181" s="3" t="str">
        <f>HYPERLINK("https://panda.att.com.mx/ODKServer/view/binaryData?blobKey=FSSuministroFluidosv3%5B%40version%3Dnull+and+%40uiVersion%3Dnull%5D%2Fdata%5B%40key%3Duuid%3A42dfc422-6272-4047-b9db-268ff1e688b7%5D%2FgroupInfoFuel%5B%40ordinal%3D1%5D%2FpicFuelRecibeInterno","Descargar")</f>
        <v>Descargar</v>
      </c>
    </row>
    <row r="1182" spans="1:18" x14ac:dyDescent="0.3">
      <c r="A1182">
        <v>1583988</v>
      </c>
      <c r="B1182" t="s">
        <v>18</v>
      </c>
      <c r="C1182" t="s">
        <v>100</v>
      </c>
      <c r="D1182" t="s">
        <v>101</v>
      </c>
      <c r="E1182" t="s">
        <v>102</v>
      </c>
      <c r="F1182" t="s">
        <v>22</v>
      </c>
      <c r="G1182" t="s">
        <v>83</v>
      </c>
      <c r="H1182" t="s">
        <v>58</v>
      </c>
      <c r="I1182" t="s">
        <v>25</v>
      </c>
      <c r="J1182" s="2">
        <v>45862.598460648151</v>
      </c>
      <c r="K1182">
        <v>24</v>
      </c>
      <c r="L1182">
        <v>7</v>
      </c>
      <c r="M1182">
        <v>2025</v>
      </c>
      <c r="N1182" t="s">
        <v>44</v>
      </c>
      <c r="O1182">
        <v>60</v>
      </c>
      <c r="P1182">
        <v>60</v>
      </c>
      <c r="R1182" s="3" t="str">
        <f>HYPERLINK("https://panda.att.com.mx/ODKServer/view/binaryData?blobKey=FSSuministroFluidosv3%5B%40version%3Dnull+and+%40uiVersion%3Dnull%5D%2Fdata%5B%40key%3Duuid%3A794fdeb3-46d1-4180-bfed-5d6548c15573%5D%2FgroupInfoFuel%5B%40ordinal%3D1%5D%2FpicFuelRecibeInterno","Descargar")</f>
        <v>Descargar</v>
      </c>
    </row>
    <row r="1183" spans="1:18" x14ac:dyDescent="0.3">
      <c r="A1183">
        <v>1583977</v>
      </c>
      <c r="B1183" t="s">
        <v>18</v>
      </c>
      <c r="C1183" t="s">
        <v>19</v>
      </c>
      <c r="D1183" t="s">
        <v>62</v>
      </c>
      <c r="E1183" t="s">
        <v>615</v>
      </c>
      <c r="F1183" t="s">
        <v>22</v>
      </c>
      <c r="G1183" t="s">
        <v>23</v>
      </c>
      <c r="H1183" t="s">
        <v>24</v>
      </c>
      <c r="I1183" t="s">
        <v>25</v>
      </c>
      <c r="J1183" s="2">
        <v>45862.594942129632</v>
      </c>
      <c r="K1183">
        <v>24</v>
      </c>
      <c r="L1183">
        <v>7</v>
      </c>
      <c r="M1183">
        <v>2025</v>
      </c>
      <c r="N1183" t="s">
        <v>44</v>
      </c>
      <c r="O1183">
        <v>50</v>
      </c>
      <c r="P1183">
        <v>50</v>
      </c>
      <c r="R1183" s="3" t="str">
        <f>HYPERLINK("https://panda.att.com.mx/ODKServer/view/binaryData?blobKey=FSSuministroFluidosv3%5B%40version%3Dnull+and+%40uiVersion%3Dnull%5D%2Fdata%5B%40key%3Duuid%3A9a453b3a-8fc8-4cef-8930-a7710f9ca438%5D%2FgroupInfoFuel%5B%40ordinal%3D1%5D%2FpicFuelRecibeInterno","Descargar")</f>
        <v>Descargar</v>
      </c>
    </row>
    <row r="1184" spans="1:18" x14ac:dyDescent="0.3">
      <c r="A1184">
        <v>1583914</v>
      </c>
      <c r="B1184" t="s">
        <v>18</v>
      </c>
      <c r="C1184" t="s">
        <v>19</v>
      </c>
      <c r="D1184" t="s">
        <v>42</v>
      </c>
      <c r="E1184" t="s">
        <v>1571</v>
      </c>
      <c r="F1184" t="s">
        <v>22</v>
      </c>
      <c r="G1184" t="s">
        <v>23</v>
      </c>
      <c r="H1184" t="s">
        <v>24</v>
      </c>
      <c r="I1184" t="s">
        <v>25</v>
      </c>
      <c r="J1184" s="2">
        <v>45862.519930555558</v>
      </c>
      <c r="K1184">
        <v>24</v>
      </c>
      <c r="L1184">
        <v>7</v>
      </c>
      <c r="M1184">
        <v>2025</v>
      </c>
      <c r="N1184" t="s">
        <v>27</v>
      </c>
      <c r="O1184">
        <v>200</v>
      </c>
      <c r="P1184">
        <v>200</v>
      </c>
      <c r="R1184" s="3" t="str">
        <f>HYPERLINK("https://panda.att.com.mx/ODKServer/view/binaryData?blobKey=FSSuministroFluidosv3%5B%40version%3Dnull+and+%40uiVersion%3Dnull%5D%2Fdata%5B%40key%3Duuid%3A36630a40-fb66-498e-859d-5f98a11af745%5D%2FgroupInfoFuel%5B%40ordinal%3D1%5D%2FpicFuelRecibeInterno","Descargar")</f>
        <v>Descargar</v>
      </c>
    </row>
    <row r="1185" spans="1:18" x14ac:dyDescent="0.3">
      <c r="A1185">
        <v>1583879</v>
      </c>
      <c r="B1185" t="s">
        <v>18</v>
      </c>
      <c r="C1185" t="s">
        <v>19</v>
      </c>
      <c r="D1185" t="s">
        <v>140</v>
      </c>
      <c r="E1185" t="s">
        <v>607</v>
      </c>
      <c r="F1185" t="s">
        <v>22</v>
      </c>
      <c r="G1185" t="s">
        <v>23</v>
      </c>
      <c r="H1185" t="s">
        <v>24</v>
      </c>
      <c r="I1185" t="s">
        <v>25</v>
      </c>
      <c r="J1185" s="2">
        <v>45862.528726851851</v>
      </c>
      <c r="K1185">
        <v>24</v>
      </c>
      <c r="L1185">
        <v>7</v>
      </c>
      <c r="M1185">
        <v>2025</v>
      </c>
      <c r="N1185" t="s">
        <v>27</v>
      </c>
      <c r="O1185">
        <v>350</v>
      </c>
      <c r="Q1185">
        <v>350</v>
      </c>
      <c r="R1185" s="3" t="str">
        <f>HYPERLINK("https://panda.att.com.mx/ODKServer/view/binaryData?blobKey=FSSuministroFluidosv3%5B%40version%3Dnull+and+%40uiVersion%3Dnull%5D%2Fdata%5B%40key%3Duuid%3A6e5dc7ca-6ce6-405b-b800-1468e1bebe87%5D%2FgroupInfoFuel%5B%40ordinal%3D1%5D%2FpicFuelRecibeInterno","Descargar")</f>
        <v>Descargar</v>
      </c>
    </row>
    <row r="1186" spans="1:18" x14ac:dyDescent="0.3">
      <c r="A1186">
        <v>1583769</v>
      </c>
      <c r="B1186" t="s">
        <v>18</v>
      </c>
      <c r="C1186" t="s">
        <v>19</v>
      </c>
      <c r="D1186" t="s">
        <v>62</v>
      </c>
      <c r="E1186" t="s">
        <v>1548</v>
      </c>
      <c r="F1186" t="s">
        <v>22</v>
      </c>
      <c r="G1186" t="s">
        <v>23</v>
      </c>
      <c r="H1186" t="s">
        <v>24</v>
      </c>
      <c r="I1186" t="s">
        <v>25</v>
      </c>
      <c r="J1186" s="2">
        <v>45861.746539351851</v>
      </c>
      <c r="K1186">
        <v>23</v>
      </c>
      <c r="L1186">
        <v>7</v>
      </c>
      <c r="M1186">
        <v>2025</v>
      </c>
      <c r="N1186" t="s">
        <v>27</v>
      </c>
      <c r="O1186">
        <v>130</v>
      </c>
      <c r="P1186">
        <v>130</v>
      </c>
      <c r="R1186" s="3" t="str">
        <f>HYPERLINK("https://panda.att.com.mx/ODKServer/view/binaryData?blobKey=FSSuministroFluidosv3%5B%40version%3Dnull+and+%40uiVersion%3Dnull%5D%2Fdata%5B%40key%3Duuid%3A71699a79-a981-4d6b-85e4-854a2f390f04%5D%2FgroupInfoFuel%5B%40ordinal%3D1%5D%2FpicFuelRecibeInterno","Descargar")</f>
        <v>Descargar</v>
      </c>
    </row>
    <row r="1187" spans="1:18" x14ac:dyDescent="0.3">
      <c r="A1187">
        <v>1583705</v>
      </c>
      <c r="B1187" t="s">
        <v>18</v>
      </c>
      <c r="C1187" t="s">
        <v>55</v>
      </c>
      <c r="D1187" t="s">
        <v>64</v>
      </c>
      <c r="E1187" t="s">
        <v>1572</v>
      </c>
      <c r="F1187" t="s">
        <v>22</v>
      </c>
      <c r="G1187" t="s">
        <v>23</v>
      </c>
      <c r="H1187" t="s">
        <v>58</v>
      </c>
      <c r="I1187" t="s">
        <v>25</v>
      </c>
      <c r="J1187" s="2">
        <v>45862.35359953704</v>
      </c>
      <c r="K1187">
        <v>24</v>
      </c>
      <c r="L1187">
        <v>7</v>
      </c>
      <c r="M1187">
        <v>2025</v>
      </c>
      <c r="N1187" t="s">
        <v>44</v>
      </c>
      <c r="O1187">
        <v>40</v>
      </c>
      <c r="P1187">
        <v>40</v>
      </c>
      <c r="R1187" s="3" t="str">
        <f>HYPERLINK("https://panda.att.com.mx/ODKServer/view/binaryData?blobKey=FSSuministroFluidosv3%5B%40version%3Dnull+and+%40uiVersion%3Dnull%5D%2Fdata%5B%40key%3Duuid%3A9ef445c2-0f21-4815-8f8e-842dadaa9b19%5D%2FgroupInfoFuel%5B%40ordinal%3D1%5D%2FpicFuelRecibeInterno","Descargar")</f>
        <v>Descargar</v>
      </c>
    </row>
    <row r="1188" spans="1:18" x14ac:dyDescent="0.3">
      <c r="A1188">
        <v>1583704</v>
      </c>
      <c r="B1188" t="s">
        <v>18</v>
      </c>
      <c r="C1188" t="s">
        <v>150</v>
      </c>
      <c r="D1188" t="s">
        <v>164</v>
      </c>
      <c r="E1188" t="s">
        <v>1573</v>
      </c>
      <c r="F1188" t="s">
        <v>22</v>
      </c>
      <c r="G1188" t="s">
        <v>23</v>
      </c>
      <c r="H1188" t="s">
        <v>58</v>
      </c>
      <c r="I1188" t="s">
        <v>25</v>
      </c>
      <c r="J1188" s="2">
        <v>45862.383067129631</v>
      </c>
      <c r="K1188">
        <v>24</v>
      </c>
      <c r="L1188">
        <v>7</v>
      </c>
      <c r="M1188">
        <v>2025</v>
      </c>
      <c r="N1188" t="s">
        <v>44</v>
      </c>
      <c r="O1188">
        <v>50</v>
      </c>
      <c r="P1188">
        <v>50</v>
      </c>
      <c r="R1188" s="3" t="str">
        <f>HYPERLINK("https://panda.att.com.mx/ODKServer/view/binaryData?blobKey=FSSuministroFluidosv3%5B%40version%3Dnull+and+%40uiVersion%3Dnull%5D%2Fdata%5B%40key%3Duuid%3A4147e3aa-1a98-42a2-a319-1258c8c96a12%5D%2FgroupInfoFuel%5B%40ordinal%3D1%5D%2FpicFuelRecibeInterno","Descargar")</f>
        <v>Descargar</v>
      </c>
    </row>
    <row r="1189" spans="1:18" x14ac:dyDescent="0.3">
      <c r="A1189">
        <v>1583660</v>
      </c>
      <c r="B1189" t="s">
        <v>18</v>
      </c>
      <c r="C1189" t="s">
        <v>100</v>
      </c>
      <c r="D1189" t="s">
        <v>716</v>
      </c>
      <c r="E1189" t="s">
        <v>717</v>
      </c>
      <c r="F1189" t="s">
        <v>22</v>
      </c>
      <c r="G1189" t="s">
        <v>83</v>
      </c>
      <c r="H1189" t="s">
        <v>58</v>
      </c>
      <c r="I1189" t="s">
        <v>25</v>
      </c>
      <c r="J1189" s="2">
        <v>45862.359409722223</v>
      </c>
      <c r="K1189">
        <v>24</v>
      </c>
      <c r="L1189">
        <v>7</v>
      </c>
      <c r="M1189">
        <v>2025</v>
      </c>
      <c r="N1189" t="s">
        <v>27</v>
      </c>
      <c r="O1189">
        <v>138</v>
      </c>
      <c r="P1189">
        <v>138</v>
      </c>
      <c r="R1189" s="3" t="str">
        <f>HYPERLINK("https://panda.att.com.mx/ODKServer/view/binaryData?blobKey=FSSuministroFluidosv3%5B%40version%3Dnull+and+%40uiVersion%3Dnull%5D%2Fdata%5B%40key%3Duuid%3A1c2e07e5-8ee9-4632-9f86-a8ea6dd90aa2%5D%2FgroupInfoFuel%5B%40ordinal%3D1%5D%2FpicFuelRecibeInterno","Descargar")</f>
        <v>Descargar</v>
      </c>
    </row>
    <row r="1190" spans="1:18" x14ac:dyDescent="0.3">
      <c r="A1190">
        <v>1583657</v>
      </c>
      <c r="B1190" t="s">
        <v>18</v>
      </c>
      <c r="C1190" t="s">
        <v>55</v>
      </c>
      <c r="D1190" t="s">
        <v>64</v>
      </c>
      <c r="E1190" t="s">
        <v>1572</v>
      </c>
      <c r="F1190" t="s">
        <v>22</v>
      </c>
      <c r="G1190" t="s">
        <v>83</v>
      </c>
      <c r="H1190" t="s">
        <v>58</v>
      </c>
      <c r="I1190" t="s">
        <v>25</v>
      </c>
      <c r="J1190" s="2">
        <v>45861.720173611109</v>
      </c>
      <c r="K1190">
        <v>23</v>
      </c>
      <c r="L1190">
        <v>7</v>
      </c>
      <c r="M1190">
        <v>2025</v>
      </c>
      <c r="N1190" t="s">
        <v>44</v>
      </c>
      <c r="O1190">
        <v>50</v>
      </c>
      <c r="P1190">
        <v>50</v>
      </c>
      <c r="R1190" s="3" t="str">
        <f>HYPERLINK("https://panda.att.com.mx/ODKServer/view/binaryData?blobKey=FSSuministroFluidosv3%5B%40version%3Dnull+and+%40uiVersion%3Dnull%5D%2Fdata%5B%40key%3Duuid%3A43f5ef0d-859a-46e4-8277-7666fcc39a51%5D%2FgroupInfoFuel%5B%40ordinal%3D1%5D%2FpicFuelRecibeInterno","Descargar")</f>
        <v>Descargar</v>
      </c>
    </row>
    <row r="1191" spans="1:18" x14ac:dyDescent="0.3">
      <c r="A1191">
        <v>1583654</v>
      </c>
      <c r="B1191" t="s">
        <v>18</v>
      </c>
      <c r="C1191" t="s">
        <v>28</v>
      </c>
      <c r="D1191" t="s">
        <v>181</v>
      </c>
      <c r="E1191" t="s">
        <v>1574</v>
      </c>
      <c r="F1191" t="s">
        <v>22</v>
      </c>
      <c r="G1191" t="s">
        <v>23</v>
      </c>
      <c r="H1191" t="s">
        <v>24</v>
      </c>
      <c r="I1191" t="s">
        <v>25</v>
      </c>
      <c r="J1191" s="2">
        <v>45859.596990740742</v>
      </c>
      <c r="K1191">
        <v>21</v>
      </c>
      <c r="L1191">
        <v>7</v>
      </c>
      <c r="M1191">
        <v>2025</v>
      </c>
      <c r="N1191" t="s">
        <v>27</v>
      </c>
      <c r="O1191">
        <v>300</v>
      </c>
      <c r="Q1191">
        <v>300</v>
      </c>
      <c r="R1191" s="3" t="str">
        <f>HYPERLINK("https://panda.att.com.mx/ODKServer/view/binaryData?blobKey=FSSuministroFluidosv3%5B%40version%3Dnull+and+%40uiVersion%3Dnull%5D%2Fdata%5B%40key%3Duuid%3Ab767a16f-b3fb-4e59-83b9-7411d48ee317%5D%2FgroupInfoFuel%5B%40ordinal%3D1%5D%2FpicFuelRecibeInterno","Descargar")</f>
        <v>Descargar</v>
      </c>
    </row>
    <row r="1192" spans="1:18" x14ac:dyDescent="0.3">
      <c r="A1192">
        <v>1583648</v>
      </c>
      <c r="B1192" t="s">
        <v>18</v>
      </c>
      <c r="C1192" t="s">
        <v>55</v>
      </c>
      <c r="D1192" t="s">
        <v>64</v>
      </c>
      <c r="E1192" t="s">
        <v>1572</v>
      </c>
      <c r="F1192" t="s">
        <v>22</v>
      </c>
      <c r="G1192" t="s">
        <v>1575</v>
      </c>
      <c r="H1192" t="s">
        <v>58</v>
      </c>
      <c r="I1192" t="s">
        <v>25</v>
      </c>
      <c r="J1192" s="2">
        <v>45861.896967592591</v>
      </c>
      <c r="K1192">
        <v>23</v>
      </c>
      <c r="L1192">
        <v>7</v>
      </c>
      <c r="M1192">
        <v>2025</v>
      </c>
      <c r="N1192" t="s">
        <v>44</v>
      </c>
      <c r="O1192">
        <v>30</v>
      </c>
      <c r="P1192">
        <v>30</v>
      </c>
      <c r="R1192" s="3" t="str">
        <f>HYPERLINK("https://panda.att.com.mx/ODKServer/view/binaryData?blobKey=FSSuministroFluidosv3%5B%40version%3Dnull+and+%40uiVersion%3Dnull%5D%2Fdata%5B%40key%3Duuid%3A9cfebdd9-d362-4075-b53d-059dcb38f84f%5D%2FgroupInfoFuel%5B%40ordinal%3D1%5D%2FpicFuelRecibeInterno","Descargar")</f>
        <v>Descargar</v>
      </c>
    </row>
    <row r="1193" spans="1:18" x14ac:dyDescent="0.3">
      <c r="A1193">
        <v>1583647</v>
      </c>
      <c r="B1193" t="s">
        <v>18</v>
      </c>
      <c r="C1193" t="s">
        <v>55</v>
      </c>
      <c r="D1193" t="s">
        <v>64</v>
      </c>
      <c r="E1193" t="s">
        <v>1576</v>
      </c>
      <c r="F1193" t="s">
        <v>22</v>
      </c>
      <c r="G1193" t="s">
        <v>23</v>
      </c>
      <c r="H1193" t="s">
        <v>58</v>
      </c>
      <c r="I1193" t="s">
        <v>25</v>
      </c>
      <c r="J1193" s="2">
        <v>45861.895844907413</v>
      </c>
      <c r="K1193">
        <v>23</v>
      </c>
      <c r="L1193">
        <v>7</v>
      </c>
      <c r="M1193">
        <v>2025</v>
      </c>
      <c r="N1193" t="s">
        <v>44</v>
      </c>
      <c r="O1193">
        <v>30</v>
      </c>
      <c r="P1193">
        <v>30</v>
      </c>
      <c r="R1193" s="3" t="str">
        <f>HYPERLINK("https://panda.att.com.mx/ODKServer/view/binaryData?blobKey=FSSuministroFluidosv3%5B%40version%3Dnull+and+%40uiVersion%3Dnull%5D%2Fdata%5B%40key%3Duuid%3Aeb675ee0-3408-4bbf-8b61-2ccd00937431%5D%2FgroupInfoFuel%5B%40ordinal%3D1%5D%2FpicFuelRecibeInterno","Descargar")</f>
        <v>Descargar</v>
      </c>
    </row>
    <row r="1194" spans="1:18" x14ac:dyDescent="0.3">
      <c r="A1194">
        <v>1583646</v>
      </c>
      <c r="B1194" t="s">
        <v>18</v>
      </c>
      <c r="C1194" t="s">
        <v>55</v>
      </c>
      <c r="D1194" t="s">
        <v>64</v>
      </c>
      <c r="E1194" t="s">
        <v>1392</v>
      </c>
      <c r="F1194" t="s">
        <v>22</v>
      </c>
      <c r="G1194" t="s">
        <v>23</v>
      </c>
      <c r="H1194" t="s">
        <v>58</v>
      </c>
      <c r="I1194" t="s">
        <v>25</v>
      </c>
      <c r="J1194" s="2">
        <v>45861.415451388893</v>
      </c>
      <c r="K1194">
        <v>23</v>
      </c>
      <c r="L1194">
        <v>7</v>
      </c>
      <c r="M1194">
        <v>2025</v>
      </c>
      <c r="N1194" t="s">
        <v>27</v>
      </c>
      <c r="O1194">
        <v>250</v>
      </c>
      <c r="P1194">
        <v>250</v>
      </c>
      <c r="R1194" s="3" t="str">
        <f>HYPERLINK("https://panda.att.com.mx/ODKServer/view/binaryData?blobKey=FSSuministroFluidosv3%5B%40version%3Dnull+and+%40uiVersion%3Dnull%5D%2Fdata%5B%40key%3Duuid%3Af874b9dc-9bd1-43d9-8242-8b41c433891c%5D%2FgroupInfoFuel%5B%40ordinal%3D1%5D%2FpicFuelRecibeInterno","Descargar")</f>
        <v>Descargar</v>
      </c>
    </row>
    <row r="1195" spans="1:18" x14ac:dyDescent="0.3">
      <c r="A1195">
        <v>1583627</v>
      </c>
      <c r="B1195" t="s">
        <v>18</v>
      </c>
      <c r="C1195" t="s">
        <v>19</v>
      </c>
      <c r="D1195" t="s">
        <v>45</v>
      </c>
      <c r="E1195" t="s">
        <v>1265</v>
      </c>
      <c r="F1195" t="s">
        <v>22</v>
      </c>
      <c r="G1195" t="s">
        <v>23</v>
      </c>
      <c r="H1195" t="s">
        <v>24</v>
      </c>
      <c r="I1195" t="s">
        <v>25</v>
      </c>
      <c r="J1195" s="2">
        <v>45861.603020833332</v>
      </c>
      <c r="K1195">
        <v>23</v>
      </c>
      <c r="L1195">
        <v>7</v>
      </c>
      <c r="M1195">
        <v>2025</v>
      </c>
      <c r="N1195" t="s">
        <v>27</v>
      </c>
      <c r="O1195">
        <v>400</v>
      </c>
      <c r="P1195">
        <v>400</v>
      </c>
      <c r="R1195" s="3" t="str">
        <f>HYPERLINK("https://panda.att.com.mx/ODKServer/view/binaryData?blobKey=FSSuministroFluidosv3%5B%40version%3Dnull+and+%40uiVersion%3Dnull%5D%2Fdata%5B%40key%3Duuid%3Ad6a905b0-3cec-4e4d-8f2a-f8bec727e8b5%5D%2FgroupInfoFuel%5B%40ordinal%3D1%5D%2FpicFuelRecibeInterno","Descargar")</f>
        <v>Descargar</v>
      </c>
    </row>
    <row r="1196" spans="1:18" x14ac:dyDescent="0.3">
      <c r="A1196">
        <v>1583568</v>
      </c>
      <c r="B1196" t="s">
        <v>18</v>
      </c>
      <c r="C1196" t="s">
        <v>28</v>
      </c>
      <c r="D1196" t="s">
        <v>1036</v>
      </c>
      <c r="E1196" t="s">
        <v>1577</v>
      </c>
      <c r="F1196" t="s">
        <v>22</v>
      </c>
      <c r="G1196" t="s">
        <v>23</v>
      </c>
      <c r="H1196" t="s">
        <v>37</v>
      </c>
      <c r="I1196" t="s">
        <v>25</v>
      </c>
      <c r="J1196" s="2">
        <v>45861.759259259263</v>
      </c>
      <c r="K1196">
        <v>23</v>
      </c>
      <c r="L1196">
        <v>7</v>
      </c>
      <c r="M1196">
        <v>2025</v>
      </c>
      <c r="N1196" t="s">
        <v>44</v>
      </c>
      <c r="O1196">
        <v>60</v>
      </c>
      <c r="P1196">
        <v>60</v>
      </c>
      <c r="R1196" s="3" t="str">
        <f>HYPERLINK("https://panda.att.com.mx/ODKServer/view/binaryData?blobKey=FSSuministroFluidosv3%5B%40version%3Dnull+and+%40uiVersion%3Dnull%5D%2Fdata%5B%40key%3Duuid%3A57cd5ca1-b6ce-4477-8baf-c37fcf8cfd27%5D%2FgroupInfoFuel%5B%40ordinal%3D1%5D%2FpicFuelRecibeInterno","Descargar")</f>
        <v>Descargar</v>
      </c>
    </row>
    <row r="1197" spans="1:18" x14ac:dyDescent="0.3">
      <c r="A1197">
        <v>1583561</v>
      </c>
      <c r="B1197" t="s">
        <v>18</v>
      </c>
      <c r="C1197" t="s">
        <v>34</v>
      </c>
      <c r="D1197" t="s">
        <v>53</v>
      </c>
      <c r="E1197" t="s">
        <v>1578</v>
      </c>
      <c r="F1197" t="s">
        <v>22</v>
      </c>
      <c r="G1197" t="s">
        <v>23</v>
      </c>
      <c r="H1197" t="s">
        <v>390</v>
      </c>
      <c r="I1197" t="s">
        <v>25</v>
      </c>
      <c r="J1197" s="2">
        <v>45860.546157407407</v>
      </c>
      <c r="K1197">
        <v>22</v>
      </c>
      <c r="L1197">
        <v>7</v>
      </c>
      <c r="M1197">
        <v>2025</v>
      </c>
      <c r="N1197" t="s">
        <v>27</v>
      </c>
      <c r="O1197">
        <v>100</v>
      </c>
      <c r="P1197">
        <v>100</v>
      </c>
      <c r="R1197" s="3" t="str">
        <f>HYPERLINK("https://panda.att.com.mx/ODKServer/view/binaryData?blobKey=FSSuministroFluidosv3%5B%40version%3Dnull+and+%40uiVersion%3Dnull%5D%2Fdata%5B%40key%3Duuid%3Af474e5d8-6f55-42f1-9393-68d4322163d7%5D%2FgroupInfoFuel%5B%40ordinal%3D1%5D%2FpicFuelRecibeInterno","Descargar")</f>
        <v>Descargar</v>
      </c>
    </row>
    <row r="1198" spans="1:18" x14ac:dyDescent="0.3">
      <c r="A1198">
        <v>1583550</v>
      </c>
      <c r="B1198" t="s">
        <v>18</v>
      </c>
      <c r="C1198" t="s">
        <v>28</v>
      </c>
      <c r="D1198" t="s">
        <v>181</v>
      </c>
      <c r="E1198" t="s">
        <v>1134</v>
      </c>
      <c r="F1198" t="s">
        <v>22</v>
      </c>
      <c r="G1198" t="s">
        <v>23</v>
      </c>
      <c r="H1198" t="s">
        <v>24</v>
      </c>
      <c r="I1198" t="s">
        <v>25</v>
      </c>
      <c r="J1198" s="2">
        <v>45859.457569444443</v>
      </c>
      <c r="K1198">
        <v>21</v>
      </c>
      <c r="L1198">
        <v>7</v>
      </c>
      <c r="M1198">
        <v>2025</v>
      </c>
      <c r="N1198" t="s">
        <v>44</v>
      </c>
      <c r="O1198">
        <v>40</v>
      </c>
      <c r="P1198">
        <v>40</v>
      </c>
      <c r="R1198" s="3" t="str">
        <f>HYPERLINK("https://panda.att.com.mx/ODKServer/view/binaryData?blobKey=FSSuministroFluidosv3%5B%40version%3Dnull+and+%40uiVersion%3Dnull%5D%2Fdata%5B%40key%3Duuid%3A8e36f47e-f9fd-403a-b6f2-b9efde3dd688%5D%2FgroupInfoFuel%5B%40ordinal%3D1%5D%2FpicFuelRecibeInterno","Descargar")</f>
        <v>Descargar</v>
      </c>
    </row>
    <row r="1199" spans="1:18" x14ac:dyDescent="0.3">
      <c r="A1199">
        <v>1583534</v>
      </c>
      <c r="B1199" t="s">
        <v>18</v>
      </c>
      <c r="C1199" t="s">
        <v>100</v>
      </c>
      <c r="D1199" t="s">
        <v>101</v>
      </c>
      <c r="E1199" t="s">
        <v>102</v>
      </c>
      <c r="F1199" t="s">
        <v>22</v>
      </c>
      <c r="G1199" t="s">
        <v>83</v>
      </c>
      <c r="H1199" t="s">
        <v>58</v>
      </c>
      <c r="I1199" t="s">
        <v>25</v>
      </c>
      <c r="J1199" s="2">
        <v>45861.808437500003</v>
      </c>
      <c r="K1199">
        <v>23</v>
      </c>
      <c r="L1199">
        <v>7</v>
      </c>
      <c r="M1199">
        <v>2025</v>
      </c>
      <c r="N1199" t="s">
        <v>44</v>
      </c>
      <c r="O1199">
        <v>60</v>
      </c>
      <c r="P1199">
        <v>60</v>
      </c>
      <c r="R1199" s="3" t="str">
        <f>HYPERLINK("https://panda.att.com.mx/ODKServer/view/binaryData?blobKey=FSSuministroFluidosv3%5B%40version%3Dnull+and+%40uiVersion%3Dnull%5D%2Fdata%5B%40key%3Duuid%3Acae514ea-0265-4d34-b4ac-b6d4ab7ac744%5D%2FgroupInfoFuel%5B%40ordinal%3D1%5D%2FpicFuelRecibeInterno","Descargar")</f>
        <v>Descargar</v>
      </c>
    </row>
    <row r="1200" spans="1:18" x14ac:dyDescent="0.3">
      <c r="A1200">
        <v>1583529</v>
      </c>
      <c r="B1200" t="s">
        <v>18</v>
      </c>
      <c r="C1200" t="s">
        <v>55</v>
      </c>
      <c r="D1200" t="s">
        <v>56</v>
      </c>
      <c r="E1200" t="s">
        <v>1555</v>
      </c>
      <c r="F1200" t="s">
        <v>22</v>
      </c>
      <c r="G1200" t="s">
        <v>83</v>
      </c>
      <c r="H1200" t="s">
        <v>58</v>
      </c>
      <c r="I1200" t="s">
        <v>25</v>
      </c>
      <c r="J1200" s="2">
        <v>45861.662800925929</v>
      </c>
      <c r="K1200">
        <v>23</v>
      </c>
      <c r="L1200">
        <v>7</v>
      </c>
      <c r="M1200">
        <v>2025</v>
      </c>
      <c r="N1200" t="s">
        <v>27</v>
      </c>
      <c r="O1200">
        <v>200</v>
      </c>
      <c r="P1200">
        <v>200</v>
      </c>
      <c r="R1200" s="3" t="str">
        <f>HYPERLINK("https://panda.att.com.mx/ODKServer/view/binaryData?blobKey=FSSuministroFluidosv3%5B%40version%3Dnull+and+%40uiVersion%3Dnull%5D%2Fdata%5B%40key%3Duuid%3Ae6557bd9-4f9a-400a-890e-89dd4aa2134e%5D%2FgroupInfoFuel%5B%40ordinal%3D1%5D%2FpicFuelRecibeInterno","Descargar")</f>
        <v>Descargar</v>
      </c>
    </row>
    <row r="1201" spans="1:18" x14ac:dyDescent="0.3">
      <c r="A1201">
        <v>1583520</v>
      </c>
      <c r="B1201" t="s">
        <v>18</v>
      </c>
      <c r="C1201" t="s">
        <v>150</v>
      </c>
      <c r="D1201" t="s">
        <v>230</v>
      </c>
      <c r="E1201" t="s">
        <v>1510</v>
      </c>
      <c r="F1201" t="s">
        <v>22</v>
      </c>
      <c r="G1201" t="s">
        <v>23</v>
      </c>
      <c r="H1201" t="s">
        <v>58</v>
      </c>
      <c r="I1201" t="s">
        <v>25</v>
      </c>
      <c r="J1201" s="2">
        <v>45861.787245370368</v>
      </c>
      <c r="K1201">
        <v>23</v>
      </c>
      <c r="L1201">
        <v>7</v>
      </c>
      <c r="M1201">
        <v>2025</v>
      </c>
      <c r="N1201" t="s">
        <v>27</v>
      </c>
      <c r="O1201">
        <v>300</v>
      </c>
      <c r="P1201">
        <v>300</v>
      </c>
      <c r="R1201" s="3" t="str">
        <f>HYPERLINK("https://panda.att.com.mx/ODKServer/view/binaryData?blobKey=FSSuministroFluidosv3%5B%40version%3Dnull+and+%40uiVersion%3Dnull%5D%2Fdata%5B%40key%3Duuid%3Addff7d49-50fe-440a-af1e-1918c6795774%5D%2FgroupInfoFuel%5B%40ordinal%3D1%5D%2FpicFuelRecibeInterno","Descargar")</f>
        <v>Descargar</v>
      </c>
    </row>
    <row r="1202" spans="1:18" x14ac:dyDescent="0.3">
      <c r="A1202">
        <v>1583500</v>
      </c>
      <c r="B1202" t="s">
        <v>18</v>
      </c>
      <c r="C1202" t="s">
        <v>150</v>
      </c>
      <c r="D1202" t="s">
        <v>151</v>
      </c>
      <c r="E1202" t="s">
        <v>1512</v>
      </c>
      <c r="F1202" t="s">
        <v>22</v>
      </c>
      <c r="G1202" t="s">
        <v>23</v>
      </c>
      <c r="H1202" t="s">
        <v>58</v>
      </c>
      <c r="I1202" t="s">
        <v>25</v>
      </c>
      <c r="J1202" s="2">
        <v>45861.760706018518</v>
      </c>
      <c r="K1202">
        <v>23</v>
      </c>
      <c r="L1202">
        <v>7</v>
      </c>
      <c r="M1202">
        <v>2025</v>
      </c>
      <c r="N1202" t="s">
        <v>27</v>
      </c>
      <c r="O1202">
        <v>200</v>
      </c>
      <c r="P1202">
        <v>200</v>
      </c>
      <c r="R1202" s="3" t="str">
        <f>HYPERLINK("https://panda.att.com.mx/ODKServer/view/binaryData?blobKey=FSSuministroFluidosv3%5B%40version%3Dnull+and+%40uiVersion%3Dnull%5D%2Fdata%5B%40key%3Duuid%3Ab487ba40-f3c7-4720-8cc6-95da07f8ddf4%5D%2FgroupInfoFuel%5B%40ordinal%3D1%5D%2FpicFuelRecibeInterno","Descargar")</f>
        <v>Descargar</v>
      </c>
    </row>
    <row r="1203" spans="1:18" x14ac:dyDescent="0.3">
      <c r="A1203">
        <v>1583222</v>
      </c>
      <c r="B1203" t="s">
        <v>18</v>
      </c>
      <c r="C1203" t="s">
        <v>19</v>
      </c>
      <c r="D1203" t="s">
        <v>20</v>
      </c>
      <c r="E1203" t="s">
        <v>735</v>
      </c>
      <c r="F1203" t="s">
        <v>22</v>
      </c>
      <c r="G1203" t="s">
        <v>23</v>
      </c>
      <c r="H1203" t="s">
        <v>24</v>
      </c>
      <c r="I1203" t="s">
        <v>25</v>
      </c>
      <c r="J1203" s="2">
        <v>45861.471435185187</v>
      </c>
      <c r="K1203">
        <v>23</v>
      </c>
      <c r="L1203">
        <v>7</v>
      </c>
      <c r="M1203">
        <v>2025</v>
      </c>
      <c r="N1203" t="s">
        <v>27</v>
      </c>
      <c r="O1203">
        <v>200</v>
      </c>
      <c r="P1203">
        <v>200</v>
      </c>
      <c r="R1203" s="3" t="str">
        <f>HYPERLINK("https://panda.att.com.mx/ODKServer/view/binaryData?blobKey=FSSuministroFluidosv3%5B%40version%3Dnull+and+%40uiVersion%3Dnull%5D%2Fdata%5B%40key%3Duuid%3A6fb6fa58-d744-40ee-ba6c-74e4840adf97%5D%2FgroupInfoFuel%5B%40ordinal%3D1%5D%2FpicFuelRecibeInterno","Descargar")</f>
        <v>Descargar</v>
      </c>
    </row>
    <row r="1204" spans="1:18" x14ac:dyDescent="0.3">
      <c r="A1204">
        <v>1583194</v>
      </c>
      <c r="B1204" t="s">
        <v>18</v>
      </c>
      <c r="C1204" t="s">
        <v>167</v>
      </c>
      <c r="D1204" t="s">
        <v>268</v>
      </c>
      <c r="E1204" t="s">
        <v>442</v>
      </c>
      <c r="F1204" t="s">
        <v>33</v>
      </c>
      <c r="G1204" t="s">
        <v>23</v>
      </c>
      <c r="H1204" t="s">
        <v>58</v>
      </c>
      <c r="I1204" t="s">
        <v>25</v>
      </c>
      <c r="J1204" s="2">
        <v>45861.544085648151</v>
      </c>
      <c r="K1204">
        <v>23</v>
      </c>
      <c r="L1204">
        <v>7</v>
      </c>
      <c r="M1204">
        <v>2025</v>
      </c>
      <c r="N1204" t="s">
        <v>27</v>
      </c>
      <c r="O1204">
        <v>250</v>
      </c>
      <c r="P1204">
        <v>250</v>
      </c>
      <c r="R1204" s="3" t="str">
        <f>HYPERLINK("https://panda.att.com.mx/ODKServer/view/binaryData?blobKey=FSSuministroFluidosv3%5B%40version%3Dnull+and+%40uiVersion%3Dnull%5D%2Fdata%5B%40key%3Duuid%3A9e72f104-9957-4934-909f-15baaaf41a6c%5D%2FgroupInfoFuel%5B%40ordinal%3D1%5D%2FpicFuelRecibeInterno","Descargar")</f>
        <v>Descargar</v>
      </c>
    </row>
    <row r="1205" spans="1:18" x14ac:dyDescent="0.3">
      <c r="A1205">
        <v>1583176</v>
      </c>
      <c r="B1205" t="s">
        <v>18</v>
      </c>
      <c r="C1205" t="s">
        <v>19</v>
      </c>
      <c r="D1205" t="s">
        <v>156</v>
      </c>
      <c r="E1205" t="s">
        <v>1579</v>
      </c>
      <c r="F1205" t="s">
        <v>22</v>
      </c>
      <c r="G1205" t="s">
        <v>23</v>
      </c>
      <c r="H1205" t="s">
        <v>24</v>
      </c>
      <c r="I1205" t="s">
        <v>25</v>
      </c>
      <c r="J1205" s="2">
        <v>45854.842268518521</v>
      </c>
      <c r="K1205">
        <v>16</v>
      </c>
      <c r="L1205">
        <v>7</v>
      </c>
      <c r="M1205">
        <v>2025</v>
      </c>
      <c r="N1205" t="s">
        <v>44</v>
      </c>
      <c r="O1205">
        <v>28</v>
      </c>
      <c r="P1205">
        <v>28</v>
      </c>
      <c r="R1205" s="3" t="str">
        <f>HYPERLINK("https://panda.att.com.mx/ODKServer/view/binaryData?blobKey=FSSuministroFluidosv3%5B%40version%3Dnull+and+%40uiVersion%3Dnull%5D%2Fdata%5B%40key%3Duuid%3A466548dc-776d-4181-9e38-e0088692d079%5D%2FgroupInfoFuel%5B%40ordinal%3D1%5D%2FpicFuelRecibeInterno","Descargar")</f>
        <v>Descargar</v>
      </c>
    </row>
    <row r="1206" spans="1:18" x14ac:dyDescent="0.3">
      <c r="A1206">
        <v>1583051</v>
      </c>
      <c r="B1206" t="s">
        <v>18</v>
      </c>
      <c r="C1206" t="s">
        <v>167</v>
      </c>
      <c r="D1206" t="s">
        <v>264</v>
      </c>
      <c r="E1206" t="s">
        <v>1580</v>
      </c>
      <c r="F1206" t="s">
        <v>22</v>
      </c>
      <c r="G1206" t="s">
        <v>23</v>
      </c>
      <c r="H1206" t="s">
        <v>58</v>
      </c>
      <c r="I1206" t="s">
        <v>25</v>
      </c>
      <c r="J1206" s="2">
        <v>45858.802499999998</v>
      </c>
      <c r="K1206">
        <v>20</v>
      </c>
      <c r="L1206">
        <v>7</v>
      </c>
      <c r="M1206">
        <v>2025</v>
      </c>
      <c r="N1206" t="s">
        <v>27</v>
      </c>
      <c r="O1206">
        <v>100</v>
      </c>
      <c r="P1206">
        <v>100</v>
      </c>
      <c r="R1206" s="3" t="str">
        <f>HYPERLINK("https://panda.att.com.mx/ODKServer/view/binaryData?blobKey=FSSuministroFluidosv3%5B%40version%3Dnull+and+%40uiVersion%3Dnull%5D%2Fdata%5B%40key%3Duuid%3A01a7d95a-ab35-4f02-b9bb-227cb4df35fc%5D%2FgroupInfoFuel%5B%40ordinal%3D1%5D%2FpicFuelRecibeInterno","Descargar")</f>
        <v>Descargar</v>
      </c>
    </row>
    <row r="1207" spans="1:18" x14ac:dyDescent="0.3">
      <c r="A1207">
        <v>1582978</v>
      </c>
      <c r="B1207" t="s">
        <v>18</v>
      </c>
      <c r="C1207" t="s">
        <v>55</v>
      </c>
      <c r="D1207" t="s">
        <v>56</v>
      </c>
      <c r="E1207" t="s">
        <v>81</v>
      </c>
      <c r="F1207" t="s">
        <v>22</v>
      </c>
      <c r="G1207" t="s">
        <v>23</v>
      </c>
      <c r="H1207" t="s">
        <v>58</v>
      </c>
      <c r="I1207" t="s">
        <v>25</v>
      </c>
      <c r="J1207" s="2">
        <v>45860.550833333327</v>
      </c>
      <c r="K1207">
        <v>22</v>
      </c>
      <c r="L1207">
        <v>7</v>
      </c>
      <c r="M1207">
        <v>2025</v>
      </c>
      <c r="N1207" t="s">
        <v>27</v>
      </c>
      <c r="O1207">
        <v>250</v>
      </c>
      <c r="P1207">
        <v>250</v>
      </c>
      <c r="R1207" s="3" t="str">
        <f>HYPERLINK("https://panda.att.com.mx/ODKServer/view/binaryData?blobKey=FSSuministroFluidosv3%5B%40version%3Dnull+and+%40uiVersion%3Dnull%5D%2Fdata%5B%40key%3Duuid%3A9578ef30-0e76-4fe0-b658-975c17aa626b%5D%2FgroupInfoFuel%5B%40ordinal%3D1%5D%2FpicFuelRecibeInterno","Descargar")</f>
        <v>Descargar</v>
      </c>
    </row>
    <row r="1208" spans="1:18" x14ac:dyDescent="0.3">
      <c r="A1208">
        <v>1582977</v>
      </c>
      <c r="B1208" t="s">
        <v>18</v>
      </c>
      <c r="C1208" t="s">
        <v>150</v>
      </c>
      <c r="D1208" t="s">
        <v>164</v>
      </c>
      <c r="E1208" t="s">
        <v>165</v>
      </c>
      <c r="F1208" t="s">
        <v>22</v>
      </c>
      <c r="G1208" t="s">
        <v>23</v>
      </c>
      <c r="H1208" t="s">
        <v>58</v>
      </c>
      <c r="I1208" t="s">
        <v>25</v>
      </c>
      <c r="J1208" s="2">
        <v>45861.33321759259</v>
      </c>
      <c r="K1208">
        <v>23</v>
      </c>
      <c r="L1208">
        <v>7</v>
      </c>
      <c r="M1208">
        <v>2025</v>
      </c>
      <c r="N1208" t="s">
        <v>27</v>
      </c>
      <c r="O1208">
        <v>400</v>
      </c>
      <c r="P1208">
        <v>400</v>
      </c>
      <c r="R1208" s="3" t="str">
        <f>HYPERLINK("https://panda.att.com.mx/ODKServer/view/binaryData?blobKey=FSSuministroFluidosv3%5B%40version%3Dnull+and+%40uiVersion%3Dnull%5D%2Fdata%5B%40key%3Duuid%3A25c2153a-a0e8-4949-93b7-f264d828af0f%5D%2FgroupInfoFuel%5B%40ordinal%3D1%5D%2FpicFuelRecibeInterno","Descargar")</f>
        <v>Descargar</v>
      </c>
    </row>
    <row r="1209" spans="1:18" x14ac:dyDescent="0.3">
      <c r="A1209">
        <v>1582972</v>
      </c>
      <c r="B1209" t="s">
        <v>18</v>
      </c>
      <c r="C1209" t="s">
        <v>55</v>
      </c>
      <c r="D1209" t="s">
        <v>56</v>
      </c>
      <c r="E1209" t="s">
        <v>320</v>
      </c>
      <c r="F1209" t="s">
        <v>22</v>
      </c>
      <c r="G1209" t="s">
        <v>95</v>
      </c>
      <c r="H1209" t="s">
        <v>58</v>
      </c>
      <c r="I1209" t="s">
        <v>25</v>
      </c>
      <c r="J1209" s="2">
        <v>45860.403819444437</v>
      </c>
      <c r="K1209">
        <v>22</v>
      </c>
      <c r="L1209">
        <v>7</v>
      </c>
      <c r="M1209">
        <v>2025</v>
      </c>
      <c r="N1209" t="s">
        <v>27</v>
      </c>
      <c r="O1209">
        <v>250</v>
      </c>
      <c r="P1209">
        <v>250</v>
      </c>
      <c r="R1209" s="3" t="str">
        <f>HYPERLINK("https://panda.att.com.mx/ODKServer/view/binaryData?blobKey=FSSuministroFluidosv3%5B%40version%3Dnull+and+%40uiVersion%3Dnull%5D%2Fdata%5B%40key%3Duuid%3Aabb56295-c68e-4902-bc9f-6367364c03be%5D%2FgroupInfoFuel%5B%40ordinal%3D1%5D%2FpicFuelRecibeInterno","Descargar")</f>
        <v>Descargar</v>
      </c>
    </row>
    <row r="1210" spans="1:18" x14ac:dyDescent="0.3">
      <c r="A1210">
        <v>1582971</v>
      </c>
      <c r="B1210" t="s">
        <v>18</v>
      </c>
      <c r="C1210" t="s">
        <v>55</v>
      </c>
      <c r="D1210" t="s">
        <v>56</v>
      </c>
      <c r="E1210" t="s">
        <v>1560</v>
      </c>
      <c r="F1210" t="s">
        <v>22</v>
      </c>
      <c r="G1210" t="s">
        <v>95</v>
      </c>
      <c r="H1210" t="s">
        <v>58</v>
      </c>
      <c r="I1210" t="s">
        <v>25</v>
      </c>
      <c r="J1210" s="2">
        <v>45860.717951388891</v>
      </c>
      <c r="K1210">
        <v>22</v>
      </c>
      <c r="L1210">
        <v>7</v>
      </c>
      <c r="M1210">
        <v>2025</v>
      </c>
      <c r="N1210" t="s">
        <v>27</v>
      </c>
      <c r="O1210">
        <v>300</v>
      </c>
      <c r="P1210">
        <v>300</v>
      </c>
      <c r="R1210" s="3" t="str">
        <f>HYPERLINK("https://panda.att.com.mx/ODKServer/view/binaryData?blobKey=FSSuministroFluidosv3%5B%40version%3Dnull+and+%40uiVersion%3Dnull%5D%2Fdata%5B%40key%3Duuid%3A6ce2e76d-2455-447a-a983-bc87279f6b9c%5D%2FgroupInfoFuel%5B%40ordinal%3D1%5D%2FpicFuelRecibeInterno","Descargar")</f>
        <v>Descargar</v>
      </c>
    </row>
    <row r="1211" spans="1:18" x14ac:dyDescent="0.3">
      <c r="A1211">
        <v>1582963</v>
      </c>
      <c r="B1211" t="s">
        <v>18</v>
      </c>
      <c r="C1211" t="s">
        <v>68</v>
      </c>
      <c r="D1211" t="s">
        <v>132</v>
      </c>
      <c r="E1211" t="s">
        <v>1545</v>
      </c>
      <c r="F1211" t="s">
        <v>22</v>
      </c>
      <c r="G1211" t="s">
        <v>23</v>
      </c>
      <c r="H1211" t="s">
        <v>37</v>
      </c>
      <c r="I1211" t="s">
        <v>25</v>
      </c>
      <c r="J1211" s="2">
        <v>45860.893877314818</v>
      </c>
      <c r="K1211">
        <v>22</v>
      </c>
      <c r="L1211">
        <v>7</v>
      </c>
      <c r="M1211">
        <v>2025</v>
      </c>
      <c r="N1211" t="s">
        <v>44</v>
      </c>
      <c r="O1211">
        <v>55</v>
      </c>
      <c r="P1211">
        <v>55</v>
      </c>
      <c r="R1211" s="3" t="str">
        <f>HYPERLINK("https://panda.att.com.mx/ODKServer/view/binaryData?blobKey=FSSuministroFluidosv3%5B%40version%3Dnull+and+%40uiVersion%3Dnull%5D%2Fdata%5B%40key%3Duuid%3A50b6b181-8d64-4089-ada1-41724df955eb%5D%2FgroupInfoFuel%5B%40ordinal%3D1%5D%2FpicFuelRecibeInterno","Descargar")</f>
        <v>Descargar</v>
      </c>
    </row>
    <row r="1212" spans="1:18" x14ac:dyDescent="0.3">
      <c r="A1212">
        <v>1582874</v>
      </c>
      <c r="B1212" t="s">
        <v>18</v>
      </c>
      <c r="C1212" t="s">
        <v>19</v>
      </c>
      <c r="D1212" t="s">
        <v>62</v>
      </c>
      <c r="E1212" t="s">
        <v>1581</v>
      </c>
      <c r="F1212" t="s">
        <v>22</v>
      </c>
      <c r="G1212" t="s">
        <v>23</v>
      </c>
      <c r="H1212" t="s">
        <v>24</v>
      </c>
      <c r="I1212" t="s">
        <v>25</v>
      </c>
      <c r="J1212" s="2">
        <v>45860.841215277767</v>
      </c>
      <c r="K1212">
        <v>22</v>
      </c>
      <c r="L1212">
        <v>7</v>
      </c>
      <c r="M1212">
        <v>2025</v>
      </c>
      <c r="N1212" t="s">
        <v>27</v>
      </c>
      <c r="O1212">
        <v>200</v>
      </c>
      <c r="P1212">
        <v>200</v>
      </c>
      <c r="R1212" s="3" t="str">
        <f>HYPERLINK("https://panda.att.com.mx/ODKServer/view/binaryData?blobKey=FSSuministroFluidosv3%5B%40version%3Dnull+and+%40uiVersion%3Dnull%5D%2Fdata%5B%40key%3Duuid%3A7891ae7b-977e-4f4f-bfbd-69e3368fd4a5%5D%2FgroupInfoFuel%5B%40ordinal%3D1%5D%2FpicFuelRecibeInterno","Descargar")</f>
        <v>Descargar</v>
      </c>
    </row>
    <row r="1213" spans="1:18" x14ac:dyDescent="0.3">
      <c r="A1213">
        <v>1582863</v>
      </c>
      <c r="B1213" t="s">
        <v>18</v>
      </c>
      <c r="C1213" t="s">
        <v>19</v>
      </c>
      <c r="D1213" t="s">
        <v>62</v>
      </c>
      <c r="E1213" t="s">
        <v>1548</v>
      </c>
      <c r="F1213" t="s">
        <v>22</v>
      </c>
      <c r="G1213" t="s">
        <v>23</v>
      </c>
      <c r="H1213" t="s">
        <v>24</v>
      </c>
      <c r="I1213" t="s">
        <v>25</v>
      </c>
      <c r="J1213" s="2">
        <v>45860.828645833331</v>
      </c>
      <c r="K1213">
        <v>22</v>
      </c>
      <c r="L1213">
        <v>7</v>
      </c>
      <c r="M1213">
        <v>2025</v>
      </c>
      <c r="N1213" t="s">
        <v>27</v>
      </c>
      <c r="O1213">
        <v>100</v>
      </c>
      <c r="P1213">
        <v>100</v>
      </c>
      <c r="R1213" s="3" t="str">
        <f>HYPERLINK("https://panda.att.com.mx/ODKServer/view/binaryData?blobKey=FSSuministroFluidosv3%5B%40version%3Dnull+and+%40uiVersion%3Dnull%5D%2Fdata%5B%40key%3Duuid%3A1b07314b-7f99-42aa-87df-309b82dbc4b4%5D%2FgroupInfoFuel%5B%40ordinal%3D1%5D%2FpicFuelRecibeInterno","Descargar")</f>
        <v>Descargar</v>
      </c>
    </row>
    <row r="1214" spans="1:18" x14ac:dyDescent="0.3">
      <c r="A1214">
        <v>1582862</v>
      </c>
      <c r="B1214" t="s">
        <v>18</v>
      </c>
      <c r="C1214" t="s">
        <v>183</v>
      </c>
      <c r="D1214" t="s">
        <v>1582</v>
      </c>
      <c r="E1214" t="s">
        <v>1583</v>
      </c>
      <c r="F1214" t="s">
        <v>22</v>
      </c>
      <c r="G1214" t="s">
        <v>23</v>
      </c>
      <c r="H1214" t="s">
        <v>24</v>
      </c>
      <c r="I1214" t="s">
        <v>25</v>
      </c>
      <c r="J1214" s="2">
        <v>45854.619085648148</v>
      </c>
      <c r="K1214">
        <v>16</v>
      </c>
      <c r="L1214">
        <v>7</v>
      </c>
      <c r="M1214">
        <v>2025</v>
      </c>
      <c r="N1214" t="s">
        <v>27</v>
      </c>
      <c r="O1214">
        <v>200</v>
      </c>
      <c r="P1214">
        <v>200</v>
      </c>
      <c r="R1214" s="3" t="str">
        <f>HYPERLINK("https://panda.att.com.mx/ODKServer/view/binaryData?blobKey=FSSuministroFluidosv3%5B%40version%3Dnull+and+%40uiVersion%3Dnull%5D%2Fdata%5B%40key%3Duuid%3Ad69c1a6d-d3d9-4d5a-a777-ab1b7e4e9736%5D%2FgroupInfoFuel%5B%40ordinal%3D1%5D%2FpicFuelRecibeInterno","Descargar")</f>
        <v>Descargar</v>
      </c>
    </row>
    <row r="1215" spans="1:18" x14ac:dyDescent="0.3">
      <c r="A1215">
        <v>1582849</v>
      </c>
      <c r="B1215" t="s">
        <v>18</v>
      </c>
      <c r="C1215" t="s">
        <v>100</v>
      </c>
      <c r="D1215" t="s">
        <v>854</v>
      </c>
      <c r="E1215" t="s">
        <v>993</v>
      </c>
      <c r="F1215" t="s">
        <v>22</v>
      </c>
      <c r="G1215" t="s">
        <v>83</v>
      </c>
      <c r="H1215" t="s">
        <v>58</v>
      </c>
      <c r="I1215" t="s">
        <v>25</v>
      </c>
      <c r="J1215" s="2">
        <v>45860.684351851851</v>
      </c>
      <c r="K1215">
        <v>22</v>
      </c>
      <c r="L1215">
        <v>7</v>
      </c>
      <c r="M1215">
        <v>2025</v>
      </c>
      <c r="N1215" t="s">
        <v>27</v>
      </c>
      <c r="O1215">
        <v>200</v>
      </c>
      <c r="P1215">
        <v>200</v>
      </c>
      <c r="R1215" s="3" t="str">
        <f>HYPERLINK("https://panda.att.com.mx/ODKServer/view/binaryData?blobKey=FSSuministroFluidosv3%5B%40version%3Dnull+and+%40uiVersion%3Dnull%5D%2Fdata%5B%40key%3Duuid%3Af8d6bffc-3424-4fe7-902d-b4d870c8fbd8%5D%2FgroupInfoFuel%5B%40ordinal%3D1%5D%2FpicFuelRecibeInterno","Descargar")</f>
        <v>Descargar</v>
      </c>
    </row>
    <row r="1216" spans="1:18" x14ac:dyDescent="0.3">
      <c r="A1216">
        <v>1582690</v>
      </c>
      <c r="B1216" t="s">
        <v>18</v>
      </c>
      <c r="C1216" t="s">
        <v>100</v>
      </c>
      <c r="D1216" t="s">
        <v>716</v>
      </c>
      <c r="E1216" t="s">
        <v>1584</v>
      </c>
      <c r="F1216" t="s">
        <v>22</v>
      </c>
      <c r="G1216" t="s">
        <v>23</v>
      </c>
      <c r="H1216" t="s">
        <v>58</v>
      </c>
      <c r="I1216" t="s">
        <v>25</v>
      </c>
      <c r="J1216" s="2">
        <v>45860.647418981483</v>
      </c>
      <c r="K1216">
        <v>22</v>
      </c>
      <c r="L1216">
        <v>7</v>
      </c>
      <c r="M1216">
        <v>2025</v>
      </c>
      <c r="N1216" t="s">
        <v>27</v>
      </c>
      <c r="O1216">
        <v>303</v>
      </c>
      <c r="P1216">
        <v>303</v>
      </c>
      <c r="R1216" s="3" t="str">
        <f>HYPERLINK("https://panda.att.com.mx/ODKServer/view/binaryData?blobKey=FSSuministroFluidosv3%5B%40version%3Dnull+and+%40uiVersion%3Dnull%5D%2Fdata%5B%40key%3Duuid%3A47a8f052-d4f4-411c-8063-6607b3963b1d%5D%2FgroupInfoFuel%5B%40ordinal%3D1%5D%2FpicFuelRecibeInterno","Descargar")</f>
        <v>Descargar</v>
      </c>
    </row>
    <row r="1217" spans="1:18" x14ac:dyDescent="0.3">
      <c r="A1217">
        <v>1582689</v>
      </c>
      <c r="B1217" t="s">
        <v>18</v>
      </c>
      <c r="C1217" t="s">
        <v>55</v>
      </c>
      <c r="D1217" t="s">
        <v>288</v>
      </c>
      <c r="E1217" t="s">
        <v>440</v>
      </c>
      <c r="F1217" t="s">
        <v>22</v>
      </c>
      <c r="G1217" t="s">
        <v>23</v>
      </c>
      <c r="H1217" t="s">
        <v>58</v>
      </c>
      <c r="I1217" t="s">
        <v>25</v>
      </c>
      <c r="J1217" s="2">
        <v>45860.660567129627</v>
      </c>
      <c r="K1217">
        <v>22</v>
      </c>
      <c r="L1217">
        <v>7</v>
      </c>
      <c r="M1217">
        <v>2025</v>
      </c>
      <c r="N1217" t="s">
        <v>27</v>
      </c>
      <c r="O1217">
        <v>300</v>
      </c>
      <c r="P1217">
        <v>300</v>
      </c>
      <c r="R1217" s="3" t="str">
        <f>HYPERLINK("https://panda.att.com.mx/ODKServer/view/binaryData?blobKey=FSSuministroFluidosv3%5B%40version%3Dnull+and+%40uiVersion%3Dnull%5D%2Fdata%5B%40key%3Duuid%3Af91ad46b-3c0d-4bd6-a508-bb456570fff7%5D%2FgroupInfoFuel%5B%40ordinal%3D1%5D%2FpicFuelRecibeInterno","Descargar")</f>
        <v>Descargar</v>
      </c>
    </row>
    <row r="1218" spans="1:18" x14ac:dyDescent="0.3">
      <c r="A1218">
        <v>1582683</v>
      </c>
      <c r="B1218" t="s">
        <v>18</v>
      </c>
      <c r="C1218" t="s">
        <v>100</v>
      </c>
      <c r="D1218" t="s">
        <v>101</v>
      </c>
      <c r="E1218" t="s">
        <v>1585</v>
      </c>
      <c r="F1218" t="s">
        <v>22</v>
      </c>
      <c r="G1218" t="s">
        <v>23</v>
      </c>
      <c r="H1218" t="s">
        <v>58</v>
      </c>
      <c r="I1218" t="s">
        <v>25</v>
      </c>
      <c r="J1218" s="2">
        <v>45860.560960648138</v>
      </c>
      <c r="K1218">
        <v>22</v>
      </c>
      <c r="L1218">
        <v>7</v>
      </c>
      <c r="M1218">
        <v>2025</v>
      </c>
      <c r="N1218" t="s">
        <v>27</v>
      </c>
      <c r="O1218">
        <v>202</v>
      </c>
      <c r="P1218">
        <v>202</v>
      </c>
      <c r="R1218" s="3" t="str">
        <f>HYPERLINK("https://panda.att.com.mx/ODKServer/view/binaryData?blobKey=FSSuministroFluidosv3%5B%40version%3Dnull+and+%40uiVersion%3Dnull%5D%2Fdata%5B%40key%3Duuid%3A3d9b386a-0884-40d0-8e79-8d3343a9c2c8%5D%2FgroupInfoFuel%5B%40ordinal%3D1%5D%2FpicFuelRecibeInterno","Descargar")</f>
        <v>Descargar</v>
      </c>
    </row>
    <row r="1219" spans="1:18" x14ac:dyDescent="0.3">
      <c r="A1219">
        <v>1582654</v>
      </c>
      <c r="B1219" t="s">
        <v>18</v>
      </c>
      <c r="C1219" t="s">
        <v>34</v>
      </c>
      <c r="D1219" t="s">
        <v>53</v>
      </c>
      <c r="E1219" t="s">
        <v>1586</v>
      </c>
      <c r="F1219" t="s">
        <v>22</v>
      </c>
      <c r="G1219" t="s">
        <v>23</v>
      </c>
      <c r="H1219" t="s">
        <v>37</v>
      </c>
      <c r="I1219" t="s">
        <v>25</v>
      </c>
      <c r="J1219" s="2">
        <v>45860.608113425929</v>
      </c>
      <c r="K1219">
        <v>22</v>
      </c>
      <c r="L1219">
        <v>7</v>
      </c>
      <c r="M1219">
        <v>2025</v>
      </c>
      <c r="N1219" t="s">
        <v>27</v>
      </c>
      <c r="O1219">
        <v>100</v>
      </c>
      <c r="P1219">
        <v>100</v>
      </c>
      <c r="R1219" s="3" t="str">
        <f>HYPERLINK("https://panda.att.com.mx/ODKServer/view/binaryData?blobKey=FSSuministroFluidosv3%5B%40version%3Dnull+and+%40uiVersion%3Dnull%5D%2Fdata%5B%40key%3Duuid%3A37c8fcf4-93c5-4d8b-8c46-1f8ed4823c5e%5D%2FgroupInfoFuel%5B%40ordinal%3D1%5D%2FpicFuelRecibeInterno","Descargar")</f>
        <v>Descargar</v>
      </c>
    </row>
    <row r="1220" spans="1:18" x14ac:dyDescent="0.3">
      <c r="A1220">
        <v>1582646</v>
      </c>
      <c r="B1220" t="s">
        <v>18</v>
      </c>
      <c r="C1220" t="s">
        <v>100</v>
      </c>
      <c r="D1220" t="s">
        <v>833</v>
      </c>
      <c r="E1220" t="s">
        <v>1587</v>
      </c>
      <c r="F1220" t="s">
        <v>22</v>
      </c>
      <c r="G1220" t="s">
        <v>23</v>
      </c>
      <c r="H1220" t="s">
        <v>58</v>
      </c>
      <c r="I1220" t="s">
        <v>25</v>
      </c>
      <c r="J1220" s="2">
        <v>45860.608784722222</v>
      </c>
      <c r="K1220">
        <v>22</v>
      </c>
      <c r="L1220">
        <v>7</v>
      </c>
      <c r="M1220">
        <v>2025</v>
      </c>
      <c r="N1220" t="s">
        <v>44</v>
      </c>
      <c r="O1220">
        <v>60</v>
      </c>
      <c r="P1220">
        <v>60</v>
      </c>
      <c r="R1220" s="3" t="str">
        <f>HYPERLINK("https://panda.att.com.mx/ODKServer/view/binaryData?blobKey=FSSuministroFluidosv3%5B%40version%3Dnull+and+%40uiVersion%3Dnull%5D%2Fdata%5B%40key%3Duuid%3A03200cc9-1dd7-4439-83cf-b290bebcf5f2%5D%2FgroupInfoFuel%5B%40ordinal%3D1%5D%2FpicFuelRecibeInterno","Descargar")</f>
        <v>Descargar</v>
      </c>
    </row>
    <row r="1221" spans="1:18" x14ac:dyDescent="0.3">
      <c r="A1221">
        <v>1582464</v>
      </c>
      <c r="B1221" t="s">
        <v>18</v>
      </c>
      <c r="C1221" t="s">
        <v>19</v>
      </c>
      <c r="D1221" t="s">
        <v>347</v>
      </c>
      <c r="E1221" t="s">
        <v>353</v>
      </c>
      <c r="F1221" t="s">
        <v>22</v>
      </c>
      <c r="G1221" t="s">
        <v>23</v>
      </c>
      <c r="H1221" t="s">
        <v>24</v>
      </c>
      <c r="I1221" t="s">
        <v>25</v>
      </c>
      <c r="J1221" s="2">
        <v>45858.385312500002</v>
      </c>
      <c r="K1221">
        <v>20</v>
      </c>
      <c r="L1221">
        <v>7</v>
      </c>
      <c r="M1221">
        <v>2025</v>
      </c>
      <c r="N1221" t="s">
        <v>27</v>
      </c>
      <c r="O1221">
        <v>300</v>
      </c>
      <c r="P1221">
        <v>300</v>
      </c>
      <c r="R1221" s="3" t="str">
        <f>HYPERLINK("https://panda.att.com.mx/ODKServer/view/binaryData?blobKey=FSSuministroFluidosv3%5B%40version%3Dnull+and+%40uiVersion%3Dnull%5D%2Fdata%5B%40key%3Duuid%3A61bacb0e-e73c-431e-8bd8-fcca0ce70a6c%5D%2FgroupInfoFuel%5B%40ordinal%3D1%5D%2FpicFuelRecibeInterno","Descargar")</f>
        <v>Descargar</v>
      </c>
    </row>
    <row r="1222" spans="1:18" x14ac:dyDescent="0.3">
      <c r="A1222">
        <v>1582454</v>
      </c>
      <c r="B1222" t="s">
        <v>18</v>
      </c>
      <c r="C1222" t="s">
        <v>55</v>
      </c>
      <c r="D1222" t="s">
        <v>887</v>
      </c>
      <c r="E1222" t="s">
        <v>888</v>
      </c>
      <c r="F1222" t="s">
        <v>22</v>
      </c>
      <c r="G1222" t="s">
        <v>23</v>
      </c>
      <c r="H1222" t="s">
        <v>58</v>
      </c>
      <c r="I1222" t="s">
        <v>25</v>
      </c>
      <c r="J1222" s="2">
        <v>45860.534120370372</v>
      </c>
      <c r="K1222">
        <v>22</v>
      </c>
      <c r="L1222">
        <v>7</v>
      </c>
      <c r="M1222">
        <v>2025</v>
      </c>
      <c r="N1222" t="s">
        <v>27</v>
      </c>
      <c r="O1222">
        <v>350</v>
      </c>
      <c r="P1222">
        <v>350</v>
      </c>
      <c r="R1222" s="3" t="str">
        <f>HYPERLINK("https://panda.att.com.mx/ODKServer/view/binaryData?blobKey=FSSuministroFluidosv3%5B%40version%3Dnull+and+%40uiVersion%3Dnull%5D%2Fdata%5B%40key%3Duuid%3Af4f46c11-85d2-450b-b595-a147e8643a5a%5D%2FgroupInfoFuel%5B%40ordinal%3D1%5D%2FpicFuelRecibeInterno","Descargar")</f>
        <v>Descargar</v>
      </c>
    </row>
    <row r="1223" spans="1:18" x14ac:dyDescent="0.3">
      <c r="A1223">
        <v>1582453</v>
      </c>
      <c r="B1223" t="s">
        <v>18</v>
      </c>
      <c r="C1223" t="s">
        <v>19</v>
      </c>
      <c r="D1223" t="s">
        <v>45</v>
      </c>
      <c r="E1223" t="s">
        <v>274</v>
      </c>
      <c r="F1223" t="s">
        <v>22</v>
      </c>
      <c r="G1223" t="s">
        <v>23</v>
      </c>
      <c r="H1223" t="s">
        <v>24</v>
      </c>
      <c r="I1223" t="s">
        <v>25</v>
      </c>
      <c r="J1223" s="2">
        <v>45857.406053240738</v>
      </c>
      <c r="K1223">
        <v>19</v>
      </c>
      <c r="L1223">
        <v>7</v>
      </c>
      <c r="M1223">
        <v>2025</v>
      </c>
      <c r="N1223" t="s">
        <v>27</v>
      </c>
      <c r="O1223">
        <v>100</v>
      </c>
      <c r="P1223">
        <v>100</v>
      </c>
      <c r="R1223" s="3" t="str">
        <f>HYPERLINK("https://panda.att.com.mx/ODKServer/view/binaryData?blobKey=FSSuministroFluidosv3%5B%40version%3Dnull+and+%40uiVersion%3Dnull%5D%2Fdata%5B%40key%3Duuid%3Aec9d836c-0060-4b95-98c1-b307f6a3243d%5D%2FgroupInfoFuel%5B%40ordinal%3D1%5D%2FpicFuelRecibeInterno","Descargar")</f>
        <v>Descargar</v>
      </c>
    </row>
    <row r="1224" spans="1:18" x14ac:dyDescent="0.3">
      <c r="A1224">
        <v>1582448</v>
      </c>
      <c r="B1224" t="s">
        <v>18</v>
      </c>
      <c r="C1224" t="s">
        <v>19</v>
      </c>
      <c r="D1224" t="s">
        <v>347</v>
      </c>
      <c r="E1224" t="s">
        <v>369</v>
      </c>
      <c r="F1224" t="s">
        <v>22</v>
      </c>
      <c r="G1224" t="s">
        <v>23</v>
      </c>
      <c r="H1224" t="s">
        <v>24</v>
      </c>
      <c r="I1224" t="s">
        <v>25</v>
      </c>
      <c r="J1224" s="2">
        <v>45854.696192129632</v>
      </c>
      <c r="K1224">
        <v>16</v>
      </c>
      <c r="L1224">
        <v>7</v>
      </c>
      <c r="M1224">
        <v>2025</v>
      </c>
      <c r="N1224" t="s">
        <v>27</v>
      </c>
      <c r="O1224">
        <v>100</v>
      </c>
      <c r="Q1224">
        <v>100</v>
      </c>
      <c r="R1224" s="3" t="str">
        <f>HYPERLINK("https://panda.att.com.mx/ODKServer/view/binaryData?blobKey=FSSuministroFluidosv3%5B%40version%3Dnull+and+%40uiVersion%3Dnull%5D%2Fdata%5B%40key%3Duuid%3A901929ff-2aac-4a36-bd27-02d40300cd66%5D%2FgroupInfoFuel%5B%40ordinal%3D1%5D%2FpicFuelRecibeInterno","Descargar")</f>
        <v>Descargar</v>
      </c>
    </row>
    <row r="1225" spans="1:18" x14ac:dyDescent="0.3">
      <c r="A1225">
        <v>1582439</v>
      </c>
      <c r="B1225" t="s">
        <v>18</v>
      </c>
      <c r="C1225" t="s">
        <v>19</v>
      </c>
      <c r="D1225" t="s">
        <v>347</v>
      </c>
      <c r="E1225" t="s">
        <v>1588</v>
      </c>
      <c r="F1225" t="s">
        <v>22</v>
      </c>
      <c r="G1225" t="s">
        <v>23</v>
      </c>
      <c r="H1225" t="s">
        <v>24</v>
      </c>
      <c r="I1225" t="s">
        <v>25</v>
      </c>
      <c r="J1225" s="2">
        <v>45854.641585648147</v>
      </c>
      <c r="K1225">
        <v>16</v>
      </c>
      <c r="L1225">
        <v>7</v>
      </c>
      <c r="M1225">
        <v>2025</v>
      </c>
      <c r="N1225" t="s">
        <v>27</v>
      </c>
      <c r="O1225">
        <v>100</v>
      </c>
      <c r="P1225">
        <v>100</v>
      </c>
      <c r="R1225" s="3" t="str">
        <f>HYPERLINK("https://panda.att.com.mx/ODKServer/view/binaryData?blobKey=FSSuministroFluidosv3%5B%40version%3Dnull+and+%40uiVersion%3Dnull%5D%2Fdata%5B%40key%3Duuid%3Ac2750efb-8118-495f-b59f-00791863f763%5D%2FgroupInfoFuel%5B%40ordinal%3D1%5D%2FpicFuelRecibeInterno","Descargar")</f>
        <v>Descargar</v>
      </c>
    </row>
    <row r="1226" spans="1:18" x14ac:dyDescent="0.3">
      <c r="A1226">
        <v>1582401</v>
      </c>
      <c r="B1226" t="s">
        <v>18</v>
      </c>
      <c r="C1226" t="s">
        <v>59</v>
      </c>
      <c r="D1226" t="s">
        <v>233</v>
      </c>
      <c r="E1226" t="s">
        <v>234</v>
      </c>
      <c r="F1226" t="s">
        <v>22</v>
      </c>
      <c r="G1226" t="s">
        <v>23</v>
      </c>
      <c r="H1226" t="s">
        <v>37</v>
      </c>
      <c r="I1226" t="s">
        <v>25</v>
      </c>
      <c r="J1226" s="2">
        <v>45859.41238425926</v>
      </c>
      <c r="K1226">
        <v>21</v>
      </c>
      <c r="L1226">
        <v>7</v>
      </c>
      <c r="M1226">
        <v>2025</v>
      </c>
      <c r="N1226" t="s">
        <v>27</v>
      </c>
      <c r="O1226">
        <v>400</v>
      </c>
      <c r="Q1226">
        <v>400</v>
      </c>
      <c r="R1226" s="3" t="str">
        <f>HYPERLINK("https://panda.att.com.mx/ODKServer/view/binaryData?blobKey=FSSuministroFluidosv3%5B%40version%3Dnull+and+%40uiVersion%3Dnull%5D%2Fdata%5B%40key%3Duuid%3A8e63fc08-2539-43d7-9d84-cd4dd82e4b7e%5D%2FgroupInfoFuel%5B%40ordinal%3D1%5D%2FpicFuelRecibeInterno","Descargar")</f>
        <v>Descargar</v>
      </c>
    </row>
    <row r="1227" spans="1:18" x14ac:dyDescent="0.3">
      <c r="A1227">
        <v>1582399</v>
      </c>
      <c r="B1227" t="s">
        <v>18</v>
      </c>
      <c r="C1227" t="s">
        <v>100</v>
      </c>
      <c r="D1227" t="s">
        <v>716</v>
      </c>
      <c r="E1227" t="s">
        <v>1589</v>
      </c>
      <c r="F1227" t="s">
        <v>22</v>
      </c>
      <c r="G1227" t="s">
        <v>23</v>
      </c>
      <c r="H1227" t="s">
        <v>58</v>
      </c>
      <c r="I1227" t="s">
        <v>25</v>
      </c>
      <c r="J1227" s="2">
        <v>45859.879421296297</v>
      </c>
      <c r="K1227">
        <v>21</v>
      </c>
      <c r="L1227">
        <v>7</v>
      </c>
      <c r="M1227">
        <v>2025</v>
      </c>
      <c r="N1227" t="s">
        <v>27</v>
      </c>
      <c r="O1227">
        <v>295</v>
      </c>
      <c r="P1227">
        <v>295</v>
      </c>
      <c r="R1227" s="3" t="str">
        <f>HYPERLINK("https://panda.att.com.mx/ODKServer/view/binaryData?blobKey=FSSuministroFluidosv3%5B%40version%3Dnull+and+%40uiVersion%3Dnull%5D%2Fdata%5B%40key%3Duuid%3A4ad2ddda-16ce-49c4-9e1e-954066b08098%5D%2FgroupInfoFuel%5B%40ordinal%3D1%5D%2FpicFuelRecibeInterno","Descargar")</f>
        <v>Descargar</v>
      </c>
    </row>
    <row r="1228" spans="1:18" x14ac:dyDescent="0.3">
      <c r="A1228">
        <v>1582398</v>
      </c>
      <c r="B1228" t="s">
        <v>18</v>
      </c>
      <c r="C1228" t="s">
        <v>100</v>
      </c>
      <c r="D1228" t="s">
        <v>101</v>
      </c>
      <c r="E1228" t="s">
        <v>1590</v>
      </c>
      <c r="F1228" t="s">
        <v>22</v>
      </c>
      <c r="G1228" t="s">
        <v>23</v>
      </c>
      <c r="H1228" t="s">
        <v>58</v>
      </c>
      <c r="I1228" t="s">
        <v>25</v>
      </c>
      <c r="J1228" s="2">
        <v>45859.741122685176</v>
      </c>
      <c r="K1228">
        <v>21</v>
      </c>
      <c r="L1228">
        <v>7</v>
      </c>
      <c r="M1228">
        <v>2025</v>
      </c>
      <c r="N1228" t="s">
        <v>27</v>
      </c>
      <c r="O1228">
        <v>290</v>
      </c>
      <c r="P1228">
        <v>290</v>
      </c>
      <c r="R1228" s="3" t="str">
        <f>HYPERLINK("https://panda.att.com.mx/ODKServer/view/binaryData?blobKey=FSSuministroFluidosv3%5B%40version%3Dnull+and+%40uiVersion%3Dnull%5D%2Fdata%5B%40key%3Duuid%3A3a993bd6-404b-4703-a99c-bda72555766b%5D%2FgroupInfoFuel%5B%40ordinal%3D1%5D%2FpicFuelRecibeInterno","Descargar")</f>
        <v>Descargar</v>
      </c>
    </row>
    <row r="1229" spans="1:18" x14ac:dyDescent="0.3">
      <c r="A1229">
        <v>1582305</v>
      </c>
      <c r="B1229" t="s">
        <v>18</v>
      </c>
      <c r="C1229" t="s">
        <v>100</v>
      </c>
      <c r="D1229" t="s">
        <v>716</v>
      </c>
      <c r="E1229" t="s">
        <v>717</v>
      </c>
      <c r="F1229" t="s">
        <v>22</v>
      </c>
      <c r="G1229" t="s">
        <v>83</v>
      </c>
      <c r="H1229" t="s">
        <v>58</v>
      </c>
      <c r="I1229" t="s">
        <v>25</v>
      </c>
      <c r="J1229" s="2">
        <v>45860.43818287037</v>
      </c>
      <c r="K1229">
        <v>22</v>
      </c>
      <c r="L1229">
        <v>7</v>
      </c>
      <c r="M1229">
        <v>2025</v>
      </c>
      <c r="N1229" t="s">
        <v>27</v>
      </c>
      <c r="O1229">
        <v>150</v>
      </c>
      <c r="P1229">
        <v>150</v>
      </c>
      <c r="R1229" s="3" t="str">
        <f>HYPERLINK("https://panda.att.com.mx/ODKServer/view/binaryData?blobKey=FSSuministroFluidosv3%5B%40version%3Dnull+and+%40uiVersion%3Dnull%5D%2Fdata%5B%40key%3Duuid%3A3dee469a-79b4-43ab-a201-9587eca77c70%5D%2FgroupInfoFuel%5B%40ordinal%3D1%5D%2FpicFuelRecibeInterno","Descargar")</f>
        <v>Descargar</v>
      </c>
    </row>
    <row r="1230" spans="1:18" x14ac:dyDescent="0.3">
      <c r="A1230">
        <v>1582291</v>
      </c>
      <c r="B1230" t="s">
        <v>18</v>
      </c>
      <c r="C1230" t="s">
        <v>28</v>
      </c>
      <c r="D1230" t="s">
        <v>181</v>
      </c>
      <c r="E1230" t="s">
        <v>1134</v>
      </c>
      <c r="F1230" t="s">
        <v>22</v>
      </c>
      <c r="G1230" t="s">
        <v>23</v>
      </c>
      <c r="H1230" t="s">
        <v>24</v>
      </c>
      <c r="I1230" t="s">
        <v>25</v>
      </c>
      <c r="J1230" s="2">
        <v>45858.553807870368</v>
      </c>
      <c r="K1230">
        <v>20</v>
      </c>
      <c r="L1230">
        <v>7</v>
      </c>
      <c r="M1230">
        <v>2025</v>
      </c>
      <c r="N1230" t="s">
        <v>44</v>
      </c>
      <c r="O1230">
        <v>50</v>
      </c>
      <c r="P1230">
        <v>50</v>
      </c>
      <c r="R1230" s="3" t="str">
        <f>HYPERLINK("https://panda.att.com.mx/ODKServer/view/binaryData?blobKey=FSSuministroFluidosv3%5B%40version%3Dnull+and+%40uiVersion%3Dnull%5D%2Fdata%5B%40key%3Duuid%3A9beb3d7f-8212-4fea-be7f-29718bd21b70%5D%2FgroupInfoFuel%5B%40ordinal%3D1%5D%2FpicFuelRecibeInterno","Descargar")</f>
        <v>Descargar</v>
      </c>
    </row>
    <row r="1231" spans="1:18" x14ac:dyDescent="0.3">
      <c r="A1231">
        <v>1582290</v>
      </c>
      <c r="B1231" t="s">
        <v>18</v>
      </c>
      <c r="C1231" t="s">
        <v>28</v>
      </c>
      <c r="D1231" t="s">
        <v>181</v>
      </c>
      <c r="E1231" t="s">
        <v>277</v>
      </c>
      <c r="F1231" t="s">
        <v>22</v>
      </c>
      <c r="G1231" t="s">
        <v>47</v>
      </c>
      <c r="H1231" t="s">
        <v>24</v>
      </c>
      <c r="I1231" t="s">
        <v>25</v>
      </c>
      <c r="J1231" s="2">
        <v>45855.501562500001</v>
      </c>
      <c r="K1231">
        <v>17</v>
      </c>
      <c r="L1231">
        <v>7</v>
      </c>
      <c r="M1231">
        <v>2025</v>
      </c>
      <c r="N1231" t="s">
        <v>27</v>
      </c>
      <c r="O1231">
        <v>100</v>
      </c>
      <c r="P1231">
        <v>100</v>
      </c>
      <c r="R1231" s="3" t="str">
        <f>HYPERLINK("https://panda.att.com.mx/ODKServer/view/binaryData?blobKey=FSSuministroFluidosv3%5B%40version%3Dnull+and+%40uiVersion%3Dnull%5D%2Fdata%5B%40key%3Duuid%3A001e2527-80b0-46d4-aec0-9aa991c783e0%5D%2FgroupInfoFuel%5B%40ordinal%3D1%5D%2FpicFuelRecibeInterno","Descargar")</f>
        <v>Descargar</v>
      </c>
    </row>
    <row r="1232" spans="1:18" x14ac:dyDescent="0.3">
      <c r="A1232">
        <v>1582289</v>
      </c>
      <c r="B1232" t="s">
        <v>18</v>
      </c>
      <c r="C1232" t="s">
        <v>28</v>
      </c>
      <c r="D1232" t="s">
        <v>181</v>
      </c>
      <c r="E1232" t="s">
        <v>1591</v>
      </c>
      <c r="F1232" t="s">
        <v>22</v>
      </c>
      <c r="G1232" t="s">
        <v>23</v>
      </c>
      <c r="H1232" t="s">
        <v>24</v>
      </c>
      <c r="I1232" t="s">
        <v>25</v>
      </c>
      <c r="J1232" s="2">
        <v>45858.830208333333</v>
      </c>
      <c r="K1232">
        <v>20</v>
      </c>
      <c r="L1232">
        <v>7</v>
      </c>
      <c r="M1232">
        <v>2025</v>
      </c>
      <c r="N1232" t="s">
        <v>27</v>
      </c>
      <c r="O1232">
        <v>250</v>
      </c>
      <c r="P1232">
        <v>250</v>
      </c>
      <c r="R1232" s="3" t="str">
        <f>HYPERLINK("https://panda.att.com.mx/ODKServer/view/binaryData?blobKey=FSSuministroFluidosv3%5B%40version%3Dnull+and+%40uiVersion%3Dnull%5D%2Fdata%5B%40key%3Duuid%3Ae8da6f10-edbe-4cef-b43f-dd70a52a37ef%5D%2FgroupInfoFuel%5B%40ordinal%3D1%5D%2FpicFuelRecibeInterno","Descargar")</f>
        <v>Descargar</v>
      </c>
    </row>
    <row r="1233" spans="1:18" x14ac:dyDescent="0.3">
      <c r="A1233">
        <v>1582288</v>
      </c>
      <c r="B1233" t="s">
        <v>18</v>
      </c>
      <c r="C1233" t="s">
        <v>100</v>
      </c>
      <c r="D1233" t="s">
        <v>716</v>
      </c>
      <c r="E1233" t="s">
        <v>1592</v>
      </c>
      <c r="F1233" t="s">
        <v>22</v>
      </c>
      <c r="G1233" t="s">
        <v>23</v>
      </c>
      <c r="H1233" t="s">
        <v>58</v>
      </c>
      <c r="I1233" t="s">
        <v>25</v>
      </c>
      <c r="J1233" s="2">
        <v>45859.682152777779</v>
      </c>
      <c r="K1233">
        <v>21</v>
      </c>
      <c r="L1233">
        <v>7</v>
      </c>
      <c r="M1233">
        <v>2025</v>
      </c>
      <c r="N1233" t="s">
        <v>27</v>
      </c>
      <c r="O1233">
        <v>100</v>
      </c>
      <c r="P1233">
        <v>100</v>
      </c>
      <c r="R1233" s="3" t="str">
        <f>HYPERLINK("https://panda.att.com.mx/ODKServer/view/binaryData?blobKey=FSSuministroFluidosv3%5B%40version%3Dnull+and+%40uiVersion%3Dnull%5D%2Fdata%5B%40key%3Duuid%3Ab7290436-c849-484d-8d6a-e7130987b949%5D%2FgroupInfoFuel%5B%40ordinal%3D1%5D%2FpicFuelRecibeInterno","Descargar")</f>
        <v>Descargar</v>
      </c>
    </row>
    <row r="1234" spans="1:18" x14ac:dyDescent="0.3">
      <c r="A1234">
        <v>1582274</v>
      </c>
      <c r="B1234" t="s">
        <v>18</v>
      </c>
      <c r="C1234" t="s">
        <v>68</v>
      </c>
      <c r="D1234" t="s">
        <v>258</v>
      </c>
      <c r="E1234" t="s">
        <v>1593</v>
      </c>
      <c r="F1234" t="s">
        <v>22</v>
      </c>
      <c r="G1234" t="s">
        <v>23</v>
      </c>
      <c r="H1234" t="s">
        <v>37</v>
      </c>
      <c r="I1234" t="s">
        <v>25</v>
      </c>
      <c r="J1234" s="2">
        <v>45859.700775462959</v>
      </c>
      <c r="K1234">
        <v>21</v>
      </c>
      <c r="L1234">
        <v>7</v>
      </c>
      <c r="M1234">
        <v>2025</v>
      </c>
      <c r="N1234" t="s">
        <v>27</v>
      </c>
      <c r="O1234">
        <v>400</v>
      </c>
      <c r="P1234">
        <v>400</v>
      </c>
      <c r="R1234" s="3" t="str">
        <f>HYPERLINK("https://panda.att.com.mx/ODKServer/view/binaryData?blobKey=FSSuministroFluidosv3%5B%40version%3Dnull+and+%40uiVersion%3Dnull%5D%2Fdata%5B%40key%3Duuid%3Ad79884fd-0b8b-4ba1-91a5-abbb802d35c1%5D%2FgroupInfoFuel%5B%40ordinal%3D1%5D%2FpicFuelRecibeInterno","Descargar")</f>
        <v>Descargar</v>
      </c>
    </row>
    <row r="1235" spans="1:18" x14ac:dyDescent="0.3">
      <c r="A1235">
        <v>1582273</v>
      </c>
      <c r="B1235" t="s">
        <v>18</v>
      </c>
      <c r="C1235" t="s">
        <v>68</v>
      </c>
      <c r="D1235" t="s">
        <v>69</v>
      </c>
      <c r="E1235" t="s">
        <v>1594</v>
      </c>
      <c r="F1235" t="s">
        <v>22</v>
      </c>
      <c r="G1235" t="s">
        <v>23</v>
      </c>
      <c r="H1235" t="s">
        <v>37</v>
      </c>
      <c r="I1235" t="s">
        <v>25</v>
      </c>
      <c r="J1235" s="2">
        <v>45859.56925925926</v>
      </c>
      <c r="K1235">
        <v>21</v>
      </c>
      <c r="L1235">
        <v>7</v>
      </c>
      <c r="M1235">
        <v>2025</v>
      </c>
      <c r="N1235" t="s">
        <v>27</v>
      </c>
      <c r="O1235">
        <v>800</v>
      </c>
      <c r="P1235">
        <v>400</v>
      </c>
      <c r="Q1235">
        <v>400</v>
      </c>
      <c r="R1235" s="3" t="str">
        <f>HYPERLINK("https://panda.att.com.mx/ODKServer/view/binaryData?blobKey=FSSuministroFluidosv3%5B%40version%3Dnull+and+%40uiVersion%3Dnull%5D%2Fdata%5B%40key%3Duuid%3A653fbb00-566c-482f-b11d-882990526c06%5D%2FgroupInfoFuel%5B%40ordinal%3D1%5D%2FpicFuelRecibeInterno","Descargar")</f>
        <v>Descargar</v>
      </c>
    </row>
    <row r="1236" spans="1:18" x14ac:dyDescent="0.3">
      <c r="A1236">
        <v>1582209</v>
      </c>
      <c r="B1236" t="s">
        <v>18</v>
      </c>
      <c r="C1236" t="s">
        <v>59</v>
      </c>
      <c r="D1236" t="s">
        <v>233</v>
      </c>
      <c r="E1236" t="s">
        <v>1511</v>
      </c>
      <c r="F1236" t="s">
        <v>22</v>
      </c>
      <c r="G1236" t="s">
        <v>47</v>
      </c>
      <c r="H1236" t="s">
        <v>37</v>
      </c>
      <c r="I1236" t="s">
        <v>25</v>
      </c>
      <c r="J1236" s="2">
        <v>45843.503518518519</v>
      </c>
      <c r="K1236">
        <v>5</v>
      </c>
      <c r="L1236">
        <v>7</v>
      </c>
      <c r="M1236">
        <v>2025</v>
      </c>
      <c r="N1236" t="s">
        <v>27</v>
      </c>
      <c r="O1236">
        <v>300</v>
      </c>
      <c r="P1236">
        <v>300</v>
      </c>
      <c r="R1236" s="3" t="str">
        <f>HYPERLINK("https://panda.att.com.mx/ODKServer/view/binaryData?blobKey=FSSuministroFluidosv3%5B%40version%3Dnull+and+%40uiVersion%3Dnull%5D%2Fdata%5B%40key%3Duuid%3A57507f1d-f284-497e-92ab-11a8aa805ed9%5D%2FgroupInfoFuel%5B%40ordinal%3D1%5D%2FpicFuelRecibeInterno","Descargar")</f>
        <v>Descargar</v>
      </c>
    </row>
    <row r="1237" spans="1:18" x14ac:dyDescent="0.3">
      <c r="A1237">
        <v>1582195</v>
      </c>
      <c r="B1237" t="s">
        <v>18</v>
      </c>
      <c r="C1237" t="s">
        <v>34</v>
      </c>
      <c r="D1237" t="s">
        <v>53</v>
      </c>
      <c r="E1237" t="s">
        <v>1595</v>
      </c>
      <c r="F1237" t="s">
        <v>22</v>
      </c>
      <c r="G1237" t="s">
        <v>23</v>
      </c>
      <c r="H1237" t="s">
        <v>37</v>
      </c>
      <c r="I1237" t="s">
        <v>25</v>
      </c>
      <c r="J1237" s="2">
        <v>45859.688472222217</v>
      </c>
      <c r="K1237">
        <v>21</v>
      </c>
      <c r="L1237">
        <v>7</v>
      </c>
      <c r="M1237">
        <v>2025</v>
      </c>
      <c r="N1237" t="s">
        <v>27</v>
      </c>
      <c r="O1237">
        <v>440</v>
      </c>
      <c r="P1237">
        <v>440</v>
      </c>
      <c r="R1237" s="3" t="str">
        <f>HYPERLINK("https://panda.att.com.mx/ODKServer/view/binaryData?blobKey=FSSuministroFluidosv3%5B%40version%3Dnull+and+%40uiVersion%3Dnull%5D%2Fdata%5B%40key%3Duuid%3Afa29904c-286a-4d72-8651-b0950f753a06%5D%2FgroupInfoFuel%5B%40ordinal%3D1%5D%2FpicFuelRecibeInterno","Descargar")</f>
        <v>Descargar</v>
      </c>
    </row>
    <row r="1238" spans="1:18" x14ac:dyDescent="0.3">
      <c r="A1238">
        <v>1582181</v>
      </c>
      <c r="B1238" t="s">
        <v>18</v>
      </c>
      <c r="C1238" t="s">
        <v>19</v>
      </c>
      <c r="D1238" t="s">
        <v>140</v>
      </c>
      <c r="E1238" t="s">
        <v>607</v>
      </c>
      <c r="F1238" t="s">
        <v>22</v>
      </c>
      <c r="G1238" t="s">
        <v>23</v>
      </c>
      <c r="H1238" t="s">
        <v>24</v>
      </c>
      <c r="I1238" t="s">
        <v>25</v>
      </c>
      <c r="J1238" s="2">
        <v>45860.007048611107</v>
      </c>
      <c r="K1238">
        <v>22</v>
      </c>
      <c r="L1238">
        <v>7</v>
      </c>
      <c r="M1238">
        <v>2025</v>
      </c>
      <c r="N1238" t="s">
        <v>27</v>
      </c>
      <c r="O1238">
        <v>350</v>
      </c>
      <c r="Q1238">
        <v>350</v>
      </c>
      <c r="R1238" s="3" t="str">
        <f>HYPERLINK("https://panda.att.com.mx/ODKServer/view/binaryData?blobKey=FSSuministroFluidosv3%5B%40version%3Dnull+and+%40uiVersion%3Dnull%5D%2Fdata%5B%40key%3Duuid%3Afb9f074f-1d9a-432a-9a13-053d8d902d62%5D%2FgroupInfoFuel%5B%40ordinal%3D1%5D%2FpicFuelRecibeInterno","Descargar")</f>
        <v>Descargar</v>
      </c>
    </row>
    <row r="1239" spans="1:18" x14ac:dyDescent="0.3">
      <c r="A1239">
        <v>1582179</v>
      </c>
      <c r="B1239" t="s">
        <v>18</v>
      </c>
      <c r="C1239" t="s">
        <v>19</v>
      </c>
      <c r="D1239" t="s">
        <v>62</v>
      </c>
      <c r="E1239" t="s">
        <v>615</v>
      </c>
      <c r="F1239" t="s">
        <v>22</v>
      </c>
      <c r="G1239" t="s">
        <v>23</v>
      </c>
      <c r="H1239" t="s">
        <v>24</v>
      </c>
      <c r="I1239" t="s">
        <v>25</v>
      </c>
      <c r="J1239" s="2">
        <v>45859.998067129629</v>
      </c>
      <c r="K1239">
        <v>21</v>
      </c>
      <c r="L1239">
        <v>7</v>
      </c>
      <c r="M1239">
        <v>2025</v>
      </c>
      <c r="N1239" t="s">
        <v>44</v>
      </c>
      <c r="O1239">
        <v>50</v>
      </c>
      <c r="P1239">
        <v>50</v>
      </c>
      <c r="R1239" s="3" t="str">
        <f>HYPERLINK("https://panda.att.com.mx/ODKServer/view/binaryData?blobKey=FSSuministroFluidosv3%5B%40version%3Dnull+and+%40uiVersion%3Dnull%5D%2Fdata%5B%40key%3Duuid%3A0e41a400-2762-4e62-99a3-71fc83a87f5c%5D%2FgroupInfoFuel%5B%40ordinal%3D1%5D%2FpicFuelRecibeInterno","Descargar")</f>
        <v>Descargar</v>
      </c>
    </row>
    <row r="1240" spans="1:18" x14ac:dyDescent="0.3">
      <c r="A1240">
        <v>1582177</v>
      </c>
      <c r="B1240" t="s">
        <v>18</v>
      </c>
      <c r="C1240" t="s">
        <v>59</v>
      </c>
      <c r="D1240" t="s">
        <v>60</v>
      </c>
      <c r="E1240" t="s">
        <v>1596</v>
      </c>
      <c r="F1240" t="s">
        <v>22</v>
      </c>
      <c r="G1240" t="s">
        <v>23</v>
      </c>
      <c r="H1240" t="s">
        <v>37</v>
      </c>
      <c r="I1240" t="s">
        <v>25</v>
      </c>
      <c r="J1240" s="2">
        <v>45859.989189814813</v>
      </c>
      <c r="K1240">
        <v>21</v>
      </c>
      <c r="L1240">
        <v>7</v>
      </c>
      <c r="M1240">
        <v>2025</v>
      </c>
      <c r="N1240" t="s">
        <v>27</v>
      </c>
      <c r="O1240">
        <v>62</v>
      </c>
      <c r="P1240">
        <v>62</v>
      </c>
      <c r="R1240" s="3" t="str">
        <f>HYPERLINK("https://panda.att.com.mx/ODKServer/view/binaryData?blobKey=FSSuministroFluidosv3%5B%40version%3Dnull+and+%40uiVersion%3Dnull%5D%2Fdata%5B%40key%3Duuid%3Acfc5a1f2-5359-4e57-a003-80294c86f91c%5D%2FgroupInfoFuel%5B%40ordinal%3D1%5D%2FpicFuelRecibeInterno","Descargar")</f>
        <v>Descargar</v>
      </c>
    </row>
    <row r="1241" spans="1:18" x14ac:dyDescent="0.3">
      <c r="A1241">
        <v>1582175</v>
      </c>
      <c r="B1241" t="s">
        <v>18</v>
      </c>
      <c r="C1241" t="s">
        <v>167</v>
      </c>
      <c r="D1241" t="s">
        <v>768</v>
      </c>
      <c r="E1241" t="s">
        <v>998</v>
      </c>
      <c r="F1241" t="s">
        <v>22</v>
      </c>
      <c r="G1241" t="s">
        <v>23</v>
      </c>
      <c r="H1241" t="s">
        <v>58</v>
      </c>
      <c r="I1241" t="s">
        <v>25</v>
      </c>
      <c r="J1241" s="2">
        <v>45855.677719907413</v>
      </c>
      <c r="K1241">
        <v>17</v>
      </c>
      <c r="L1241">
        <v>7</v>
      </c>
      <c r="M1241">
        <v>2025</v>
      </c>
      <c r="N1241" t="s">
        <v>27</v>
      </c>
      <c r="O1241">
        <v>297.3</v>
      </c>
      <c r="P1241">
        <v>297.3</v>
      </c>
      <c r="R1241" s="3" t="str">
        <f>HYPERLINK("https://panda.att.com.mx/ODKServer/view/binaryData?blobKey=FSSuministroFluidosv3%5B%40version%3Dnull+and+%40uiVersion%3Dnull%5D%2Fdata%5B%40key%3Duuid%3A9e0177da-748c-405f-9f1c-96e42baeaed4%5D%2FgroupInfoFuel%5B%40ordinal%3D1%5D%2FpicFuelRecibeInterno","Descargar")</f>
        <v>Descargar</v>
      </c>
    </row>
    <row r="1242" spans="1:18" x14ac:dyDescent="0.3">
      <c r="A1242">
        <v>1582170</v>
      </c>
      <c r="B1242" t="s">
        <v>18</v>
      </c>
      <c r="C1242" t="s">
        <v>59</v>
      </c>
      <c r="D1242" t="s">
        <v>60</v>
      </c>
      <c r="E1242" t="s">
        <v>1597</v>
      </c>
      <c r="F1242" t="s">
        <v>22</v>
      </c>
      <c r="G1242" t="s">
        <v>23</v>
      </c>
      <c r="H1242" t="s">
        <v>37</v>
      </c>
      <c r="I1242" t="s">
        <v>25</v>
      </c>
      <c r="J1242" s="2">
        <v>45859.972719907397</v>
      </c>
      <c r="K1242">
        <v>21</v>
      </c>
      <c r="L1242">
        <v>7</v>
      </c>
      <c r="M1242">
        <v>2025</v>
      </c>
      <c r="N1242" t="s">
        <v>27</v>
      </c>
      <c r="O1242">
        <v>84</v>
      </c>
      <c r="P1242">
        <v>84</v>
      </c>
      <c r="R1242" s="3" t="str">
        <f>HYPERLINK("https://panda.att.com.mx/ODKServer/view/binaryData?blobKey=FSSuministroFluidosv3%5B%40version%3Dnull+and+%40uiVersion%3Dnull%5D%2Fdata%5B%40key%3Duuid%3A946336c7-6030-47ed-b1ca-cf8743ddae9b%5D%2FgroupInfoFuel%5B%40ordinal%3D1%5D%2FpicFuelRecibeInterno","Descargar")</f>
        <v>Descargar</v>
      </c>
    </row>
    <row r="1243" spans="1:18" x14ac:dyDescent="0.3">
      <c r="A1243">
        <v>1582169</v>
      </c>
      <c r="B1243" t="s">
        <v>18</v>
      </c>
      <c r="C1243" t="s">
        <v>19</v>
      </c>
      <c r="D1243" t="s">
        <v>140</v>
      </c>
      <c r="E1243" t="s">
        <v>257</v>
      </c>
      <c r="F1243" t="s">
        <v>22</v>
      </c>
      <c r="G1243" t="s">
        <v>23</v>
      </c>
      <c r="H1243" t="s">
        <v>24</v>
      </c>
      <c r="I1243" t="s">
        <v>25</v>
      </c>
      <c r="J1243" s="2">
        <v>45859.976273148153</v>
      </c>
      <c r="K1243">
        <v>21</v>
      </c>
      <c r="L1243">
        <v>7</v>
      </c>
      <c r="M1243">
        <v>2025</v>
      </c>
      <c r="N1243" t="s">
        <v>27</v>
      </c>
      <c r="O1243">
        <v>150</v>
      </c>
      <c r="P1243">
        <v>150</v>
      </c>
      <c r="R1243" s="3" t="str">
        <f>HYPERLINK("https://panda.att.com.mx/ODKServer/view/binaryData?blobKey=FSSuministroFluidosv3%5B%40version%3Dnull+and+%40uiVersion%3Dnull%5D%2Fdata%5B%40key%3Duuid%3Ae607afb9-050b-4a04-9218-56eb4a91440b%5D%2FgroupInfoFuel%5B%40ordinal%3D1%5D%2FpicFuelRecibeInterno","Descargar")</f>
        <v>Descargar</v>
      </c>
    </row>
    <row r="1244" spans="1:18" x14ac:dyDescent="0.3">
      <c r="A1244">
        <v>1582163</v>
      </c>
      <c r="B1244" t="s">
        <v>18</v>
      </c>
      <c r="C1244" t="s">
        <v>19</v>
      </c>
      <c r="D1244" t="s">
        <v>140</v>
      </c>
      <c r="E1244" t="s">
        <v>257</v>
      </c>
      <c r="F1244" t="s">
        <v>22</v>
      </c>
      <c r="G1244" t="s">
        <v>23</v>
      </c>
      <c r="H1244" t="s">
        <v>24</v>
      </c>
      <c r="I1244" t="s">
        <v>25</v>
      </c>
      <c r="J1244" s="2">
        <v>45859.969409722216</v>
      </c>
      <c r="K1244">
        <v>21</v>
      </c>
      <c r="L1244">
        <v>7</v>
      </c>
      <c r="M1244">
        <v>2025</v>
      </c>
      <c r="N1244" t="s">
        <v>44</v>
      </c>
      <c r="O1244">
        <v>50</v>
      </c>
      <c r="P1244">
        <v>50</v>
      </c>
      <c r="R1244" s="3" t="str">
        <f>HYPERLINK("https://panda.att.com.mx/ODKServer/view/binaryData?blobKey=FSSuministroFluidosv3%5B%40version%3Dnull+and+%40uiVersion%3Dnull%5D%2Fdata%5B%40key%3Duuid%3Ab2cbd40d-5c30-41df-ab5a-59e3a0b55cd8%5D%2FgroupInfoFuel%5B%40ordinal%3D1%5D%2FpicFuelRecibeInterno","Descargar")</f>
        <v>Descargar</v>
      </c>
    </row>
    <row r="1245" spans="1:18" x14ac:dyDescent="0.3">
      <c r="A1245">
        <v>1582162</v>
      </c>
      <c r="B1245" t="s">
        <v>18</v>
      </c>
      <c r="C1245" t="s">
        <v>167</v>
      </c>
      <c r="D1245" t="s">
        <v>168</v>
      </c>
      <c r="E1245" t="s">
        <v>1598</v>
      </c>
      <c r="F1245" t="s">
        <v>22</v>
      </c>
      <c r="G1245" t="s">
        <v>23</v>
      </c>
      <c r="H1245" t="s">
        <v>58</v>
      </c>
      <c r="I1245" t="s">
        <v>25</v>
      </c>
      <c r="J1245" s="2">
        <v>45859.928240740737</v>
      </c>
      <c r="K1245">
        <v>21</v>
      </c>
      <c r="L1245">
        <v>7</v>
      </c>
      <c r="M1245">
        <v>2025</v>
      </c>
      <c r="N1245" t="s">
        <v>27</v>
      </c>
      <c r="O1245">
        <v>100</v>
      </c>
      <c r="P1245">
        <v>100</v>
      </c>
      <c r="R1245" s="3" t="str">
        <f>HYPERLINK("https://panda.att.com.mx/ODKServer/view/binaryData?blobKey=FSSuministroFluidosv3%5B%40version%3Dnull+and+%40uiVersion%3Dnull%5D%2Fdata%5B%40key%3Duuid%3Ae9b7c3e4-b3e3-41fc-8514-515c50bd8485%5D%2FgroupInfoFuel%5B%40ordinal%3D1%5D%2FpicFuelRecibeInterno","Descargar")</f>
        <v>Descargar</v>
      </c>
    </row>
    <row r="1246" spans="1:18" x14ac:dyDescent="0.3">
      <c r="A1246">
        <v>1582156</v>
      </c>
      <c r="B1246" t="s">
        <v>18</v>
      </c>
      <c r="C1246" t="s">
        <v>19</v>
      </c>
      <c r="D1246" t="s">
        <v>140</v>
      </c>
      <c r="E1246" t="s">
        <v>1599</v>
      </c>
      <c r="F1246" t="s">
        <v>22</v>
      </c>
      <c r="G1246" t="s">
        <v>23</v>
      </c>
      <c r="H1246" t="s">
        <v>24</v>
      </c>
      <c r="I1246" t="s">
        <v>25</v>
      </c>
      <c r="J1246" s="2">
        <v>45859.952789351853</v>
      </c>
      <c r="K1246">
        <v>21</v>
      </c>
      <c r="L1246">
        <v>7</v>
      </c>
      <c r="M1246">
        <v>2025</v>
      </c>
      <c r="N1246" t="s">
        <v>27</v>
      </c>
      <c r="O1246">
        <v>350</v>
      </c>
      <c r="P1246">
        <v>350</v>
      </c>
      <c r="R1246" s="3" t="str">
        <f>HYPERLINK("https://panda.att.com.mx/ODKServer/view/binaryData?blobKey=FSSuministroFluidosv3%5B%40version%3Dnull+and+%40uiVersion%3Dnull%5D%2Fdata%5B%40key%3Duuid%3A163f59b6-2fb6-4494-8b16-840ba0b89ad8%5D%2FgroupInfoFuel%5B%40ordinal%3D1%5D%2FpicFuelRecibeInterno","Descargar")</f>
        <v>Descargar</v>
      </c>
    </row>
    <row r="1247" spans="1:18" x14ac:dyDescent="0.3">
      <c r="A1247">
        <v>1582152</v>
      </c>
      <c r="B1247" t="s">
        <v>18</v>
      </c>
      <c r="C1247" t="s">
        <v>19</v>
      </c>
      <c r="D1247" t="s">
        <v>140</v>
      </c>
      <c r="E1247" t="s">
        <v>1600</v>
      </c>
      <c r="F1247" t="s">
        <v>22</v>
      </c>
      <c r="G1247" t="s">
        <v>23</v>
      </c>
      <c r="H1247" t="s">
        <v>24</v>
      </c>
      <c r="I1247" t="s">
        <v>25</v>
      </c>
      <c r="J1247" s="2">
        <v>45859.939328703702</v>
      </c>
      <c r="K1247">
        <v>21</v>
      </c>
      <c r="L1247">
        <v>7</v>
      </c>
      <c r="M1247">
        <v>2025</v>
      </c>
      <c r="N1247" t="s">
        <v>27</v>
      </c>
      <c r="O1247">
        <v>350</v>
      </c>
      <c r="P1247">
        <v>350</v>
      </c>
      <c r="R1247" s="3" t="str">
        <f>HYPERLINK("https://panda.att.com.mx/ODKServer/view/binaryData?blobKey=FSSuministroFluidosv3%5B%40version%3Dnull+and+%40uiVersion%3Dnull%5D%2Fdata%5B%40key%3Duuid%3A4cbce6da-e27a-471d-9b7d-339e0a3216b0%5D%2FgroupInfoFuel%5B%40ordinal%3D1%5D%2FpicFuelRecibeInterno","Descargar")</f>
        <v>Descargar</v>
      </c>
    </row>
    <row r="1248" spans="1:18" x14ac:dyDescent="0.3">
      <c r="A1248">
        <v>1582146</v>
      </c>
      <c r="B1248" t="s">
        <v>18</v>
      </c>
      <c r="C1248" t="s">
        <v>19</v>
      </c>
      <c r="D1248" t="s">
        <v>140</v>
      </c>
      <c r="E1248" t="s">
        <v>607</v>
      </c>
      <c r="F1248" t="s">
        <v>22</v>
      </c>
      <c r="G1248" t="s">
        <v>23</v>
      </c>
      <c r="H1248" t="s">
        <v>24</v>
      </c>
      <c r="I1248" t="s">
        <v>25</v>
      </c>
      <c r="J1248" s="2">
        <v>45859.929814814823</v>
      </c>
      <c r="K1248">
        <v>21</v>
      </c>
      <c r="L1248">
        <v>7</v>
      </c>
      <c r="M1248">
        <v>2025</v>
      </c>
      <c r="N1248" t="s">
        <v>27</v>
      </c>
      <c r="O1248">
        <v>350</v>
      </c>
      <c r="Q1248">
        <v>350</v>
      </c>
      <c r="R1248" s="3" t="str">
        <f>HYPERLINK("https://panda.att.com.mx/ODKServer/view/binaryData?blobKey=FSSuministroFluidosv3%5B%40version%3Dnull+and+%40uiVersion%3Dnull%5D%2Fdata%5B%40key%3Duuid%3A29c08741-8b4b-4c40-9cb1-ee69727ffa70%5D%2FgroupInfoFuel%5B%40ordinal%3D1%5D%2FpicFuelRecibeInterno","Descargar")</f>
        <v>Descargar</v>
      </c>
    </row>
    <row r="1249" spans="1:18" x14ac:dyDescent="0.3">
      <c r="A1249">
        <v>1582133</v>
      </c>
      <c r="B1249" t="s">
        <v>18</v>
      </c>
      <c r="C1249" t="s">
        <v>34</v>
      </c>
      <c r="D1249" t="s">
        <v>53</v>
      </c>
      <c r="E1249" t="s">
        <v>144</v>
      </c>
      <c r="F1249" t="s">
        <v>22</v>
      </c>
      <c r="G1249" t="s">
        <v>83</v>
      </c>
      <c r="H1249" t="s">
        <v>390</v>
      </c>
      <c r="I1249" t="s">
        <v>25</v>
      </c>
      <c r="J1249" s="2">
        <v>45856.464930555558</v>
      </c>
      <c r="K1249">
        <v>18</v>
      </c>
      <c r="L1249">
        <v>7</v>
      </c>
      <c r="M1249">
        <v>2025</v>
      </c>
      <c r="N1249" t="s">
        <v>27</v>
      </c>
      <c r="O1249">
        <v>300</v>
      </c>
      <c r="P1249">
        <v>300</v>
      </c>
      <c r="R1249" s="3" t="str">
        <f>HYPERLINK("https://panda.att.com.mx/ODKServer/view/binaryData?blobKey=FSSuministroFluidosv3%5B%40version%3Dnull+and+%40uiVersion%3Dnull%5D%2Fdata%5B%40key%3Duuid%3A588abc5e-2009-4b71-ad7b-d143a122019e%5D%2FgroupInfoFuel%5B%40ordinal%3D1%5D%2FpicFuelRecibeInterno","Descargar")</f>
        <v>Descargar</v>
      </c>
    </row>
    <row r="1250" spans="1:18" x14ac:dyDescent="0.3">
      <c r="A1250">
        <v>1582132</v>
      </c>
      <c r="B1250" t="s">
        <v>18</v>
      </c>
      <c r="C1250" t="s">
        <v>28</v>
      </c>
      <c r="D1250" t="s">
        <v>181</v>
      </c>
      <c r="E1250" t="s">
        <v>218</v>
      </c>
      <c r="F1250" t="s">
        <v>22</v>
      </c>
      <c r="G1250" t="s">
        <v>47</v>
      </c>
      <c r="H1250" t="s">
        <v>24</v>
      </c>
      <c r="I1250" t="s">
        <v>25</v>
      </c>
      <c r="J1250" s="2">
        <v>45853.584374999999</v>
      </c>
      <c r="K1250">
        <v>15</v>
      </c>
      <c r="L1250">
        <v>7</v>
      </c>
      <c r="M1250">
        <v>2025</v>
      </c>
      <c r="N1250" t="s">
        <v>44</v>
      </c>
      <c r="O1250">
        <v>50</v>
      </c>
      <c r="Q1250">
        <v>50</v>
      </c>
      <c r="R1250" s="3" t="str">
        <f>HYPERLINK("https://panda.att.com.mx/ODKServer/view/binaryData?blobKey=FSSuministroFluidosv3%5B%40version%3Dnull+and+%40uiVersion%3Dnull%5D%2Fdata%5B%40key%3Duuid%3A34085431-1de5-47dd-a869-3139302d12f1%5D%2FgroupInfoFuel%5B%40ordinal%3D1%5D%2FpicFuelRecibeInterno","Descargar")</f>
        <v>Descargar</v>
      </c>
    </row>
    <row r="1251" spans="1:18" x14ac:dyDescent="0.3">
      <c r="A1251">
        <v>1582070</v>
      </c>
      <c r="B1251" t="s">
        <v>18</v>
      </c>
      <c r="C1251" t="s">
        <v>34</v>
      </c>
      <c r="D1251" t="s">
        <v>53</v>
      </c>
      <c r="E1251" t="s">
        <v>1508</v>
      </c>
      <c r="F1251" t="s">
        <v>22</v>
      </c>
      <c r="G1251" t="s">
        <v>23</v>
      </c>
      <c r="H1251" t="s">
        <v>37</v>
      </c>
      <c r="I1251" t="s">
        <v>25</v>
      </c>
      <c r="J1251" s="2">
        <v>45859.772523148153</v>
      </c>
      <c r="K1251">
        <v>21</v>
      </c>
      <c r="L1251">
        <v>7</v>
      </c>
      <c r="M1251">
        <v>2025</v>
      </c>
      <c r="N1251" t="s">
        <v>27</v>
      </c>
      <c r="O1251">
        <v>200</v>
      </c>
      <c r="P1251">
        <v>200</v>
      </c>
      <c r="R1251" s="3" t="str">
        <f>HYPERLINK("https://panda.att.com.mx/ODKServer/view/binaryData?blobKey=FSSuministroFluidosv3%5B%40version%3Dnull+and+%40uiVersion%3Dnull%5D%2Fdata%5B%40key%3Duuid%3A441aa47e-c249-4da5-8236-c989d11e5dce%5D%2FgroupInfoFuel%5B%40ordinal%3D1%5D%2FpicFuelRecibeInterno","Descargar")</f>
        <v>Descargar</v>
      </c>
    </row>
    <row r="1252" spans="1:18" x14ac:dyDescent="0.3">
      <c r="A1252">
        <v>1582065</v>
      </c>
      <c r="B1252" t="s">
        <v>18</v>
      </c>
      <c r="C1252" t="s">
        <v>19</v>
      </c>
      <c r="D1252" t="s">
        <v>62</v>
      </c>
      <c r="E1252" t="s">
        <v>1601</v>
      </c>
      <c r="F1252" t="s">
        <v>22</v>
      </c>
      <c r="G1252" t="s">
        <v>23</v>
      </c>
      <c r="H1252" t="s">
        <v>24</v>
      </c>
      <c r="I1252" t="s">
        <v>25</v>
      </c>
      <c r="J1252" s="2">
        <v>45859.787951388891</v>
      </c>
      <c r="K1252">
        <v>21</v>
      </c>
      <c r="L1252">
        <v>7</v>
      </c>
      <c r="M1252">
        <v>2025</v>
      </c>
      <c r="N1252" t="s">
        <v>27</v>
      </c>
      <c r="O1252">
        <v>100</v>
      </c>
      <c r="P1252">
        <v>100</v>
      </c>
      <c r="R1252" s="3" t="str">
        <f>HYPERLINK("https://panda.att.com.mx/ODKServer/view/binaryData?blobKey=FSSuministroFluidosv3%5B%40version%3Dnull+and+%40uiVersion%3Dnull%5D%2Fdata%5B%40key%3Duuid%3Ae82a6269-70ec-424c-9b37-c87e10640581%5D%2FgroupInfoFuel%5B%40ordinal%3D1%5D%2FpicFuelRecibeInterno","Descargar")</f>
        <v>Descargar</v>
      </c>
    </row>
    <row r="1253" spans="1:18" x14ac:dyDescent="0.3">
      <c r="A1253">
        <v>1582012</v>
      </c>
      <c r="B1253" t="s">
        <v>18</v>
      </c>
      <c r="C1253" t="s">
        <v>55</v>
      </c>
      <c r="D1253" t="s">
        <v>366</v>
      </c>
      <c r="E1253" t="s">
        <v>1602</v>
      </c>
      <c r="F1253" t="s">
        <v>22</v>
      </c>
      <c r="G1253" t="s">
        <v>23</v>
      </c>
      <c r="H1253" t="s">
        <v>58</v>
      </c>
      <c r="I1253" t="s">
        <v>25</v>
      </c>
      <c r="J1253" s="2">
        <v>45859.739675925928</v>
      </c>
      <c r="K1253">
        <v>21</v>
      </c>
      <c r="L1253">
        <v>7</v>
      </c>
      <c r="M1253">
        <v>2025</v>
      </c>
      <c r="N1253" t="s">
        <v>27</v>
      </c>
      <c r="O1253">
        <v>100.03</v>
      </c>
      <c r="P1253">
        <v>100.03</v>
      </c>
      <c r="R1253" s="3" t="str">
        <f>HYPERLINK("https://panda.att.com.mx/ODKServer/view/binaryData?blobKey=FSSuministroFluidosv3%5B%40version%3Dnull+and+%40uiVersion%3Dnull%5D%2Fdata%5B%40key%3Duuid%3Ac6584f2b-e202-4611-83af-570d92a828f0%5D%2FgroupInfoFuel%5B%40ordinal%3D1%5D%2FpicFuelRecibeInterno","Descargar")</f>
        <v>Descargar</v>
      </c>
    </row>
    <row r="1254" spans="1:18" x14ac:dyDescent="0.3">
      <c r="A1254">
        <v>1582010</v>
      </c>
      <c r="B1254" t="s">
        <v>18</v>
      </c>
      <c r="C1254" t="s">
        <v>59</v>
      </c>
      <c r="D1254" t="s">
        <v>307</v>
      </c>
      <c r="E1254" t="s">
        <v>308</v>
      </c>
      <c r="F1254" t="s">
        <v>22</v>
      </c>
      <c r="G1254" t="s">
        <v>23</v>
      </c>
      <c r="H1254" t="s">
        <v>37</v>
      </c>
      <c r="I1254" t="s">
        <v>25</v>
      </c>
      <c r="J1254" s="2">
        <v>45856.473969907413</v>
      </c>
      <c r="K1254">
        <v>18</v>
      </c>
      <c r="L1254">
        <v>7</v>
      </c>
      <c r="M1254">
        <v>2025</v>
      </c>
      <c r="N1254" t="s">
        <v>44</v>
      </c>
      <c r="O1254">
        <v>60</v>
      </c>
      <c r="P1254">
        <v>60</v>
      </c>
      <c r="R1254" s="3" t="str">
        <f>HYPERLINK("https://panda.att.com.mx/ODKServer/view/binaryData?blobKey=FSSuministroFluidosv3%5B%40version%3Dnull+and+%40uiVersion%3Dnull%5D%2Fdata%5B%40key%3Duuid%3A4b571639-2b19-4bd5-9579-a229bfaf2b87%5D%2FgroupInfoFuel%5B%40ordinal%3D1%5D%2FpicFuelRecibeInterno","Descargar")</f>
        <v>Descargar</v>
      </c>
    </row>
    <row r="1255" spans="1:18" x14ac:dyDescent="0.3">
      <c r="A1255">
        <v>1581997</v>
      </c>
      <c r="B1255" t="s">
        <v>18</v>
      </c>
      <c r="C1255" t="s">
        <v>183</v>
      </c>
      <c r="D1255" t="s">
        <v>1603</v>
      </c>
      <c r="E1255" t="s">
        <v>1604</v>
      </c>
      <c r="F1255" t="s">
        <v>22</v>
      </c>
      <c r="G1255" t="s">
        <v>23</v>
      </c>
      <c r="H1255" t="s">
        <v>37</v>
      </c>
      <c r="I1255" t="s">
        <v>25</v>
      </c>
      <c r="J1255" s="2">
        <v>45842.792048611111</v>
      </c>
      <c r="K1255">
        <v>4</v>
      </c>
      <c r="L1255">
        <v>7</v>
      </c>
      <c r="M1255">
        <v>2025</v>
      </c>
      <c r="N1255" t="s">
        <v>27</v>
      </c>
      <c r="O1255">
        <v>150</v>
      </c>
      <c r="P1255">
        <v>150</v>
      </c>
      <c r="R1255" s="3" t="str">
        <f>HYPERLINK("https://panda.att.com.mx/ODKServer/view/binaryData?blobKey=FSSuministroFluidosv3%5B%40version%3Dnull+and+%40uiVersion%3Dnull%5D%2Fdata%5B%40key%3Duuid%3A2dfe358c-4224-4259-b78a-4280a86532e7%5D%2FgroupInfoFuel%5B%40ordinal%3D1%5D%2FpicFuelRecibeInterno","Descargar")</f>
        <v>Descargar</v>
      </c>
    </row>
    <row r="1256" spans="1:18" x14ac:dyDescent="0.3">
      <c r="A1256">
        <v>1581974</v>
      </c>
      <c r="B1256" t="s">
        <v>18</v>
      </c>
      <c r="C1256" t="s">
        <v>167</v>
      </c>
      <c r="D1256" t="s">
        <v>168</v>
      </c>
      <c r="E1256" t="s">
        <v>266</v>
      </c>
      <c r="F1256" t="s">
        <v>22</v>
      </c>
      <c r="G1256" t="s">
        <v>83</v>
      </c>
      <c r="H1256" t="s">
        <v>58</v>
      </c>
      <c r="I1256" t="s">
        <v>25</v>
      </c>
      <c r="J1256" s="2">
        <v>45859.703009259261</v>
      </c>
      <c r="K1256">
        <v>21</v>
      </c>
      <c r="L1256">
        <v>7</v>
      </c>
      <c r="M1256">
        <v>2025</v>
      </c>
      <c r="N1256" t="s">
        <v>27</v>
      </c>
      <c r="O1256">
        <v>450</v>
      </c>
      <c r="P1256">
        <v>450</v>
      </c>
      <c r="R1256" s="3" t="str">
        <f>HYPERLINK("https://panda.att.com.mx/ODKServer/view/binaryData?blobKey=FSSuministroFluidosv3%5B%40version%3Dnull+and+%40uiVersion%3Dnull%5D%2Fdata%5B%40key%3Duuid%3Aafc7731e-52f3-43ac-a1e4-3468b9858d9c%5D%2FgroupInfoFuel%5B%40ordinal%3D1%5D%2FpicFuelRecibeInterno","Descargar")</f>
        <v>Descargar</v>
      </c>
    </row>
    <row r="1257" spans="1:18" x14ac:dyDescent="0.3">
      <c r="A1257">
        <v>1581945</v>
      </c>
      <c r="B1257" t="s">
        <v>18</v>
      </c>
      <c r="C1257" t="s">
        <v>34</v>
      </c>
      <c r="D1257" t="s">
        <v>53</v>
      </c>
      <c r="E1257" t="s">
        <v>1605</v>
      </c>
      <c r="F1257" t="s">
        <v>22</v>
      </c>
      <c r="G1257" t="s">
        <v>23</v>
      </c>
      <c r="H1257" t="s">
        <v>37</v>
      </c>
      <c r="I1257" t="s">
        <v>25</v>
      </c>
      <c r="J1257" s="2">
        <v>45859.519467592603</v>
      </c>
      <c r="K1257">
        <v>21</v>
      </c>
      <c r="L1257">
        <v>7</v>
      </c>
      <c r="M1257">
        <v>2025</v>
      </c>
      <c r="N1257" t="s">
        <v>27</v>
      </c>
      <c r="O1257">
        <v>150</v>
      </c>
      <c r="P1257">
        <v>150</v>
      </c>
      <c r="R1257" s="3" t="str">
        <f>HYPERLINK("https://panda.att.com.mx/ODKServer/view/binaryData?blobKey=FSSuministroFluidosv3%5B%40version%3Dnull+and+%40uiVersion%3Dnull%5D%2Fdata%5B%40key%3Duuid%3Abd794463-0dd1-45df-a84a-0cdc5f073dd2%5D%2FgroupInfoFuel%5B%40ordinal%3D1%5D%2FpicFuelRecibeInterno","Descargar")</f>
        <v>Descargar</v>
      </c>
    </row>
    <row r="1258" spans="1:18" x14ac:dyDescent="0.3">
      <c r="A1258">
        <v>1581930</v>
      </c>
      <c r="B1258" t="s">
        <v>18</v>
      </c>
      <c r="C1258" t="s">
        <v>28</v>
      </c>
      <c r="D1258" t="s">
        <v>66</v>
      </c>
      <c r="E1258" t="s">
        <v>655</v>
      </c>
      <c r="F1258" t="s">
        <v>22</v>
      </c>
      <c r="G1258" t="s">
        <v>23</v>
      </c>
      <c r="H1258" t="s">
        <v>24</v>
      </c>
      <c r="I1258" t="s">
        <v>25</v>
      </c>
      <c r="J1258" s="2">
        <v>45859.374594907407</v>
      </c>
      <c r="K1258">
        <v>21</v>
      </c>
      <c r="L1258">
        <v>7</v>
      </c>
      <c r="M1258">
        <v>2025</v>
      </c>
      <c r="N1258" t="s">
        <v>44</v>
      </c>
      <c r="O1258">
        <v>30</v>
      </c>
      <c r="Q1258">
        <v>30</v>
      </c>
      <c r="R1258" s="3" t="str">
        <f>HYPERLINK("https://panda.att.com.mx/ODKServer/view/binaryData?blobKey=FSSuministroFluidosv3%5B%40version%3Dnull+and+%40uiVersion%3Dnull%5D%2Fdata%5B%40key%3Duuid%3Aa705f27d-411d-48fe-ada7-2155a3b4e407%5D%2FgroupInfoFuel%5B%40ordinal%3D1%5D%2FpicFuelRecibeInterno","Descargar")</f>
        <v>Descargar</v>
      </c>
    </row>
    <row r="1259" spans="1:18" x14ac:dyDescent="0.3">
      <c r="A1259">
        <v>1581913</v>
      </c>
      <c r="B1259" t="s">
        <v>18</v>
      </c>
      <c r="C1259" t="s">
        <v>68</v>
      </c>
      <c r="D1259" t="s">
        <v>91</v>
      </c>
      <c r="E1259" t="s">
        <v>1606</v>
      </c>
      <c r="F1259" t="s">
        <v>22</v>
      </c>
      <c r="G1259" t="s">
        <v>23</v>
      </c>
      <c r="H1259" t="s">
        <v>37</v>
      </c>
      <c r="I1259" t="s">
        <v>25</v>
      </c>
      <c r="J1259" s="2">
        <v>45859.611215277779</v>
      </c>
      <c r="K1259">
        <v>21</v>
      </c>
      <c r="L1259">
        <v>7</v>
      </c>
      <c r="M1259">
        <v>2025</v>
      </c>
      <c r="N1259" t="s">
        <v>27</v>
      </c>
      <c r="O1259">
        <v>120</v>
      </c>
      <c r="P1259">
        <v>120</v>
      </c>
      <c r="R1259" s="3" t="str">
        <f>HYPERLINK("https://panda.att.com.mx/ODKServer/view/binaryData?blobKey=FSSuministroFluidosv3%5B%40version%3Dnull+and+%40uiVersion%3Dnull%5D%2Fdata%5B%40key%3Duuid%3A0f835a71-d312-4977-9913-37355aa0cdf7%5D%2FgroupInfoFuel%5B%40ordinal%3D1%5D%2FpicFuelRecibeInterno","Descargar")</f>
        <v>Descargar</v>
      </c>
    </row>
    <row r="1260" spans="1:18" x14ac:dyDescent="0.3">
      <c r="A1260">
        <v>1581869</v>
      </c>
      <c r="B1260" t="s">
        <v>18</v>
      </c>
      <c r="C1260" t="s">
        <v>167</v>
      </c>
      <c r="D1260" t="s">
        <v>215</v>
      </c>
      <c r="E1260" t="s">
        <v>674</v>
      </c>
      <c r="F1260" t="s">
        <v>22</v>
      </c>
      <c r="G1260" t="s">
        <v>23</v>
      </c>
      <c r="H1260" t="s">
        <v>58</v>
      </c>
      <c r="I1260" t="s">
        <v>25</v>
      </c>
      <c r="J1260" s="2">
        <v>45859.629004629627</v>
      </c>
      <c r="K1260">
        <v>21</v>
      </c>
      <c r="L1260">
        <v>7</v>
      </c>
      <c r="M1260">
        <v>2025</v>
      </c>
      <c r="N1260" t="s">
        <v>27</v>
      </c>
      <c r="O1260">
        <v>80</v>
      </c>
      <c r="P1260">
        <v>80</v>
      </c>
      <c r="R1260" s="3" t="str">
        <f>HYPERLINK("https://panda.att.com.mx/ODKServer/view/binaryData?blobKey=FSSuministroFluidosv3%5B%40version%3Dnull+and+%40uiVersion%3Dnull%5D%2Fdata%5B%40key%3Duuid%3A096554b2-df94-4a44-be97-c66a1c55805c%5D%2FgroupInfoFuel%5B%40ordinal%3D1%5D%2FpicFuelRecibeInterno","Descargar")</f>
        <v>Descargar</v>
      </c>
    </row>
    <row r="1261" spans="1:18" x14ac:dyDescent="0.3">
      <c r="A1261">
        <v>1581862</v>
      </c>
      <c r="B1261" t="s">
        <v>18</v>
      </c>
      <c r="C1261" t="s">
        <v>28</v>
      </c>
      <c r="D1261" t="s">
        <v>181</v>
      </c>
      <c r="E1261" t="s">
        <v>1607</v>
      </c>
      <c r="F1261" t="s">
        <v>22</v>
      </c>
      <c r="G1261" t="s">
        <v>23</v>
      </c>
      <c r="H1261" t="s">
        <v>24</v>
      </c>
      <c r="I1261" t="s">
        <v>25</v>
      </c>
      <c r="J1261" s="2">
        <v>45854.762106481481</v>
      </c>
      <c r="K1261">
        <v>16</v>
      </c>
      <c r="L1261">
        <v>7</v>
      </c>
      <c r="M1261">
        <v>2025</v>
      </c>
      <c r="N1261" t="s">
        <v>27</v>
      </c>
      <c r="O1261">
        <v>100</v>
      </c>
      <c r="P1261">
        <v>100</v>
      </c>
      <c r="R1261" s="3" t="str">
        <f>HYPERLINK("https://panda.att.com.mx/ODKServer/view/binaryData?blobKey=FSSuministroFluidosv3%5B%40version%3Dnull+and+%40uiVersion%3Dnull%5D%2Fdata%5B%40key%3Duuid%3Af777d025-409c-4776-a800-f6a441912917%5D%2FgroupInfoFuel%5B%40ordinal%3D1%5D%2FpicFuelRecibeInterno","Descargar")</f>
        <v>Descargar</v>
      </c>
    </row>
    <row r="1262" spans="1:18" x14ac:dyDescent="0.3">
      <c r="A1262">
        <v>1581845</v>
      </c>
      <c r="B1262" t="s">
        <v>18</v>
      </c>
      <c r="C1262" t="s">
        <v>100</v>
      </c>
      <c r="D1262" t="s">
        <v>101</v>
      </c>
      <c r="E1262" t="s">
        <v>102</v>
      </c>
      <c r="F1262" t="s">
        <v>22</v>
      </c>
      <c r="G1262" t="s">
        <v>83</v>
      </c>
      <c r="H1262" t="s">
        <v>58</v>
      </c>
      <c r="I1262" t="s">
        <v>25</v>
      </c>
      <c r="J1262" s="2">
        <v>45859.539340277777</v>
      </c>
      <c r="K1262">
        <v>21</v>
      </c>
      <c r="L1262">
        <v>7</v>
      </c>
      <c r="M1262">
        <v>2025</v>
      </c>
      <c r="N1262" t="s">
        <v>27</v>
      </c>
      <c r="O1262">
        <v>250</v>
      </c>
      <c r="P1262">
        <v>250</v>
      </c>
      <c r="R1262" s="3" t="str">
        <f>HYPERLINK("https://panda.att.com.mx/ODKServer/view/binaryData?blobKey=FSSuministroFluidosv3%5B%40version%3Dnull+and+%40uiVersion%3Dnull%5D%2Fdata%5B%40key%3Duuid%3A0dd0df52-d51b-4692-aad6-8827f49e7795%5D%2FgroupInfoFuel%5B%40ordinal%3D1%5D%2FpicFuelRecibeInterno","Descargar")</f>
        <v>Descargar</v>
      </c>
    </row>
    <row r="1263" spans="1:18" x14ac:dyDescent="0.3">
      <c r="A1263">
        <v>1581784</v>
      </c>
      <c r="B1263" t="s">
        <v>18</v>
      </c>
      <c r="C1263" t="s">
        <v>167</v>
      </c>
      <c r="D1263" t="s">
        <v>168</v>
      </c>
      <c r="E1263" t="s">
        <v>169</v>
      </c>
      <c r="F1263" t="s">
        <v>22</v>
      </c>
      <c r="G1263" t="s">
        <v>83</v>
      </c>
      <c r="H1263" t="s">
        <v>58</v>
      </c>
      <c r="I1263" t="s">
        <v>25</v>
      </c>
      <c r="J1263" s="2">
        <v>45859.567523148151</v>
      </c>
      <c r="K1263">
        <v>21</v>
      </c>
      <c r="L1263">
        <v>7</v>
      </c>
      <c r="M1263">
        <v>2025</v>
      </c>
      <c r="N1263" t="s">
        <v>27</v>
      </c>
      <c r="O1263">
        <v>450</v>
      </c>
      <c r="P1263">
        <v>450</v>
      </c>
      <c r="R1263" s="3" t="str">
        <f>HYPERLINK("https://panda.att.com.mx/ODKServer/view/binaryData?blobKey=FSSuministroFluidosv3%5B%40version%3Dnull+and+%40uiVersion%3Dnull%5D%2Fdata%5B%40key%3Duuid%3A2876c4c6-d729-4f36-b03b-1a5c11013a1a%5D%2FgroupInfoFuel%5B%40ordinal%3D1%5D%2FpicFuelRecibeInterno","Descargar")</f>
        <v>Descargar</v>
      </c>
    </row>
    <row r="1264" spans="1:18" x14ac:dyDescent="0.3">
      <c r="A1264">
        <v>1581761</v>
      </c>
      <c r="B1264" t="s">
        <v>18</v>
      </c>
      <c r="C1264" t="s">
        <v>55</v>
      </c>
      <c r="D1264" t="s">
        <v>288</v>
      </c>
      <c r="E1264" t="s">
        <v>1608</v>
      </c>
      <c r="F1264" t="s">
        <v>22</v>
      </c>
      <c r="G1264" t="s">
        <v>23</v>
      </c>
      <c r="H1264" t="s">
        <v>58</v>
      </c>
      <c r="I1264" t="s">
        <v>25</v>
      </c>
      <c r="J1264" s="2">
        <v>45859.526689814818</v>
      </c>
      <c r="K1264">
        <v>21</v>
      </c>
      <c r="L1264">
        <v>7</v>
      </c>
      <c r="M1264">
        <v>2025</v>
      </c>
      <c r="N1264" t="s">
        <v>27</v>
      </c>
      <c r="O1264">
        <v>250</v>
      </c>
      <c r="P1264">
        <v>250</v>
      </c>
      <c r="R1264" s="3" t="str">
        <f>HYPERLINK("https://panda.att.com.mx/ODKServer/view/binaryData?blobKey=FSSuministroFluidosv3%5B%40version%3Dnull+and+%40uiVersion%3Dnull%5D%2Fdata%5B%40key%3Duuid%3A416727a0-b918-45ba-af45-19167cb33ddc%5D%2FgroupInfoFuel%5B%40ordinal%3D1%5D%2FpicFuelRecibeInterno","Descargar")</f>
        <v>Descargar</v>
      </c>
    </row>
    <row r="1265" spans="1:18" x14ac:dyDescent="0.3">
      <c r="A1265">
        <v>1581613</v>
      </c>
      <c r="B1265" t="s">
        <v>18</v>
      </c>
      <c r="C1265" t="s">
        <v>28</v>
      </c>
      <c r="D1265" t="s">
        <v>181</v>
      </c>
      <c r="E1265" t="s">
        <v>1609</v>
      </c>
      <c r="F1265" t="s">
        <v>22</v>
      </c>
      <c r="G1265" t="s">
        <v>23</v>
      </c>
      <c r="H1265" t="s">
        <v>24</v>
      </c>
      <c r="I1265" t="s">
        <v>25</v>
      </c>
      <c r="J1265" s="2">
        <v>45858.910486111112</v>
      </c>
      <c r="K1265">
        <v>20</v>
      </c>
      <c r="L1265">
        <v>7</v>
      </c>
      <c r="M1265">
        <v>2025</v>
      </c>
      <c r="N1265" t="s">
        <v>27</v>
      </c>
      <c r="O1265">
        <v>300</v>
      </c>
      <c r="P1265">
        <v>300</v>
      </c>
      <c r="R1265" s="3" t="str">
        <f>HYPERLINK("https://panda.att.com.mx/ODKServer/view/binaryData?blobKey=FSSuministroFluidosv3%5B%40version%3Dnull+and+%40uiVersion%3Dnull%5D%2Fdata%5B%40key%3Duuid%3A3ed1b6ce-84b4-4ed8-b4df-42c4e5b23057%5D%2FgroupInfoFuel%5B%40ordinal%3D1%5D%2FpicFuelRecibeInterno","Descargar")</f>
        <v>Descargar</v>
      </c>
    </row>
    <row r="1266" spans="1:18" x14ac:dyDescent="0.3">
      <c r="A1266">
        <v>1581517</v>
      </c>
      <c r="B1266" t="s">
        <v>18</v>
      </c>
      <c r="C1266" t="s">
        <v>55</v>
      </c>
      <c r="D1266" t="s">
        <v>56</v>
      </c>
      <c r="E1266" t="s">
        <v>862</v>
      </c>
      <c r="F1266" t="s">
        <v>22</v>
      </c>
      <c r="G1266" t="s">
        <v>23</v>
      </c>
      <c r="H1266" t="s">
        <v>58</v>
      </c>
      <c r="I1266" t="s">
        <v>25</v>
      </c>
      <c r="J1266" s="2">
        <v>45857.429745370369</v>
      </c>
      <c r="K1266">
        <v>19</v>
      </c>
      <c r="L1266">
        <v>7</v>
      </c>
      <c r="M1266">
        <v>2025</v>
      </c>
      <c r="N1266" t="s">
        <v>27</v>
      </c>
      <c r="O1266">
        <v>400</v>
      </c>
      <c r="P1266">
        <v>400</v>
      </c>
      <c r="R1266" s="3" t="str">
        <f>HYPERLINK("https://panda.att.com.mx/ODKServer/view/binaryData?blobKey=FSSuministroFluidosv3%5B%40version%3Dnull+and+%40uiVersion%3Dnull%5D%2Fdata%5B%40key%3Duuid%3A7bcd7f74-9bf0-4ec6-b5e6-202871018c0b%5D%2FgroupInfoFuel%5B%40ordinal%3D1%5D%2FpicFuelRecibeInterno","Descargar")</f>
        <v>Descargar</v>
      </c>
    </row>
    <row r="1267" spans="1:18" x14ac:dyDescent="0.3">
      <c r="A1267">
        <v>1581515</v>
      </c>
      <c r="B1267" t="s">
        <v>18</v>
      </c>
      <c r="C1267" t="s">
        <v>68</v>
      </c>
      <c r="D1267" t="s">
        <v>91</v>
      </c>
      <c r="E1267" t="s">
        <v>103</v>
      </c>
      <c r="F1267" t="s">
        <v>22</v>
      </c>
      <c r="G1267" t="s">
        <v>47</v>
      </c>
      <c r="H1267" t="s">
        <v>37</v>
      </c>
      <c r="I1267" t="s">
        <v>25</v>
      </c>
      <c r="J1267" s="2">
        <v>45858.753611111111</v>
      </c>
      <c r="K1267">
        <v>20</v>
      </c>
      <c r="L1267">
        <v>7</v>
      </c>
      <c r="M1267">
        <v>2025</v>
      </c>
      <c r="N1267" t="s">
        <v>27</v>
      </c>
      <c r="O1267">
        <v>100</v>
      </c>
      <c r="P1267">
        <v>100</v>
      </c>
      <c r="R1267" s="3" t="str">
        <f>HYPERLINK("https://panda.att.com.mx/ODKServer/view/binaryData?blobKey=FSSuministroFluidosv3%5B%40version%3Dnull+and+%40uiVersion%3Dnull%5D%2Fdata%5B%40key%3Duuid%3Ad7cb1b37-1ea7-4512-a7af-672f36f505b3%5D%2FgroupInfoFuel%5B%40ordinal%3D1%5D%2FpicFuelRecibeInterno","Descargar")</f>
        <v>Descargar</v>
      </c>
    </row>
    <row r="1268" spans="1:18" x14ac:dyDescent="0.3">
      <c r="A1268">
        <v>1581510</v>
      </c>
      <c r="B1268" t="s">
        <v>18</v>
      </c>
      <c r="C1268" t="s">
        <v>28</v>
      </c>
      <c r="D1268" t="s">
        <v>66</v>
      </c>
      <c r="E1268" t="s">
        <v>1610</v>
      </c>
      <c r="F1268" t="s">
        <v>22</v>
      </c>
      <c r="G1268" t="s">
        <v>23</v>
      </c>
      <c r="H1268" t="s">
        <v>24</v>
      </c>
      <c r="I1268" t="s">
        <v>25</v>
      </c>
      <c r="J1268" s="2">
        <v>45857.477222222216</v>
      </c>
      <c r="K1268">
        <v>19</v>
      </c>
      <c r="L1268">
        <v>7</v>
      </c>
      <c r="M1268">
        <v>2025</v>
      </c>
      <c r="N1268" t="s">
        <v>44</v>
      </c>
      <c r="O1268">
        <v>40</v>
      </c>
      <c r="P1268">
        <v>40</v>
      </c>
      <c r="R1268" s="3" t="str">
        <f>HYPERLINK("https://panda.att.com.mx/ODKServer/view/binaryData?blobKey=FSSuministroFluidosv3%5B%40version%3Dnull+and+%40uiVersion%3Dnull%5D%2Fdata%5B%40key%3Duuid%3A9c1dad6d-8c81-4970-9a87-bee6f43524bd%5D%2FgroupInfoFuel%5B%40ordinal%3D1%5D%2FpicFuelRecibeInterno","Descargar")</f>
        <v>Descargar</v>
      </c>
    </row>
    <row r="1269" spans="1:18" x14ac:dyDescent="0.3">
      <c r="A1269">
        <v>1581484</v>
      </c>
      <c r="B1269" t="s">
        <v>18</v>
      </c>
      <c r="C1269" t="s">
        <v>59</v>
      </c>
      <c r="D1269" t="s">
        <v>60</v>
      </c>
      <c r="E1269" t="s">
        <v>1611</v>
      </c>
      <c r="F1269" t="s">
        <v>22</v>
      </c>
      <c r="G1269" t="s">
        <v>23</v>
      </c>
      <c r="H1269" t="s">
        <v>37</v>
      </c>
      <c r="I1269" t="s">
        <v>25</v>
      </c>
      <c r="J1269" s="2">
        <v>45856.361840277779</v>
      </c>
      <c r="K1269">
        <v>18</v>
      </c>
      <c r="L1269">
        <v>7</v>
      </c>
      <c r="M1269">
        <v>2025</v>
      </c>
      <c r="N1269" t="s">
        <v>27</v>
      </c>
      <c r="O1269">
        <v>120</v>
      </c>
      <c r="P1269">
        <v>120</v>
      </c>
      <c r="R1269" s="3" t="str">
        <f>HYPERLINK("https://panda.att.com.mx/ODKServer/view/binaryData?blobKey=FSSuministroFluidosv3%5B%40version%3Dnull+and+%40uiVersion%3Dnull%5D%2Fdata%5B%40key%3Duuid%3Ad81d0485-829e-402b-962e-0366d4911bc6%5D%2FgroupInfoFuel%5B%40ordinal%3D1%5D%2FpicFuelRecibeInterno","Descargar")</f>
        <v>Descargar</v>
      </c>
    </row>
    <row r="1270" spans="1:18" x14ac:dyDescent="0.3">
      <c r="A1270">
        <v>1581482</v>
      </c>
      <c r="B1270" t="s">
        <v>18</v>
      </c>
      <c r="C1270" t="s">
        <v>59</v>
      </c>
      <c r="D1270" t="s">
        <v>60</v>
      </c>
      <c r="E1270" t="s">
        <v>820</v>
      </c>
      <c r="F1270" t="s">
        <v>22</v>
      </c>
      <c r="G1270" t="s">
        <v>23</v>
      </c>
      <c r="H1270" t="s">
        <v>37</v>
      </c>
      <c r="I1270" t="s">
        <v>25</v>
      </c>
      <c r="J1270" s="2">
        <v>45857.545034722221</v>
      </c>
      <c r="K1270">
        <v>19</v>
      </c>
      <c r="L1270">
        <v>7</v>
      </c>
      <c r="M1270">
        <v>2025</v>
      </c>
      <c r="N1270" t="s">
        <v>27</v>
      </c>
      <c r="O1270">
        <v>200</v>
      </c>
      <c r="Q1270">
        <v>200</v>
      </c>
      <c r="R1270" s="3" t="str">
        <f>HYPERLINK("https://panda.att.com.mx/ODKServer/view/binaryData?blobKey=FSSuministroFluidosv3%5B%40version%3Dnull+and+%40uiVersion%3Dnull%5D%2Fdata%5B%40key%3Duuid%3Ab9ac0915-d1c8-45d1-802b-921f13f745af%5D%2FgroupInfoFuel%5B%40ordinal%3D1%5D%2FpicFuelRecibeInterno","Descargar")</f>
        <v>Descargar</v>
      </c>
    </row>
    <row r="1271" spans="1:18" x14ac:dyDescent="0.3">
      <c r="A1271">
        <v>1581446</v>
      </c>
      <c r="B1271" t="s">
        <v>18</v>
      </c>
      <c r="C1271" t="s">
        <v>100</v>
      </c>
      <c r="D1271" t="s">
        <v>716</v>
      </c>
      <c r="E1271" t="s">
        <v>717</v>
      </c>
      <c r="F1271" t="s">
        <v>22</v>
      </c>
      <c r="G1271" t="s">
        <v>83</v>
      </c>
      <c r="H1271" t="s">
        <v>58</v>
      </c>
      <c r="I1271" t="s">
        <v>25</v>
      </c>
      <c r="J1271" s="2">
        <v>45858.80878472222</v>
      </c>
      <c r="K1271">
        <v>20</v>
      </c>
      <c r="L1271">
        <v>7</v>
      </c>
      <c r="M1271">
        <v>2025</v>
      </c>
      <c r="N1271" t="s">
        <v>27</v>
      </c>
      <c r="O1271">
        <v>118.2</v>
      </c>
      <c r="P1271">
        <v>118.2</v>
      </c>
      <c r="R1271" s="3" t="str">
        <f>HYPERLINK("https://panda.att.com.mx/ODKServer/view/binaryData?blobKey=FSSuministroFluidosv3%5B%40version%3Dnull+and+%40uiVersion%3Dnull%5D%2Fdata%5B%40key%3Duuid%3A59df3c7e-ad29-4aea-beca-9c555cd2c6ab%5D%2FgroupInfoFuel%5B%40ordinal%3D1%5D%2FpicFuelRecibeInterno","Descargar")</f>
        <v>Descargar</v>
      </c>
    </row>
    <row r="1272" spans="1:18" x14ac:dyDescent="0.3">
      <c r="A1272">
        <v>1581435</v>
      </c>
      <c r="B1272" t="s">
        <v>18</v>
      </c>
      <c r="C1272" t="s">
        <v>59</v>
      </c>
      <c r="D1272" t="s">
        <v>60</v>
      </c>
      <c r="E1272" t="s">
        <v>1612</v>
      </c>
      <c r="F1272" t="s">
        <v>22</v>
      </c>
      <c r="G1272" t="s">
        <v>23</v>
      </c>
      <c r="H1272" t="s">
        <v>37</v>
      </c>
      <c r="I1272" t="s">
        <v>25</v>
      </c>
      <c r="J1272" s="2">
        <v>45858.742777777778</v>
      </c>
      <c r="K1272">
        <v>20</v>
      </c>
      <c r="L1272">
        <v>7</v>
      </c>
      <c r="M1272">
        <v>2025</v>
      </c>
      <c r="N1272" t="s">
        <v>27</v>
      </c>
      <c r="O1272">
        <v>42</v>
      </c>
      <c r="P1272">
        <v>42</v>
      </c>
      <c r="R1272" s="3" t="str">
        <f>HYPERLINK("https://panda.att.com.mx/ODKServer/view/binaryData?blobKey=FSSuministroFluidosv3%5B%40version%3Dnull+and+%40uiVersion%3Dnull%5D%2Fdata%5B%40key%3Duuid%3Ab3f6fb8a-de13-4b68-8d09-6dd037bdcae9%5D%2FgroupInfoFuel%5B%40ordinal%3D1%5D%2FpicFuelRecibeInterno","Descargar")</f>
        <v>Descargar</v>
      </c>
    </row>
    <row r="1273" spans="1:18" x14ac:dyDescent="0.3">
      <c r="A1273">
        <v>1581428</v>
      </c>
      <c r="B1273" t="s">
        <v>18</v>
      </c>
      <c r="C1273" t="s">
        <v>28</v>
      </c>
      <c r="D1273" t="s">
        <v>181</v>
      </c>
      <c r="E1273" t="s">
        <v>877</v>
      </c>
      <c r="F1273" t="s">
        <v>22</v>
      </c>
      <c r="G1273" t="s">
        <v>23</v>
      </c>
      <c r="H1273" t="s">
        <v>24</v>
      </c>
      <c r="I1273" t="s">
        <v>25</v>
      </c>
      <c r="J1273" s="2">
        <v>45858.686192129629</v>
      </c>
      <c r="K1273">
        <v>20</v>
      </c>
      <c r="L1273">
        <v>7</v>
      </c>
      <c r="M1273">
        <v>2025</v>
      </c>
      <c r="N1273" t="s">
        <v>44</v>
      </c>
      <c r="O1273">
        <v>50</v>
      </c>
      <c r="P1273">
        <v>50</v>
      </c>
      <c r="R1273" s="3" t="str">
        <f>HYPERLINK("https://panda.att.com.mx/ODKServer/view/binaryData?blobKey=FSSuministroFluidosv3%5B%40version%3Dnull+and+%40uiVersion%3Dnull%5D%2Fdata%5B%40key%3Duuid%3A2817e967-b8b6-43cd-b87b-b83a66b9c653%5D%2FgroupInfoFuel%5B%40ordinal%3D1%5D%2FpicFuelRecibeInterno","Descargar")</f>
        <v>Descargar</v>
      </c>
    </row>
    <row r="1274" spans="1:18" x14ac:dyDescent="0.3">
      <c r="A1274">
        <v>1581417</v>
      </c>
      <c r="B1274" t="s">
        <v>18</v>
      </c>
      <c r="C1274" t="s">
        <v>100</v>
      </c>
      <c r="D1274" t="s">
        <v>716</v>
      </c>
      <c r="E1274" t="s">
        <v>1613</v>
      </c>
      <c r="F1274" t="s">
        <v>22</v>
      </c>
      <c r="G1274" t="s">
        <v>23</v>
      </c>
      <c r="H1274" t="s">
        <v>58</v>
      </c>
      <c r="I1274" t="s">
        <v>25</v>
      </c>
      <c r="J1274" s="2">
        <v>45858.707662037043</v>
      </c>
      <c r="K1274">
        <v>20</v>
      </c>
      <c r="L1274">
        <v>7</v>
      </c>
      <c r="M1274">
        <v>2025</v>
      </c>
      <c r="N1274" t="s">
        <v>27</v>
      </c>
      <c r="O1274">
        <v>100</v>
      </c>
      <c r="P1274">
        <v>100</v>
      </c>
      <c r="R1274" s="3" t="str">
        <f>HYPERLINK("https://panda.att.com.mx/ODKServer/view/binaryData?blobKey=FSSuministroFluidosv3%5B%40version%3Dnull+and+%40uiVersion%3Dnull%5D%2Fdata%5B%40key%3Duuid%3A830242fe-db2e-4ba9-b8d9-0b5077c77e04%5D%2FgroupInfoFuel%5B%40ordinal%3D1%5D%2FpicFuelRecibeInterno","Descargar")</f>
        <v>Descargar</v>
      </c>
    </row>
    <row r="1275" spans="1:18" x14ac:dyDescent="0.3">
      <c r="A1275">
        <v>1581412</v>
      </c>
      <c r="B1275" t="s">
        <v>18</v>
      </c>
      <c r="C1275" t="s">
        <v>59</v>
      </c>
      <c r="D1275" t="s">
        <v>60</v>
      </c>
      <c r="E1275" t="s">
        <v>1614</v>
      </c>
      <c r="F1275" t="s">
        <v>22</v>
      </c>
      <c r="G1275" t="s">
        <v>23</v>
      </c>
      <c r="H1275" t="s">
        <v>37</v>
      </c>
      <c r="I1275" t="s">
        <v>25</v>
      </c>
      <c r="J1275" s="2">
        <v>45854.530289351853</v>
      </c>
      <c r="K1275">
        <v>16</v>
      </c>
      <c r="L1275">
        <v>7</v>
      </c>
      <c r="M1275">
        <v>2025</v>
      </c>
      <c r="N1275" t="s">
        <v>27</v>
      </c>
      <c r="O1275">
        <v>90</v>
      </c>
      <c r="P1275">
        <v>90</v>
      </c>
      <c r="R1275" s="3" t="str">
        <f>HYPERLINK("https://panda.att.com.mx/ODKServer/view/binaryData?blobKey=FSSuministroFluidosv3%5B%40version%3Dnull+and+%40uiVersion%3Dnull%5D%2Fdata%5B%40key%3Duuid%3A9b5af081-72d1-498e-abd0-9ad84c0de55a%5D%2FgroupInfoFuel%5B%40ordinal%3D1%5D%2FpicFuelRecibeInterno","Descargar")</f>
        <v>Descargar</v>
      </c>
    </row>
    <row r="1276" spans="1:18" x14ac:dyDescent="0.3">
      <c r="A1276">
        <v>1581384</v>
      </c>
      <c r="B1276" t="s">
        <v>18</v>
      </c>
      <c r="C1276" t="s">
        <v>167</v>
      </c>
      <c r="D1276" t="s">
        <v>215</v>
      </c>
      <c r="E1276" t="s">
        <v>674</v>
      </c>
      <c r="F1276" t="s">
        <v>22</v>
      </c>
      <c r="G1276" t="s">
        <v>23</v>
      </c>
      <c r="H1276" t="s">
        <v>58</v>
      </c>
      <c r="I1276" t="s">
        <v>25</v>
      </c>
      <c r="J1276" s="2">
        <v>45858.552349537043</v>
      </c>
      <c r="K1276">
        <v>20</v>
      </c>
      <c r="L1276">
        <v>7</v>
      </c>
      <c r="M1276">
        <v>2025</v>
      </c>
      <c r="N1276" t="s">
        <v>27</v>
      </c>
      <c r="O1276">
        <v>100</v>
      </c>
      <c r="P1276">
        <v>100</v>
      </c>
      <c r="R1276" s="3" t="str">
        <f>HYPERLINK("https://panda.att.com.mx/ODKServer/view/binaryData?blobKey=FSSuministroFluidosv3%5B%40version%3Dnull+and+%40uiVersion%3Dnull%5D%2Fdata%5B%40key%3Duuid%3A0e4b4046-fd76-4ec7-a835-30f31643bc58%5D%2FgroupInfoFuel%5B%40ordinal%3D1%5D%2FpicFuelRecibeInterno","Descargar")</f>
        <v>Descargar</v>
      </c>
    </row>
    <row r="1277" spans="1:18" x14ac:dyDescent="0.3">
      <c r="A1277">
        <v>1580042</v>
      </c>
      <c r="B1277" t="s">
        <v>18</v>
      </c>
      <c r="C1277" t="s">
        <v>19</v>
      </c>
      <c r="D1277" t="s">
        <v>20</v>
      </c>
      <c r="E1277" t="s">
        <v>21</v>
      </c>
      <c r="F1277" t="s">
        <v>22</v>
      </c>
      <c r="G1277" t="s">
        <v>23</v>
      </c>
      <c r="H1277" t="s">
        <v>24</v>
      </c>
      <c r="I1277" t="s">
        <v>25</v>
      </c>
      <c r="J1277" s="2">
        <v>45853.521273148152</v>
      </c>
      <c r="K1277">
        <v>15</v>
      </c>
      <c r="L1277">
        <v>7</v>
      </c>
      <c r="M1277">
        <v>2025</v>
      </c>
      <c r="N1277" t="s">
        <v>27</v>
      </c>
      <c r="O1277">
        <v>200</v>
      </c>
      <c r="P1277">
        <v>200</v>
      </c>
      <c r="R1277" s="3" t="str">
        <f>HYPERLINK("https://panda.att.com.mx/ODKServer/view/binaryData?blobKey=FSSuministroFluidosv3%5B%40version%3Dnull+and+%40uiVersion%3Dnull%5D%2Fdata%5B%40key%3Duuid%3A83e937f8-37bc-4739-9721-20bd5948b6bd%5D%2FgroupInfoFuel%5B%40ordinal%3D1%5D%2FpicFuelRecibeInterno","Descargar")</f>
        <v>Descargar</v>
      </c>
    </row>
    <row r="1278" spans="1:18" x14ac:dyDescent="0.3">
      <c r="A1278">
        <v>1579950</v>
      </c>
      <c r="B1278" t="s">
        <v>18</v>
      </c>
      <c r="C1278" t="s">
        <v>19</v>
      </c>
      <c r="D1278" t="s">
        <v>20</v>
      </c>
      <c r="E1278" t="s">
        <v>1615</v>
      </c>
      <c r="F1278" t="s">
        <v>22</v>
      </c>
      <c r="G1278" t="s">
        <v>23</v>
      </c>
      <c r="H1278" t="s">
        <v>24</v>
      </c>
      <c r="I1278" t="s">
        <v>25</v>
      </c>
      <c r="J1278" s="2">
        <v>45855.418240740742</v>
      </c>
      <c r="K1278">
        <v>17</v>
      </c>
      <c r="L1278">
        <v>7</v>
      </c>
      <c r="M1278">
        <v>2025</v>
      </c>
      <c r="N1278" t="s">
        <v>27</v>
      </c>
      <c r="O1278">
        <v>200</v>
      </c>
      <c r="P1278">
        <v>200</v>
      </c>
      <c r="R1278" s="3" t="str">
        <f>HYPERLINK("https://panda.att.com.mx/ODKServer/view/binaryData?blobKey=FSSuministroFluidosv3%5B%40version%3Dnull+and+%40uiVersion%3Dnull%5D%2Fdata%5B%40key%3Duuid%3Af0f6acb1-33b7-4587-929b-2c90fade44e8%5D%2FgroupInfoFuel%5B%40ordinal%3D1%5D%2FpicFuelRecibeInterno","Descargar")</f>
        <v>Descargar</v>
      </c>
    </row>
    <row r="1279" spans="1:18" x14ac:dyDescent="0.3">
      <c r="A1279">
        <v>1579814</v>
      </c>
      <c r="B1279" t="s">
        <v>18</v>
      </c>
      <c r="C1279" t="s">
        <v>100</v>
      </c>
      <c r="D1279" t="s">
        <v>101</v>
      </c>
      <c r="E1279" t="s">
        <v>126</v>
      </c>
      <c r="F1279" t="s">
        <v>22</v>
      </c>
      <c r="G1279" t="s">
        <v>83</v>
      </c>
      <c r="H1279" t="s">
        <v>58</v>
      </c>
      <c r="I1279" t="s">
        <v>25</v>
      </c>
      <c r="J1279" s="2">
        <v>45856.500798611109</v>
      </c>
      <c r="K1279">
        <v>18</v>
      </c>
      <c r="L1279">
        <v>7</v>
      </c>
      <c r="M1279">
        <v>2025</v>
      </c>
      <c r="N1279" t="s">
        <v>27</v>
      </c>
      <c r="O1279">
        <v>300</v>
      </c>
      <c r="P1279">
        <v>300</v>
      </c>
      <c r="R1279" s="3" t="str">
        <f>HYPERLINK("https://panda.att.com.mx/ODKServer/view/binaryData?blobKey=FSSuministroFluidosv3%5B%40version%3Dnull+and+%40uiVersion%3Dnull%5D%2Fdata%5B%40key%3Duuid%3A81316177-bda5-4200-8149-56e4cc9cfa10%5D%2FgroupInfoFuel%5B%40ordinal%3D1%5D%2FpicFuelRecibeInterno","Descargar")</f>
        <v>Descargar</v>
      </c>
    </row>
    <row r="1280" spans="1:18" x14ac:dyDescent="0.3">
      <c r="A1280">
        <v>1579813</v>
      </c>
      <c r="B1280" t="s">
        <v>18</v>
      </c>
      <c r="C1280" t="s">
        <v>100</v>
      </c>
      <c r="D1280" t="s">
        <v>101</v>
      </c>
      <c r="E1280" t="s">
        <v>102</v>
      </c>
      <c r="F1280" t="s">
        <v>22</v>
      </c>
      <c r="G1280" t="s">
        <v>83</v>
      </c>
      <c r="H1280" t="s">
        <v>58</v>
      </c>
      <c r="I1280" t="s">
        <v>25</v>
      </c>
      <c r="J1280" s="2">
        <v>45856.027824074074</v>
      </c>
      <c r="K1280">
        <v>18</v>
      </c>
      <c r="L1280">
        <v>7</v>
      </c>
      <c r="M1280">
        <v>2025</v>
      </c>
      <c r="N1280" t="s">
        <v>27</v>
      </c>
      <c r="O1280">
        <v>250</v>
      </c>
      <c r="P1280">
        <v>250</v>
      </c>
      <c r="R1280" s="3" t="str">
        <f>HYPERLINK("https://panda.att.com.mx/ODKServer/view/binaryData?blobKey=FSSuministroFluidosv3%5B%40version%3Dnull+and+%40uiVersion%3Dnull%5D%2Fdata%5B%40key%3Duuid%3Adbc7475d-bdea-4234-a803-32b6b40ada92%5D%2FgroupInfoFuel%5B%40ordinal%3D1%5D%2FpicFuelRecibeInterno","Descargar")</f>
        <v>Descargar</v>
      </c>
    </row>
    <row r="1281" spans="1:18" x14ac:dyDescent="0.3">
      <c r="A1281">
        <v>1579798</v>
      </c>
      <c r="B1281" t="s">
        <v>18</v>
      </c>
      <c r="C1281" t="s">
        <v>167</v>
      </c>
      <c r="D1281" t="s">
        <v>168</v>
      </c>
      <c r="E1281" t="s">
        <v>1115</v>
      </c>
      <c r="F1281" t="s">
        <v>22</v>
      </c>
      <c r="G1281" t="s">
        <v>23</v>
      </c>
      <c r="H1281" t="s">
        <v>58</v>
      </c>
      <c r="I1281" t="s">
        <v>25</v>
      </c>
      <c r="J1281" s="2">
        <v>45856.498414351852</v>
      </c>
      <c r="K1281">
        <v>18</v>
      </c>
      <c r="L1281">
        <v>7</v>
      </c>
      <c r="M1281">
        <v>2025</v>
      </c>
      <c r="N1281" t="s">
        <v>27</v>
      </c>
      <c r="O1281">
        <v>120</v>
      </c>
      <c r="P1281">
        <v>120</v>
      </c>
      <c r="R1281" s="3" t="str">
        <f>HYPERLINK("https://panda.att.com.mx/ODKServer/view/binaryData?blobKey=FSSuministroFluidosv3%5B%40version%3Dnull+and+%40uiVersion%3Dnull%5D%2Fdata%5B%40key%3Duuid%3A73fdce0a-0dc7-44d9-91c7-1cb97d3a1ee4%5D%2FgroupInfoFuel%5B%40ordinal%3D1%5D%2FpicFuelRecibeInterno","Descargar")</f>
        <v>Descargar</v>
      </c>
    </row>
    <row r="1282" spans="1:18" x14ac:dyDescent="0.3">
      <c r="A1282">
        <v>1579761</v>
      </c>
      <c r="B1282" t="s">
        <v>18</v>
      </c>
      <c r="C1282" t="s">
        <v>167</v>
      </c>
      <c r="D1282" t="s">
        <v>509</v>
      </c>
      <c r="E1282" t="s">
        <v>1616</v>
      </c>
      <c r="F1282" t="s">
        <v>22</v>
      </c>
      <c r="G1282" t="s">
        <v>23</v>
      </c>
      <c r="H1282" t="s">
        <v>58</v>
      </c>
      <c r="I1282" t="s">
        <v>25</v>
      </c>
      <c r="J1282" s="2">
        <v>45849.499467592592</v>
      </c>
      <c r="K1282">
        <v>11</v>
      </c>
      <c r="L1282">
        <v>7</v>
      </c>
      <c r="M1282">
        <v>2025</v>
      </c>
      <c r="N1282" t="s">
        <v>27</v>
      </c>
      <c r="O1282">
        <v>460</v>
      </c>
      <c r="P1282">
        <v>460</v>
      </c>
      <c r="R1282" s="3" t="str">
        <f>HYPERLINK("https://panda.att.com.mx/ODKServer/view/binaryData?blobKey=FSSuministroFluidosv3%5B%40version%3Dnull+and+%40uiVersion%3Dnull%5D%2Fdata%5B%40key%3Duuid%3A08b44962-4210-4364-8a94-9a35929ecaee%5D%2FgroupInfoFuel%5B%40ordinal%3D1%5D%2FpicFuelRecibeInterno","Descargar")</f>
        <v>Descargar</v>
      </c>
    </row>
    <row r="1283" spans="1:18" x14ac:dyDescent="0.3">
      <c r="A1283">
        <v>1579760</v>
      </c>
      <c r="B1283" t="s">
        <v>18</v>
      </c>
      <c r="C1283" t="s">
        <v>167</v>
      </c>
      <c r="D1283" t="s">
        <v>168</v>
      </c>
      <c r="E1283" t="s">
        <v>1115</v>
      </c>
      <c r="F1283" t="s">
        <v>22</v>
      </c>
      <c r="G1283" t="s">
        <v>23</v>
      </c>
      <c r="H1283" t="s">
        <v>58</v>
      </c>
      <c r="I1283" t="s">
        <v>25</v>
      </c>
      <c r="J1283" s="2">
        <v>45854.592013888891</v>
      </c>
      <c r="K1283">
        <v>16</v>
      </c>
      <c r="L1283">
        <v>7</v>
      </c>
      <c r="M1283">
        <v>2025</v>
      </c>
      <c r="N1283" t="s">
        <v>27</v>
      </c>
      <c r="O1283">
        <v>120</v>
      </c>
      <c r="P1283">
        <v>120</v>
      </c>
      <c r="R1283" s="3" t="str">
        <f>HYPERLINK("https://panda.att.com.mx/ODKServer/view/binaryData?blobKey=FSSuministroFluidosv3%5B%40version%3Dnull+and+%40uiVersion%3Dnull%5D%2Fdata%5B%40key%3Duuid%3Aa45f2534-cea9-4a0d-a081-640cb58d4d57%5D%2FgroupInfoFuel%5B%40ordinal%3D1%5D%2FpicFuelRecibeInterno","Descargar")</f>
        <v>Descargar</v>
      </c>
    </row>
    <row r="1284" spans="1:18" x14ac:dyDescent="0.3">
      <c r="A1284">
        <v>1579754</v>
      </c>
      <c r="B1284" t="s">
        <v>18</v>
      </c>
      <c r="C1284" t="s">
        <v>19</v>
      </c>
      <c r="D1284" t="s">
        <v>62</v>
      </c>
      <c r="E1284" t="s">
        <v>1617</v>
      </c>
      <c r="F1284" t="s">
        <v>22</v>
      </c>
      <c r="G1284" t="s">
        <v>23</v>
      </c>
      <c r="H1284" t="s">
        <v>24</v>
      </c>
      <c r="I1284" t="s">
        <v>25</v>
      </c>
      <c r="J1284" s="2">
        <v>45856.478576388887</v>
      </c>
      <c r="K1284">
        <v>18</v>
      </c>
      <c r="L1284">
        <v>7</v>
      </c>
      <c r="M1284">
        <v>2025</v>
      </c>
      <c r="N1284" t="s">
        <v>27</v>
      </c>
      <c r="O1284">
        <v>90</v>
      </c>
      <c r="P1284">
        <v>90</v>
      </c>
      <c r="R1284" s="3" t="str">
        <f>HYPERLINK("https://panda.att.com.mx/ODKServer/view/binaryData?blobKey=FSSuministroFluidosv3%5B%40version%3Dnull+and+%40uiVersion%3Dnull%5D%2Fdata%5B%40key%3Duuid%3A97edc45c-e539-45bc-90d9-daa78e7c8b1e%5D%2FgroupInfoFuel%5B%40ordinal%3D1%5D%2FpicFuelRecibeInterno","Descargar")</f>
        <v>Descargar</v>
      </c>
    </row>
    <row r="1285" spans="1:18" x14ac:dyDescent="0.3">
      <c r="A1285">
        <v>1579688</v>
      </c>
      <c r="B1285" t="s">
        <v>18</v>
      </c>
      <c r="C1285" t="s">
        <v>55</v>
      </c>
      <c r="D1285" t="s">
        <v>56</v>
      </c>
      <c r="E1285" t="s">
        <v>81</v>
      </c>
      <c r="F1285" t="s">
        <v>22</v>
      </c>
      <c r="G1285" t="s">
        <v>95</v>
      </c>
      <c r="H1285" t="s">
        <v>58</v>
      </c>
      <c r="I1285" t="s">
        <v>25</v>
      </c>
      <c r="J1285" s="2">
        <v>45856.392395833333</v>
      </c>
      <c r="K1285">
        <v>18</v>
      </c>
      <c r="L1285">
        <v>7</v>
      </c>
      <c r="M1285">
        <v>2025</v>
      </c>
      <c r="N1285" t="s">
        <v>27</v>
      </c>
      <c r="O1285">
        <v>250</v>
      </c>
      <c r="P1285">
        <v>250</v>
      </c>
      <c r="R1285" s="3" t="str">
        <f>HYPERLINK("https://panda.att.com.mx/ODKServer/view/binaryData?blobKey=FSSuministroFluidosv3%5B%40version%3Dnull+and+%40uiVersion%3Dnull%5D%2Fdata%5B%40key%3Duuid%3Ac54db9b9-38e6-4c6d-9e63-44f4b43e0a89%5D%2FgroupInfoFuel%5B%40ordinal%3D1%5D%2FpicFuelRecibeInterno","Descargar")</f>
        <v>Descargar</v>
      </c>
    </row>
    <row r="1286" spans="1:18" x14ac:dyDescent="0.3">
      <c r="A1286">
        <v>1579680</v>
      </c>
      <c r="B1286" t="s">
        <v>18</v>
      </c>
      <c r="C1286" t="s">
        <v>68</v>
      </c>
      <c r="D1286" t="s">
        <v>258</v>
      </c>
      <c r="E1286" t="s">
        <v>1593</v>
      </c>
      <c r="F1286" t="s">
        <v>22</v>
      </c>
      <c r="G1286" t="s">
        <v>23</v>
      </c>
      <c r="H1286" t="s">
        <v>37</v>
      </c>
      <c r="I1286" t="s">
        <v>25</v>
      </c>
      <c r="J1286" s="2">
        <v>45856.396261574067</v>
      </c>
      <c r="K1286">
        <v>18</v>
      </c>
      <c r="L1286">
        <v>7</v>
      </c>
      <c r="M1286">
        <v>2025</v>
      </c>
      <c r="N1286" t="s">
        <v>27</v>
      </c>
      <c r="O1286">
        <v>350</v>
      </c>
      <c r="P1286">
        <v>350</v>
      </c>
      <c r="R1286" s="3" t="str">
        <f>HYPERLINK("https://panda.att.com.mx/ODKServer/view/binaryData?blobKey=FSSuministroFluidosv3%5B%40version%3Dnull+and+%40uiVersion%3Dnull%5D%2Fdata%5B%40key%3Duuid%3A259d803c-5df2-41a4-bb17-20c1dbb92866%5D%2FgroupInfoFuel%5B%40ordinal%3D1%5D%2FpicFuelRecibeInterno","Descargar")</f>
        <v>Descargar</v>
      </c>
    </row>
    <row r="1287" spans="1:18" x14ac:dyDescent="0.3">
      <c r="A1287">
        <v>1579656</v>
      </c>
      <c r="B1287" t="s">
        <v>18</v>
      </c>
      <c r="C1287" t="s">
        <v>28</v>
      </c>
      <c r="D1287" t="s">
        <v>118</v>
      </c>
      <c r="E1287" t="s">
        <v>195</v>
      </c>
      <c r="F1287" t="s">
        <v>22</v>
      </c>
      <c r="G1287" t="s">
        <v>47</v>
      </c>
      <c r="H1287" t="s">
        <v>24</v>
      </c>
      <c r="I1287" t="s">
        <v>25</v>
      </c>
      <c r="J1287" s="2">
        <v>45855.576296296298</v>
      </c>
      <c r="K1287">
        <v>17</v>
      </c>
      <c r="L1287">
        <v>7</v>
      </c>
      <c r="M1287">
        <v>2025</v>
      </c>
      <c r="N1287" t="s">
        <v>27</v>
      </c>
      <c r="O1287">
        <v>350</v>
      </c>
      <c r="P1287">
        <v>350</v>
      </c>
      <c r="R1287" s="3" t="str">
        <f>HYPERLINK("https://panda.att.com.mx/ODKServer/view/binaryData?blobKey=FSSuministroFluidosv3%5B%40version%3Dnull+and+%40uiVersion%3Dnull%5D%2Fdata%5B%40key%3Duuid%3A5f8ef9cf-d509-4122-9eff-e43a68a5ecae%5D%2FgroupInfoFuel%5B%40ordinal%3D1%5D%2FpicFuelRecibeInterno","Descargar")</f>
        <v>Descargar</v>
      </c>
    </row>
    <row r="1288" spans="1:18" x14ac:dyDescent="0.3">
      <c r="A1288">
        <v>1579654</v>
      </c>
      <c r="B1288" t="s">
        <v>18</v>
      </c>
      <c r="C1288" t="s">
        <v>150</v>
      </c>
      <c r="D1288" t="s">
        <v>164</v>
      </c>
      <c r="E1288" t="s">
        <v>165</v>
      </c>
      <c r="F1288" t="s">
        <v>22</v>
      </c>
      <c r="G1288" t="s">
        <v>23</v>
      </c>
      <c r="H1288" t="s">
        <v>58</v>
      </c>
      <c r="I1288" t="s">
        <v>25</v>
      </c>
      <c r="J1288" s="2">
        <v>45856.347870370373</v>
      </c>
      <c r="K1288">
        <v>18</v>
      </c>
      <c r="L1288">
        <v>7</v>
      </c>
      <c r="M1288">
        <v>2025</v>
      </c>
      <c r="N1288" t="s">
        <v>27</v>
      </c>
      <c r="O1288">
        <v>400</v>
      </c>
      <c r="P1288">
        <v>400</v>
      </c>
      <c r="R1288" s="3" t="str">
        <f>HYPERLINK("https://panda.att.com.mx/ODKServer/view/binaryData?blobKey=FSSuministroFluidosv3%5B%40version%3Dnull+and+%40uiVersion%3Dnull%5D%2Fdata%5B%40key%3Duuid%3Ad404c666-75b3-418f-8fca-5dfe5bfc1fa6%5D%2FgroupInfoFuel%5B%40ordinal%3D1%5D%2FpicFuelRecibeInterno","Descargar")</f>
        <v>Descargar</v>
      </c>
    </row>
    <row r="1289" spans="1:18" x14ac:dyDescent="0.3">
      <c r="A1289">
        <v>1579629</v>
      </c>
      <c r="B1289" t="s">
        <v>18</v>
      </c>
      <c r="C1289" t="s">
        <v>68</v>
      </c>
      <c r="D1289" t="s">
        <v>132</v>
      </c>
      <c r="E1289" t="s">
        <v>1618</v>
      </c>
      <c r="F1289" t="s">
        <v>22</v>
      </c>
      <c r="G1289" t="s">
        <v>23</v>
      </c>
      <c r="H1289" t="s">
        <v>37</v>
      </c>
      <c r="I1289" t="s">
        <v>25</v>
      </c>
      <c r="J1289" s="2">
        <v>45856.223067129627</v>
      </c>
      <c r="K1289">
        <v>18</v>
      </c>
      <c r="L1289">
        <v>7</v>
      </c>
      <c r="M1289">
        <v>2025</v>
      </c>
      <c r="N1289" t="s">
        <v>27</v>
      </c>
      <c r="O1289">
        <v>300</v>
      </c>
      <c r="P1289">
        <v>300</v>
      </c>
      <c r="R1289" s="3" t="str">
        <f>HYPERLINK("https://panda.att.com.mx/ODKServer/view/binaryData?blobKey=FSSuministroFluidosv3%5B%40version%3Dnull+and+%40uiVersion%3Dnull%5D%2Fdata%5B%40key%3Duuid%3A121f07da-1a4d-4c2b-b3be-1b935dd90275%5D%2FgroupInfoFuel%5B%40ordinal%3D1%5D%2FpicFuelRecibeInterno","Descargar")</f>
        <v>Descargar</v>
      </c>
    </row>
    <row r="1290" spans="1:18" x14ac:dyDescent="0.3">
      <c r="A1290">
        <v>1579628</v>
      </c>
      <c r="B1290" t="s">
        <v>18</v>
      </c>
      <c r="C1290" t="s">
        <v>68</v>
      </c>
      <c r="D1290" t="s">
        <v>132</v>
      </c>
      <c r="E1290" t="s">
        <v>1619</v>
      </c>
      <c r="F1290" t="s">
        <v>22</v>
      </c>
      <c r="G1290" t="s">
        <v>23</v>
      </c>
      <c r="H1290" t="s">
        <v>37</v>
      </c>
      <c r="I1290" t="s">
        <v>25</v>
      </c>
      <c r="J1290" s="2">
        <v>45855.624178240738</v>
      </c>
      <c r="K1290">
        <v>17</v>
      </c>
      <c r="L1290">
        <v>7</v>
      </c>
      <c r="M1290">
        <v>2025</v>
      </c>
      <c r="N1290" t="s">
        <v>27</v>
      </c>
      <c r="O1290">
        <v>50</v>
      </c>
      <c r="P1290">
        <v>50</v>
      </c>
      <c r="R1290" s="3" t="str">
        <f>HYPERLINK("https://panda.att.com.mx/ODKServer/view/binaryData?blobKey=FSSuministroFluidosv3%5B%40version%3Dnull+and+%40uiVersion%3Dnull%5D%2Fdata%5B%40key%3Duuid%3Add544497-b303-45a3-b704-1462b2ba76b3%5D%2FgroupInfoFuel%5B%40ordinal%3D1%5D%2FpicFuelRecibeInterno","Descargar")</f>
        <v>Descargar</v>
      </c>
    </row>
    <row r="1291" spans="1:18" x14ac:dyDescent="0.3">
      <c r="A1291">
        <v>1579607</v>
      </c>
      <c r="B1291" t="s">
        <v>18</v>
      </c>
      <c r="C1291" t="s">
        <v>19</v>
      </c>
      <c r="D1291" t="s">
        <v>45</v>
      </c>
      <c r="E1291" t="s">
        <v>1620</v>
      </c>
      <c r="F1291" t="s">
        <v>22</v>
      </c>
      <c r="G1291" t="s">
        <v>47</v>
      </c>
      <c r="H1291" t="s">
        <v>24</v>
      </c>
      <c r="I1291" t="s">
        <v>25</v>
      </c>
      <c r="J1291" s="2">
        <v>45853.793611111112</v>
      </c>
      <c r="K1291">
        <v>15</v>
      </c>
      <c r="L1291">
        <v>7</v>
      </c>
      <c r="M1291">
        <v>2025</v>
      </c>
      <c r="N1291" t="s">
        <v>27</v>
      </c>
      <c r="O1291">
        <v>300</v>
      </c>
      <c r="P1291">
        <v>300</v>
      </c>
      <c r="R1291" s="3" t="str">
        <f>HYPERLINK("https://panda.att.com.mx/ODKServer/view/binaryData?blobKey=FSSuministroFluidosv3%5B%40version%3Dnull+and+%40uiVersion%3Dnull%5D%2Fdata%5B%40key%3Duuid%3Adde7a7c4-3068-4024-b6ec-996e86b8b95f%5D%2FgroupInfoFuel%5B%40ordinal%3D1%5D%2FpicFuelRecibeInterno","Descargar")</f>
        <v>Descargar</v>
      </c>
    </row>
    <row r="1292" spans="1:18" x14ac:dyDescent="0.3">
      <c r="A1292">
        <v>1579528</v>
      </c>
      <c r="B1292" t="s">
        <v>18</v>
      </c>
      <c r="C1292" t="s">
        <v>68</v>
      </c>
      <c r="D1292" t="s">
        <v>91</v>
      </c>
      <c r="E1292" t="s">
        <v>1606</v>
      </c>
      <c r="F1292" t="s">
        <v>22</v>
      </c>
      <c r="G1292" t="s">
        <v>23</v>
      </c>
      <c r="H1292" t="s">
        <v>37</v>
      </c>
      <c r="I1292" t="s">
        <v>25</v>
      </c>
      <c r="J1292" s="2">
        <v>45852.731168981481</v>
      </c>
      <c r="K1292">
        <v>14</v>
      </c>
      <c r="L1292">
        <v>7</v>
      </c>
      <c r="M1292">
        <v>2025</v>
      </c>
      <c r="N1292" t="s">
        <v>27</v>
      </c>
      <c r="O1292">
        <v>140</v>
      </c>
      <c r="P1292">
        <v>140</v>
      </c>
      <c r="R1292" s="3" t="str">
        <f>HYPERLINK("https://panda.att.com.mx/ODKServer/view/binaryData?blobKey=FSSuministroFluidosv3%5B%40version%3Dnull+and+%40uiVersion%3Dnull%5D%2Fdata%5B%40key%3Duuid%3A62fbadf7-57b1-4705-9b4d-4ef750faf470%5D%2FgroupInfoFuel%5B%40ordinal%3D1%5D%2FpicFuelRecibeInterno","Descargar")</f>
        <v>Descargar</v>
      </c>
    </row>
    <row r="1293" spans="1:18" x14ac:dyDescent="0.3">
      <c r="A1293">
        <v>1579510</v>
      </c>
      <c r="B1293" t="s">
        <v>18</v>
      </c>
      <c r="C1293" t="s">
        <v>150</v>
      </c>
      <c r="D1293" t="s">
        <v>151</v>
      </c>
      <c r="E1293" t="s">
        <v>1621</v>
      </c>
      <c r="F1293" t="s">
        <v>22</v>
      </c>
      <c r="G1293" t="s">
        <v>23</v>
      </c>
      <c r="H1293" t="s">
        <v>58</v>
      </c>
      <c r="I1293" t="s">
        <v>25</v>
      </c>
      <c r="J1293" s="2">
        <v>45855.753611111111</v>
      </c>
      <c r="K1293">
        <v>17</v>
      </c>
      <c r="L1293">
        <v>7</v>
      </c>
      <c r="M1293">
        <v>2025</v>
      </c>
      <c r="N1293" t="s">
        <v>27</v>
      </c>
      <c r="O1293">
        <v>100</v>
      </c>
      <c r="P1293">
        <v>100</v>
      </c>
      <c r="R1293" s="3" t="str">
        <f>HYPERLINK("https://panda.att.com.mx/ODKServer/view/binaryData?blobKey=FSSuministroFluidosv3%5B%40version%3Dnull+and+%40uiVersion%3Dnull%5D%2Fdata%5B%40key%3Duuid%3A0ad416f7-6a6e-4cf1-8677-509e77a5d2e1%5D%2FgroupInfoFuel%5B%40ordinal%3D1%5D%2FpicFuelRecibeInterno","Descargar")</f>
        <v>Descargar</v>
      </c>
    </row>
    <row r="1294" spans="1:18" x14ac:dyDescent="0.3">
      <c r="A1294">
        <v>1579504</v>
      </c>
      <c r="B1294" t="s">
        <v>18</v>
      </c>
      <c r="C1294" t="s">
        <v>100</v>
      </c>
      <c r="D1294" t="s">
        <v>833</v>
      </c>
      <c r="E1294" t="s">
        <v>834</v>
      </c>
      <c r="F1294" t="s">
        <v>22</v>
      </c>
      <c r="G1294" t="s">
        <v>23</v>
      </c>
      <c r="H1294" t="s">
        <v>58</v>
      </c>
      <c r="I1294" t="s">
        <v>25</v>
      </c>
      <c r="J1294" s="2">
        <v>45855.678252314807</v>
      </c>
      <c r="K1294">
        <v>17</v>
      </c>
      <c r="L1294">
        <v>7</v>
      </c>
      <c r="M1294">
        <v>2025</v>
      </c>
      <c r="N1294" t="s">
        <v>27</v>
      </c>
      <c r="O1294">
        <v>200</v>
      </c>
      <c r="P1294">
        <v>200</v>
      </c>
      <c r="R1294" s="3" t="str">
        <f>HYPERLINK("https://panda.att.com.mx/ODKServer/view/binaryData?blobKey=FSSuministroFluidosv3%5B%40version%3Dnull+and+%40uiVersion%3Dnull%5D%2Fdata%5B%40key%3Duuid%3A937d9a57-b200-4b9f-a652-5235393bdb4d%5D%2FgroupInfoFuel%5B%40ordinal%3D1%5D%2FpicFuelRecibeInterno","Descargar")</f>
        <v>Descargar</v>
      </c>
    </row>
    <row r="1295" spans="1:18" x14ac:dyDescent="0.3">
      <c r="A1295">
        <v>1579347</v>
      </c>
      <c r="B1295" t="s">
        <v>18</v>
      </c>
      <c r="C1295" t="s">
        <v>55</v>
      </c>
      <c r="D1295" t="s">
        <v>56</v>
      </c>
      <c r="E1295" t="s">
        <v>1622</v>
      </c>
      <c r="F1295" t="s">
        <v>22</v>
      </c>
      <c r="G1295" t="s">
        <v>23</v>
      </c>
      <c r="H1295" t="s">
        <v>58</v>
      </c>
      <c r="I1295" t="s">
        <v>25</v>
      </c>
      <c r="J1295" s="2">
        <v>45855.693993055553</v>
      </c>
      <c r="K1295">
        <v>17</v>
      </c>
      <c r="L1295">
        <v>7</v>
      </c>
      <c r="M1295">
        <v>2025</v>
      </c>
      <c r="N1295" t="s">
        <v>27</v>
      </c>
      <c r="O1295">
        <v>100</v>
      </c>
      <c r="P1295">
        <v>100</v>
      </c>
      <c r="R1295" s="3" t="str">
        <f>HYPERLINK("https://panda.att.com.mx/ODKServer/view/binaryData?blobKey=FSSuministroFluidosv3%5B%40version%3Dnull+and+%40uiVersion%3Dnull%5D%2Fdata%5B%40key%3Duuid%3A194d5b14-8cca-4542-a350-ed652304090a%5D%2FgroupInfoFuel%5B%40ordinal%3D1%5D%2FpicFuelRecibeInterno","Descargar")</f>
        <v>Descargar</v>
      </c>
    </row>
    <row r="1296" spans="1:18" x14ac:dyDescent="0.3">
      <c r="A1296">
        <v>1579210</v>
      </c>
      <c r="B1296" t="s">
        <v>18</v>
      </c>
      <c r="C1296" t="s">
        <v>34</v>
      </c>
      <c r="D1296" t="s">
        <v>53</v>
      </c>
      <c r="E1296" t="s">
        <v>1623</v>
      </c>
      <c r="F1296" t="s">
        <v>22</v>
      </c>
      <c r="G1296" t="s">
        <v>23</v>
      </c>
      <c r="H1296" t="s">
        <v>37</v>
      </c>
      <c r="I1296" t="s">
        <v>25</v>
      </c>
      <c r="J1296" s="2">
        <v>45855.568645833337</v>
      </c>
      <c r="K1296">
        <v>17</v>
      </c>
      <c r="L1296">
        <v>7</v>
      </c>
      <c r="M1296">
        <v>2025</v>
      </c>
      <c r="N1296" t="s">
        <v>27</v>
      </c>
      <c r="O1296">
        <v>200</v>
      </c>
      <c r="Q1296">
        <v>200</v>
      </c>
      <c r="R1296" s="3" t="str">
        <f>HYPERLINK("https://panda.att.com.mx/ODKServer/view/binaryData?blobKey=FSSuministroFluidosv3%5B%40version%3Dnull+and+%40uiVersion%3Dnull%5D%2Fdata%5B%40key%3Duuid%3A33fe5c86-f1a7-48bd-993f-c6cbf915837e%5D%2FgroupInfoFuel%5B%40ordinal%3D1%5D%2FpicFuelRecibeInterno","Descargar")</f>
        <v>Descargar</v>
      </c>
    </row>
    <row r="1297" spans="1:18" x14ac:dyDescent="0.3">
      <c r="A1297">
        <v>1579196</v>
      </c>
      <c r="B1297" t="s">
        <v>18</v>
      </c>
      <c r="C1297" t="s">
        <v>150</v>
      </c>
      <c r="D1297" t="s">
        <v>230</v>
      </c>
      <c r="E1297" t="s">
        <v>1510</v>
      </c>
      <c r="F1297" t="s">
        <v>22</v>
      </c>
      <c r="G1297" t="s">
        <v>23</v>
      </c>
      <c r="H1297" t="s">
        <v>58</v>
      </c>
      <c r="I1297" t="s">
        <v>25</v>
      </c>
      <c r="J1297" s="2">
        <v>45855.62190972222</v>
      </c>
      <c r="K1297">
        <v>17</v>
      </c>
      <c r="L1297">
        <v>7</v>
      </c>
      <c r="M1297">
        <v>2025</v>
      </c>
      <c r="N1297" t="s">
        <v>27</v>
      </c>
      <c r="O1297">
        <v>300</v>
      </c>
      <c r="P1297">
        <v>300</v>
      </c>
      <c r="R1297" s="3" t="str">
        <f>HYPERLINK("https://panda.att.com.mx/ODKServer/view/binaryData?blobKey=FSSuministroFluidosv3%5B%40version%3Dnull+and+%40uiVersion%3Dnull%5D%2Fdata%5B%40key%3Duuid%3A65e7d3ab-5fcd-4fee-a2f1-0a10881075cd%5D%2FgroupInfoFuel%5B%40ordinal%3D1%5D%2FpicFuelRecibeInterno","Descargar")</f>
        <v>Descargar</v>
      </c>
    </row>
    <row r="1298" spans="1:18" x14ac:dyDescent="0.3">
      <c r="A1298">
        <v>1579186</v>
      </c>
      <c r="B1298" t="s">
        <v>18</v>
      </c>
      <c r="C1298" t="s">
        <v>100</v>
      </c>
      <c r="D1298" t="s">
        <v>651</v>
      </c>
      <c r="E1298" t="s">
        <v>1624</v>
      </c>
      <c r="F1298" t="s">
        <v>22</v>
      </c>
      <c r="G1298" t="s">
        <v>23</v>
      </c>
      <c r="H1298" t="s">
        <v>58</v>
      </c>
      <c r="I1298" t="s">
        <v>25</v>
      </c>
      <c r="J1298" s="2">
        <v>45855.598657407398</v>
      </c>
      <c r="K1298">
        <v>17</v>
      </c>
      <c r="L1298">
        <v>7</v>
      </c>
      <c r="M1298">
        <v>2025</v>
      </c>
      <c r="N1298" t="s">
        <v>27</v>
      </c>
      <c r="O1298">
        <v>350</v>
      </c>
      <c r="P1298">
        <v>350</v>
      </c>
      <c r="R1298" s="3" t="str">
        <f>HYPERLINK("https://panda.att.com.mx/ODKServer/view/binaryData?blobKey=FSSuministroFluidosv3%5B%40version%3Dnull+and+%40uiVersion%3Dnull%5D%2Fdata%5B%40key%3Duuid%3Adbb97d35-696c-4572-aa15-d0f1f2449c86%5D%2FgroupInfoFuel%5B%40ordinal%3D1%5D%2FpicFuelRecibeInterno","Descargar")</f>
        <v>Descargar</v>
      </c>
    </row>
    <row r="1299" spans="1:18" x14ac:dyDescent="0.3">
      <c r="A1299">
        <v>1578790</v>
      </c>
      <c r="B1299" t="s">
        <v>18</v>
      </c>
      <c r="C1299" t="s">
        <v>100</v>
      </c>
      <c r="D1299" t="s">
        <v>716</v>
      </c>
      <c r="E1299" t="s">
        <v>717</v>
      </c>
      <c r="F1299" t="s">
        <v>22</v>
      </c>
      <c r="G1299" t="s">
        <v>83</v>
      </c>
      <c r="H1299" t="s">
        <v>58</v>
      </c>
      <c r="I1299" t="s">
        <v>25</v>
      </c>
      <c r="J1299" s="2">
        <v>45854.871076388888</v>
      </c>
      <c r="K1299">
        <v>16</v>
      </c>
      <c r="L1299">
        <v>7</v>
      </c>
      <c r="M1299">
        <v>2025</v>
      </c>
      <c r="N1299" t="s">
        <v>27</v>
      </c>
      <c r="O1299">
        <v>111</v>
      </c>
      <c r="P1299">
        <v>111</v>
      </c>
      <c r="R1299" s="3" t="str">
        <f>HYPERLINK("https://panda.att.com.mx/ODKServer/view/binaryData?blobKey=FSSuministroFluidosv3%5B%40version%3Dnull+and+%40uiVersion%3Dnull%5D%2Fdata%5B%40key%3Duuid%3Ad79362e1-0b04-448e-839e-4ac556fbddc6%5D%2FgroupInfoFuel%5B%40ordinal%3D1%5D%2FpicFuelRecibeInterno","Descargar")</f>
        <v>Descargar</v>
      </c>
    </row>
    <row r="1300" spans="1:18" x14ac:dyDescent="0.3">
      <c r="A1300">
        <v>1578677</v>
      </c>
      <c r="B1300" t="s">
        <v>18</v>
      </c>
      <c r="C1300" t="s">
        <v>19</v>
      </c>
      <c r="D1300" t="s">
        <v>62</v>
      </c>
      <c r="E1300" t="s">
        <v>1625</v>
      </c>
      <c r="F1300" t="s">
        <v>22</v>
      </c>
      <c r="G1300" t="s">
        <v>23</v>
      </c>
      <c r="H1300" t="s">
        <v>24</v>
      </c>
      <c r="I1300" t="s">
        <v>25</v>
      </c>
      <c r="J1300" s="2">
        <v>45854.836296296293</v>
      </c>
      <c r="K1300">
        <v>16</v>
      </c>
      <c r="L1300">
        <v>7</v>
      </c>
      <c r="M1300">
        <v>2025</v>
      </c>
      <c r="N1300" t="s">
        <v>44</v>
      </c>
      <c r="O1300">
        <v>50</v>
      </c>
      <c r="P1300">
        <v>50</v>
      </c>
      <c r="R1300" s="3" t="str">
        <f>HYPERLINK("https://panda.att.com.mx/ODKServer/view/binaryData?blobKey=FSSuministroFluidosv3%5B%40version%3Dnull+and+%40uiVersion%3Dnull%5D%2Fdata%5B%40key%3Duuid%3A053ed811-6200-47a6-b0fc-469e270f66bd%5D%2FgroupInfoFuel%5B%40ordinal%3D1%5D%2FpicFuelRecibeInterno","Descargar")</f>
        <v>Descargar</v>
      </c>
    </row>
    <row r="1301" spans="1:18" x14ac:dyDescent="0.3">
      <c r="A1301">
        <v>1578676</v>
      </c>
      <c r="B1301" t="s">
        <v>18</v>
      </c>
      <c r="C1301" t="s">
        <v>55</v>
      </c>
      <c r="D1301" t="s">
        <v>56</v>
      </c>
      <c r="E1301" t="s">
        <v>81</v>
      </c>
      <c r="F1301" t="s">
        <v>22</v>
      </c>
      <c r="G1301" t="s">
        <v>23</v>
      </c>
      <c r="H1301" t="s">
        <v>58</v>
      </c>
      <c r="I1301" t="s">
        <v>25</v>
      </c>
      <c r="J1301" s="2">
        <v>45854.690763888888</v>
      </c>
      <c r="K1301">
        <v>16</v>
      </c>
      <c r="L1301">
        <v>7</v>
      </c>
      <c r="M1301">
        <v>2025</v>
      </c>
      <c r="N1301" t="s">
        <v>27</v>
      </c>
      <c r="O1301">
        <v>150</v>
      </c>
      <c r="P1301">
        <v>150</v>
      </c>
      <c r="R1301" s="3" t="str">
        <f>HYPERLINK("https://panda.att.com.mx/ODKServer/view/binaryData?blobKey=FSSuministroFluidosv3%5B%40version%3Dnull+and+%40uiVersion%3Dnull%5D%2Fdata%5B%40key%3Duuid%3Ace387e24-4868-4ebe-a521-62765c97c492%5D%2FgroupInfoFuel%5B%40ordinal%3D1%5D%2FpicFuelRecibeInterno","Descargar")</f>
        <v>Descargar</v>
      </c>
    </row>
    <row r="1302" spans="1:18" x14ac:dyDescent="0.3">
      <c r="A1302">
        <v>1578650</v>
      </c>
      <c r="B1302" t="s">
        <v>18</v>
      </c>
      <c r="C1302" t="s">
        <v>19</v>
      </c>
      <c r="D1302" t="s">
        <v>62</v>
      </c>
      <c r="E1302" t="s">
        <v>1625</v>
      </c>
      <c r="F1302" t="s">
        <v>22</v>
      </c>
      <c r="G1302" t="s">
        <v>23</v>
      </c>
      <c r="H1302" t="s">
        <v>24</v>
      </c>
      <c r="I1302" t="s">
        <v>25</v>
      </c>
      <c r="J1302" s="2">
        <v>45854.810335648152</v>
      </c>
      <c r="K1302">
        <v>16</v>
      </c>
      <c r="L1302">
        <v>7</v>
      </c>
      <c r="M1302">
        <v>2025</v>
      </c>
      <c r="N1302" t="s">
        <v>44</v>
      </c>
      <c r="O1302">
        <v>50</v>
      </c>
      <c r="P1302">
        <v>50</v>
      </c>
      <c r="R1302" s="3" t="str">
        <f>HYPERLINK("https://panda.att.com.mx/ODKServer/view/binaryData?blobKey=FSSuministroFluidosv3%5B%40version%3Dnull+and+%40uiVersion%3Dnull%5D%2Fdata%5B%40key%3Duuid%3A07dd1501-aaf5-4271-b1dd-a7a72957c101%5D%2FgroupInfoFuel%5B%40ordinal%3D1%5D%2FpicFuelRecibeInterno","Descargar")</f>
        <v>Descargar</v>
      </c>
    </row>
    <row r="1303" spans="1:18" x14ac:dyDescent="0.3">
      <c r="A1303">
        <v>1578644</v>
      </c>
      <c r="B1303" t="s">
        <v>18</v>
      </c>
      <c r="C1303" t="s">
        <v>19</v>
      </c>
      <c r="D1303" t="s">
        <v>62</v>
      </c>
      <c r="E1303" t="s">
        <v>1625</v>
      </c>
      <c r="F1303" t="s">
        <v>22</v>
      </c>
      <c r="G1303" t="s">
        <v>23</v>
      </c>
      <c r="H1303" t="s">
        <v>24</v>
      </c>
      <c r="I1303" t="s">
        <v>25</v>
      </c>
      <c r="J1303" s="2">
        <v>45854.80369212963</v>
      </c>
      <c r="K1303">
        <v>16</v>
      </c>
      <c r="L1303">
        <v>7</v>
      </c>
      <c r="M1303">
        <v>2025</v>
      </c>
      <c r="N1303" t="s">
        <v>44</v>
      </c>
      <c r="O1303">
        <v>50</v>
      </c>
      <c r="P1303">
        <v>50</v>
      </c>
      <c r="R1303" s="3" t="str">
        <f>HYPERLINK("https://panda.att.com.mx/ODKServer/view/binaryData?blobKey=FSSuministroFluidosv3%5B%40version%3Dnull+and+%40uiVersion%3Dnull%5D%2Fdata%5B%40key%3Duuid%3Abc6ebe4d-d7fc-4747-bf47-a4747cc3e55a%5D%2FgroupInfoFuel%5B%40ordinal%3D1%5D%2FpicFuelRecibeInterno","Descargar")</f>
        <v>Descargar</v>
      </c>
    </row>
    <row r="1304" spans="1:18" x14ac:dyDescent="0.3">
      <c r="A1304">
        <v>1578596</v>
      </c>
      <c r="B1304" t="s">
        <v>18</v>
      </c>
      <c r="C1304" t="s">
        <v>19</v>
      </c>
      <c r="D1304" t="s">
        <v>62</v>
      </c>
      <c r="E1304" t="s">
        <v>615</v>
      </c>
      <c r="F1304" t="s">
        <v>22</v>
      </c>
      <c r="G1304" t="s">
        <v>23</v>
      </c>
      <c r="H1304" t="s">
        <v>24</v>
      </c>
      <c r="I1304" t="s">
        <v>25</v>
      </c>
      <c r="J1304" s="2">
        <v>45854.771249999998</v>
      </c>
      <c r="K1304">
        <v>16</v>
      </c>
      <c r="L1304">
        <v>7</v>
      </c>
      <c r="M1304">
        <v>2025</v>
      </c>
      <c r="N1304" t="s">
        <v>44</v>
      </c>
      <c r="O1304">
        <v>50</v>
      </c>
      <c r="P1304">
        <v>50</v>
      </c>
      <c r="R1304" s="3" t="str">
        <f>HYPERLINK("https://panda.att.com.mx/ODKServer/view/binaryData?blobKey=FSSuministroFluidosv3%5B%40version%3Dnull+and+%40uiVersion%3Dnull%5D%2Fdata%5B%40key%3Duuid%3A908ab2d8-ac80-4da3-9b61-c437cabf150a%5D%2FgroupInfoFuel%5B%40ordinal%3D1%5D%2FpicFuelRecibeInterno","Descargar")</f>
        <v>Descargar</v>
      </c>
    </row>
    <row r="1305" spans="1:18" x14ac:dyDescent="0.3">
      <c r="A1305">
        <v>1578593</v>
      </c>
      <c r="B1305" t="s">
        <v>18</v>
      </c>
      <c r="C1305" t="s">
        <v>19</v>
      </c>
      <c r="D1305" t="s">
        <v>62</v>
      </c>
      <c r="E1305" t="s">
        <v>1601</v>
      </c>
      <c r="F1305" t="s">
        <v>22</v>
      </c>
      <c r="G1305" t="s">
        <v>23</v>
      </c>
      <c r="H1305" t="s">
        <v>24</v>
      </c>
      <c r="I1305" t="s">
        <v>25</v>
      </c>
      <c r="J1305" s="2">
        <v>45854.762569444443</v>
      </c>
      <c r="K1305">
        <v>16</v>
      </c>
      <c r="L1305">
        <v>7</v>
      </c>
      <c r="M1305">
        <v>2025</v>
      </c>
      <c r="N1305" t="s">
        <v>27</v>
      </c>
      <c r="O1305">
        <v>100</v>
      </c>
      <c r="P1305">
        <v>100</v>
      </c>
      <c r="R1305" s="3" t="str">
        <f>HYPERLINK("https://panda.att.com.mx/ODKServer/view/binaryData?blobKey=FSSuministroFluidosv3%5B%40version%3Dnull+and+%40uiVersion%3Dnull%5D%2Fdata%5B%40key%3Duuid%3A42aed1b2-1540-4be4-9ed6-cc299ee655c1%5D%2FgroupInfoFuel%5B%40ordinal%3D1%5D%2FpicFuelRecibeInterno","Descargar")</f>
        <v>Descargar</v>
      </c>
    </row>
    <row r="1306" spans="1:18" x14ac:dyDescent="0.3">
      <c r="A1306">
        <v>1578556</v>
      </c>
      <c r="B1306" t="s">
        <v>18</v>
      </c>
      <c r="C1306" t="s">
        <v>55</v>
      </c>
      <c r="D1306" t="s">
        <v>56</v>
      </c>
      <c r="E1306" t="s">
        <v>77</v>
      </c>
      <c r="F1306" t="s">
        <v>22</v>
      </c>
      <c r="G1306" t="s">
        <v>23</v>
      </c>
      <c r="H1306" t="s">
        <v>58</v>
      </c>
      <c r="I1306" t="s">
        <v>25</v>
      </c>
      <c r="J1306" s="2">
        <v>45852.667233796303</v>
      </c>
      <c r="K1306">
        <v>14</v>
      </c>
      <c r="L1306">
        <v>7</v>
      </c>
      <c r="M1306">
        <v>2025</v>
      </c>
      <c r="N1306" t="s">
        <v>27</v>
      </c>
      <c r="O1306">
        <v>300</v>
      </c>
      <c r="P1306">
        <v>300</v>
      </c>
      <c r="R1306" s="3" t="str">
        <f>HYPERLINK("https://panda.att.com.mx/ODKServer/view/binaryData?blobKey=FSSuministroFluidosv3%5B%40version%3Dnull+and+%40uiVersion%3Dnull%5D%2Fdata%5B%40key%3Duuid%3A031a4a28-b9b3-48b7-baa7-315a0f85bc23%5D%2FgroupInfoFuel%5B%40ordinal%3D1%5D%2FpicFuelRecibeInterno","Descargar")</f>
        <v>Descargar</v>
      </c>
    </row>
    <row r="1307" spans="1:18" x14ac:dyDescent="0.3">
      <c r="A1307">
        <v>1578545</v>
      </c>
      <c r="B1307" t="s">
        <v>18</v>
      </c>
      <c r="C1307" t="s">
        <v>55</v>
      </c>
      <c r="D1307" t="s">
        <v>56</v>
      </c>
      <c r="E1307" t="s">
        <v>1626</v>
      </c>
      <c r="F1307" t="s">
        <v>22</v>
      </c>
      <c r="G1307" t="s">
        <v>23</v>
      </c>
      <c r="H1307" t="s">
        <v>58</v>
      </c>
      <c r="I1307" t="s">
        <v>25</v>
      </c>
      <c r="J1307" s="2">
        <v>45852.689386574071</v>
      </c>
      <c r="K1307">
        <v>14</v>
      </c>
      <c r="L1307">
        <v>7</v>
      </c>
      <c r="M1307">
        <v>2025</v>
      </c>
      <c r="N1307" t="s">
        <v>27</v>
      </c>
      <c r="O1307">
        <v>297</v>
      </c>
      <c r="P1307">
        <v>297</v>
      </c>
      <c r="R1307" s="3" t="str">
        <f>HYPERLINK("https://panda.att.com.mx/ODKServer/view/binaryData?blobKey=FSSuministroFluidosv3%5B%40version%3Dnull+and+%40uiVersion%3Dnull%5D%2Fdata%5B%40key%3Duuid%3A9ec2d674-d73f-4f5d-ac1f-7842efdb34a8%5D%2FgroupInfoFuel%5B%40ordinal%3D1%5D%2FpicFuelRecibeInterno","Descargar")</f>
        <v>Descargar</v>
      </c>
    </row>
    <row r="1308" spans="1:18" x14ac:dyDescent="0.3">
      <c r="A1308">
        <v>1578535</v>
      </c>
      <c r="B1308" t="s">
        <v>18</v>
      </c>
      <c r="C1308" t="s">
        <v>55</v>
      </c>
      <c r="D1308" t="s">
        <v>56</v>
      </c>
      <c r="E1308" t="s">
        <v>1627</v>
      </c>
      <c r="F1308" t="s">
        <v>22</v>
      </c>
      <c r="G1308" t="s">
        <v>23</v>
      </c>
      <c r="H1308" t="s">
        <v>58</v>
      </c>
      <c r="I1308" t="s">
        <v>25</v>
      </c>
      <c r="J1308" s="2">
        <v>45854.509236111109</v>
      </c>
      <c r="K1308">
        <v>16</v>
      </c>
      <c r="L1308">
        <v>7</v>
      </c>
      <c r="M1308">
        <v>2025</v>
      </c>
      <c r="N1308" t="s">
        <v>27</v>
      </c>
      <c r="O1308">
        <v>150</v>
      </c>
      <c r="P1308">
        <v>150</v>
      </c>
      <c r="R1308" s="3" t="str">
        <f>HYPERLINK("https://panda.att.com.mx/ODKServer/view/binaryData?blobKey=FSSuministroFluidosv3%5B%40version%3Dnull+and+%40uiVersion%3Dnull%5D%2Fdata%5B%40key%3Duuid%3A59764acf-c837-4948-a91d-cec292eae215%5D%2FgroupInfoFuel%5B%40ordinal%3D1%5D%2FpicFuelRecibeInterno","Descargar")</f>
        <v>Descargar</v>
      </c>
    </row>
    <row r="1309" spans="1:18" x14ac:dyDescent="0.3">
      <c r="A1309">
        <v>1578527</v>
      </c>
      <c r="B1309" t="s">
        <v>18</v>
      </c>
      <c r="C1309" t="s">
        <v>100</v>
      </c>
      <c r="D1309" t="s">
        <v>854</v>
      </c>
      <c r="E1309" t="s">
        <v>993</v>
      </c>
      <c r="F1309" t="s">
        <v>22</v>
      </c>
      <c r="G1309" t="s">
        <v>83</v>
      </c>
      <c r="H1309" t="s">
        <v>58</v>
      </c>
      <c r="I1309" t="s">
        <v>25</v>
      </c>
      <c r="J1309" s="2">
        <v>45854.54078703704</v>
      </c>
      <c r="K1309">
        <v>16</v>
      </c>
      <c r="L1309">
        <v>7</v>
      </c>
      <c r="M1309">
        <v>2025</v>
      </c>
      <c r="N1309" t="s">
        <v>27</v>
      </c>
      <c r="O1309">
        <v>200</v>
      </c>
      <c r="P1309">
        <v>200</v>
      </c>
      <c r="R1309" s="3" t="str">
        <f>HYPERLINK("https://panda.att.com.mx/ODKServer/view/binaryData?blobKey=FSSuministroFluidosv3%5B%40version%3Dnull+and+%40uiVersion%3Dnull%5D%2Fdata%5B%40key%3Duuid%3Ae3e1e1e6-e89d-4c38-96a4-9763607c89e4%5D%2FgroupInfoFuel%5B%40ordinal%3D1%5D%2FpicFuelRecibeInterno","Descargar")</f>
        <v>Descargar</v>
      </c>
    </row>
    <row r="1310" spans="1:18" x14ac:dyDescent="0.3">
      <c r="A1310">
        <v>1578526</v>
      </c>
      <c r="B1310" t="s">
        <v>18</v>
      </c>
      <c r="C1310" t="s">
        <v>167</v>
      </c>
      <c r="D1310" t="s">
        <v>268</v>
      </c>
      <c r="E1310" t="s">
        <v>729</v>
      </c>
      <c r="F1310" t="s">
        <v>22</v>
      </c>
      <c r="G1310" t="s">
        <v>23</v>
      </c>
      <c r="H1310" t="s">
        <v>58</v>
      </c>
      <c r="I1310" t="s">
        <v>25</v>
      </c>
      <c r="J1310" s="2">
        <v>45854.429791666669</v>
      </c>
      <c r="K1310">
        <v>16</v>
      </c>
      <c r="L1310">
        <v>7</v>
      </c>
      <c r="M1310">
        <v>2025</v>
      </c>
      <c r="N1310" t="s">
        <v>27</v>
      </c>
      <c r="O1310">
        <v>150</v>
      </c>
      <c r="P1310">
        <v>150</v>
      </c>
      <c r="R1310" s="3" t="str">
        <f>HYPERLINK("https://panda.att.com.mx/ODKServer/view/binaryData?blobKey=FSSuministroFluidosv3%5B%40version%3Dnull+and+%40uiVersion%3Dnull%5D%2Fdata%5B%40key%3Duuid%3A4a61cc29-68a1-43da-94a7-e04299bbb4e6%5D%2FgroupInfoFuel%5B%40ordinal%3D1%5D%2FpicFuelRecibeInterno","Descargar")</f>
        <v>Descargar</v>
      </c>
    </row>
    <row r="1311" spans="1:18" x14ac:dyDescent="0.3">
      <c r="A1311">
        <v>1578382</v>
      </c>
      <c r="B1311" t="s">
        <v>18</v>
      </c>
      <c r="C1311" t="s">
        <v>19</v>
      </c>
      <c r="D1311" t="s">
        <v>45</v>
      </c>
      <c r="E1311" t="s">
        <v>1628</v>
      </c>
      <c r="F1311" t="s">
        <v>22</v>
      </c>
      <c r="G1311" t="s">
        <v>47</v>
      </c>
      <c r="H1311" t="s">
        <v>24</v>
      </c>
      <c r="I1311" t="s">
        <v>25</v>
      </c>
      <c r="J1311" s="2">
        <v>45853.603333333333</v>
      </c>
      <c r="K1311">
        <v>15</v>
      </c>
      <c r="L1311">
        <v>7</v>
      </c>
      <c r="M1311">
        <v>2025</v>
      </c>
      <c r="N1311" t="s">
        <v>27</v>
      </c>
      <c r="O1311">
        <v>200</v>
      </c>
      <c r="P1311">
        <v>200</v>
      </c>
      <c r="R1311" s="3" t="str">
        <f>HYPERLINK("https://panda.att.com.mx/ODKServer/view/binaryData?blobKey=FSSuministroFluidosv3%5B%40version%3Dnull+and+%40uiVersion%3Dnull%5D%2Fdata%5B%40key%3Duuid%3Ac367de83-e607-4d62-8a27-95e6bdc5273f%5D%2FgroupInfoFuel%5B%40ordinal%3D1%5D%2FpicFuelRecibeInterno","Descargar")</f>
        <v>Descargar</v>
      </c>
    </row>
    <row r="1312" spans="1:18" x14ac:dyDescent="0.3">
      <c r="A1312">
        <v>1578381</v>
      </c>
      <c r="B1312" t="s">
        <v>18</v>
      </c>
      <c r="C1312" t="s">
        <v>19</v>
      </c>
      <c r="D1312" t="s">
        <v>45</v>
      </c>
      <c r="E1312" t="s">
        <v>48</v>
      </c>
      <c r="F1312" t="s">
        <v>22</v>
      </c>
      <c r="G1312" t="s">
        <v>23</v>
      </c>
      <c r="H1312" t="s">
        <v>24</v>
      </c>
      <c r="I1312" t="s">
        <v>25</v>
      </c>
      <c r="J1312" s="2">
        <v>45838.364236111112</v>
      </c>
      <c r="K1312">
        <v>30</v>
      </c>
      <c r="L1312">
        <v>6</v>
      </c>
      <c r="M1312">
        <v>2025</v>
      </c>
      <c r="N1312" t="s">
        <v>27</v>
      </c>
      <c r="O1312">
        <v>200</v>
      </c>
      <c r="P1312">
        <v>200</v>
      </c>
      <c r="R1312" s="3" t="str">
        <f>HYPERLINK("https://panda.att.com.mx/ODKServer/view/binaryData?blobKey=FSSuministroFluidosv3%5B%40version%3Dnull+and+%40uiVersion%3Dnull%5D%2Fdata%5B%40key%3Duuid%3A88aaa85f-c72c-4b05-bcdb-68648288e2e7%5D%2FgroupInfoFuel%5B%40ordinal%3D1%5D%2FpicFuelRecibeInterno","Descargar")</f>
        <v>Descargar</v>
      </c>
    </row>
    <row r="1313" spans="1:18" x14ac:dyDescent="0.3">
      <c r="A1313">
        <v>1578306</v>
      </c>
      <c r="B1313" t="s">
        <v>18</v>
      </c>
      <c r="C1313" t="s">
        <v>55</v>
      </c>
      <c r="D1313" t="s">
        <v>56</v>
      </c>
      <c r="E1313" t="s">
        <v>1555</v>
      </c>
      <c r="F1313" t="s">
        <v>22</v>
      </c>
      <c r="G1313" t="s">
        <v>83</v>
      </c>
      <c r="H1313" t="s">
        <v>58</v>
      </c>
      <c r="I1313" t="s">
        <v>25</v>
      </c>
      <c r="J1313" s="2">
        <v>45853.45648148148</v>
      </c>
      <c r="K1313">
        <v>15</v>
      </c>
      <c r="L1313">
        <v>7</v>
      </c>
      <c r="M1313">
        <v>2025</v>
      </c>
      <c r="N1313" t="s">
        <v>27</v>
      </c>
      <c r="O1313">
        <v>300</v>
      </c>
      <c r="P1313">
        <v>300</v>
      </c>
      <c r="R1313" s="3" t="str">
        <f>HYPERLINK("https://panda.att.com.mx/ODKServer/view/binaryData?blobKey=FSSuministroFluidosv3%5B%40version%3Dnull+and+%40uiVersion%3Dnull%5D%2Fdata%5B%40key%3Duuid%3Ab460f56c-c6d4-4f51-b898-b72ad5685b63%5D%2FgroupInfoFuel%5B%40ordinal%3D1%5D%2FpicFuelRecibeInterno","Descargar")</f>
        <v>Descargar</v>
      </c>
    </row>
    <row r="1314" spans="1:18" x14ac:dyDescent="0.3">
      <c r="A1314">
        <v>1578057</v>
      </c>
      <c r="B1314" t="s">
        <v>18</v>
      </c>
      <c r="C1314" t="s">
        <v>150</v>
      </c>
      <c r="D1314" t="s">
        <v>230</v>
      </c>
      <c r="E1314" t="s">
        <v>1629</v>
      </c>
      <c r="F1314" t="s">
        <v>22</v>
      </c>
      <c r="G1314" t="s">
        <v>23</v>
      </c>
      <c r="H1314" t="s">
        <v>58</v>
      </c>
      <c r="I1314" t="s">
        <v>25</v>
      </c>
      <c r="J1314" s="2">
        <v>45853.674699074072</v>
      </c>
      <c r="K1314">
        <v>15</v>
      </c>
      <c r="L1314">
        <v>7</v>
      </c>
      <c r="M1314">
        <v>2025</v>
      </c>
      <c r="N1314" t="s">
        <v>27</v>
      </c>
      <c r="O1314">
        <v>60</v>
      </c>
      <c r="P1314">
        <v>60</v>
      </c>
      <c r="R1314" s="3" t="str">
        <f>HYPERLINK("https://panda.att.com.mx/ODKServer/view/binaryData?blobKey=FSSuministroFluidosv3%5B%40version%3Dnull+and+%40uiVersion%3Dnull%5D%2Fdata%5B%40key%3Duuid%3A4b5b4d68-e35a-41e0-a1e2-ea6b3e6b74f6%5D%2FgroupInfoFuel%5B%40ordinal%3D1%5D%2FpicFuelRecibeInterno","Descargar")</f>
        <v>Descargar</v>
      </c>
    </row>
    <row r="1315" spans="1:18" x14ac:dyDescent="0.3">
      <c r="A1315">
        <v>1578051</v>
      </c>
      <c r="B1315" t="s">
        <v>18</v>
      </c>
      <c r="C1315" t="s">
        <v>55</v>
      </c>
      <c r="D1315" t="s">
        <v>56</v>
      </c>
      <c r="E1315" t="s">
        <v>320</v>
      </c>
      <c r="F1315" t="s">
        <v>22</v>
      </c>
      <c r="G1315" t="s">
        <v>23</v>
      </c>
      <c r="H1315" t="s">
        <v>58</v>
      </c>
      <c r="I1315" t="s">
        <v>25</v>
      </c>
      <c r="J1315" s="2">
        <v>45853.573101851849</v>
      </c>
      <c r="K1315">
        <v>15</v>
      </c>
      <c r="L1315">
        <v>7</v>
      </c>
      <c r="M1315">
        <v>2025</v>
      </c>
      <c r="N1315" t="s">
        <v>27</v>
      </c>
      <c r="O1315">
        <v>250</v>
      </c>
      <c r="P1315">
        <v>250</v>
      </c>
      <c r="R1315" s="3" t="str">
        <f>HYPERLINK("https://panda.att.com.mx/ODKServer/view/binaryData?blobKey=FSSuministroFluidosv3%5B%40version%3Dnull+and+%40uiVersion%3Dnull%5D%2Fdata%5B%40key%3Duuid%3Ac0f8e88d-1f54-4422-a554-9fa6e953dd4b%5D%2FgroupInfoFuel%5B%40ordinal%3D1%5D%2FpicFuelRecibeInterno","Descargar")</f>
        <v>Descargar</v>
      </c>
    </row>
    <row r="1316" spans="1:18" x14ac:dyDescent="0.3">
      <c r="A1316">
        <v>1578005</v>
      </c>
      <c r="B1316" t="s">
        <v>18</v>
      </c>
      <c r="C1316" t="s">
        <v>59</v>
      </c>
      <c r="D1316" t="s">
        <v>1242</v>
      </c>
      <c r="E1316" t="s">
        <v>1513</v>
      </c>
      <c r="F1316" t="s">
        <v>22</v>
      </c>
      <c r="G1316" t="s">
        <v>83</v>
      </c>
      <c r="H1316" t="s">
        <v>37</v>
      </c>
      <c r="I1316" t="s">
        <v>25</v>
      </c>
      <c r="J1316" s="2">
        <v>45854.279340277782</v>
      </c>
      <c r="K1316">
        <v>16</v>
      </c>
      <c r="L1316">
        <v>7</v>
      </c>
      <c r="M1316">
        <v>2025</v>
      </c>
      <c r="N1316" t="s">
        <v>27</v>
      </c>
      <c r="O1316">
        <v>400</v>
      </c>
      <c r="P1316">
        <v>400</v>
      </c>
      <c r="R1316" s="3" t="str">
        <f>HYPERLINK("https://panda.att.com.mx/ODKServer/view/binaryData?blobKey=FSSuministroFluidosv3%5B%40version%3Dnull+and+%40uiVersion%3Dnull%5D%2Fdata%5B%40key%3Duuid%3A31ab54f3-64ae-4b74-8f20-63aad04b7c0e%5D%2FgroupInfoFuel%5B%40ordinal%3D1%5D%2FpicFuelRecibeInterno","Descargar")</f>
        <v>Descargar</v>
      </c>
    </row>
    <row r="1317" spans="1:18" x14ac:dyDescent="0.3">
      <c r="A1317">
        <v>1577846</v>
      </c>
      <c r="B1317" t="s">
        <v>18</v>
      </c>
      <c r="C1317" t="s">
        <v>34</v>
      </c>
      <c r="D1317" t="s">
        <v>53</v>
      </c>
      <c r="E1317" t="s">
        <v>1630</v>
      </c>
      <c r="F1317" t="s">
        <v>22</v>
      </c>
      <c r="G1317" t="s">
        <v>23</v>
      </c>
      <c r="H1317" t="s">
        <v>37</v>
      </c>
      <c r="I1317" t="s">
        <v>25</v>
      </c>
      <c r="J1317" s="2">
        <v>45853.533819444441</v>
      </c>
      <c r="K1317">
        <v>15</v>
      </c>
      <c r="L1317">
        <v>7</v>
      </c>
      <c r="M1317">
        <v>2025</v>
      </c>
      <c r="N1317" t="s">
        <v>27</v>
      </c>
      <c r="O1317">
        <v>150</v>
      </c>
      <c r="P1317">
        <v>150</v>
      </c>
      <c r="R1317" s="3" t="str">
        <f>HYPERLINK("https://panda.att.com.mx/ODKServer/view/binaryData?blobKey=FSSuministroFluidosv3%5B%40version%3Dnull+and+%40uiVersion%3Dnull%5D%2Fdata%5B%40key%3Duuid%3A2f3cb872-c964-4218-8769-8c5853fe375b%5D%2FgroupInfoFuel%5B%40ordinal%3D1%5D%2FpicFuelRecibeInterno","Descargar")</f>
        <v>Descargar</v>
      </c>
    </row>
    <row r="1318" spans="1:18" x14ac:dyDescent="0.3">
      <c r="A1318">
        <v>1577807</v>
      </c>
      <c r="B1318" t="s">
        <v>18</v>
      </c>
      <c r="C1318" t="s">
        <v>28</v>
      </c>
      <c r="D1318" t="s">
        <v>181</v>
      </c>
      <c r="E1318" t="s">
        <v>1631</v>
      </c>
      <c r="F1318" t="s">
        <v>22</v>
      </c>
      <c r="G1318" t="s">
        <v>47</v>
      </c>
      <c r="H1318" t="s">
        <v>24</v>
      </c>
      <c r="I1318" t="s">
        <v>25</v>
      </c>
      <c r="J1318" s="2">
        <v>45853.548518518517</v>
      </c>
      <c r="K1318">
        <v>15</v>
      </c>
      <c r="L1318">
        <v>7</v>
      </c>
      <c r="M1318">
        <v>2025</v>
      </c>
      <c r="N1318" t="s">
        <v>44</v>
      </c>
      <c r="O1318">
        <v>40</v>
      </c>
      <c r="P1318">
        <v>40</v>
      </c>
      <c r="R1318" s="3" t="str">
        <f>HYPERLINK("https://panda.att.com.mx/ODKServer/view/binaryData?blobKey=FSSuministroFluidosv3%5B%40version%3Dnull+and+%40uiVersion%3Dnull%5D%2Fdata%5B%40key%3Duuid%3A32308daf-1c3c-44f1-af09-4f675c04f4fe%5D%2FgroupInfoFuel%5B%40ordinal%3D1%5D%2FpicFuelRecibeInterno","Descargar")</f>
        <v>Descargar</v>
      </c>
    </row>
    <row r="1319" spans="1:18" x14ac:dyDescent="0.3">
      <c r="A1319">
        <v>1577795</v>
      </c>
      <c r="B1319" t="s">
        <v>18</v>
      </c>
      <c r="C1319" t="s">
        <v>19</v>
      </c>
      <c r="D1319" t="s">
        <v>175</v>
      </c>
      <c r="E1319" t="s">
        <v>1632</v>
      </c>
      <c r="F1319" t="s">
        <v>22</v>
      </c>
      <c r="G1319" t="s">
        <v>23</v>
      </c>
      <c r="H1319" t="s">
        <v>24</v>
      </c>
      <c r="I1319" t="s">
        <v>25</v>
      </c>
      <c r="J1319" s="2">
        <v>45850.900682870371</v>
      </c>
      <c r="K1319">
        <v>12</v>
      </c>
      <c r="L1319">
        <v>7</v>
      </c>
      <c r="M1319">
        <v>2025</v>
      </c>
      <c r="N1319" t="s">
        <v>44</v>
      </c>
      <c r="O1319">
        <v>40</v>
      </c>
      <c r="P1319">
        <v>40</v>
      </c>
      <c r="R1319" s="3" t="str">
        <f>HYPERLINK("https://panda.att.com.mx/ODKServer/view/binaryData?blobKey=FSSuministroFluidosv3%5B%40version%3Dnull+and+%40uiVersion%3Dnull%5D%2Fdata%5B%40key%3Duuid%3Aaf76a3ad-e4e1-4f28-9e7b-6b5249edd187%5D%2FgroupInfoFuel%5B%40ordinal%3D1%5D%2FpicFuelRecibeInterno","Descargar")</f>
        <v>Descargar</v>
      </c>
    </row>
    <row r="1320" spans="1:18" x14ac:dyDescent="0.3">
      <c r="A1320">
        <v>1577787</v>
      </c>
      <c r="B1320" t="s">
        <v>18</v>
      </c>
      <c r="C1320" t="s">
        <v>59</v>
      </c>
      <c r="D1320" t="s">
        <v>233</v>
      </c>
      <c r="E1320" t="s">
        <v>294</v>
      </c>
      <c r="F1320" t="s">
        <v>22</v>
      </c>
      <c r="G1320" t="s">
        <v>23</v>
      </c>
      <c r="H1320" t="s">
        <v>37</v>
      </c>
      <c r="I1320" t="s">
        <v>25</v>
      </c>
      <c r="J1320" s="2">
        <v>45852.776863425926</v>
      </c>
      <c r="K1320">
        <v>14</v>
      </c>
      <c r="L1320">
        <v>7</v>
      </c>
      <c r="M1320">
        <v>2025</v>
      </c>
      <c r="N1320" t="s">
        <v>27</v>
      </c>
      <c r="O1320">
        <v>300</v>
      </c>
      <c r="P1320">
        <v>300</v>
      </c>
      <c r="R1320" s="3" t="str">
        <f>HYPERLINK("https://panda.att.com.mx/ODKServer/view/binaryData?blobKey=FSSuministroFluidosv3%5B%40version%3Dnull+and+%40uiVersion%3Dnull%5D%2Fdata%5B%40key%3Duuid%3A63e649f2-8393-45aa-b36f-c072ef2cec19%5D%2FgroupInfoFuel%5B%40ordinal%3D1%5D%2FpicFuelRecibeInterno","Descargar")</f>
        <v>Descargar</v>
      </c>
    </row>
    <row r="1321" spans="1:18" x14ac:dyDescent="0.3">
      <c r="A1321">
        <v>1577767</v>
      </c>
      <c r="B1321" t="s">
        <v>18</v>
      </c>
      <c r="C1321" t="s">
        <v>167</v>
      </c>
      <c r="D1321" t="s">
        <v>264</v>
      </c>
      <c r="E1321" t="s">
        <v>1633</v>
      </c>
      <c r="F1321" t="s">
        <v>22</v>
      </c>
      <c r="G1321" t="s">
        <v>23</v>
      </c>
      <c r="H1321" t="s">
        <v>58</v>
      </c>
      <c r="I1321" t="s">
        <v>84</v>
      </c>
      <c r="J1321" s="2">
        <v>45848.468599537038</v>
      </c>
      <c r="K1321">
        <v>10</v>
      </c>
      <c r="L1321">
        <v>7</v>
      </c>
      <c r="M1321">
        <v>2025</v>
      </c>
      <c r="N1321" t="s">
        <v>27</v>
      </c>
      <c r="O1321">
        <v>100</v>
      </c>
      <c r="P1321">
        <v>100</v>
      </c>
      <c r="R1321" s="3" t="str">
        <f>HYPERLINK("https://panda.att.com.mx/ODKServer/view/binaryData?blobKey=FSSuministroFluidosv3%5B%40version%3Dnull+and+%40uiVersion%3Dnull%5D%2Fdata%5B%40key%3Duuid%3A17b64eeb-ba30-470c-8371-ceea1ead7f86%5D%2FgroupInfoFuel%5B%40ordinal%3D1%5D%2FpicFuelRecibeInterno","Descargar")</f>
        <v>Descargar</v>
      </c>
    </row>
    <row r="1322" spans="1:18" x14ac:dyDescent="0.3">
      <c r="A1322">
        <v>1577733</v>
      </c>
      <c r="B1322" t="s">
        <v>18</v>
      </c>
      <c r="C1322" t="s">
        <v>34</v>
      </c>
      <c r="D1322" t="s">
        <v>51</v>
      </c>
      <c r="E1322" t="s">
        <v>631</v>
      </c>
      <c r="F1322" t="s">
        <v>22</v>
      </c>
      <c r="G1322" t="s">
        <v>23</v>
      </c>
      <c r="H1322" t="s">
        <v>24</v>
      </c>
      <c r="I1322" t="s">
        <v>25</v>
      </c>
      <c r="J1322" s="2">
        <v>45853.543298611112</v>
      </c>
      <c r="K1322">
        <v>15</v>
      </c>
      <c r="L1322">
        <v>7</v>
      </c>
      <c r="M1322">
        <v>2025</v>
      </c>
      <c r="N1322" t="s">
        <v>27</v>
      </c>
      <c r="O1322">
        <v>300</v>
      </c>
      <c r="P1322">
        <v>300</v>
      </c>
      <c r="R1322" s="3" t="str">
        <f>HYPERLINK("https://panda.att.com.mx/ODKServer/view/binaryData?blobKey=FSSuministroFluidosv3%5B%40version%3Dnull+and+%40uiVersion%3Dnull%5D%2Fdata%5B%40key%3Duuid%3A4b75f4f1-aa25-4a15-8201-d34e109753bc%5D%2FgroupInfoFuel%5B%40ordinal%3D1%5D%2FpicFuelRecibeInterno","Descargar")</f>
        <v>Descargar</v>
      </c>
    </row>
    <row r="1323" spans="1:18" x14ac:dyDescent="0.3">
      <c r="A1323">
        <v>1577725</v>
      </c>
      <c r="B1323" t="s">
        <v>18</v>
      </c>
      <c r="C1323" t="s">
        <v>34</v>
      </c>
      <c r="D1323" t="s">
        <v>71</v>
      </c>
      <c r="E1323" t="s">
        <v>72</v>
      </c>
      <c r="F1323" t="s">
        <v>22</v>
      </c>
      <c r="G1323" t="s">
        <v>23</v>
      </c>
      <c r="H1323" t="s">
        <v>37</v>
      </c>
      <c r="I1323" t="s">
        <v>25</v>
      </c>
      <c r="J1323" s="2">
        <v>45853.450023148151</v>
      </c>
      <c r="K1323">
        <v>15</v>
      </c>
      <c r="L1323">
        <v>7</v>
      </c>
      <c r="M1323">
        <v>2025</v>
      </c>
      <c r="N1323" t="s">
        <v>27</v>
      </c>
      <c r="O1323">
        <v>450</v>
      </c>
      <c r="P1323">
        <v>450</v>
      </c>
      <c r="R1323" s="3" t="str">
        <f>HYPERLINK("https://panda.att.com.mx/ODKServer/view/binaryData?blobKey=FSSuministroFluidosv3%5B%40version%3Dnull+and+%40uiVersion%3Dnull%5D%2Fdata%5B%40key%3Duuid%3A7be2bf69-40e1-4eac-9a2c-14527fad1a03%5D%2FgroupInfoFuel%5B%40ordinal%3D1%5D%2FpicFuelRecibeInterno","Descargar")</f>
        <v>Descargar</v>
      </c>
    </row>
    <row r="1324" spans="1:18" x14ac:dyDescent="0.3">
      <c r="A1324">
        <v>1577703</v>
      </c>
      <c r="B1324" t="s">
        <v>18</v>
      </c>
      <c r="C1324" t="s">
        <v>19</v>
      </c>
      <c r="D1324" t="s">
        <v>45</v>
      </c>
      <c r="E1324" t="s">
        <v>1634</v>
      </c>
      <c r="F1324" t="s">
        <v>22</v>
      </c>
      <c r="G1324" t="s">
        <v>47</v>
      </c>
      <c r="H1324" t="s">
        <v>24</v>
      </c>
      <c r="I1324" t="s">
        <v>25</v>
      </c>
      <c r="J1324" s="2">
        <v>45853.769259259258</v>
      </c>
      <c r="K1324">
        <v>15</v>
      </c>
      <c r="L1324">
        <v>7</v>
      </c>
      <c r="M1324">
        <v>2025</v>
      </c>
      <c r="N1324" t="s">
        <v>27</v>
      </c>
      <c r="O1324">
        <v>40</v>
      </c>
      <c r="P1324">
        <v>40</v>
      </c>
      <c r="R1324" s="3" t="str">
        <f>HYPERLINK("https://panda.att.com.mx/ODKServer/view/binaryData?blobKey=FSSuministroFluidosv3%5B%40version%3Dnull+and+%40uiVersion%3Dnull%5D%2Fdata%5B%40key%3Duuid%3A1c4cd540-2687-455b-a678-fc9118e5b03b%5D%2FgroupInfoFuel%5B%40ordinal%3D1%5D%2FpicFuelRecibeInterno","Descargar")</f>
        <v>Descargar</v>
      </c>
    </row>
    <row r="1325" spans="1:18" x14ac:dyDescent="0.3">
      <c r="A1325">
        <v>1577699</v>
      </c>
      <c r="B1325" t="s">
        <v>18</v>
      </c>
      <c r="C1325" t="s">
        <v>150</v>
      </c>
      <c r="D1325" t="s">
        <v>151</v>
      </c>
      <c r="E1325" t="s">
        <v>174</v>
      </c>
      <c r="F1325" t="s">
        <v>22</v>
      </c>
      <c r="G1325" t="s">
        <v>23</v>
      </c>
      <c r="H1325" t="s">
        <v>58</v>
      </c>
      <c r="I1325" t="s">
        <v>25</v>
      </c>
      <c r="J1325" s="2">
        <v>45853.755740740737</v>
      </c>
      <c r="K1325">
        <v>15</v>
      </c>
      <c r="L1325">
        <v>7</v>
      </c>
      <c r="M1325">
        <v>2025</v>
      </c>
      <c r="N1325" t="s">
        <v>27</v>
      </c>
      <c r="O1325">
        <v>100</v>
      </c>
      <c r="P1325">
        <v>100</v>
      </c>
      <c r="R1325" s="3" t="str">
        <f>HYPERLINK("https://panda.att.com.mx/ODKServer/view/binaryData?blobKey=FSSuministroFluidosv3%5B%40version%3Dnull+and+%40uiVersion%3Dnull%5D%2Fdata%5B%40key%3Duuid%3Ab49bc2c3-c1ba-45d7-8da0-681a92d5cc61%5D%2FgroupInfoFuel%5B%40ordinal%3D1%5D%2FpicFuelRecibeInterno","Descargar")</f>
        <v>Descargar</v>
      </c>
    </row>
    <row r="1326" spans="1:18" x14ac:dyDescent="0.3">
      <c r="A1326">
        <v>1577676</v>
      </c>
      <c r="B1326" t="s">
        <v>18</v>
      </c>
      <c r="C1326" t="s">
        <v>34</v>
      </c>
      <c r="D1326" t="s">
        <v>121</v>
      </c>
      <c r="E1326" t="s">
        <v>122</v>
      </c>
      <c r="F1326" t="s">
        <v>22</v>
      </c>
      <c r="G1326" t="s">
        <v>23</v>
      </c>
      <c r="H1326" t="s">
        <v>37</v>
      </c>
      <c r="I1326" t="s">
        <v>1635</v>
      </c>
      <c r="J1326" s="2">
        <v>45852.881215277783</v>
      </c>
      <c r="K1326">
        <v>14</v>
      </c>
      <c r="L1326">
        <v>7</v>
      </c>
      <c r="M1326">
        <v>2025</v>
      </c>
      <c r="N1326" t="s">
        <v>27</v>
      </c>
      <c r="O1326">
        <v>200</v>
      </c>
      <c r="P1326">
        <v>200</v>
      </c>
      <c r="R1326" s="3" t="str">
        <f>HYPERLINK("https://panda.att.com.mx/ODKServer/view/binaryData?blobKey=FSSuministroFluidosv3%5B%40version%3Dnull+and+%40uiVersion%3Dnull%5D%2Fdata%5B%40key%3Duuid%3Aee5929a2-ead0-46d1-b333-50c8195d1cd0%5D%2FgroupInfoFuel%5B%40ordinal%3D1%5D%2FpicFuelRecibeInterno","Descargar")</f>
        <v>Descargar</v>
      </c>
    </row>
    <row r="1327" spans="1:18" x14ac:dyDescent="0.3">
      <c r="A1327">
        <v>1577670</v>
      </c>
      <c r="B1327" t="s">
        <v>18</v>
      </c>
      <c r="C1327" t="s">
        <v>68</v>
      </c>
      <c r="D1327" t="s">
        <v>461</v>
      </c>
      <c r="E1327" t="s">
        <v>975</v>
      </c>
      <c r="F1327" t="s">
        <v>22</v>
      </c>
      <c r="G1327" t="s">
        <v>23</v>
      </c>
      <c r="H1327" t="s">
        <v>37</v>
      </c>
      <c r="I1327" t="s">
        <v>25</v>
      </c>
      <c r="J1327" s="2">
        <v>45852.783321759263</v>
      </c>
      <c r="K1327">
        <v>14</v>
      </c>
      <c r="L1327">
        <v>7</v>
      </c>
      <c r="M1327">
        <v>2025</v>
      </c>
      <c r="N1327" t="s">
        <v>27</v>
      </c>
      <c r="O1327">
        <v>300</v>
      </c>
      <c r="Q1327">
        <v>300</v>
      </c>
      <c r="R1327" s="3" t="str">
        <f>HYPERLINK("https://panda.att.com.mx/ODKServer/view/binaryData?blobKey=FSSuministroFluidosv3%5B%40version%3Dnull+and+%40uiVersion%3Dnull%5D%2Fdata%5B%40key%3Duuid%3A2e864bec-1386-41d5-9a62-a10b2044db75%5D%2FgroupInfoFuel%5B%40ordinal%3D1%5D%2FpicFuelRecibeInterno","Descargar")</f>
        <v>Descargar</v>
      </c>
    </row>
    <row r="1328" spans="1:18" x14ac:dyDescent="0.3">
      <c r="A1328">
        <v>1577669</v>
      </c>
      <c r="B1328" t="s">
        <v>18</v>
      </c>
      <c r="C1328" t="s">
        <v>19</v>
      </c>
      <c r="D1328" t="s">
        <v>45</v>
      </c>
      <c r="E1328" t="s">
        <v>1636</v>
      </c>
      <c r="F1328" t="s">
        <v>22</v>
      </c>
      <c r="G1328" t="s">
        <v>23</v>
      </c>
      <c r="H1328" t="s">
        <v>24</v>
      </c>
      <c r="I1328" t="s">
        <v>25</v>
      </c>
      <c r="J1328" s="2">
        <v>45853.66883101852</v>
      </c>
      <c r="K1328">
        <v>15</v>
      </c>
      <c r="L1328">
        <v>7</v>
      </c>
      <c r="M1328">
        <v>2025</v>
      </c>
      <c r="N1328" t="s">
        <v>27</v>
      </c>
      <c r="O1328">
        <v>400</v>
      </c>
      <c r="P1328">
        <v>400</v>
      </c>
      <c r="R1328" s="3" t="str">
        <f>HYPERLINK("https://panda.att.com.mx/ODKServer/view/binaryData?blobKey=FSSuministroFluidosv3%5B%40version%3Dnull+and+%40uiVersion%3Dnull%5D%2Fdata%5B%40key%3Duuid%3Ac311a1e7-7a93-4981-a5f4-f226363db7dd%5D%2FgroupInfoFuel%5B%40ordinal%3D1%5D%2FpicFuelRecibeInterno","Descargar")</f>
        <v>Descargar</v>
      </c>
    </row>
    <row r="1329" spans="1:18" x14ac:dyDescent="0.3">
      <c r="A1329">
        <v>1577660</v>
      </c>
      <c r="B1329" t="s">
        <v>18</v>
      </c>
      <c r="C1329" t="s">
        <v>34</v>
      </c>
      <c r="D1329" t="s">
        <v>53</v>
      </c>
      <c r="E1329" t="s">
        <v>1508</v>
      </c>
      <c r="F1329" t="s">
        <v>22</v>
      </c>
      <c r="G1329" t="s">
        <v>23</v>
      </c>
      <c r="H1329" t="s">
        <v>37</v>
      </c>
      <c r="I1329" t="s">
        <v>1635</v>
      </c>
      <c r="J1329" s="2">
        <v>45853.702291666668</v>
      </c>
      <c r="K1329">
        <v>15</v>
      </c>
      <c r="L1329">
        <v>7</v>
      </c>
      <c r="M1329">
        <v>2025</v>
      </c>
      <c r="N1329" t="s">
        <v>27</v>
      </c>
      <c r="O1329">
        <v>200</v>
      </c>
      <c r="P1329">
        <v>200</v>
      </c>
      <c r="R1329" s="3" t="str">
        <f>HYPERLINK("https://panda.att.com.mx/ODKServer/view/binaryData?blobKey=FSSuministroFluidosv3%5B%40version%3Dnull+and+%40uiVersion%3Dnull%5D%2Fdata%5B%40key%3Duuid%3A9adc168c-25e0-4c8d-8b55-51bcfdb3a431%5D%2FgroupInfoFuel%5B%40ordinal%3D1%5D%2FpicFuelRecibeInterno","Descargar")</f>
        <v>Descargar</v>
      </c>
    </row>
    <row r="1330" spans="1:18" x14ac:dyDescent="0.3">
      <c r="A1330">
        <v>1577627</v>
      </c>
      <c r="B1330" t="s">
        <v>18</v>
      </c>
      <c r="C1330" t="s">
        <v>150</v>
      </c>
      <c r="D1330" t="s">
        <v>151</v>
      </c>
      <c r="E1330" t="s">
        <v>207</v>
      </c>
      <c r="F1330" t="s">
        <v>22</v>
      </c>
      <c r="G1330" t="s">
        <v>23</v>
      </c>
      <c r="H1330" t="s">
        <v>58</v>
      </c>
      <c r="I1330" t="s">
        <v>25</v>
      </c>
      <c r="J1330" s="2">
        <v>45853.693009259259</v>
      </c>
      <c r="K1330">
        <v>15</v>
      </c>
      <c r="L1330">
        <v>7</v>
      </c>
      <c r="M1330">
        <v>2025</v>
      </c>
      <c r="N1330" t="s">
        <v>27</v>
      </c>
      <c r="O1330">
        <v>200</v>
      </c>
      <c r="P1330">
        <v>200</v>
      </c>
      <c r="R1330" s="3" t="str">
        <f>HYPERLINK("https://panda.att.com.mx/ODKServer/view/binaryData?blobKey=FSSuministroFluidosv3%5B%40version%3Dnull+and+%40uiVersion%3Dnull%5D%2Fdata%5B%40key%3Duuid%3Aa7261c8a-01ef-4e2e-9c96-f8078ed7db6b%5D%2FgroupInfoFuel%5B%40ordinal%3D1%5D%2FpicFuelRecibeInterno","Descargar")</f>
        <v>Descargar</v>
      </c>
    </row>
    <row r="1331" spans="1:18" x14ac:dyDescent="0.3">
      <c r="A1331">
        <v>1577606</v>
      </c>
      <c r="B1331" t="s">
        <v>18</v>
      </c>
      <c r="C1331" t="s">
        <v>34</v>
      </c>
      <c r="D1331" t="s">
        <v>292</v>
      </c>
      <c r="E1331" t="s">
        <v>293</v>
      </c>
      <c r="F1331" t="s">
        <v>22</v>
      </c>
      <c r="G1331" t="s">
        <v>23</v>
      </c>
      <c r="H1331" t="s">
        <v>37</v>
      </c>
      <c r="I1331" t="s">
        <v>25</v>
      </c>
      <c r="J1331" s="2">
        <v>45853.594259259262</v>
      </c>
      <c r="K1331">
        <v>15</v>
      </c>
      <c r="L1331">
        <v>7</v>
      </c>
      <c r="M1331">
        <v>2025</v>
      </c>
      <c r="N1331" t="s">
        <v>27</v>
      </c>
      <c r="O1331">
        <v>500</v>
      </c>
      <c r="P1331">
        <v>500</v>
      </c>
      <c r="R1331" s="3" t="str">
        <f>HYPERLINK("https://panda.att.com.mx/ODKServer/view/binaryData?blobKey=FSSuministroFluidosv3%5B%40version%3Dnull+and+%40uiVersion%3Dnull%5D%2Fdata%5B%40key%3Duuid%3Ab90c6c98-520f-4914-b036-11ef10632f1a%5D%2FgroupInfoFuel%5B%40ordinal%3D1%5D%2FpicFuelRecibeInterno","Descargar")</f>
        <v>Descargar</v>
      </c>
    </row>
    <row r="1332" spans="1:18" x14ac:dyDescent="0.3">
      <c r="A1332">
        <v>1577481</v>
      </c>
      <c r="B1332" t="s">
        <v>18</v>
      </c>
      <c r="C1332" t="s">
        <v>28</v>
      </c>
      <c r="D1332" t="s">
        <v>1036</v>
      </c>
      <c r="E1332" t="s">
        <v>1037</v>
      </c>
      <c r="F1332" t="s">
        <v>22</v>
      </c>
      <c r="G1332" t="s">
        <v>23</v>
      </c>
      <c r="H1332" t="s">
        <v>24</v>
      </c>
      <c r="I1332" t="s">
        <v>25</v>
      </c>
      <c r="J1332" s="2">
        <v>45852.864189814813</v>
      </c>
      <c r="K1332">
        <v>14</v>
      </c>
      <c r="L1332">
        <v>7</v>
      </c>
      <c r="M1332">
        <v>2025</v>
      </c>
      <c r="N1332" t="s">
        <v>27</v>
      </c>
      <c r="O1332">
        <v>150</v>
      </c>
      <c r="P1332">
        <v>150</v>
      </c>
      <c r="R1332" s="3" t="str">
        <f>HYPERLINK("https://panda.att.com.mx/ODKServer/view/binaryData?blobKey=FSSuministroFluidosv3%5B%40version%3Dnull+and+%40uiVersion%3Dnull%5D%2Fdata%5B%40key%3Duuid%3A1be1e6e2-bd35-4454-b687-f567b6c19a3f%5D%2FgroupInfoFuel%5B%40ordinal%3D1%5D%2FpicFuelRecibeInterno","Descargar")</f>
        <v>Descargar</v>
      </c>
    </row>
    <row r="1333" spans="1:18" x14ac:dyDescent="0.3">
      <c r="A1333">
        <v>1577480</v>
      </c>
      <c r="B1333" t="s">
        <v>18</v>
      </c>
      <c r="C1333" t="s">
        <v>28</v>
      </c>
      <c r="D1333" t="s">
        <v>1036</v>
      </c>
      <c r="E1333" t="s">
        <v>1637</v>
      </c>
      <c r="F1333" t="s">
        <v>22</v>
      </c>
      <c r="G1333" t="s">
        <v>23</v>
      </c>
      <c r="H1333" t="s">
        <v>24</v>
      </c>
      <c r="I1333" t="s">
        <v>25</v>
      </c>
      <c r="J1333" s="2">
        <v>45852.782835648148</v>
      </c>
      <c r="K1333">
        <v>14</v>
      </c>
      <c r="L1333">
        <v>7</v>
      </c>
      <c r="M1333">
        <v>2025</v>
      </c>
      <c r="N1333" t="s">
        <v>27</v>
      </c>
      <c r="O1333">
        <v>150</v>
      </c>
      <c r="P1333">
        <v>150</v>
      </c>
      <c r="R1333" s="3" t="str">
        <f>HYPERLINK("https://panda.att.com.mx/ODKServer/view/binaryData?blobKey=FSSuministroFluidosv3%5B%40version%3Dnull+and+%40uiVersion%3Dnull%5D%2Fdata%5B%40key%3Duuid%3Ad1ed8c3c-1d07-469b-86ed-58ff1d33c53f%5D%2FgroupInfoFuel%5B%40ordinal%3D1%5D%2FpicFuelRecibeInterno","Descargar")</f>
        <v>Descargar</v>
      </c>
    </row>
    <row r="1334" spans="1:18" x14ac:dyDescent="0.3">
      <c r="A1334">
        <v>1577460</v>
      </c>
      <c r="B1334" t="s">
        <v>18</v>
      </c>
      <c r="C1334" t="s">
        <v>59</v>
      </c>
      <c r="D1334" t="s">
        <v>60</v>
      </c>
      <c r="E1334" t="s">
        <v>1638</v>
      </c>
      <c r="F1334" t="s">
        <v>22</v>
      </c>
      <c r="G1334" t="s">
        <v>23</v>
      </c>
      <c r="H1334" t="s">
        <v>37</v>
      </c>
      <c r="I1334" t="s">
        <v>25</v>
      </c>
      <c r="J1334" s="2">
        <v>45852.687418981477</v>
      </c>
      <c r="K1334">
        <v>14</v>
      </c>
      <c r="L1334">
        <v>7</v>
      </c>
      <c r="M1334">
        <v>2025</v>
      </c>
      <c r="N1334" t="s">
        <v>27</v>
      </c>
      <c r="O1334">
        <v>60</v>
      </c>
      <c r="P1334">
        <v>60</v>
      </c>
      <c r="R1334" s="3" t="str">
        <f>HYPERLINK("https://panda.att.com.mx/ODKServer/view/binaryData?blobKey=FSSuministroFluidosv3%5B%40version%3Dnull+and+%40uiVersion%3Dnull%5D%2Fdata%5B%40key%3Duuid%3Ac436cd39-4295-4412-8aeb-d75162a4fe59%5D%2FgroupInfoFuel%5B%40ordinal%3D1%5D%2FpicFuelRecibeInterno","Descargar")</f>
        <v>Descargar</v>
      </c>
    </row>
    <row r="1335" spans="1:18" x14ac:dyDescent="0.3">
      <c r="A1335">
        <v>1577456</v>
      </c>
      <c r="B1335" t="s">
        <v>18</v>
      </c>
      <c r="C1335" t="s">
        <v>55</v>
      </c>
      <c r="D1335" t="s">
        <v>887</v>
      </c>
      <c r="E1335" t="s">
        <v>888</v>
      </c>
      <c r="F1335" t="s">
        <v>22</v>
      </c>
      <c r="G1335" t="s">
        <v>23</v>
      </c>
      <c r="H1335" t="s">
        <v>58</v>
      </c>
      <c r="I1335" t="s">
        <v>25</v>
      </c>
      <c r="J1335" s="2">
        <v>45853.521562499998</v>
      </c>
      <c r="K1335">
        <v>15</v>
      </c>
      <c r="L1335">
        <v>7</v>
      </c>
      <c r="M1335">
        <v>2025</v>
      </c>
      <c r="N1335" t="s">
        <v>27</v>
      </c>
      <c r="O1335">
        <v>350</v>
      </c>
      <c r="P1335">
        <v>350</v>
      </c>
      <c r="R1335" s="3" t="str">
        <f>HYPERLINK("https://panda.att.com.mx/ODKServer/view/binaryData?blobKey=FSSuministroFluidosv3%5B%40version%3Dnull+and+%40uiVersion%3Dnull%5D%2Fdata%5B%40key%3Duuid%3A6b985cf4-fa77-4185-89a1-fb4fd9301309%5D%2FgroupInfoFuel%5B%40ordinal%3D1%5D%2FpicFuelRecibeInterno","Descargar")</f>
        <v>Descargar</v>
      </c>
    </row>
    <row r="1336" spans="1:18" x14ac:dyDescent="0.3">
      <c r="A1336">
        <v>1577340</v>
      </c>
      <c r="B1336" t="s">
        <v>18</v>
      </c>
      <c r="C1336" t="s">
        <v>59</v>
      </c>
      <c r="D1336" t="s">
        <v>574</v>
      </c>
      <c r="E1336" t="s">
        <v>1639</v>
      </c>
      <c r="F1336" t="s">
        <v>22</v>
      </c>
      <c r="G1336" t="s">
        <v>23</v>
      </c>
      <c r="H1336" t="s">
        <v>37</v>
      </c>
      <c r="I1336" t="s">
        <v>25</v>
      </c>
      <c r="J1336" s="2">
        <v>45848.742858796293</v>
      </c>
      <c r="K1336">
        <v>10</v>
      </c>
      <c r="L1336">
        <v>7</v>
      </c>
      <c r="M1336">
        <v>2025</v>
      </c>
      <c r="N1336" t="s">
        <v>27</v>
      </c>
      <c r="O1336">
        <v>250</v>
      </c>
      <c r="P1336">
        <v>250</v>
      </c>
      <c r="R1336" s="3" t="str">
        <f>HYPERLINK("https://panda.att.com.mx/ODKServer/view/binaryData?blobKey=FSSuministroFluidosv3%5B%40version%3Dnull+and+%40uiVersion%3Dnull%5D%2Fdata%5B%40key%3Duuid%3A076b7360-1f4f-4aea-96fd-a6f929ca74dd%5D%2FgroupInfoFuel%5B%40ordinal%3D1%5D%2FpicFuelRecibeInterno","Descargar")</f>
        <v>Descargar</v>
      </c>
    </row>
    <row r="1337" spans="1:18" x14ac:dyDescent="0.3">
      <c r="A1337">
        <v>1577108</v>
      </c>
      <c r="B1337" t="s">
        <v>18</v>
      </c>
      <c r="C1337" t="s">
        <v>34</v>
      </c>
      <c r="D1337" t="s">
        <v>53</v>
      </c>
      <c r="E1337" t="s">
        <v>459</v>
      </c>
      <c r="F1337" t="s">
        <v>22</v>
      </c>
      <c r="G1337" t="s">
        <v>83</v>
      </c>
      <c r="H1337" t="s">
        <v>390</v>
      </c>
      <c r="I1337" t="s">
        <v>25</v>
      </c>
      <c r="J1337" s="2">
        <v>45852.700844907413</v>
      </c>
      <c r="K1337">
        <v>14</v>
      </c>
      <c r="L1337">
        <v>7</v>
      </c>
      <c r="M1337">
        <v>2025</v>
      </c>
      <c r="N1337" t="s">
        <v>27</v>
      </c>
      <c r="O1337">
        <v>450</v>
      </c>
      <c r="P1337">
        <v>450</v>
      </c>
      <c r="R1337" s="3" t="str">
        <f>HYPERLINK("https://panda.att.com.mx/ODKServer/view/binaryData?blobKey=FSSuministroFluidosv3%5B%40version%3Dnull+and+%40uiVersion%3Dnull%5D%2Fdata%5B%40key%3Duuid%3Ad5ab7f3b-e54e-4a54-9bbe-253e2959a8ff%5D%2FgroupInfoFuel%5B%40ordinal%3D1%5D%2FpicFuelRecibeInterno","Descargar")</f>
        <v>Descargar</v>
      </c>
    </row>
    <row r="1338" spans="1:18" x14ac:dyDescent="0.3">
      <c r="A1338">
        <v>1577056</v>
      </c>
      <c r="B1338" t="s">
        <v>18</v>
      </c>
      <c r="C1338" t="s">
        <v>59</v>
      </c>
      <c r="D1338" t="s">
        <v>574</v>
      </c>
      <c r="E1338" t="s">
        <v>1640</v>
      </c>
      <c r="F1338" t="s">
        <v>22</v>
      </c>
      <c r="G1338" t="s">
        <v>23</v>
      </c>
      <c r="H1338" t="s">
        <v>37</v>
      </c>
      <c r="I1338" t="s">
        <v>25</v>
      </c>
      <c r="J1338" s="2">
        <v>45849.515949074077</v>
      </c>
      <c r="K1338">
        <v>11</v>
      </c>
      <c r="L1338">
        <v>7</v>
      </c>
      <c r="M1338">
        <v>2025</v>
      </c>
      <c r="N1338" t="s">
        <v>27</v>
      </c>
      <c r="O1338">
        <v>300</v>
      </c>
      <c r="P1338">
        <v>300</v>
      </c>
      <c r="R1338" s="3" t="str">
        <f>HYPERLINK("https://panda.att.com.mx/ODKServer/view/binaryData?blobKey=FSSuministroFluidosv3%5B%40version%3Dnull+and+%40uiVersion%3Dnull%5D%2Fdata%5B%40key%3Duuid%3A919ebf59-7a5f-4510-aa8d-0ab888debdb2%5D%2FgroupInfoFuel%5B%40ordinal%3D1%5D%2FpicFuelRecibeInterno","Descargar")</f>
        <v>Descargar</v>
      </c>
    </row>
    <row r="1339" spans="1:18" x14ac:dyDescent="0.3">
      <c r="A1339">
        <v>1577055</v>
      </c>
      <c r="B1339" t="s">
        <v>18</v>
      </c>
      <c r="C1339" t="s">
        <v>59</v>
      </c>
      <c r="D1339" t="s">
        <v>60</v>
      </c>
      <c r="E1339" t="s">
        <v>1641</v>
      </c>
      <c r="F1339" t="s">
        <v>22</v>
      </c>
      <c r="G1339" t="s">
        <v>23</v>
      </c>
      <c r="H1339" t="s">
        <v>37</v>
      </c>
      <c r="I1339" t="s">
        <v>25</v>
      </c>
      <c r="J1339" s="2">
        <v>45850.879710648151</v>
      </c>
      <c r="K1339">
        <v>12</v>
      </c>
      <c r="L1339">
        <v>7</v>
      </c>
      <c r="M1339">
        <v>2025</v>
      </c>
      <c r="N1339" t="s">
        <v>27</v>
      </c>
      <c r="O1339">
        <v>39</v>
      </c>
      <c r="P1339">
        <v>39</v>
      </c>
      <c r="R1339" s="3" t="str">
        <f>HYPERLINK("https://panda.att.com.mx/ODKServer/view/binaryData?blobKey=FSSuministroFluidosv3%5B%40version%3Dnull+and+%40uiVersion%3Dnull%5D%2Fdata%5B%40key%3Duuid%3Aafc136ab-3ef8-45d5-8a1c-f729a0d05775%5D%2FgroupInfoFuel%5B%40ordinal%3D1%5D%2FpicFuelRecibeInterno","Descargar")</f>
        <v>Descargar</v>
      </c>
    </row>
    <row r="1340" spans="1:18" x14ac:dyDescent="0.3">
      <c r="A1340">
        <v>1577051</v>
      </c>
      <c r="B1340" t="s">
        <v>18</v>
      </c>
      <c r="C1340" t="s">
        <v>28</v>
      </c>
      <c r="D1340" t="s">
        <v>1642</v>
      </c>
      <c r="E1340" t="s">
        <v>1643</v>
      </c>
      <c r="F1340" t="s">
        <v>22</v>
      </c>
      <c r="G1340" t="s">
        <v>23</v>
      </c>
      <c r="H1340" t="s">
        <v>24</v>
      </c>
      <c r="I1340" t="s">
        <v>25</v>
      </c>
      <c r="J1340" s="2">
        <v>45852.509872685187</v>
      </c>
      <c r="K1340">
        <v>14</v>
      </c>
      <c r="L1340">
        <v>7</v>
      </c>
      <c r="M1340">
        <v>2025</v>
      </c>
      <c r="N1340" t="s">
        <v>27</v>
      </c>
      <c r="O1340">
        <v>250</v>
      </c>
      <c r="P1340">
        <v>250</v>
      </c>
      <c r="R1340" s="3" t="str">
        <f>HYPERLINK("https://panda.att.com.mx/ODKServer/view/binaryData?blobKey=FSSuministroFluidosv3%5B%40version%3Dnull+and+%40uiVersion%3Dnull%5D%2Fdata%5B%40key%3Duuid%3Acb04ac68-edbd-4f04-9f00-cb1f24e32786%5D%2FgroupInfoFuel%5B%40ordinal%3D1%5D%2FpicFuelRecibeInterno","Descargar")</f>
        <v>Descargar</v>
      </c>
    </row>
    <row r="1341" spans="1:18" x14ac:dyDescent="0.3">
      <c r="A1341">
        <v>1577050</v>
      </c>
      <c r="B1341" t="s">
        <v>18</v>
      </c>
      <c r="C1341" t="s">
        <v>59</v>
      </c>
      <c r="D1341" t="s">
        <v>60</v>
      </c>
      <c r="E1341" t="s">
        <v>565</v>
      </c>
      <c r="F1341" t="s">
        <v>22</v>
      </c>
      <c r="G1341" t="s">
        <v>23</v>
      </c>
      <c r="H1341" t="s">
        <v>37</v>
      </c>
      <c r="I1341" t="s">
        <v>25</v>
      </c>
      <c r="J1341" s="2">
        <v>45848.53833333333</v>
      </c>
      <c r="K1341">
        <v>10</v>
      </c>
      <c r="L1341">
        <v>7</v>
      </c>
      <c r="M1341">
        <v>2025</v>
      </c>
      <c r="N1341" t="s">
        <v>27</v>
      </c>
      <c r="O1341">
        <v>500</v>
      </c>
      <c r="P1341">
        <v>500</v>
      </c>
      <c r="R1341" s="3" t="str">
        <f>HYPERLINK("https://panda.att.com.mx/ODKServer/view/binaryData?blobKey=FSSuministroFluidosv3%5B%40version%3Dnull+and+%40uiVersion%3Dnull%5D%2Fdata%5B%40key%3Duuid%3Af73399f9-d7f4-40c7-bd3a-751b48a13787%5D%2FgroupInfoFuel%5B%40ordinal%3D1%5D%2FpicFuelRecibeInterno","Descargar")</f>
        <v>Descargar</v>
      </c>
    </row>
    <row r="1342" spans="1:18" x14ac:dyDescent="0.3">
      <c r="A1342">
        <v>1577048</v>
      </c>
      <c r="B1342" t="s">
        <v>18</v>
      </c>
      <c r="C1342" t="s">
        <v>150</v>
      </c>
      <c r="D1342" t="s">
        <v>164</v>
      </c>
      <c r="E1342" t="s">
        <v>165</v>
      </c>
      <c r="F1342" t="s">
        <v>22</v>
      </c>
      <c r="G1342" t="s">
        <v>23</v>
      </c>
      <c r="H1342" t="s">
        <v>58</v>
      </c>
      <c r="I1342" t="s">
        <v>25</v>
      </c>
      <c r="J1342" s="2">
        <v>45852.851203703707</v>
      </c>
      <c r="K1342">
        <v>14</v>
      </c>
      <c r="L1342">
        <v>7</v>
      </c>
      <c r="M1342">
        <v>2025</v>
      </c>
      <c r="N1342" t="s">
        <v>27</v>
      </c>
      <c r="O1342">
        <v>400</v>
      </c>
      <c r="P1342">
        <v>400</v>
      </c>
      <c r="R1342" s="3" t="str">
        <f>HYPERLINK("https://panda.att.com.mx/ODKServer/view/binaryData?blobKey=FSSuministroFluidosv3%5B%40version%3Dnull+and+%40uiVersion%3Dnull%5D%2Fdata%5B%40key%3Duuid%3A3a304ff8-c321-4c0f-a843-446a515847a2%5D%2FgroupInfoFuel%5B%40ordinal%3D1%5D%2FpicFuelRecibeInterno","Descargar")</f>
        <v>Descargar</v>
      </c>
    </row>
    <row r="1343" spans="1:18" x14ac:dyDescent="0.3">
      <c r="A1343">
        <v>1577047</v>
      </c>
      <c r="B1343" t="s">
        <v>18</v>
      </c>
      <c r="C1343" t="s">
        <v>183</v>
      </c>
      <c r="D1343" t="s">
        <v>329</v>
      </c>
      <c r="E1343" t="s">
        <v>330</v>
      </c>
      <c r="F1343" t="s">
        <v>22</v>
      </c>
      <c r="G1343" t="s">
        <v>23</v>
      </c>
      <c r="H1343" t="s">
        <v>24</v>
      </c>
      <c r="I1343" t="s">
        <v>25</v>
      </c>
      <c r="J1343" s="2">
        <v>45848.408125000002</v>
      </c>
      <c r="K1343">
        <v>10</v>
      </c>
      <c r="L1343">
        <v>7</v>
      </c>
      <c r="M1343">
        <v>2025</v>
      </c>
      <c r="N1343" t="s">
        <v>27</v>
      </c>
      <c r="O1343">
        <v>400</v>
      </c>
      <c r="P1343">
        <v>400</v>
      </c>
      <c r="R1343" s="3" t="str">
        <f>HYPERLINK("https://panda.att.com.mx/ODKServer/view/binaryData?blobKey=FSSuministroFluidosv3%5B%40version%3Dnull+and+%40uiVersion%3Dnull%5D%2Fdata%5B%40key%3Duuid%3Ac1af8581-cb41-462f-9912-220ac993fa80%5D%2FgroupInfoFuel%5B%40ordinal%3D1%5D%2FpicFuelRecibeInterno","Descargar")</f>
        <v>Descargar</v>
      </c>
    </row>
    <row r="1344" spans="1:18" x14ac:dyDescent="0.3">
      <c r="A1344">
        <v>1577028</v>
      </c>
      <c r="B1344" t="s">
        <v>18</v>
      </c>
      <c r="C1344" t="s">
        <v>59</v>
      </c>
      <c r="D1344" t="s">
        <v>60</v>
      </c>
      <c r="E1344" t="s">
        <v>1644</v>
      </c>
      <c r="F1344" t="s">
        <v>22</v>
      </c>
      <c r="G1344" t="s">
        <v>23</v>
      </c>
      <c r="H1344" t="s">
        <v>37</v>
      </c>
      <c r="I1344" t="s">
        <v>25</v>
      </c>
      <c r="J1344" s="2">
        <v>45848.868136574078</v>
      </c>
      <c r="K1344">
        <v>10</v>
      </c>
      <c r="L1344">
        <v>7</v>
      </c>
      <c r="M1344">
        <v>2025</v>
      </c>
      <c r="N1344" t="s">
        <v>27</v>
      </c>
      <c r="O1344">
        <v>130</v>
      </c>
      <c r="P1344">
        <v>130</v>
      </c>
      <c r="R1344" s="3" t="str">
        <f>HYPERLINK("https://panda.att.com.mx/ODKServer/view/binaryData?blobKey=FSSuministroFluidosv3%5B%40version%3Dnull+and+%40uiVersion%3Dnull%5D%2Fdata%5B%40key%3Duuid%3Aee7d675e-5052-4767-9f1d-796300478735%5D%2FgroupInfoFuel%5B%40ordinal%3D1%5D%2FpicFuelRecibeInterno","Descargar")</f>
        <v>Descargar</v>
      </c>
    </row>
    <row r="1345" spans="1:18" x14ac:dyDescent="0.3">
      <c r="A1345">
        <v>1577015</v>
      </c>
      <c r="B1345" t="s">
        <v>18</v>
      </c>
      <c r="C1345" t="s">
        <v>100</v>
      </c>
      <c r="D1345" t="s">
        <v>716</v>
      </c>
      <c r="E1345" t="s">
        <v>717</v>
      </c>
      <c r="F1345" t="s">
        <v>22</v>
      </c>
      <c r="G1345" t="s">
        <v>83</v>
      </c>
      <c r="H1345" t="s">
        <v>58</v>
      </c>
      <c r="I1345" t="s">
        <v>25</v>
      </c>
      <c r="J1345" s="2">
        <v>45852.844398148147</v>
      </c>
      <c r="K1345">
        <v>14</v>
      </c>
      <c r="L1345">
        <v>7</v>
      </c>
      <c r="M1345">
        <v>2025</v>
      </c>
      <c r="N1345" t="s">
        <v>27</v>
      </c>
      <c r="O1345">
        <v>150</v>
      </c>
      <c r="P1345">
        <v>150</v>
      </c>
      <c r="R1345" s="3" t="str">
        <f>HYPERLINK("https://panda.att.com.mx/ODKServer/view/binaryData?blobKey=FSSuministroFluidosv3%5B%40version%3Dnull+and+%40uiVersion%3Dnull%5D%2Fdata%5B%40key%3Duuid%3Aa52f372c-406b-4844-89e6-33c4e06f7488%5D%2FgroupInfoFuel%5B%40ordinal%3D1%5D%2FpicFuelRecibeInterno","Descargar")</f>
        <v>Descargar</v>
      </c>
    </row>
    <row r="1346" spans="1:18" x14ac:dyDescent="0.3">
      <c r="A1346">
        <v>1576985</v>
      </c>
      <c r="B1346" t="s">
        <v>18</v>
      </c>
      <c r="C1346" t="s">
        <v>19</v>
      </c>
      <c r="D1346" t="s">
        <v>45</v>
      </c>
      <c r="E1346" t="s">
        <v>1645</v>
      </c>
      <c r="F1346" t="s">
        <v>22</v>
      </c>
      <c r="G1346" t="s">
        <v>47</v>
      </c>
      <c r="H1346" t="s">
        <v>24</v>
      </c>
      <c r="I1346" t="s">
        <v>25</v>
      </c>
      <c r="J1346" s="2">
        <v>45852.407511574071</v>
      </c>
      <c r="K1346">
        <v>14</v>
      </c>
      <c r="L1346">
        <v>7</v>
      </c>
      <c r="M1346">
        <v>2025</v>
      </c>
      <c r="N1346" t="s">
        <v>44</v>
      </c>
      <c r="O1346">
        <v>40</v>
      </c>
      <c r="P1346">
        <v>40</v>
      </c>
      <c r="R1346" s="3" t="str">
        <f>HYPERLINK("https://panda.att.com.mx/ODKServer/view/binaryData?blobKey=FSSuministroFluidosv3%5B%40version%3Dnull+and+%40uiVersion%3Dnull%5D%2Fdata%5B%40key%3Duuid%3A25e24b0d-a5dc-4a4f-af0a-0f63394691da%5D%2FgroupInfoFuel%5B%40ordinal%3D1%5D%2FpicFuelRecibeInterno","Descargar")</f>
        <v>Descargar</v>
      </c>
    </row>
    <row r="1347" spans="1:18" x14ac:dyDescent="0.3">
      <c r="A1347">
        <v>1576884</v>
      </c>
      <c r="B1347" t="s">
        <v>18</v>
      </c>
      <c r="C1347" t="s">
        <v>167</v>
      </c>
      <c r="D1347" t="s">
        <v>264</v>
      </c>
      <c r="E1347" t="s">
        <v>1580</v>
      </c>
      <c r="F1347" t="s">
        <v>22</v>
      </c>
      <c r="G1347" t="s">
        <v>23</v>
      </c>
      <c r="H1347" t="s">
        <v>58</v>
      </c>
      <c r="I1347" t="s">
        <v>25</v>
      </c>
      <c r="J1347" s="2">
        <v>45848.707175925927</v>
      </c>
      <c r="K1347">
        <v>10</v>
      </c>
      <c r="L1347">
        <v>7</v>
      </c>
      <c r="M1347">
        <v>2025</v>
      </c>
      <c r="N1347" t="s">
        <v>27</v>
      </c>
      <c r="O1347">
        <v>80</v>
      </c>
      <c r="P1347">
        <v>80</v>
      </c>
      <c r="R1347" s="3" t="str">
        <f>HYPERLINK("https://panda.att.com.mx/ODKServer/view/binaryData?blobKey=FSSuministroFluidosv3%5B%40version%3Dnull+and+%40uiVersion%3Dnull%5D%2Fdata%5B%40key%3Duuid%3A4e168048-ed05-465b-bed2-7221c70822d5%5D%2FgroupInfoFuel%5B%40ordinal%3D1%5D%2FpicFuelRecibeInterno","Descargar")</f>
        <v>Descargar</v>
      </c>
    </row>
    <row r="1348" spans="1:18" x14ac:dyDescent="0.3">
      <c r="A1348">
        <v>1576882</v>
      </c>
      <c r="B1348" t="s">
        <v>18</v>
      </c>
      <c r="C1348" t="s">
        <v>167</v>
      </c>
      <c r="D1348" t="s">
        <v>264</v>
      </c>
      <c r="E1348" t="s">
        <v>1633</v>
      </c>
      <c r="F1348" t="s">
        <v>22</v>
      </c>
      <c r="G1348" t="s">
        <v>23</v>
      </c>
      <c r="H1348" t="s">
        <v>58</v>
      </c>
      <c r="I1348" t="s">
        <v>25</v>
      </c>
      <c r="J1348" s="2">
        <v>45849.626469907409</v>
      </c>
      <c r="K1348">
        <v>11</v>
      </c>
      <c r="L1348">
        <v>7</v>
      </c>
      <c r="M1348">
        <v>2025</v>
      </c>
      <c r="N1348" t="s">
        <v>27</v>
      </c>
      <c r="O1348">
        <v>120</v>
      </c>
      <c r="P1348">
        <v>120</v>
      </c>
      <c r="R1348" s="3" t="str">
        <f>HYPERLINK("https://panda.att.com.mx/ODKServer/view/binaryData?blobKey=FSSuministroFluidosv3%5B%40version%3Dnull+and+%40uiVersion%3Dnull%5D%2Fdata%5B%40key%3Duuid%3Abd5b9034-1681-4ef3-afb0-7877ca79af54%5D%2FgroupInfoFuel%5B%40ordinal%3D1%5D%2FpicFuelRecibeInterno","Descargar")</f>
        <v>Descargar</v>
      </c>
    </row>
    <row r="1349" spans="1:18" x14ac:dyDescent="0.3">
      <c r="A1349">
        <v>1576871</v>
      </c>
      <c r="B1349" t="s">
        <v>18</v>
      </c>
      <c r="C1349" t="s">
        <v>68</v>
      </c>
      <c r="D1349" t="s">
        <v>69</v>
      </c>
      <c r="E1349" t="s">
        <v>70</v>
      </c>
      <c r="F1349" t="s">
        <v>22</v>
      </c>
      <c r="G1349" t="s">
        <v>23</v>
      </c>
      <c r="H1349" t="s">
        <v>37</v>
      </c>
      <c r="I1349" t="s">
        <v>25</v>
      </c>
      <c r="J1349" s="2">
        <v>45852.718935185178</v>
      </c>
      <c r="K1349">
        <v>14</v>
      </c>
      <c r="L1349">
        <v>7</v>
      </c>
      <c r="M1349">
        <v>2025</v>
      </c>
      <c r="N1349" t="s">
        <v>27</v>
      </c>
      <c r="O1349">
        <v>150</v>
      </c>
      <c r="P1349">
        <v>150</v>
      </c>
      <c r="R1349" s="3" t="str">
        <f>HYPERLINK("https://panda.att.com.mx/ODKServer/view/binaryData?blobKey=FSSuministroFluidosv3%5B%40version%3Dnull+and+%40uiVersion%3Dnull%5D%2Fdata%5B%40key%3Duuid%3Afb57ed78-684d-49b5-b458-6b4aace3c13f%5D%2FgroupInfoFuel%5B%40ordinal%3D1%5D%2FpicFuelRecibeInterno","Descargar")</f>
        <v>Descargar</v>
      </c>
    </row>
    <row r="1350" spans="1:18" x14ac:dyDescent="0.3">
      <c r="A1350">
        <v>1576796</v>
      </c>
      <c r="B1350" t="s">
        <v>18</v>
      </c>
      <c r="C1350" t="s">
        <v>100</v>
      </c>
      <c r="D1350" t="s">
        <v>101</v>
      </c>
      <c r="E1350" t="s">
        <v>1646</v>
      </c>
      <c r="F1350" t="s">
        <v>22</v>
      </c>
      <c r="G1350" t="s">
        <v>23</v>
      </c>
      <c r="H1350" t="s">
        <v>58</v>
      </c>
      <c r="I1350" t="s">
        <v>25</v>
      </c>
      <c r="J1350" s="2">
        <v>45852.651250000003</v>
      </c>
      <c r="K1350">
        <v>14</v>
      </c>
      <c r="L1350">
        <v>7</v>
      </c>
      <c r="M1350">
        <v>2025</v>
      </c>
      <c r="N1350" t="s">
        <v>27</v>
      </c>
      <c r="O1350">
        <v>200</v>
      </c>
      <c r="P1350">
        <v>200</v>
      </c>
      <c r="R1350" s="3" t="str">
        <f>HYPERLINK("https://panda.att.com.mx/ODKServer/view/binaryData?blobKey=FSSuministroFluidosv3%5B%40version%3Dnull+and+%40uiVersion%3Dnull%5D%2Fdata%5B%40key%3Duuid%3A60f97893-4276-4354-bb71-dd5e93296a85%5D%2FgroupInfoFuel%5B%40ordinal%3D1%5D%2FpicFuelRecibeInterno","Descargar")</f>
        <v>Descargar</v>
      </c>
    </row>
    <row r="1351" spans="1:18" x14ac:dyDescent="0.3">
      <c r="A1351">
        <v>1576795</v>
      </c>
      <c r="B1351" t="s">
        <v>18</v>
      </c>
      <c r="C1351" t="s">
        <v>100</v>
      </c>
      <c r="D1351" t="s">
        <v>101</v>
      </c>
      <c r="E1351" t="s">
        <v>102</v>
      </c>
      <c r="F1351" t="s">
        <v>22</v>
      </c>
      <c r="G1351" t="s">
        <v>83</v>
      </c>
      <c r="H1351" t="s">
        <v>58</v>
      </c>
      <c r="I1351" t="s">
        <v>25</v>
      </c>
      <c r="J1351" s="2">
        <v>45852.543113425927</v>
      </c>
      <c r="K1351">
        <v>14</v>
      </c>
      <c r="L1351">
        <v>7</v>
      </c>
      <c r="M1351">
        <v>2025</v>
      </c>
      <c r="N1351" t="s">
        <v>27</v>
      </c>
      <c r="O1351">
        <v>200</v>
      </c>
      <c r="P1351">
        <v>200</v>
      </c>
      <c r="R1351" s="3" t="str">
        <f>HYPERLINK("https://panda.att.com.mx/ODKServer/view/binaryData?blobKey=FSSuministroFluidosv3%5B%40version%3Dnull+and+%40uiVersion%3Dnull%5D%2Fdata%5B%40key%3Duuid%3Abcc99d77-fc19-422e-81c9-d4d4d7ec45e5%5D%2FgroupInfoFuel%5B%40ordinal%3D1%5D%2FpicFuelRecibeInterno","Descargar")</f>
        <v>Descargar</v>
      </c>
    </row>
    <row r="1352" spans="1:18" x14ac:dyDescent="0.3">
      <c r="A1352">
        <v>1581380</v>
      </c>
      <c r="B1352" t="s">
        <v>18</v>
      </c>
      <c r="C1352" t="s">
        <v>19</v>
      </c>
      <c r="D1352" t="s">
        <v>62</v>
      </c>
      <c r="E1352" t="s">
        <v>1548</v>
      </c>
      <c r="F1352" t="s">
        <v>22</v>
      </c>
      <c r="G1352" t="s">
        <v>23</v>
      </c>
      <c r="H1352" t="s">
        <v>24</v>
      </c>
      <c r="I1352" t="s">
        <v>25</v>
      </c>
      <c r="J1352" s="2">
        <v>45858.558900462973</v>
      </c>
      <c r="K1352">
        <v>20</v>
      </c>
      <c r="L1352">
        <v>7</v>
      </c>
      <c r="M1352">
        <v>2025</v>
      </c>
      <c r="N1352" t="s">
        <v>27</v>
      </c>
      <c r="O1352">
        <v>120</v>
      </c>
      <c r="P1352">
        <v>120</v>
      </c>
      <c r="R1352" s="3" t="str">
        <f>HYPERLINK("https://panda.att.com.mx/ODKServer/view/binaryData?blobKey=FSSuministroFluidosv3%5B%40version%3Dnull+and+%40uiVersion%3Dnull%5D%2Fdata%5B%40key%3Duuid%3A0b938f54-fd83-47b2-a71b-9ce0a17f1644%5D%2FgroupInfoFuel%5B%40ordinal%3D1%5D%2FpicFuelRecibeInterno","Descargar")</f>
        <v>Descargar</v>
      </c>
    </row>
    <row r="1353" spans="1:18" x14ac:dyDescent="0.3">
      <c r="A1353">
        <v>1581366</v>
      </c>
      <c r="B1353" t="s">
        <v>18</v>
      </c>
      <c r="C1353" t="s">
        <v>55</v>
      </c>
      <c r="D1353" t="s">
        <v>887</v>
      </c>
      <c r="E1353" t="s">
        <v>888</v>
      </c>
      <c r="F1353" t="s">
        <v>22</v>
      </c>
      <c r="G1353" t="s">
        <v>23</v>
      </c>
      <c r="H1353" t="s">
        <v>58</v>
      </c>
      <c r="I1353" t="s">
        <v>25</v>
      </c>
      <c r="J1353" s="2">
        <v>45856.556956018518</v>
      </c>
      <c r="K1353">
        <v>18</v>
      </c>
      <c r="L1353">
        <v>7</v>
      </c>
      <c r="M1353">
        <v>2025</v>
      </c>
      <c r="N1353" t="s">
        <v>27</v>
      </c>
      <c r="O1353">
        <v>250</v>
      </c>
      <c r="P1353">
        <v>250</v>
      </c>
      <c r="R1353" s="3" t="str">
        <f>HYPERLINK("https://panda.att.com.mx/ODKServer/view/binaryData?blobKey=FSSuministroFluidosv3%5B%40version%3Dnull+and+%40uiVersion%3Dnull%5D%2Fdata%5B%40key%3Duuid%3Ac050824c-fd97-4848-b014-e78db674bd0c%5D%2FgroupInfoFuel%5B%40ordinal%3D1%5D%2FpicFuelRecibeInterno","Descargar")</f>
        <v>Descargar</v>
      </c>
    </row>
    <row r="1354" spans="1:18" x14ac:dyDescent="0.3">
      <c r="A1354">
        <v>1581341</v>
      </c>
      <c r="B1354" t="s">
        <v>18</v>
      </c>
      <c r="C1354" t="s">
        <v>28</v>
      </c>
      <c r="D1354" t="s">
        <v>181</v>
      </c>
      <c r="E1354" t="s">
        <v>1647</v>
      </c>
      <c r="F1354" t="s">
        <v>22</v>
      </c>
      <c r="G1354" t="s">
        <v>23</v>
      </c>
      <c r="H1354" t="s">
        <v>24</v>
      </c>
      <c r="I1354" t="s">
        <v>25</v>
      </c>
      <c r="J1354" s="2">
        <v>45819.832407407397</v>
      </c>
      <c r="K1354">
        <v>11</v>
      </c>
      <c r="L1354">
        <v>6</v>
      </c>
      <c r="M1354">
        <v>2025</v>
      </c>
      <c r="N1354" t="s">
        <v>44</v>
      </c>
      <c r="O1354">
        <v>20</v>
      </c>
      <c r="P1354">
        <v>20</v>
      </c>
      <c r="R1354" s="3" t="str">
        <f>HYPERLINK("https://panda.att.com.mx/ODKServer/view/binaryData?blobKey=FSSuministroFluidosv3%5B%40version%3Dnull+and+%40uiVersion%3Dnull%5D%2Fdata%5B%40key%3Duuid%3A22b27a2e-44fb-4ce8-90d9-7336c0ad2716%5D%2FgroupInfoFuel%5B%40ordinal%3D1%5D%2FpicFuelRecibeInterno","Descargar")</f>
        <v>Descargar</v>
      </c>
    </row>
    <row r="1355" spans="1:18" x14ac:dyDescent="0.3">
      <c r="A1355">
        <v>1581338</v>
      </c>
      <c r="B1355" t="s">
        <v>18</v>
      </c>
      <c r="C1355" t="s">
        <v>150</v>
      </c>
      <c r="D1355" t="s">
        <v>230</v>
      </c>
      <c r="E1355" t="s">
        <v>1510</v>
      </c>
      <c r="F1355" t="s">
        <v>22</v>
      </c>
      <c r="G1355" t="s">
        <v>1648</v>
      </c>
      <c r="H1355" t="s">
        <v>58</v>
      </c>
      <c r="I1355" t="s">
        <v>25</v>
      </c>
      <c r="J1355" s="2">
        <v>45858.371631944443</v>
      </c>
      <c r="K1355">
        <v>20</v>
      </c>
      <c r="L1355">
        <v>7</v>
      </c>
      <c r="M1355">
        <v>2025</v>
      </c>
      <c r="N1355" t="s">
        <v>27</v>
      </c>
      <c r="O1355">
        <v>250</v>
      </c>
      <c r="P1355">
        <v>250</v>
      </c>
      <c r="R1355" s="3" t="str">
        <f>HYPERLINK("https://panda.att.com.mx/ODKServer/view/binaryData?blobKey=FSSuministroFluidosv3%5B%40version%3Dnull+and+%40uiVersion%3Dnull%5D%2Fdata%5B%40key%3Duuid%3A5e55cc27-fe78-4c34-ac60-81142dc1b9b0%5D%2FgroupInfoFuel%5B%40ordinal%3D1%5D%2FpicFuelRecibeInterno","Descargar")</f>
        <v>Descargar</v>
      </c>
    </row>
    <row r="1356" spans="1:18" x14ac:dyDescent="0.3">
      <c r="A1356">
        <v>1581314</v>
      </c>
      <c r="B1356" t="s">
        <v>18</v>
      </c>
      <c r="C1356" t="s">
        <v>167</v>
      </c>
      <c r="D1356" t="s">
        <v>509</v>
      </c>
      <c r="E1356" t="s">
        <v>510</v>
      </c>
      <c r="F1356" t="s">
        <v>22</v>
      </c>
      <c r="G1356" t="s">
        <v>23</v>
      </c>
      <c r="H1356" t="s">
        <v>58</v>
      </c>
      <c r="I1356" t="s">
        <v>25</v>
      </c>
      <c r="J1356" s="2">
        <v>45855.765798611108</v>
      </c>
      <c r="K1356">
        <v>17</v>
      </c>
      <c r="L1356">
        <v>7</v>
      </c>
      <c r="M1356">
        <v>2025</v>
      </c>
      <c r="N1356" t="s">
        <v>27</v>
      </c>
      <c r="O1356">
        <v>200</v>
      </c>
      <c r="P1356">
        <v>200</v>
      </c>
      <c r="R1356" s="3" t="str">
        <f>HYPERLINK("https://panda.att.com.mx/ODKServer/view/binaryData?blobKey=FSSuministroFluidosv3%5B%40version%3Dnull+and+%40uiVersion%3Dnull%5D%2Fdata%5B%40key%3Duuid%3Afbd59454-ded3-47a4-af21-3dc87fcd4311%5D%2FgroupInfoFuel%5B%40ordinal%3D1%5D%2FpicFuelRecibeInterno","Descargar")</f>
        <v>Descargar</v>
      </c>
    </row>
    <row r="1357" spans="1:18" x14ac:dyDescent="0.3">
      <c r="A1357">
        <v>1581292</v>
      </c>
      <c r="B1357" t="s">
        <v>18</v>
      </c>
      <c r="C1357" t="s">
        <v>100</v>
      </c>
      <c r="D1357" t="s">
        <v>854</v>
      </c>
      <c r="E1357" t="s">
        <v>993</v>
      </c>
      <c r="F1357" t="s">
        <v>22</v>
      </c>
      <c r="G1357" t="s">
        <v>83</v>
      </c>
      <c r="H1357" t="s">
        <v>58</v>
      </c>
      <c r="I1357" t="s">
        <v>25</v>
      </c>
      <c r="J1357" s="2">
        <v>45857.662314814806</v>
      </c>
      <c r="K1357">
        <v>19</v>
      </c>
      <c r="L1357">
        <v>7</v>
      </c>
      <c r="M1357">
        <v>2025</v>
      </c>
      <c r="N1357" t="s">
        <v>27</v>
      </c>
      <c r="O1357">
        <v>200</v>
      </c>
      <c r="P1357">
        <v>200</v>
      </c>
      <c r="R1357" s="3" t="str">
        <f>HYPERLINK("https://panda.att.com.mx/ODKServer/view/binaryData?blobKey=FSSuministroFluidosv3%5B%40version%3Dnull+and+%40uiVersion%3Dnull%5D%2Fdata%5B%40key%3Duuid%3A3b6cb16e-c823-4f95-a006-57822cd9f99c%5D%2FgroupInfoFuel%5B%40ordinal%3D1%5D%2FpicFuelRecibeInterno","Descargar")</f>
        <v>Descargar</v>
      </c>
    </row>
    <row r="1358" spans="1:18" x14ac:dyDescent="0.3">
      <c r="A1358">
        <v>1581273</v>
      </c>
      <c r="B1358" t="s">
        <v>18</v>
      </c>
      <c r="C1358" t="s">
        <v>150</v>
      </c>
      <c r="D1358" t="s">
        <v>151</v>
      </c>
      <c r="E1358" t="s">
        <v>1512</v>
      </c>
      <c r="F1358" t="s">
        <v>22</v>
      </c>
      <c r="G1358" t="s">
        <v>23</v>
      </c>
      <c r="H1358" t="s">
        <v>58</v>
      </c>
      <c r="I1358" t="s">
        <v>25</v>
      </c>
      <c r="J1358" s="2">
        <v>45857.745497685188</v>
      </c>
      <c r="K1358">
        <v>19</v>
      </c>
      <c r="L1358">
        <v>7</v>
      </c>
      <c r="M1358">
        <v>2025</v>
      </c>
      <c r="N1358" t="s">
        <v>27</v>
      </c>
      <c r="O1358">
        <v>100</v>
      </c>
      <c r="P1358">
        <v>100</v>
      </c>
      <c r="R1358" s="3" t="str">
        <f>HYPERLINK("https://panda.att.com.mx/ODKServer/view/binaryData?blobKey=FSSuministroFluidosv3%5B%40version%3Dnull+and+%40uiVersion%3Dnull%5D%2Fdata%5B%40key%3Duuid%3A25a94fce-8a5f-4015-8c45-077a0b8f0a0a%5D%2FgroupInfoFuel%5B%40ordinal%3D1%5D%2FpicFuelRecibeInterno","Descargar")</f>
        <v>Descargar</v>
      </c>
    </row>
    <row r="1359" spans="1:18" x14ac:dyDescent="0.3">
      <c r="A1359">
        <v>1581248</v>
      </c>
      <c r="B1359" t="s">
        <v>18</v>
      </c>
      <c r="C1359" t="s">
        <v>19</v>
      </c>
      <c r="D1359" t="s">
        <v>347</v>
      </c>
      <c r="E1359" t="s">
        <v>364</v>
      </c>
      <c r="F1359" t="s">
        <v>22</v>
      </c>
      <c r="G1359" t="s">
        <v>23</v>
      </c>
      <c r="H1359" t="s">
        <v>24</v>
      </c>
      <c r="I1359" t="s">
        <v>25</v>
      </c>
      <c r="J1359" s="2">
        <v>45850.708483796298</v>
      </c>
      <c r="K1359">
        <v>12</v>
      </c>
      <c r="L1359">
        <v>7</v>
      </c>
      <c r="M1359">
        <v>2025</v>
      </c>
      <c r="N1359" t="s">
        <v>27</v>
      </c>
      <c r="O1359">
        <v>250</v>
      </c>
      <c r="P1359">
        <v>250</v>
      </c>
      <c r="R1359" s="3" t="str">
        <f>HYPERLINK("https://panda.att.com.mx/ODKServer/view/binaryData?blobKey=FSSuministroFluidosv3%5B%40version%3Dnull+and+%40uiVersion%3Dnull%5D%2Fdata%5B%40key%3Duuid%3A901301b0-01ce-4857-a1dd-3ce3d369abf9%5D%2FgroupInfoFuel%5B%40ordinal%3D1%5D%2FpicFuelRecibeInterno","Descargar")</f>
        <v>Descargar</v>
      </c>
    </row>
    <row r="1360" spans="1:18" x14ac:dyDescent="0.3">
      <c r="A1360">
        <v>1581243</v>
      </c>
      <c r="B1360" t="s">
        <v>18</v>
      </c>
      <c r="C1360" t="s">
        <v>19</v>
      </c>
      <c r="D1360" t="s">
        <v>189</v>
      </c>
      <c r="E1360" t="s">
        <v>1649</v>
      </c>
      <c r="F1360" t="s">
        <v>22</v>
      </c>
      <c r="G1360" t="s">
        <v>23</v>
      </c>
      <c r="H1360" t="s">
        <v>24</v>
      </c>
      <c r="I1360" t="s">
        <v>25</v>
      </c>
      <c r="J1360" s="2">
        <v>45847.495648148149</v>
      </c>
      <c r="K1360">
        <v>9</v>
      </c>
      <c r="L1360">
        <v>7</v>
      </c>
      <c r="M1360">
        <v>2025</v>
      </c>
      <c r="N1360" t="s">
        <v>27</v>
      </c>
      <c r="O1360">
        <v>100</v>
      </c>
      <c r="P1360">
        <v>100</v>
      </c>
      <c r="R1360" s="3" t="str">
        <f>HYPERLINK("https://panda.att.com.mx/ODKServer/view/binaryData?blobKey=FSSuministroFluidosv3%5B%40version%3Dnull+and+%40uiVersion%3Dnull%5D%2Fdata%5B%40key%3Duuid%3Aa33bcc20-ac87-4f64-8936-fb445b3edd06%5D%2FgroupInfoFuel%5B%40ordinal%3D1%5D%2FpicFuelRecibeInterno","Descargar")</f>
        <v>Descargar</v>
      </c>
    </row>
    <row r="1361" spans="1:18" x14ac:dyDescent="0.3">
      <c r="A1361">
        <v>1581242</v>
      </c>
      <c r="B1361" t="s">
        <v>18</v>
      </c>
      <c r="C1361" t="s">
        <v>19</v>
      </c>
      <c r="D1361" t="s">
        <v>189</v>
      </c>
      <c r="E1361" t="s">
        <v>1650</v>
      </c>
      <c r="F1361" t="s">
        <v>22</v>
      </c>
      <c r="G1361" t="s">
        <v>23</v>
      </c>
      <c r="H1361" t="s">
        <v>24</v>
      </c>
      <c r="I1361" t="s">
        <v>25</v>
      </c>
      <c r="J1361" s="2">
        <v>45847.432060185187</v>
      </c>
      <c r="K1361">
        <v>9</v>
      </c>
      <c r="L1361">
        <v>7</v>
      </c>
      <c r="M1361">
        <v>2025</v>
      </c>
      <c r="N1361" t="s">
        <v>27</v>
      </c>
      <c r="O1361">
        <v>250</v>
      </c>
      <c r="P1361">
        <v>250</v>
      </c>
      <c r="R1361" s="3" t="str">
        <f>HYPERLINK("https://panda.att.com.mx/ODKServer/view/binaryData?blobKey=FSSuministroFluidosv3%5B%40version%3Dnull+and+%40uiVersion%3Dnull%5D%2Fdata%5B%40key%3Duuid%3A2ff98851-4e08-4744-8591-7a7f50463d8f%5D%2FgroupInfoFuel%5B%40ordinal%3D1%5D%2FpicFuelRecibeInterno","Descargar")</f>
        <v>Descargar</v>
      </c>
    </row>
    <row r="1362" spans="1:18" x14ac:dyDescent="0.3">
      <c r="A1362">
        <v>1581097</v>
      </c>
      <c r="B1362" t="s">
        <v>18</v>
      </c>
      <c r="C1362" t="s">
        <v>28</v>
      </c>
      <c r="D1362" t="s">
        <v>1036</v>
      </c>
      <c r="E1362" t="s">
        <v>1037</v>
      </c>
      <c r="F1362" t="s">
        <v>22</v>
      </c>
      <c r="G1362" t="s">
        <v>23</v>
      </c>
      <c r="H1362" t="s">
        <v>24</v>
      </c>
      <c r="I1362" t="s">
        <v>25</v>
      </c>
      <c r="J1362" s="2">
        <v>45856.600636574083</v>
      </c>
      <c r="K1362">
        <v>18</v>
      </c>
      <c r="L1362">
        <v>7</v>
      </c>
      <c r="M1362">
        <v>2025</v>
      </c>
      <c r="N1362" t="s">
        <v>27</v>
      </c>
      <c r="O1362">
        <v>150</v>
      </c>
      <c r="P1362">
        <v>150</v>
      </c>
      <c r="R1362" s="3" t="str">
        <f>HYPERLINK("https://panda.att.com.mx/ODKServer/view/binaryData?blobKey=FSSuministroFluidosv3%5B%40version%3Dnull+and+%40uiVersion%3Dnull%5D%2Fdata%5B%40key%3Duuid%3Afdbe74e8-f922-4891-b664-52e3fdef66e1%5D%2FgroupInfoFuel%5B%40ordinal%3D1%5D%2FpicFuelRecibeInterno","Descargar")</f>
        <v>Descargar</v>
      </c>
    </row>
    <row r="1363" spans="1:18" x14ac:dyDescent="0.3">
      <c r="A1363">
        <v>1581084</v>
      </c>
      <c r="B1363" t="s">
        <v>18</v>
      </c>
      <c r="C1363" t="s">
        <v>59</v>
      </c>
      <c r="D1363" t="s">
        <v>1242</v>
      </c>
      <c r="E1363" t="s">
        <v>1513</v>
      </c>
      <c r="F1363" t="s">
        <v>22</v>
      </c>
      <c r="G1363" t="s">
        <v>23</v>
      </c>
      <c r="H1363" t="s">
        <v>37</v>
      </c>
      <c r="I1363" t="s">
        <v>25</v>
      </c>
      <c r="J1363" s="2">
        <v>45857.281006944453</v>
      </c>
      <c r="K1363">
        <v>19</v>
      </c>
      <c r="L1363">
        <v>7</v>
      </c>
      <c r="M1363">
        <v>2025</v>
      </c>
      <c r="N1363" t="s">
        <v>27</v>
      </c>
      <c r="O1363">
        <v>400</v>
      </c>
      <c r="P1363">
        <v>400</v>
      </c>
      <c r="R1363" s="3" t="str">
        <f>HYPERLINK("https://panda.att.com.mx/ODKServer/view/binaryData?blobKey=FSSuministroFluidosv3%5B%40version%3Dnull+and+%40uiVersion%3Dnull%5D%2Fdata%5B%40key%3Duuid%3Ae40f081c-19f1-443e-a198-687a5009964d%5D%2FgroupInfoFuel%5B%40ordinal%3D1%5D%2FpicFuelRecibeInterno","Descargar")</f>
        <v>Descargar</v>
      </c>
    </row>
    <row r="1364" spans="1:18" x14ac:dyDescent="0.3">
      <c r="A1364">
        <v>1581079</v>
      </c>
      <c r="B1364" t="s">
        <v>18</v>
      </c>
      <c r="C1364" t="s">
        <v>19</v>
      </c>
      <c r="D1364" t="s">
        <v>347</v>
      </c>
      <c r="E1364" t="s">
        <v>353</v>
      </c>
      <c r="F1364" t="s">
        <v>22</v>
      </c>
      <c r="G1364" t="s">
        <v>23</v>
      </c>
      <c r="H1364" t="s">
        <v>24</v>
      </c>
      <c r="I1364" t="s">
        <v>25</v>
      </c>
      <c r="J1364" s="2">
        <v>45854.606747685182</v>
      </c>
      <c r="K1364">
        <v>16</v>
      </c>
      <c r="L1364">
        <v>7</v>
      </c>
      <c r="M1364">
        <v>2025</v>
      </c>
      <c r="N1364" t="s">
        <v>27</v>
      </c>
      <c r="O1364">
        <v>300</v>
      </c>
      <c r="P1364">
        <v>300</v>
      </c>
      <c r="R1364" s="3" t="str">
        <f>HYPERLINK("https://panda.att.com.mx/ODKServer/view/binaryData?blobKey=FSSuministroFluidosv3%5B%40version%3Dnull+and+%40uiVersion%3Dnull%5D%2Fdata%5B%40key%3Duuid%3A16925445-6d36-404e-a71c-98e79c79afd0%5D%2FgroupInfoFuel%5B%40ordinal%3D1%5D%2FpicFuelRecibeInterno","Descargar")</f>
        <v>Descargar</v>
      </c>
    </row>
    <row r="1365" spans="1:18" x14ac:dyDescent="0.3">
      <c r="A1365">
        <v>1581077</v>
      </c>
      <c r="B1365" t="s">
        <v>18</v>
      </c>
      <c r="C1365" t="s">
        <v>68</v>
      </c>
      <c r="D1365" t="s">
        <v>91</v>
      </c>
      <c r="E1365" t="s">
        <v>464</v>
      </c>
      <c r="F1365" t="s">
        <v>22</v>
      </c>
      <c r="G1365" t="s">
        <v>23</v>
      </c>
      <c r="H1365" t="s">
        <v>37</v>
      </c>
      <c r="I1365" t="s">
        <v>25</v>
      </c>
      <c r="J1365" s="2">
        <v>45856.578680555547</v>
      </c>
      <c r="K1365">
        <v>18</v>
      </c>
      <c r="L1365">
        <v>7</v>
      </c>
      <c r="M1365">
        <v>2025</v>
      </c>
      <c r="N1365" t="s">
        <v>27</v>
      </c>
      <c r="O1365">
        <v>300</v>
      </c>
      <c r="Q1365">
        <v>300</v>
      </c>
      <c r="R1365" s="3" t="str">
        <f>HYPERLINK("https://panda.att.com.mx/ODKServer/view/binaryData?blobKey=FSSuministroFluidosv3%5B%40version%3Dnull+and+%40uiVersion%3Dnull%5D%2Fdata%5B%40key%3Duuid%3Afaaeea1d-3aee-4dfb-8afe-c02482fd9459%5D%2FgroupInfoFuel%5B%40ordinal%3D1%5D%2FpicFuelRecibeInterno","Descargar")</f>
        <v>Descargar</v>
      </c>
    </row>
    <row r="1366" spans="1:18" x14ac:dyDescent="0.3">
      <c r="A1366">
        <v>1581075</v>
      </c>
      <c r="B1366" t="s">
        <v>18</v>
      </c>
      <c r="C1366" t="s">
        <v>19</v>
      </c>
      <c r="D1366" t="s">
        <v>347</v>
      </c>
      <c r="E1366" t="s">
        <v>353</v>
      </c>
      <c r="F1366" t="s">
        <v>22</v>
      </c>
      <c r="G1366" t="s">
        <v>23</v>
      </c>
      <c r="H1366" t="s">
        <v>24</v>
      </c>
      <c r="I1366" t="s">
        <v>25</v>
      </c>
      <c r="J1366" s="2">
        <v>45852.643530092602</v>
      </c>
      <c r="K1366">
        <v>14</v>
      </c>
      <c r="L1366">
        <v>7</v>
      </c>
      <c r="M1366">
        <v>2025</v>
      </c>
      <c r="N1366" t="s">
        <v>27</v>
      </c>
      <c r="O1366">
        <v>200</v>
      </c>
      <c r="P1366">
        <v>200</v>
      </c>
      <c r="R1366" s="3" t="str">
        <f>HYPERLINK("https://panda.att.com.mx/ODKServer/view/binaryData?blobKey=FSSuministroFluidosv3%5B%40version%3Dnull+and+%40uiVersion%3Dnull%5D%2Fdata%5B%40key%3Duuid%3A66b7433e-57a8-44d0-9659-955ad0ae7394%5D%2FgroupInfoFuel%5B%40ordinal%3D1%5D%2FpicFuelRecibeInterno","Descargar")</f>
        <v>Descargar</v>
      </c>
    </row>
    <row r="1367" spans="1:18" x14ac:dyDescent="0.3">
      <c r="A1367">
        <v>1581074</v>
      </c>
      <c r="B1367" t="s">
        <v>18</v>
      </c>
      <c r="C1367" t="s">
        <v>19</v>
      </c>
      <c r="D1367" t="s">
        <v>62</v>
      </c>
      <c r="E1367" t="s">
        <v>1548</v>
      </c>
      <c r="F1367" t="s">
        <v>22</v>
      </c>
      <c r="G1367" t="s">
        <v>23</v>
      </c>
      <c r="H1367" t="s">
        <v>37</v>
      </c>
      <c r="I1367" t="s">
        <v>25</v>
      </c>
      <c r="J1367" s="2">
        <v>45856.810729166667</v>
      </c>
      <c r="K1367">
        <v>18</v>
      </c>
      <c r="L1367">
        <v>7</v>
      </c>
      <c r="M1367">
        <v>2025</v>
      </c>
      <c r="N1367" t="s">
        <v>44</v>
      </c>
      <c r="O1367">
        <v>45</v>
      </c>
      <c r="P1367">
        <v>45</v>
      </c>
      <c r="R1367" s="3" t="str">
        <f>HYPERLINK("https://panda.att.com.mx/ODKServer/view/binaryData?blobKey=FSSuministroFluidosv3%5B%40version%3Dnull+and+%40uiVersion%3Dnull%5D%2Fdata%5B%40key%3Duuid%3A6fb4da3f-9e1c-4155-b62a-8093c90fd617%5D%2FgroupInfoFuel%5B%40ordinal%3D1%5D%2FpicFuelRecibeInterno","Descargar")</f>
        <v>Descargar</v>
      </c>
    </row>
    <row r="1368" spans="1:18" x14ac:dyDescent="0.3">
      <c r="A1368">
        <v>1581073</v>
      </c>
      <c r="B1368" t="s">
        <v>18</v>
      </c>
      <c r="C1368" t="s">
        <v>19</v>
      </c>
      <c r="D1368" t="s">
        <v>347</v>
      </c>
      <c r="E1368" t="s">
        <v>353</v>
      </c>
      <c r="F1368" t="s">
        <v>22</v>
      </c>
      <c r="G1368" t="s">
        <v>23</v>
      </c>
      <c r="H1368" t="s">
        <v>24</v>
      </c>
      <c r="I1368" t="s">
        <v>25</v>
      </c>
      <c r="J1368" s="2">
        <v>45850.669131944444</v>
      </c>
      <c r="K1368">
        <v>12</v>
      </c>
      <c r="L1368">
        <v>7</v>
      </c>
      <c r="M1368">
        <v>2025</v>
      </c>
      <c r="N1368" t="s">
        <v>27</v>
      </c>
      <c r="O1368">
        <v>200</v>
      </c>
      <c r="P1368">
        <v>200</v>
      </c>
      <c r="R1368" s="3" t="str">
        <f>HYPERLINK("https://panda.att.com.mx/ODKServer/view/binaryData?blobKey=FSSuministroFluidosv3%5B%40version%3Dnull+and+%40uiVersion%3Dnull%5D%2Fdata%5B%40key%3Duuid%3A07243269-26f7-4bca-8293-6ac8099893aa%5D%2FgroupInfoFuel%5B%40ordinal%3D1%5D%2FpicFuelRecibeInterno","Descargar")</f>
        <v>Descargar</v>
      </c>
    </row>
    <row r="1369" spans="1:18" x14ac:dyDescent="0.3">
      <c r="A1369">
        <v>1581068</v>
      </c>
      <c r="B1369" t="s">
        <v>18</v>
      </c>
      <c r="C1369" t="s">
        <v>19</v>
      </c>
      <c r="D1369" t="s">
        <v>347</v>
      </c>
      <c r="E1369" t="s">
        <v>353</v>
      </c>
      <c r="F1369" t="s">
        <v>22</v>
      </c>
      <c r="G1369" t="s">
        <v>23</v>
      </c>
      <c r="H1369" t="s">
        <v>24</v>
      </c>
      <c r="I1369" t="s">
        <v>25</v>
      </c>
      <c r="J1369" s="2">
        <v>45847.73332175926</v>
      </c>
      <c r="K1369">
        <v>9</v>
      </c>
      <c r="L1369">
        <v>7</v>
      </c>
      <c r="M1369">
        <v>2025</v>
      </c>
      <c r="N1369" t="s">
        <v>27</v>
      </c>
      <c r="O1369">
        <v>200</v>
      </c>
      <c r="P1369">
        <v>200</v>
      </c>
      <c r="R1369" s="3" t="str">
        <f>HYPERLINK("https://panda.att.com.mx/ODKServer/view/binaryData?blobKey=FSSuministroFluidosv3%5B%40version%3Dnull+and+%40uiVersion%3Dnull%5D%2Fdata%5B%40key%3Duuid%3A9a042d59-9a9e-453d-99e0-6e87f61e1015%5D%2FgroupInfoFuel%5B%40ordinal%3D1%5D%2FpicFuelRecibeInterno","Descargar")</f>
        <v>Descargar</v>
      </c>
    </row>
    <row r="1370" spans="1:18" x14ac:dyDescent="0.3">
      <c r="A1370">
        <v>1581046</v>
      </c>
      <c r="B1370" t="s">
        <v>18</v>
      </c>
      <c r="C1370" t="s">
        <v>167</v>
      </c>
      <c r="D1370" t="s">
        <v>268</v>
      </c>
      <c r="E1370" t="s">
        <v>729</v>
      </c>
      <c r="F1370" t="s">
        <v>22</v>
      </c>
      <c r="G1370" t="s">
        <v>23</v>
      </c>
      <c r="H1370" t="s">
        <v>58</v>
      </c>
      <c r="I1370" t="s">
        <v>25</v>
      </c>
      <c r="J1370" s="2">
        <v>45854.422951388893</v>
      </c>
      <c r="K1370">
        <v>16</v>
      </c>
      <c r="L1370">
        <v>7</v>
      </c>
      <c r="M1370">
        <v>2025</v>
      </c>
      <c r="N1370" t="s">
        <v>27</v>
      </c>
      <c r="O1370">
        <v>70</v>
      </c>
      <c r="P1370">
        <v>70</v>
      </c>
      <c r="R1370" s="3" t="str">
        <f>HYPERLINK("https://panda.att.com.mx/ODKServer/view/binaryData?blobKey=FSSuministroFluidosv3%5B%40version%3Dnull+and+%40uiVersion%3Dnull%5D%2Fdata%5B%40key%3Duuid%3A6389e5b8-5041-416d-b714-1dbe937214a6%5D%2FgroupInfoFuel%5B%40ordinal%3D1%5D%2FpicFuelRecibeInterno","Descargar")</f>
        <v>Descargar</v>
      </c>
    </row>
    <row r="1371" spans="1:18" x14ac:dyDescent="0.3">
      <c r="A1371">
        <v>1581018</v>
      </c>
      <c r="B1371" t="s">
        <v>18</v>
      </c>
      <c r="C1371" t="s">
        <v>28</v>
      </c>
      <c r="D1371" t="s">
        <v>181</v>
      </c>
      <c r="E1371" t="s">
        <v>1651</v>
      </c>
      <c r="F1371" t="s">
        <v>22</v>
      </c>
      <c r="G1371" t="s">
        <v>23</v>
      </c>
      <c r="H1371" t="s">
        <v>24</v>
      </c>
      <c r="I1371" t="s">
        <v>25</v>
      </c>
      <c r="J1371" s="2">
        <v>45854.512731481482</v>
      </c>
      <c r="K1371">
        <v>16</v>
      </c>
      <c r="L1371">
        <v>7</v>
      </c>
      <c r="M1371">
        <v>2025</v>
      </c>
      <c r="N1371" t="s">
        <v>44</v>
      </c>
      <c r="O1371">
        <v>50</v>
      </c>
      <c r="P1371">
        <v>50</v>
      </c>
      <c r="R1371" s="3" t="str">
        <f>HYPERLINK("https://panda.att.com.mx/ODKServer/view/binaryData?blobKey=FSSuministroFluidosv3%5B%40version%3Dnull+and+%40uiVersion%3Dnull%5D%2Fdata%5B%40key%3Duuid%3A710b2838-5024-4c5d-a846-9dca60750b5e%5D%2FgroupInfoFuel%5B%40ordinal%3D1%5D%2FpicFuelRecibeInterno","Descargar")</f>
        <v>Descargar</v>
      </c>
    </row>
    <row r="1372" spans="1:18" x14ac:dyDescent="0.3">
      <c r="A1372">
        <v>1581012</v>
      </c>
      <c r="B1372" t="s">
        <v>18</v>
      </c>
      <c r="C1372" t="s">
        <v>100</v>
      </c>
      <c r="D1372" t="s">
        <v>716</v>
      </c>
      <c r="E1372" t="s">
        <v>717</v>
      </c>
      <c r="F1372" t="s">
        <v>22</v>
      </c>
      <c r="G1372" t="s">
        <v>83</v>
      </c>
      <c r="H1372" t="s">
        <v>58</v>
      </c>
      <c r="I1372" t="s">
        <v>25</v>
      </c>
      <c r="J1372" s="2">
        <v>45856.889085648138</v>
      </c>
      <c r="K1372">
        <v>18</v>
      </c>
      <c r="L1372">
        <v>7</v>
      </c>
      <c r="M1372">
        <v>2025</v>
      </c>
      <c r="N1372" t="s">
        <v>27</v>
      </c>
      <c r="O1372">
        <v>130</v>
      </c>
      <c r="P1372">
        <v>130</v>
      </c>
      <c r="R1372" s="3" t="str">
        <f>HYPERLINK("https://panda.att.com.mx/ODKServer/view/binaryData?blobKey=FSSuministroFluidosv3%5B%40version%3Dnull+and+%40uiVersion%3Dnull%5D%2Fdata%5B%40key%3Duuid%3A1a8c1c48-e6b7-4572-a300-d08ab4ae87a4%5D%2FgroupInfoFuel%5B%40ordinal%3D1%5D%2FpicFuelRecibeInterno","Descargar")</f>
        <v>Descargar</v>
      </c>
    </row>
    <row r="1373" spans="1:18" x14ac:dyDescent="0.3">
      <c r="A1373">
        <v>1580773</v>
      </c>
      <c r="B1373" t="s">
        <v>18</v>
      </c>
      <c r="C1373" t="s">
        <v>34</v>
      </c>
      <c r="D1373" t="s">
        <v>53</v>
      </c>
      <c r="E1373" t="s">
        <v>1508</v>
      </c>
      <c r="F1373" t="s">
        <v>22</v>
      </c>
      <c r="G1373" t="s">
        <v>23</v>
      </c>
      <c r="H1373" t="s">
        <v>37</v>
      </c>
      <c r="I1373" t="s">
        <v>25</v>
      </c>
      <c r="J1373" s="2">
        <v>45856.670474537037</v>
      </c>
      <c r="K1373">
        <v>18</v>
      </c>
      <c r="L1373">
        <v>7</v>
      </c>
      <c r="M1373">
        <v>2025</v>
      </c>
      <c r="N1373" t="s">
        <v>27</v>
      </c>
      <c r="O1373">
        <v>200</v>
      </c>
      <c r="P1373">
        <v>200</v>
      </c>
      <c r="R1373" s="3" t="str">
        <f>HYPERLINK("https://panda.att.com.mx/ODKServer/view/binaryData?blobKey=FSSuministroFluidosv3%5B%40version%3Dnull+and+%40uiVersion%3Dnull%5D%2Fdata%5B%40key%3Duuid%3A580e9a17-f3ef-4b3e-8705-2625c0854fb2%5D%2FgroupInfoFuel%5B%40ordinal%3D1%5D%2FpicFuelRecibeInterno","Descargar")</f>
        <v>Descargar</v>
      </c>
    </row>
    <row r="1374" spans="1:18" x14ac:dyDescent="0.3">
      <c r="A1374">
        <v>1580375</v>
      </c>
      <c r="B1374" t="s">
        <v>18</v>
      </c>
      <c r="C1374" t="s">
        <v>28</v>
      </c>
      <c r="D1374" t="s">
        <v>895</v>
      </c>
      <c r="E1374" t="s">
        <v>1652</v>
      </c>
      <c r="F1374" t="s">
        <v>22</v>
      </c>
      <c r="G1374" t="s">
        <v>23</v>
      </c>
      <c r="H1374" t="s">
        <v>24</v>
      </c>
      <c r="I1374" t="s">
        <v>25</v>
      </c>
      <c r="J1374" s="2">
        <v>45856.525983796288</v>
      </c>
      <c r="K1374">
        <v>18</v>
      </c>
      <c r="L1374">
        <v>7</v>
      </c>
      <c r="M1374">
        <v>2025</v>
      </c>
      <c r="N1374" t="s">
        <v>27</v>
      </c>
      <c r="O1374">
        <v>250</v>
      </c>
      <c r="Q1374">
        <v>250</v>
      </c>
      <c r="R1374" s="3" t="str">
        <f>HYPERLINK("https://panda.att.com.mx/ODKServer/view/binaryData?blobKey=FSSuministroFluidosv3%5B%40version%3Dnull+and+%40uiVersion%3Dnull%5D%2Fdata%5B%40key%3Duuid%3A62be4d77-8df2-49c5-845b-915aa29e88b0%5D%2FgroupInfoFuel%5B%40ordinal%3D1%5D%2FpicFuelRecibeInterno","Descargar")</f>
        <v>Descargar</v>
      </c>
    </row>
    <row r="1375" spans="1:18" x14ac:dyDescent="0.3">
      <c r="A1375">
        <v>1580374</v>
      </c>
      <c r="B1375" t="s">
        <v>18</v>
      </c>
      <c r="C1375" t="s">
        <v>55</v>
      </c>
      <c r="D1375" t="s">
        <v>56</v>
      </c>
      <c r="E1375" t="s">
        <v>320</v>
      </c>
      <c r="F1375" t="s">
        <v>22</v>
      </c>
      <c r="G1375" t="s">
        <v>95</v>
      </c>
      <c r="H1375" t="s">
        <v>58</v>
      </c>
      <c r="I1375" t="s">
        <v>25</v>
      </c>
      <c r="J1375" s="2">
        <v>45856.457696759258</v>
      </c>
      <c r="K1375">
        <v>18</v>
      </c>
      <c r="L1375">
        <v>7</v>
      </c>
      <c r="M1375">
        <v>2025</v>
      </c>
      <c r="N1375" t="s">
        <v>27</v>
      </c>
      <c r="O1375">
        <v>250</v>
      </c>
      <c r="P1375">
        <v>250</v>
      </c>
      <c r="R1375" s="3" t="str">
        <f>HYPERLINK("https://panda.att.com.mx/ODKServer/view/binaryData?blobKey=FSSuministroFluidosv3%5B%40version%3Dnull+and+%40uiVersion%3Dnull%5D%2Fdata%5B%40key%3Duuid%3A4420e91a-f25a-4838-b3c9-a50a1053ce73%5D%2FgroupInfoFuel%5B%40ordinal%3D1%5D%2FpicFuelRecibeInterno","Descargar")</f>
        <v>Descargar</v>
      </c>
    </row>
    <row r="1376" spans="1:18" x14ac:dyDescent="0.3">
      <c r="A1376">
        <v>1580373</v>
      </c>
      <c r="B1376" t="s">
        <v>18</v>
      </c>
      <c r="C1376" t="s">
        <v>55</v>
      </c>
      <c r="D1376" t="s">
        <v>56</v>
      </c>
      <c r="E1376" t="s">
        <v>1555</v>
      </c>
      <c r="F1376" t="s">
        <v>22</v>
      </c>
      <c r="G1376" t="s">
        <v>83</v>
      </c>
      <c r="H1376" t="s">
        <v>58</v>
      </c>
      <c r="I1376" t="s">
        <v>25</v>
      </c>
      <c r="J1376" s="2">
        <v>45856.608148148152</v>
      </c>
      <c r="K1376">
        <v>18</v>
      </c>
      <c r="L1376">
        <v>7</v>
      </c>
      <c r="M1376">
        <v>2025</v>
      </c>
      <c r="N1376" t="s">
        <v>27</v>
      </c>
      <c r="O1376">
        <v>300</v>
      </c>
      <c r="P1376">
        <v>300</v>
      </c>
      <c r="R1376" s="3" t="str">
        <f>HYPERLINK("https://panda.att.com.mx/ODKServer/view/binaryData?blobKey=FSSuministroFluidosv3%5B%40version%3Dnull+and+%40uiVersion%3Dnull%5D%2Fdata%5B%40key%3Duuid%3Ab29f8b1f-3d7d-456b-b344-320055cf83ae%5D%2FgroupInfoFuel%5B%40ordinal%3D1%5D%2FpicFuelRecibeInterno","Descargar")</f>
        <v>Descargar</v>
      </c>
    </row>
    <row r="1377" spans="1:18" x14ac:dyDescent="0.3">
      <c r="A1377">
        <v>1576729</v>
      </c>
      <c r="B1377" t="s">
        <v>18</v>
      </c>
      <c r="C1377" t="s">
        <v>150</v>
      </c>
      <c r="D1377" t="s">
        <v>230</v>
      </c>
      <c r="E1377" t="s">
        <v>1510</v>
      </c>
      <c r="F1377" t="s">
        <v>22</v>
      </c>
      <c r="G1377" t="s">
        <v>23</v>
      </c>
      <c r="H1377" t="s">
        <v>58</v>
      </c>
      <c r="I1377" t="s">
        <v>25</v>
      </c>
      <c r="J1377" s="2">
        <v>45852.645092592589</v>
      </c>
      <c r="K1377">
        <v>14</v>
      </c>
      <c r="L1377">
        <v>7</v>
      </c>
      <c r="M1377">
        <v>2025</v>
      </c>
      <c r="N1377" t="s">
        <v>27</v>
      </c>
      <c r="O1377">
        <v>300</v>
      </c>
      <c r="P1377">
        <v>300</v>
      </c>
      <c r="R1377" s="3" t="str">
        <f>HYPERLINK("https://panda.att.com.mx/ODKServer/view/binaryData?blobKey=FSSuministroFluidosv3%5B%40version%3Dnull+and+%40uiVersion%3Dnull%5D%2Fdata%5B%40key%3Duuid%3A2666c324-1443-4398-a597-a9a8045f8ea3%5D%2FgroupInfoFuel%5B%40ordinal%3D1%5D%2FpicFuelRecibeInterno","Descargar")</f>
        <v>Descargar</v>
      </c>
    </row>
    <row r="1378" spans="1:18" x14ac:dyDescent="0.3">
      <c r="A1378">
        <v>1576688</v>
      </c>
      <c r="B1378" t="s">
        <v>18</v>
      </c>
      <c r="C1378" t="s">
        <v>183</v>
      </c>
      <c r="D1378" t="s">
        <v>1653</v>
      </c>
      <c r="E1378" t="s">
        <v>1654</v>
      </c>
      <c r="F1378" t="s">
        <v>22</v>
      </c>
      <c r="G1378" t="s">
        <v>23</v>
      </c>
      <c r="H1378" t="s">
        <v>24</v>
      </c>
      <c r="I1378" t="s">
        <v>25</v>
      </c>
      <c r="J1378" s="2">
        <v>45851.740069444437</v>
      </c>
      <c r="K1378">
        <v>13</v>
      </c>
      <c r="L1378">
        <v>7</v>
      </c>
      <c r="M1378">
        <v>2025</v>
      </c>
      <c r="N1378" t="s">
        <v>44</v>
      </c>
      <c r="O1378">
        <v>40</v>
      </c>
      <c r="Q1378">
        <v>40</v>
      </c>
      <c r="R1378" s="3" t="str">
        <f>HYPERLINK("https://panda.att.com.mx/ODKServer/view/binaryData?blobKey=FSSuministroFluidosv3%5B%40version%3Dnull+and+%40uiVersion%3Dnull%5D%2Fdata%5B%40key%3Duuid%3Af71c9f5d-05fc-4953-bc61-e7c41e19e5f7%5D%2FgroupInfoFuel%5B%40ordinal%3D1%5D%2FpicFuelRecibeInterno","Descargar")</f>
        <v>Descargar</v>
      </c>
    </row>
    <row r="1379" spans="1:18" x14ac:dyDescent="0.3">
      <c r="A1379">
        <v>1576687</v>
      </c>
      <c r="B1379" t="s">
        <v>18</v>
      </c>
      <c r="C1379" t="s">
        <v>19</v>
      </c>
      <c r="D1379" t="s">
        <v>45</v>
      </c>
      <c r="E1379" t="s">
        <v>1655</v>
      </c>
      <c r="F1379" t="s">
        <v>22</v>
      </c>
      <c r="G1379" t="s">
        <v>47</v>
      </c>
      <c r="H1379" t="s">
        <v>24</v>
      </c>
      <c r="I1379" t="s">
        <v>25</v>
      </c>
      <c r="J1379" s="2">
        <v>45852.407777777778</v>
      </c>
      <c r="K1379">
        <v>14</v>
      </c>
      <c r="L1379">
        <v>7</v>
      </c>
      <c r="M1379">
        <v>2025</v>
      </c>
      <c r="N1379" t="s">
        <v>44</v>
      </c>
      <c r="O1379">
        <v>40</v>
      </c>
      <c r="P1379">
        <v>40</v>
      </c>
      <c r="R1379" s="3" t="str">
        <f>HYPERLINK("https://panda.att.com.mx/ODKServer/view/binaryData?blobKey=FSSuministroFluidosv3%5B%40version%3Dnull+and+%40uiVersion%3Dnull%5D%2Fdata%5B%40key%3Duuid%3A0a1e62a1-bf35-4201-a6b0-da93ba42f6e5%5D%2FgroupInfoFuel%5B%40ordinal%3D1%5D%2FpicFuelRecibeInterno","Descargar")</f>
        <v>Descargar</v>
      </c>
    </row>
    <row r="1380" spans="1:18" x14ac:dyDescent="0.3">
      <c r="A1380">
        <v>1576564</v>
      </c>
      <c r="B1380" t="s">
        <v>18</v>
      </c>
      <c r="C1380" t="s">
        <v>55</v>
      </c>
      <c r="D1380" t="s">
        <v>288</v>
      </c>
      <c r="E1380" t="s">
        <v>440</v>
      </c>
      <c r="F1380" t="s">
        <v>22</v>
      </c>
      <c r="G1380" t="s">
        <v>23</v>
      </c>
      <c r="H1380" t="s">
        <v>58</v>
      </c>
      <c r="I1380" t="s">
        <v>25</v>
      </c>
      <c r="J1380" s="2">
        <v>45852.513726851852</v>
      </c>
      <c r="K1380">
        <v>14</v>
      </c>
      <c r="L1380">
        <v>7</v>
      </c>
      <c r="M1380">
        <v>2025</v>
      </c>
      <c r="N1380" t="s">
        <v>27</v>
      </c>
      <c r="O1380">
        <v>300</v>
      </c>
      <c r="P1380">
        <v>300</v>
      </c>
      <c r="R1380" s="3" t="str">
        <f>HYPERLINK("https://panda.att.com.mx/ODKServer/view/binaryData?blobKey=FSSuministroFluidosv3%5B%40version%3Dnull+and+%40uiVersion%3Dnull%5D%2Fdata%5B%40key%3Duuid%3A92ddc2a0-8552-4abf-9539-0f15cf024688%5D%2FgroupInfoFuel%5B%40ordinal%3D1%5D%2FpicFuelRecibeInterno","Descargar")</f>
        <v>Descargar</v>
      </c>
    </row>
    <row r="1381" spans="1:18" x14ac:dyDescent="0.3">
      <c r="A1381">
        <v>1576522</v>
      </c>
      <c r="B1381" t="s">
        <v>18</v>
      </c>
      <c r="C1381" t="s">
        <v>150</v>
      </c>
      <c r="D1381" t="s">
        <v>296</v>
      </c>
      <c r="E1381" t="s">
        <v>1656</v>
      </c>
      <c r="F1381" t="s">
        <v>22</v>
      </c>
      <c r="G1381" t="s">
        <v>23</v>
      </c>
      <c r="H1381" t="s">
        <v>58</v>
      </c>
      <c r="I1381" t="s">
        <v>25</v>
      </c>
      <c r="J1381" s="2">
        <v>45852.33494212963</v>
      </c>
      <c r="K1381">
        <v>14</v>
      </c>
      <c r="L1381">
        <v>7</v>
      </c>
      <c r="M1381">
        <v>2025</v>
      </c>
      <c r="N1381" t="s">
        <v>27</v>
      </c>
      <c r="O1381">
        <v>200</v>
      </c>
      <c r="P1381">
        <v>200</v>
      </c>
      <c r="R1381" s="3" t="str">
        <f>HYPERLINK("https://panda.att.com.mx/ODKServer/view/binaryData?blobKey=FSSuministroFluidosv3%5B%40version%3Dnull+and+%40uiVersion%3Dnull%5D%2Fdata%5B%40key%3Duuid%3Ab8891e77-53d5-4335-bb4c-03b63810548f%5D%2FgroupInfoFuel%5B%40ordinal%3D1%5D%2FpicFuelRecibeInterno","Descargar")</f>
        <v>Descargar</v>
      </c>
    </row>
    <row r="1382" spans="1:18" x14ac:dyDescent="0.3">
      <c r="A1382">
        <v>1576391</v>
      </c>
      <c r="B1382" t="s">
        <v>18</v>
      </c>
      <c r="C1382" t="s">
        <v>150</v>
      </c>
      <c r="D1382" t="s">
        <v>296</v>
      </c>
      <c r="E1382" t="s">
        <v>1657</v>
      </c>
      <c r="F1382" t="s">
        <v>22</v>
      </c>
      <c r="G1382" t="s">
        <v>23</v>
      </c>
      <c r="H1382" t="s">
        <v>58</v>
      </c>
      <c r="I1382" t="s">
        <v>25</v>
      </c>
      <c r="J1382" s="2">
        <v>45852.334490740737</v>
      </c>
      <c r="K1382">
        <v>14</v>
      </c>
      <c r="L1382">
        <v>7</v>
      </c>
      <c r="M1382">
        <v>2025</v>
      </c>
      <c r="N1382" t="s">
        <v>27</v>
      </c>
      <c r="O1382">
        <v>150</v>
      </c>
      <c r="P1382">
        <v>150</v>
      </c>
      <c r="R1382" s="3" t="str">
        <f>HYPERLINK("https://panda.att.com.mx/ODKServer/view/binaryData?blobKey=FSSuministroFluidosv3%5B%40version%3Dnull+and+%40uiVersion%3Dnull%5D%2Fdata%5B%40key%3Duuid%3Aa6b71200-d6da-4780-80e6-4237929b50bb%5D%2FgroupInfoFuel%5B%40ordinal%3D1%5D%2FpicFuelRecibeInterno","Descargar")</f>
        <v>Descargar</v>
      </c>
    </row>
    <row r="1383" spans="1:18" x14ac:dyDescent="0.3">
      <c r="A1383">
        <v>1576289</v>
      </c>
      <c r="B1383" t="s">
        <v>18</v>
      </c>
      <c r="C1383" t="s">
        <v>183</v>
      </c>
      <c r="D1383" t="s">
        <v>585</v>
      </c>
      <c r="E1383" t="s">
        <v>1658</v>
      </c>
      <c r="F1383" t="s">
        <v>22</v>
      </c>
      <c r="G1383" t="s">
        <v>23</v>
      </c>
      <c r="H1383" t="s">
        <v>24</v>
      </c>
      <c r="I1383" t="s">
        <v>25</v>
      </c>
      <c r="J1383" s="2">
        <v>45849.77306712963</v>
      </c>
      <c r="K1383">
        <v>11</v>
      </c>
      <c r="L1383">
        <v>7</v>
      </c>
      <c r="M1383">
        <v>2025</v>
      </c>
      <c r="N1383" t="s">
        <v>27</v>
      </c>
      <c r="O1383">
        <v>300</v>
      </c>
      <c r="P1383">
        <v>300</v>
      </c>
      <c r="R1383" s="3" t="str">
        <f>HYPERLINK("https://panda.att.com.mx/ODKServer/view/binaryData?blobKey=FSSuministroFluidosv3%5B%40version%3Dnull+and+%40uiVersion%3Dnull%5D%2Fdata%5B%40key%3Duuid%3A2aaa76e7-c63b-403d-8b40-7ba585eb860a%5D%2FgroupInfoFuel%5B%40ordinal%3D1%5D%2FpicFuelRecibeInterno","Descargar")</f>
        <v>Descargar</v>
      </c>
    </row>
    <row r="1384" spans="1:18" x14ac:dyDescent="0.3">
      <c r="A1384">
        <v>1576288</v>
      </c>
      <c r="B1384" t="s">
        <v>18</v>
      </c>
      <c r="C1384" t="s">
        <v>19</v>
      </c>
      <c r="D1384" t="s">
        <v>45</v>
      </c>
      <c r="E1384" t="s">
        <v>752</v>
      </c>
      <c r="F1384" t="s">
        <v>22</v>
      </c>
      <c r="G1384" t="s">
        <v>23</v>
      </c>
      <c r="H1384" t="s">
        <v>24</v>
      </c>
      <c r="I1384" t="s">
        <v>25</v>
      </c>
      <c r="J1384" s="2">
        <v>45850.849027777767</v>
      </c>
      <c r="K1384">
        <v>12</v>
      </c>
      <c r="L1384">
        <v>7</v>
      </c>
      <c r="M1384">
        <v>2025</v>
      </c>
      <c r="N1384" t="s">
        <v>27</v>
      </c>
      <c r="O1384">
        <v>300</v>
      </c>
      <c r="P1384">
        <v>300</v>
      </c>
      <c r="R1384" s="3" t="str">
        <f>HYPERLINK("https://panda.att.com.mx/ODKServer/view/binaryData?blobKey=FSSuministroFluidosv3%5B%40version%3Dnull+and+%40uiVersion%3Dnull%5D%2Fdata%5B%40key%3Duuid%3A4a371ecc-b6c1-40ed-ae6c-f3eb42f5c568%5D%2FgroupInfoFuel%5B%40ordinal%3D1%5D%2FpicFuelRecibeInterno","Descargar")</f>
        <v>Descargar</v>
      </c>
    </row>
    <row r="1385" spans="1:18" x14ac:dyDescent="0.3">
      <c r="A1385">
        <v>1576267</v>
      </c>
      <c r="B1385" t="s">
        <v>18</v>
      </c>
      <c r="C1385" t="s">
        <v>34</v>
      </c>
      <c r="D1385" t="s">
        <v>51</v>
      </c>
      <c r="E1385" t="s">
        <v>52</v>
      </c>
      <c r="F1385" t="s">
        <v>22</v>
      </c>
      <c r="G1385" t="s">
        <v>23</v>
      </c>
      <c r="H1385" t="s">
        <v>24</v>
      </c>
      <c r="I1385" t="s">
        <v>25</v>
      </c>
      <c r="J1385" s="2">
        <v>45851.486805555563</v>
      </c>
      <c r="K1385">
        <v>13</v>
      </c>
      <c r="L1385">
        <v>7</v>
      </c>
      <c r="M1385">
        <v>2025</v>
      </c>
      <c r="N1385" t="s">
        <v>27</v>
      </c>
      <c r="O1385">
        <v>100</v>
      </c>
      <c r="P1385">
        <v>100</v>
      </c>
      <c r="R1385" s="3" t="str">
        <f>HYPERLINK("https://panda.att.com.mx/ODKServer/view/binaryData?blobKey=FSSuministroFluidosv3%5B%40version%3Dnull+and+%40uiVersion%3Dnull%5D%2Fdata%5B%40key%3Duuid%3A11ec38c3-96e8-443c-bed7-1c14795ec17d%5D%2FgroupInfoFuel%5B%40ordinal%3D1%5D%2FpicFuelRecibeInterno","Descargar")</f>
        <v>Descargar</v>
      </c>
    </row>
    <row r="1386" spans="1:18" x14ac:dyDescent="0.3">
      <c r="A1386">
        <v>1576259</v>
      </c>
      <c r="B1386" t="s">
        <v>18</v>
      </c>
      <c r="C1386" t="s">
        <v>100</v>
      </c>
      <c r="D1386" t="s">
        <v>854</v>
      </c>
      <c r="E1386" t="s">
        <v>993</v>
      </c>
      <c r="F1386" t="s">
        <v>22</v>
      </c>
      <c r="G1386" t="s">
        <v>83</v>
      </c>
      <c r="H1386" t="s">
        <v>58</v>
      </c>
      <c r="I1386" t="s">
        <v>25</v>
      </c>
      <c r="J1386" s="2">
        <v>45851.637824074067</v>
      </c>
      <c r="K1386">
        <v>13</v>
      </c>
      <c r="L1386">
        <v>7</v>
      </c>
      <c r="M1386">
        <v>2025</v>
      </c>
      <c r="N1386" t="s">
        <v>27</v>
      </c>
      <c r="O1386">
        <v>200</v>
      </c>
      <c r="P1386">
        <v>200</v>
      </c>
      <c r="R1386" s="3" t="str">
        <f>HYPERLINK("https://panda.att.com.mx/ODKServer/view/binaryData?blobKey=FSSuministroFluidosv3%5B%40version%3Dnull+and+%40uiVersion%3Dnull%5D%2Fdata%5B%40key%3Duuid%3A6ab9e17a-41e3-492c-b7e5-f5c592588d52%5D%2FgroupInfoFuel%5B%40ordinal%3D1%5D%2FpicFuelRecibeInterno","Descargar")</f>
        <v>Descargar</v>
      </c>
    </row>
    <row r="1387" spans="1:18" x14ac:dyDescent="0.3">
      <c r="A1387">
        <v>1576256</v>
      </c>
      <c r="B1387" t="s">
        <v>18</v>
      </c>
      <c r="C1387" t="s">
        <v>28</v>
      </c>
      <c r="D1387" t="s">
        <v>1036</v>
      </c>
      <c r="E1387" t="s">
        <v>1637</v>
      </c>
      <c r="F1387" t="s">
        <v>22</v>
      </c>
      <c r="G1387" t="s">
        <v>23</v>
      </c>
      <c r="H1387" t="s">
        <v>24</v>
      </c>
      <c r="I1387" t="s">
        <v>25</v>
      </c>
      <c r="J1387" s="2">
        <v>45851.37127314815</v>
      </c>
      <c r="K1387">
        <v>13</v>
      </c>
      <c r="L1387">
        <v>7</v>
      </c>
      <c r="M1387">
        <v>2025</v>
      </c>
      <c r="N1387" t="s">
        <v>27</v>
      </c>
      <c r="O1387">
        <v>80</v>
      </c>
      <c r="P1387">
        <v>80</v>
      </c>
      <c r="R1387" s="3" t="str">
        <f>HYPERLINK("https://panda.att.com.mx/ODKServer/view/binaryData?blobKey=FSSuministroFluidosv3%5B%40version%3Dnull+and+%40uiVersion%3Dnull%5D%2Fdata%5B%40key%3Duuid%3Af9f02e06-82f4-45b3-aab5-804ba6d79eb4%5D%2FgroupInfoFuel%5B%40ordinal%3D1%5D%2FpicFuelRecibeInterno","Descargar")</f>
        <v>Descargar</v>
      </c>
    </row>
    <row r="1388" spans="1:18" x14ac:dyDescent="0.3">
      <c r="A1388">
        <v>1576236</v>
      </c>
      <c r="B1388" t="s">
        <v>18</v>
      </c>
      <c r="C1388" t="s">
        <v>59</v>
      </c>
      <c r="D1388" t="s">
        <v>1242</v>
      </c>
      <c r="E1388" t="s">
        <v>1513</v>
      </c>
      <c r="F1388" t="s">
        <v>22</v>
      </c>
      <c r="G1388" t="s">
        <v>23</v>
      </c>
      <c r="H1388" t="s">
        <v>37</v>
      </c>
      <c r="I1388" t="s">
        <v>25</v>
      </c>
      <c r="J1388" s="2">
        <v>45851.523356481477</v>
      </c>
      <c r="K1388">
        <v>13</v>
      </c>
      <c r="L1388">
        <v>7</v>
      </c>
      <c r="M1388">
        <v>2025</v>
      </c>
      <c r="N1388" t="s">
        <v>44</v>
      </c>
      <c r="O1388">
        <v>50</v>
      </c>
      <c r="P1388">
        <v>50</v>
      </c>
      <c r="R1388" s="3" t="str">
        <f>HYPERLINK("https://panda.att.com.mx/ODKServer/view/binaryData?blobKey=FSSuministroFluidosv3%5B%40version%3Dnull+and+%40uiVersion%3Dnull%5D%2Fdata%5B%40key%3Duuid%3A5d328e67-5df1-46bd-8c48-42337af30ed9%5D%2FgroupInfoFuel%5B%40ordinal%3D1%5D%2FpicFuelRecibeInterno","Descargar")</f>
        <v>Descargar</v>
      </c>
    </row>
    <row r="1389" spans="1:18" x14ac:dyDescent="0.3">
      <c r="A1389">
        <v>1576214</v>
      </c>
      <c r="B1389" t="s">
        <v>18</v>
      </c>
      <c r="C1389" t="s">
        <v>68</v>
      </c>
      <c r="D1389" t="s">
        <v>116</v>
      </c>
      <c r="E1389" t="s">
        <v>1659</v>
      </c>
      <c r="F1389" t="s">
        <v>22</v>
      </c>
      <c r="G1389" t="s">
        <v>23</v>
      </c>
      <c r="H1389" t="s">
        <v>37</v>
      </c>
      <c r="I1389" t="s">
        <v>25</v>
      </c>
      <c r="J1389" s="2">
        <v>45850.265185185177</v>
      </c>
      <c r="K1389">
        <v>12</v>
      </c>
      <c r="L1389">
        <v>7</v>
      </c>
      <c r="M1389">
        <v>2025</v>
      </c>
      <c r="N1389" t="s">
        <v>27</v>
      </c>
      <c r="O1389">
        <v>100</v>
      </c>
      <c r="P1389">
        <v>100</v>
      </c>
      <c r="R1389" s="3" t="str">
        <f>HYPERLINK("https://panda.att.com.mx/ODKServer/view/binaryData?blobKey=FSSuministroFluidosv3%5B%40version%3Dnull+and+%40uiVersion%3Dnull%5D%2Fdata%5B%40key%3Duuid%3A4cc6afc6-5803-4d99-9203-607356d8c9b1%5D%2FgroupInfoFuel%5B%40ordinal%3D1%5D%2FpicFuelRecibeInterno","Descargar")</f>
        <v>Descargar</v>
      </c>
    </row>
    <row r="1390" spans="1:18" x14ac:dyDescent="0.3">
      <c r="A1390">
        <v>1576196</v>
      </c>
      <c r="B1390" t="s">
        <v>18</v>
      </c>
      <c r="C1390" t="s">
        <v>167</v>
      </c>
      <c r="D1390" t="s">
        <v>168</v>
      </c>
      <c r="E1390" t="s">
        <v>266</v>
      </c>
      <c r="F1390" t="s">
        <v>22</v>
      </c>
      <c r="G1390" t="s">
        <v>83</v>
      </c>
      <c r="H1390" t="s">
        <v>58</v>
      </c>
      <c r="I1390" t="s">
        <v>25</v>
      </c>
      <c r="J1390" s="2">
        <v>45850.473298611112</v>
      </c>
      <c r="K1390">
        <v>12</v>
      </c>
      <c r="L1390">
        <v>7</v>
      </c>
      <c r="M1390">
        <v>2025</v>
      </c>
      <c r="N1390" t="s">
        <v>27</v>
      </c>
      <c r="O1390">
        <v>450</v>
      </c>
      <c r="P1390">
        <v>450</v>
      </c>
      <c r="R1390" s="3" t="str">
        <f>HYPERLINK("https://panda.att.com.mx/ODKServer/view/binaryData?blobKey=FSSuministroFluidosv3%5B%40version%3Dnull+and+%40uiVersion%3Dnull%5D%2Fdata%5B%40key%3Duuid%3Ae111ca7c-6b60-4e13-a5ad-eb1652d3036c%5D%2FgroupInfoFuel%5B%40ordinal%3D1%5D%2FpicFuelRecibeInterno","Descargar")</f>
        <v>Descargar</v>
      </c>
    </row>
    <row r="1391" spans="1:18" x14ac:dyDescent="0.3">
      <c r="A1391">
        <v>1576193</v>
      </c>
      <c r="B1391" t="s">
        <v>18</v>
      </c>
      <c r="C1391" t="s">
        <v>183</v>
      </c>
      <c r="D1391" t="s">
        <v>1660</v>
      </c>
      <c r="E1391" t="s">
        <v>1661</v>
      </c>
      <c r="F1391" t="s">
        <v>22</v>
      </c>
      <c r="G1391" t="s">
        <v>23</v>
      </c>
      <c r="H1391" t="s">
        <v>37</v>
      </c>
      <c r="I1391" t="s">
        <v>25</v>
      </c>
      <c r="J1391" s="2">
        <v>45850.500937500001</v>
      </c>
      <c r="K1391">
        <v>12</v>
      </c>
      <c r="L1391">
        <v>7</v>
      </c>
      <c r="M1391">
        <v>2025</v>
      </c>
      <c r="N1391" t="s">
        <v>27</v>
      </c>
      <c r="O1391">
        <v>500</v>
      </c>
      <c r="P1391">
        <v>500</v>
      </c>
      <c r="R1391" s="3" t="str">
        <f>HYPERLINK("https://panda.att.com.mx/ODKServer/view/binaryData?blobKey=FSSuministroFluidosv3%5B%40version%3Dnull+and+%40uiVersion%3Dnull%5D%2Fdata%5B%40key%3Duuid%3Af9070bfb-95ed-455a-9e33-4730a9b1f59c%5D%2FgroupInfoFuel%5B%40ordinal%3D1%5D%2FpicFuelRecibeInterno","Descargar")</f>
        <v>Descargar</v>
      </c>
    </row>
    <row r="1392" spans="1:18" x14ac:dyDescent="0.3">
      <c r="A1392">
        <v>1576147</v>
      </c>
      <c r="B1392" t="s">
        <v>18</v>
      </c>
      <c r="C1392" t="s">
        <v>68</v>
      </c>
      <c r="D1392" t="s">
        <v>116</v>
      </c>
      <c r="E1392" t="s">
        <v>1662</v>
      </c>
      <c r="F1392" t="s">
        <v>22</v>
      </c>
      <c r="G1392" t="s">
        <v>23</v>
      </c>
      <c r="H1392" t="s">
        <v>37</v>
      </c>
      <c r="I1392" t="s">
        <v>25</v>
      </c>
      <c r="J1392" s="2">
        <v>45849.554803240739</v>
      </c>
      <c r="K1392">
        <v>11</v>
      </c>
      <c r="L1392">
        <v>7</v>
      </c>
      <c r="M1392">
        <v>2025</v>
      </c>
      <c r="N1392" t="s">
        <v>27</v>
      </c>
      <c r="O1392">
        <v>300</v>
      </c>
      <c r="P1392">
        <v>300</v>
      </c>
      <c r="R1392" s="3" t="str">
        <f>HYPERLINK("https://panda.att.com.mx/ODKServer/view/binaryData?blobKey=FSSuministroFluidosv3%5B%40version%3Dnull+and+%40uiVersion%3Dnull%5D%2Fdata%5B%40key%3Duuid%3Aed189201-d1cf-4079-a683-8197ca21429b%5D%2FgroupInfoFuel%5B%40ordinal%3D1%5D%2FpicFuelRecibeInterno","Descargar")</f>
        <v>Descargar</v>
      </c>
    </row>
    <row r="1393" spans="1:18" x14ac:dyDescent="0.3">
      <c r="A1393">
        <v>1576142</v>
      </c>
      <c r="B1393" t="s">
        <v>18</v>
      </c>
      <c r="C1393" t="s">
        <v>34</v>
      </c>
      <c r="D1393" t="s">
        <v>53</v>
      </c>
      <c r="E1393" t="s">
        <v>1508</v>
      </c>
      <c r="F1393" t="s">
        <v>22</v>
      </c>
      <c r="G1393" t="s">
        <v>23</v>
      </c>
      <c r="H1393" t="s">
        <v>37</v>
      </c>
      <c r="I1393" t="s">
        <v>1635</v>
      </c>
      <c r="J1393" s="2">
        <v>45850.759270833332</v>
      </c>
      <c r="K1393">
        <v>12</v>
      </c>
      <c r="L1393">
        <v>7</v>
      </c>
      <c r="M1393">
        <v>2025</v>
      </c>
      <c r="N1393" t="s">
        <v>27</v>
      </c>
      <c r="O1393">
        <v>150</v>
      </c>
      <c r="P1393">
        <v>150</v>
      </c>
      <c r="R1393" s="3" t="str">
        <f>HYPERLINK("https://panda.att.com.mx/ODKServer/view/binaryData?blobKey=FSSuministroFluidosv3%5B%40version%3Dnull+and+%40uiVersion%3Dnull%5D%2Fdata%5B%40key%3Duuid%3A443db2b4-72d8-4e67-afc8-420568221c16%5D%2FgroupInfoFuel%5B%40ordinal%3D1%5D%2FpicFuelRecibeInterno","Descargar")</f>
        <v>Descargar</v>
      </c>
    </row>
    <row r="1394" spans="1:18" x14ac:dyDescent="0.3">
      <c r="A1394">
        <v>1576134</v>
      </c>
      <c r="B1394" t="s">
        <v>18</v>
      </c>
      <c r="C1394" t="s">
        <v>68</v>
      </c>
      <c r="D1394" t="s">
        <v>556</v>
      </c>
      <c r="E1394" t="s">
        <v>1663</v>
      </c>
      <c r="F1394" t="s">
        <v>22</v>
      </c>
      <c r="G1394" t="s">
        <v>23</v>
      </c>
      <c r="H1394" t="s">
        <v>37</v>
      </c>
      <c r="I1394" t="s">
        <v>25</v>
      </c>
      <c r="J1394" s="2">
        <v>45849.832708333342</v>
      </c>
      <c r="K1394">
        <v>11</v>
      </c>
      <c r="L1394">
        <v>7</v>
      </c>
      <c r="M1394">
        <v>2025</v>
      </c>
      <c r="N1394" t="s">
        <v>27</v>
      </c>
      <c r="O1394">
        <v>300</v>
      </c>
      <c r="P1394">
        <v>300</v>
      </c>
      <c r="R1394" s="3" t="str">
        <f>HYPERLINK("https://panda.att.com.mx/ODKServer/view/binaryData?blobKey=FSSuministroFluidosv3%5B%40version%3Dnull+and+%40uiVersion%3Dnull%5D%2Fdata%5B%40key%3Duuid%3A616d7e72-e5a2-4737-97fc-64a3daed0f75%5D%2FgroupInfoFuel%5B%40ordinal%3D1%5D%2FpicFuelRecibeInterno","Descargar")</f>
        <v>Descargar</v>
      </c>
    </row>
    <row r="1395" spans="1:18" x14ac:dyDescent="0.3">
      <c r="A1395">
        <v>1576127</v>
      </c>
      <c r="B1395" t="s">
        <v>18</v>
      </c>
      <c r="C1395" t="s">
        <v>68</v>
      </c>
      <c r="D1395" t="s">
        <v>69</v>
      </c>
      <c r="E1395" t="s">
        <v>1594</v>
      </c>
      <c r="F1395" t="s">
        <v>22</v>
      </c>
      <c r="G1395" t="s">
        <v>23</v>
      </c>
      <c r="H1395" t="s">
        <v>37</v>
      </c>
      <c r="I1395" t="s">
        <v>25</v>
      </c>
      <c r="J1395" s="2">
        <v>45849.57675925926</v>
      </c>
      <c r="K1395">
        <v>11</v>
      </c>
      <c r="L1395">
        <v>7</v>
      </c>
      <c r="M1395">
        <v>2025</v>
      </c>
      <c r="N1395" t="s">
        <v>27</v>
      </c>
      <c r="O1395">
        <v>500</v>
      </c>
      <c r="P1395">
        <v>500</v>
      </c>
      <c r="R1395" s="3" t="str">
        <f>HYPERLINK("https://panda.att.com.mx/ODKServer/view/binaryData?blobKey=FSSuministroFluidosv3%5B%40version%3Dnull+and+%40uiVersion%3Dnull%5D%2Fdata%5B%40key%3Duuid%3Ae2dcb0c3-1966-4cec-82ba-393430fd4588%5D%2FgroupInfoFuel%5B%40ordinal%3D1%5D%2FpicFuelRecibeInterno","Descargar")</f>
        <v>Descargar</v>
      </c>
    </row>
    <row r="1396" spans="1:18" x14ac:dyDescent="0.3">
      <c r="A1396">
        <v>1576126</v>
      </c>
      <c r="B1396" t="s">
        <v>18</v>
      </c>
      <c r="C1396" t="s">
        <v>68</v>
      </c>
      <c r="D1396" t="s">
        <v>258</v>
      </c>
      <c r="E1396" t="s">
        <v>1593</v>
      </c>
      <c r="F1396" t="s">
        <v>22</v>
      </c>
      <c r="G1396" t="s">
        <v>23</v>
      </c>
      <c r="H1396" t="s">
        <v>37</v>
      </c>
      <c r="I1396" t="s">
        <v>25</v>
      </c>
      <c r="J1396" s="2">
        <v>45850.565844907411</v>
      </c>
      <c r="K1396">
        <v>12</v>
      </c>
      <c r="L1396">
        <v>7</v>
      </c>
      <c r="M1396">
        <v>2025</v>
      </c>
      <c r="N1396" t="s">
        <v>27</v>
      </c>
      <c r="O1396">
        <v>340</v>
      </c>
      <c r="P1396">
        <v>340</v>
      </c>
      <c r="R1396" s="3" t="str">
        <f>HYPERLINK("https://panda.att.com.mx/ODKServer/view/binaryData?blobKey=FSSuministroFluidosv3%5B%40version%3Dnull+and+%40uiVersion%3Dnull%5D%2Fdata%5B%40key%3Duuid%3A55342c1f-e13c-463e-b5ea-83145f71002b%5D%2FgroupInfoFuel%5B%40ordinal%3D1%5D%2FpicFuelRecibeInterno","Descargar")</f>
        <v>Descargar</v>
      </c>
    </row>
    <row r="1397" spans="1:18" x14ac:dyDescent="0.3">
      <c r="A1397">
        <v>1576087</v>
      </c>
      <c r="B1397" t="s">
        <v>18</v>
      </c>
      <c r="C1397" t="s">
        <v>19</v>
      </c>
      <c r="D1397" t="s">
        <v>45</v>
      </c>
      <c r="E1397" t="s">
        <v>752</v>
      </c>
      <c r="F1397" t="s">
        <v>22</v>
      </c>
      <c r="G1397" t="s">
        <v>23</v>
      </c>
      <c r="H1397" t="s">
        <v>24</v>
      </c>
      <c r="I1397" t="s">
        <v>25</v>
      </c>
      <c r="J1397" s="2">
        <v>45843.475578703707</v>
      </c>
      <c r="K1397">
        <v>5</v>
      </c>
      <c r="L1397">
        <v>7</v>
      </c>
      <c r="M1397">
        <v>2025</v>
      </c>
      <c r="N1397" t="s">
        <v>27</v>
      </c>
      <c r="O1397">
        <v>300</v>
      </c>
      <c r="P1397">
        <v>300</v>
      </c>
      <c r="R1397" s="3" t="str">
        <f>HYPERLINK("https://panda.att.com.mx/ODKServer/view/binaryData?blobKey=FSSuministroFluidosv3%5B%40version%3Dnull+and+%40uiVersion%3Dnull%5D%2Fdata%5B%40key%3Duuid%3A802c44da-1cdb-4f1b-9f47-9d4005d5ad0e%5D%2FgroupInfoFuel%5B%40ordinal%3D1%5D%2FpicFuelRecibeInterno","Descargar")</f>
        <v>Descargar</v>
      </c>
    </row>
    <row r="1398" spans="1:18" x14ac:dyDescent="0.3">
      <c r="A1398">
        <v>1576075</v>
      </c>
      <c r="B1398" t="s">
        <v>18</v>
      </c>
      <c r="C1398" t="s">
        <v>28</v>
      </c>
      <c r="D1398" t="s">
        <v>1036</v>
      </c>
      <c r="E1398" t="s">
        <v>1664</v>
      </c>
      <c r="F1398" t="s">
        <v>22</v>
      </c>
      <c r="G1398" t="s">
        <v>23</v>
      </c>
      <c r="H1398" t="s">
        <v>37</v>
      </c>
      <c r="I1398" t="s">
        <v>25</v>
      </c>
      <c r="J1398" s="2">
        <v>45850.660682870373</v>
      </c>
      <c r="K1398">
        <v>12</v>
      </c>
      <c r="L1398">
        <v>7</v>
      </c>
      <c r="M1398">
        <v>2025</v>
      </c>
      <c r="N1398" t="s">
        <v>44</v>
      </c>
      <c r="O1398">
        <v>60</v>
      </c>
      <c r="P1398">
        <v>60</v>
      </c>
      <c r="R1398" s="3" t="str">
        <f>HYPERLINK("https://panda.att.com.mx/ODKServer/view/binaryData?blobKey=FSSuministroFluidosv3%5B%40version%3Dnull+and+%40uiVersion%3Dnull%5D%2Fdata%5B%40key%3Duuid%3A7dc84f00-a787-40e6-af83-807d7c6ba03a%5D%2FgroupInfoFuel%5B%40ordinal%3D1%5D%2FpicFuelRecibeInterno","Descargar")</f>
        <v>Descargar</v>
      </c>
    </row>
    <row r="1399" spans="1:18" x14ac:dyDescent="0.3">
      <c r="A1399">
        <v>1576065</v>
      </c>
      <c r="B1399" t="s">
        <v>18</v>
      </c>
      <c r="C1399" t="s">
        <v>28</v>
      </c>
      <c r="D1399" t="s">
        <v>513</v>
      </c>
      <c r="E1399" t="s">
        <v>1665</v>
      </c>
      <c r="F1399" t="s">
        <v>22</v>
      </c>
      <c r="G1399" t="s">
        <v>23</v>
      </c>
      <c r="H1399" t="s">
        <v>24</v>
      </c>
      <c r="I1399" t="s">
        <v>25</v>
      </c>
      <c r="J1399" s="2">
        <v>45850.560393518521</v>
      </c>
      <c r="K1399">
        <v>12</v>
      </c>
      <c r="L1399">
        <v>7</v>
      </c>
      <c r="M1399">
        <v>2025</v>
      </c>
      <c r="N1399" t="s">
        <v>27</v>
      </c>
      <c r="O1399">
        <v>400</v>
      </c>
      <c r="P1399">
        <v>400</v>
      </c>
      <c r="R1399" s="3" t="str">
        <f>HYPERLINK("https://panda.att.com.mx/ODKServer/view/binaryData?blobKey=FSSuministroFluidosv3%5B%40version%3Dnull+and+%40uiVersion%3Dnull%5D%2Fdata%5B%40key%3Duuid%3Aa956c823-9a6b-4268-8789-2c31e998e2f9%5D%2FgroupInfoFuel%5B%40ordinal%3D1%5D%2FpicFuelRecibeInterno","Descargar")</f>
        <v>Descargar</v>
      </c>
    </row>
    <row r="1400" spans="1:18" x14ac:dyDescent="0.3">
      <c r="A1400">
        <v>1576022</v>
      </c>
      <c r="B1400" t="s">
        <v>18</v>
      </c>
      <c r="C1400" t="s">
        <v>68</v>
      </c>
      <c r="D1400" t="s">
        <v>91</v>
      </c>
      <c r="E1400" t="s">
        <v>1606</v>
      </c>
      <c r="F1400" t="s">
        <v>22</v>
      </c>
      <c r="G1400" t="s">
        <v>23</v>
      </c>
      <c r="H1400" t="s">
        <v>37</v>
      </c>
      <c r="I1400" t="s">
        <v>25</v>
      </c>
      <c r="J1400" s="2">
        <v>45850.558379629627</v>
      </c>
      <c r="K1400">
        <v>12</v>
      </c>
      <c r="L1400">
        <v>7</v>
      </c>
      <c r="M1400">
        <v>2025</v>
      </c>
      <c r="N1400" t="s">
        <v>27</v>
      </c>
      <c r="O1400">
        <v>130</v>
      </c>
      <c r="P1400">
        <v>130</v>
      </c>
      <c r="R1400" s="3" t="str">
        <f>HYPERLINK("https://panda.att.com.mx/ODKServer/view/binaryData?blobKey=FSSuministroFluidosv3%5B%40version%3Dnull+and+%40uiVersion%3Dnull%5D%2Fdata%5B%40key%3Duuid%3Af5469d42-4b7b-46d9-a09a-37752e953eb6%5D%2FgroupInfoFuel%5B%40ordinal%3D1%5D%2FpicFuelRecibeInterno","Descargar")</f>
        <v>Descargar</v>
      </c>
    </row>
    <row r="1401" spans="1:18" x14ac:dyDescent="0.3">
      <c r="A1401">
        <v>1576010</v>
      </c>
      <c r="B1401" t="s">
        <v>18</v>
      </c>
      <c r="C1401" t="s">
        <v>100</v>
      </c>
      <c r="D1401" t="s">
        <v>716</v>
      </c>
      <c r="E1401" t="s">
        <v>717</v>
      </c>
      <c r="F1401" t="s">
        <v>22</v>
      </c>
      <c r="G1401" t="s">
        <v>83</v>
      </c>
      <c r="H1401" t="s">
        <v>58</v>
      </c>
      <c r="I1401" t="s">
        <v>25</v>
      </c>
      <c r="J1401" s="2">
        <v>45850.531574074077</v>
      </c>
      <c r="K1401">
        <v>12</v>
      </c>
      <c r="L1401">
        <v>7</v>
      </c>
      <c r="M1401">
        <v>2025</v>
      </c>
      <c r="N1401" t="s">
        <v>27</v>
      </c>
      <c r="O1401">
        <v>150</v>
      </c>
      <c r="P1401">
        <v>150</v>
      </c>
      <c r="R1401" s="3" t="str">
        <f>HYPERLINK("https://panda.att.com.mx/ODKServer/view/binaryData?blobKey=FSSuministroFluidosv3%5B%40version%3Dnull+and+%40uiVersion%3Dnull%5D%2Fdata%5B%40key%3Duuid%3Ad55b5895-8b3a-4bad-81db-81fe04dd506e%5D%2FgroupInfoFuel%5B%40ordinal%3D1%5D%2FpicFuelRecibeInterno","Descargar")</f>
        <v>Descargar</v>
      </c>
    </row>
    <row r="1402" spans="1:18" x14ac:dyDescent="0.3">
      <c r="A1402">
        <v>1575969</v>
      </c>
      <c r="B1402" t="s">
        <v>18</v>
      </c>
      <c r="C1402" t="s">
        <v>28</v>
      </c>
      <c r="D1402" t="s">
        <v>1036</v>
      </c>
      <c r="E1402" t="s">
        <v>1037</v>
      </c>
      <c r="F1402" t="s">
        <v>22</v>
      </c>
      <c r="G1402" t="s">
        <v>23</v>
      </c>
      <c r="H1402" t="s">
        <v>24</v>
      </c>
      <c r="I1402" t="s">
        <v>25</v>
      </c>
      <c r="J1402" s="2">
        <v>45849.41684027778</v>
      </c>
      <c r="K1402">
        <v>11</v>
      </c>
      <c r="L1402">
        <v>7</v>
      </c>
      <c r="M1402">
        <v>2025</v>
      </c>
      <c r="N1402" t="s">
        <v>27</v>
      </c>
      <c r="O1402">
        <v>100</v>
      </c>
      <c r="P1402">
        <v>100</v>
      </c>
      <c r="R1402" s="3" t="str">
        <f>HYPERLINK("https://panda.att.com.mx/ODKServer/view/binaryData?blobKey=FSSuministroFluidosv3%5B%40version%3Dnull+and+%40uiVersion%3Dnull%5D%2Fdata%5B%40key%3Duuid%3A3e1101d7-3c5c-4aae-9351-ebbd8e28a644%5D%2FgroupInfoFuel%5B%40ordinal%3D1%5D%2FpicFuelRecibeInterno","Descargar")</f>
        <v>Descargar</v>
      </c>
    </row>
    <row r="1403" spans="1:18" x14ac:dyDescent="0.3">
      <c r="A1403">
        <v>1575962</v>
      </c>
      <c r="B1403" t="s">
        <v>18</v>
      </c>
      <c r="C1403" t="s">
        <v>100</v>
      </c>
      <c r="D1403" t="s">
        <v>854</v>
      </c>
      <c r="E1403" t="s">
        <v>993</v>
      </c>
      <c r="F1403" t="s">
        <v>22</v>
      </c>
      <c r="G1403" t="s">
        <v>83</v>
      </c>
      <c r="H1403" t="s">
        <v>58</v>
      </c>
      <c r="I1403" t="s">
        <v>25</v>
      </c>
      <c r="J1403" s="2">
        <v>45850.438738425917</v>
      </c>
      <c r="K1403">
        <v>12</v>
      </c>
      <c r="L1403">
        <v>7</v>
      </c>
      <c r="M1403">
        <v>2025</v>
      </c>
      <c r="N1403" t="s">
        <v>27</v>
      </c>
      <c r="O1403">
        <v>200</v>
      </c>
      <c r="P1403">
        <v>200</v>
      </c>
      <c r="R1403" s="3" t="str">
        <f>HYPERLINK("https://panda.att.com.mx/ODKServer/view/binaryData?blobKey=FSSuministroFluidosv3%5B%40version%3Dnull+and+%40uiVersion%3Dnull%5D%2Fdata%5B%40key%3Duuid%3A169cb801-6281-41bc-bf42-3f07cd1c4e56%5D%2FgroupInfoFuel%5B%40ordinal%3D1%5D%2FpicFuelRecibeInterno","Descargar")</f>
        <v>Descargar</v>
      </c>
    </row>
    <row r="1404" spans="1:18" x14ac:dyDescent="0.3">
      <c r="A1404">
        <v>1575933</v>
      </c>
      <c r="B1404" t="s">
        <v>18</v>
      </c>
      <c r="C1404" t="s">
        <v>55</v>
      </c>
      <c r="D1404" t="s">
        <v>56</v>
      </c>
      <c r="E1404" t="s">
        <v>1555</v>
      </c>
      <c r="F1404" t="s">
        <v>22</v>
      </c>
      <c r="G1404" t="s">
        <v>23</v>
      </c>
      <c r="H1404" t="s">
        <v>58</v>
      </c>
      <c r="I1404" t="s">
        <v>25</v>
      </c>
      <c r="J1404" s="2">
        <v>45850.345891203702</v>
      </c>
      <c r="K1404">
        <v>12</v>
      </c>
      <c r="L1404">
        <v>7</v>
      </c>
      <c r="M1404">
        <v>2025</v>
      </c>
      <c r="N1404" t="s">
        <v>27</v>
      </c>
      <c r="O1404">
        <v>300</v>
      </c>
      <c r="P1404">
        <v>300</v>
      </c>
      <c r="R1404" s="3" t="str">
        <f>HYPERLINK("https://panda.att.com.mx/ODKServer/view/binaryData?blobKey=FSSuministroFluidosv3%5B%40version%3Dnull+and+%40uiVersion%3Dnull%5D%2Fdata%5B%40key%3Duuid%3A2054f257-ff2f-4c8f-a78a-a75f8e123b82%5D%2FgroupInfoFuel%5B%40ordinal%3D1%5D%2FpicFuelRecibeInterno","Descargar")</f>
        <v>Descargar</v>
      </c>
    </row>
    <row r="1405" spans="1:18" x14ac:dyDescent="0.3">
      <c r="A1405">
        <v>1575925</v>
      </c>
      <c r="B1405" t="s">
        <v>18</v>
      </c>
      <c r="C1405" t="s">
        <v>55</v>
      </c>
      <c r="D1405" t="s">
        <v>56</v>
      </c>
      <c r="E1405" t="s">
        <v>1626</v>
      </c>
      <c r="F1405" t="s">
        <v>22</v>
      </c>
      <c r="G1405" t="s">
        <v>23</v>
      </c>
      <c r="H1405" t="s">
        <v>58</v>
      </c>
      <c r="I1405" t="s">
        <v>25</v>
      </c>
      <c r="J1405" s="2">
        <v>45847.355219907397</v>
      </c>
      <c r="K1405">
        <v>9</v>
      </c>
      <c r="L1405">
        <v>7</v>
      </c>
      <c r="M1405">
        <v>2025</v>
      </c>
      <c r="N1405" t="s">
        <v>27</v>
      </c>
      <c r="O1405">
        <v>100</v>
      </c>
      <c r="P1405">
        <v>100</v>
      </c>
      <c r="R1405" s="3" t="str">
        <f>HYPERLINK("https://panda.att.com.mx/ODKServer/view/binaryData?blobKey=FSSuministroFluidosv3%5B%40version%3Dnull+and+%40uiVersion%3Dnull%5D%2Fdata%5B%40key%3Duuid%3Add854e0c-b818-4a1d-9658-ba874a8a1ce6%5D%2FgroupInfoFuel%5B%40ordinal%3D1%5D%2FpicFuelRecibeInterno","Descargar")</f>
        <v>Descargar</v>
      </c>
    </row>
    <row r="1406" spans="1:18" x14ac:dyDescent="0.3">
      <c r="A1406">
        <v>1575922</v>
      </c>
      <c r="B1406" t="s">
        <v>18</v>
      </c>
      <c r="C1406" t="s">
        <v>100</v>
      </c>
      <c r="D1406" t="s">
        <v>716</v>
      </c>
      <c r="E1406" t="s">
        <v>1666</v>
      </c>
      <c r="F1406" t="s">
        <v>22</v>
      </c>
      <c r="G1406" t="s">
        <v>23</v>
      </c>
      <c r="H1406" t="s">
        <v>58</v>
      </c>
      <c r="I1406" t="s">
        <v>25</v>
      </c>
      <c r="J1406" s="2">
        <v>45848.743368055562</v>
      </c>
      <c r="K1406">
        <v>10</v>
      </c>
      <c r="L1406">
        <v>7</v>
      </c>
      <c r="M1406">
        <v>2025</v>
      </c>
      <c r="N1406" t="s">
        <v>27</v>
      </c>
      <c r="O1406">
        <v>200</v>
      </c>
      <c r="P1406">
        <v>200</v>
      </c>
      <c r="R1406" s="3" t="str">
        <f>HYPERLINK("https://panda.att.com.mx/ODKServer/view/binaryData?blobKey=FSSuministroFluidosv3%5B%40version%3Dnull+and+%40uiVersion%3Dnull%5D%2Fdata%5B%40key%3Duuid%3A9fe4968f-0a2c-42d0-b461-04594ba67977%5D%2FgroupInfoFuel%5B%40ordinal%3D1%5D%2FpicFuelRecibeInterno","Descargar")</f>
        <v>Descargar</v>
      </c>
    </row>
    <row r="1407" spans="1:18" x14ac:dyDescent="0.3">
      <c r="A1407">
        <v>1575914</v>
      </c>
      <c r="B1407" t="s">
        <v>18</v>
      </c>
      <c r="C1407" t="s">
        <v>150</v>
      </c>
      <c r="D1407" t="s">
        <v>230</v>
      </c>
      <c r="E1407" t="s">
        <v>1667</v>
      </c>
      <c r="F1407" t="s">
        <v>22</v>
      </c>
      <c r="G1407" t="s">
        <v>23</v>
      </c>
      <c r="H1407" t="s">
        <v>58</v>
      </c>
      <c r="I1407" t="s">
        <v>25</v>
      </c>
      <c r="J1407" s="2">
        <v>45850.265613425923</v>
      </c>
      <c r="K1407">
        <v>12</v>
      </c>
      <c r="L1407">
        <v>7</v>
      </c>
      <c r="M1407">
        <v>2025</v>
      </c>
      <c r="N1407" t="s">
        <v>27</v>
      </c>
      <c r="O1407">
        <v>300</v>
      </c>
      <c r="P1407">
        <v>300</v>
      </c>
      <c r="R1407" s="3" t="str">
        <f>HYPERLINK("https://panda.att.com.mx/ODKServer/view/binaryData?blobKey=FSSuministroFluidosv3%5B%40version%3Dnull+and+%40uiVersion%3Dnull%5D%2Fdata%5B%40key%3Duuid%3A9673bd39-b7f1-4768-9e7f-0a8f340b5399%5D%2FgroupInfoFuel%5B%40ordinal%3D1%5D%2FpicFuelRecibeInterno","Descargar")</f>
        <v>Descargar</v>
      </c>
    </row>
    <row r="1408" spans="1:18" x14ac:dyDescent="0.3">
      <c r="A1408">
        <v>1575903</v>
      </c>
      <c r="B1408" t="s">
        <v>18</v>
      </c>
      <c r="C1408" t="s">
        <v>167</v>
      </c>
      <c r="D1408" t="s">
        <v>313</v>
      </c>
      <c r="E1408" t="s">
        <v>1668</v>
      </c>
      <c r="F1408" t="s">
        <v>22</v>
      </c>
      <c r="G1408" t="s">
        <v>23</v>
      </c>
      <c r="H1408" t="s">
        <v>58</v>
      </c>
      <c r="I1408" t="s">
        <v>25</v>
      </c>
      <c r="J1408" s="2">
        <v>45849.957361111112</v>
      </c>
      <c r="K1408">
        <v>11</v>
      </c>
      <c r="L1408">
        <v>7</v>
      </c>
      <c r="M1408">
        <v>2025</v>
      </c>
      <c r="N1408" t="s">
        <v>27</v>
      </c>
      <c r="O1408">
        <v>150</v>
      </c>
      <c r="P1408">
        <v>150</v>
      </c>
      <c r="R1408" s="3" t="str">
        <f>HYPERLINK("https://panda.att.com.mx/ODKServer/view/binaryData?blobKey=FSSuministroFluidosv3%5B%40version%3Dnull+and+%40uiVersion%3Dnull%5D%2Fdata%5B%40key%3Duuid%3A5ea7524a-efb5-4a9b-9471-52f20ea9ac22%5D%2FgroupInfoFuel%5B%40ordinal%3D1%5D%2FpicFuelRecibeInterno","Descargar")</f>
        <v>Descargar</v>
      </c>
    </row>
    <row r="1409" spans="1:18" x14ac:dyDescent="0.3">
      <c r="A1409">
        <v>1575901</v>
      </c>
      <c r="B1409" t="s">
        <v>18</v>
      </c>
      <c r="C1409" t="s">
        <v>167</v>
      </c>
      <c r="D1409" t="s">
        <v>313</v>
      </c>
      <c r="E1409" t="s">
        <v>1669</v>
      </c>
      <c r="F1409" t="s">
        <v>22</v>
      </c>
      <c r="G1409" t="s">
        <v>23</v>
      </c>
      <c r="H1409" t="s">
        <v>58</v>
      </c>
      <c r="I1409" t="s">
        <v>25</v>
      </c>
      <c r="J1409" s="2">
        <v>45850.021597222221</v>
      </c>
      <c r="K1409">
        <v>12</v>
      </c>
      <c r="L1409">
        <v>7</v>
      </c>
      <c r="M1409">
        <v>2025</v>
      </c>
      <c r="N1409" t="s">
        <v>27</v>
      </c>
      <c r="O1409">
        <v>80</v>
      </c>
      <c r="P1409">
        <v>80</v>
      </c>
      <c r="R1409" s="3" t="str">
        <f>HYPERLINK("https://panda.att.com.mx/ODKServer/view/binaryData?blobKey=FSSuministroFluidosv3%5B%40version%3Dnull+and+%40uiVersion%3Dnull%5D%2Fdata%5B%40key%3Duuid%3Aed511a6b-896d-47f8-a07c-0cc3eba2716f%5D%2FgroupInfoFuel%5B%40ordinal%3D1%5D%2FpicFuelRecibeInterno","Descargar")</f>
        <v>Descargar</v>
      </c>
    </row>
    <row r="1410" spans="1:18" x14ac:dyDescent="0.3">
      <c r="A1410">
        <v>1575896</v>
      </c>
      <c r="B1410" t="s">
        <v>18</v>
      </c>
      <c r="C1410" t="s">
        <v>19</v>
      </c>
      <c r="D1410" t="s">
        <v>45</v>
      </c>
      <c r="E1410" t="s">
        <v>1636</v>
      </c>
      <c r="F1410" t="s">
        <v>22</v>
      </c>
      <c r="G1410" t="s">
        <v>47</v>
      </c>
      <c r="H1410" t="s">
        <v>24</v>
      </c>
      <c r="I1410" t="s">
        <v>25</v>
      </c>
      <c r="J1410" s="2">
        <v>45849.965185185189</v>
      </c>
      <c r="K1410">
        <v>11</v>
      </c>
      <c r="L1410">
        <v>7</v>
      </c>
      <c r="M1410">
        <v>2025</v>
      </c>
      <c r="N1410" t="s">
        <v>27</v>
      </c>
      <c r="O1410">
        <v>400</v>
      </c>
      <c r="P1410">
        <v>400</v>
      </c>
      <c r="R1410" s="3" t="str">
        <f>HYPERLINK("https://panda.att.com.mx/ODKServer/view/binaryData?blobKey=FSSuministroFluidosv3%5B%40version%3Dnull+and+%40uiVersion%3Dnull%5D%2Fdata%5B%40key%3Duuid%3A35fb460b-8e75-4e2d-8b9e-31455fe4ad7e%5D%2FgroupInfoFuel%5B%40ordinal%3D1%5D%2FpicFuelRecibeInterno","Descargar")</f>
        <v>Descargar</v>
      </c>
    </row>
    <row r="1411" spans="1:18" x14ac:dyDescent="0.3">
      <c r="A1411">
        <v>1575854</v>
      </c>
      <c r="B1411" t="s">
        <v>18</v>
      </c>
      <c r="C1411" t="s">
        <v>19</v>
      </c>
      <c r="D1411" t="s">
        <v>140</v>
      </c>
      <c r="E1411" t="s">
        <v>607</v>
      </c>
      <c r="F1411" t="s">
        <v>22</v>
      </c>
      <c r="G1411" t="s">
        <v>23</v>
      </c>
      <c r="H1411" t="s">
        <v>24</v>
      </c>
      <c r="I1411" t="s">
        <v>25</v>
      </c>
      <c r="J1411" s="2">
        <v>45838.517071759263</v>
      </c>
      <c r="K1411">
        <v>30</v>
      </c>
      <c r="L1411">
        <v>6</v>
      </c>
      <c r="M1411">
        <v>2025</v>
      </c>
      <c r="N1411" t="s">
        <v>27</v>
      </c>
      <c r="O1411">
        <v>350</v>
      </c>
      <c r="Q1411">
        <v>350</v>
      </c>
      <c r="R1411" s="3" t="str">
        <f>HYPERLINK("https://panda.att.com.mx/ODKServer/view/binaryData?blobKey=FSSuministroFluidosv3%5B%40version%3Dnull+and+%40uiVersion%3Dnull%5D%2Fdata%5B%40key%3Duuid%3A718a18da-6430-4ad1-ae75-eca9c8f566d0%5D%2FgroupInfoFuel%5B%40ordinal%3D1%5D%2FpicFuelRecibeInterno","Descargar")</f>
        <v>Descargar</v>
      </c>
    </row>
    <row r="1412" spans="1:18" x14ac:dyDescent="0.3">
      <c r="A1412">
        <v>1575843</v>
      </c>
      <c r="B1412" t="s">
        <v>18</v>
      </c>
      <c r="C1412" t="s">
        <v>55</v>
      </c>
      <c r="D1412" t="s">
        <v>56</v>
      </c>
      <c r="E1412" t="s">
        <v>1626</v>
      </c>
      <c r="F1412" t="s">
        <v>22</v>
      </c>
      <c r="G1412" t="s">
        <v>23</v>
      </c>
      <c r="H1412" t="s">
        <v>58</v>
      </c>
      <c r="I1412" t="s">
        <v>25</v>
      </c>
      <c r="J1412" s="2">
        <v>45848.534699074073</v>
      </c>
      <c r="K1412">
        <v>10</v>
      </c>
      <c r="L1412">
        <v>7</v>
      </c>
      <c r="M1412">
        <v>2025</v>
      </c>
      <c r="N1412" t="s">
        <v>27</v>
      </c>
      <c r="O1412">
        <v>100</v>
      </c>
      <c r="P1412">
        <v>100</v>
      </c>
      <c r="R1412" s="3" t="str">
        <f>HYPERLINK("https://panda.att.com.mx/ODKServer/view/binaryData?blobKey=FSSuministroFluidosv3%5B%40version%3Dnull+and+%40uiVersion%3Dnull%5D%2Fdata%5B%40key%3Duuid%3A6f60b3f8-777d-42ab-ad53-3e4a90d50053%5D%2FgroupInfoFuel%5B%40ordinal%3D1%5D%2FpicFuelRecibeInterno","Descargar")</f>
        <v>Descargar</v>
      </c>
    </row>
    <row r="1413" spans="1:18" x14ac:dyDescent="0.3">
      <c r="A1413">
        <v>1575840</v>
      </c>
      <c r="B1413" t="s">
        <v>18</v>
      </c>
      <c r="C1413" t="s">
        <v>55</v>
      </c>
      <c r="D1413" t="s">
        <v>56</v>
      </c>
      <c r="E1413" t="s">
        <v>1670</v>
      </c>
      <c r="F1413" t="s">
        <v>22</v>
      </c>
      <c r="G1413" t="s">
        <v>23</v>
      </c>
      <c r="H1413" t="s">
        <v>58</v>
      </c>
      <c r="I1413" t="s">
        <v>25</v>
      </c>
      <c r="J1413" s="2">
        <v>45849.412962962961</v>
      </c>
      <c r="K1413">
        <v>11</v>
      </c>
      <c r="L1413">
        <v>7</v>
      </c>
      <c r="M1413">
        <v>2025</v>
      </c>
      <c r="N1413" t="s">
        <v>27</v>
      </c>
      <c r="O1413">
        <v>250</v>
      </c>
      <c r="P1413">
        <v>250</v>
      </c>
      <c r="R1413" s="3" t="str">
        <f>HYPERLINK("https://panda.att.com.mx/ODKServer/view/binaryData?blobKey=FSSuministroFluidosv3%5B%40version%3Dnull+and+%40uiVersion%3Dnull%5D%2Fdata%5B%40key%3Duuid%3Aa8e83c56-2269-4c2c-8c4a-0e0a1a9477aa%5D%2FgroupInfoFuel%5B%40ordinal%3D1%5D%2FpicFuelRecibeInterno","Descargar")</f>
        <v>Descargar</v>
      </c>
    </row>
    <row r="1414" spans="1:18" x14ac:dyDescent="0.3">
      <c r="A1414">
        <v>1575836</v>
      </c>
      <c r="B1414" t="s">
        <v>18</v>
      </c>
      <c r="C1414" t="s">
        <v>55</v>
      </c>
      <c r="D1414" t="s">
        <v>56</v>
      </c>
      <c r="E1414" t="s">
        <v>320</v>
      </c>
      <c r="F1414" t="s">
        <v>22</v>
      </c>
      <c r="G1414" t="s">
        <v>23</v>
      </c>
      <c r="H1414" t="s">
        <v>58</v>
      </c>
      <c r="I1414" t="s">
        <v>25</v>
      </c>
      <c r="J1414" s="2">
        <v>45849.511608796303</v>
      </c>
      <c r="K1414">
        <v>11</v>
      </c>
      <c r="L1414">
        <v>7</v>
      </c>
      <c r="M1414">
        <v>2025</v>
      </c>
      <c r="N1414" t="s">
        <v>27</v>
      </c>
      <c r="O1414">
        <v>250</v>
      </c>
      <c r="P1414">
        <v>250</v>
      </c>
      <c r="R1414" s="3" t="str">
        <f>HYPERLINK("https://panda.att.com.mx/ODKServer/view/binaryData?blobKey=FSSuministroFluidosv3%5B%40version%3Dnull+and+%40uiVersion%3Dnull%5D%2Fdata%5B%40key%3Duuid%3A025d6d98-98af-4f8b-8524-da01c905ca39%5D%2FgroupInfoFuel%5B%40ordinal%3D1%5D%2FpicFuelRecibeInterno","Descargar")</f>
        <v>Descargar</v>
      </c>
    </row>
    <row r="1415" spans="1:18" x14ac:dyDescent="0.3">
      <c r="A1415">
        <v>1575788</v>
      </c>
      <c r="B1415" t="s">
        <v>18</v>
      </c>
      <c r="C1415" t="s">
        <v>100</v>
      </c>
      <c r="D1415" t="s">
        <v>101</v>
      </c>
      <c r="E1415" t="s">
        <v>102</v>
      </c>
      <c r="F1415" t="s">
        <v>22</v>
      </c>
      <c r="G1415" t="s">
        <v>83</v>
      </c>
      <c r="H1415" t="s">
        <v>58</v>
      </c>
      <c r="I1415" t="s">
        <v>25</v>
      </c>
      <c r="J1415" s="2">
        <v>45833.654537037037</v>
      </c>
      <c r="K1415">
        <v>25</v>
      </c>
      <c r="L1415">
        <v>6</v>
      </c>
      <c r="M1415">
        <v>2025</v>
      </c>
      <c r="N1415" t="s">
        <v>27</v>
      </c>
      <c r="O1415">
        <v>150</v>
      </c>
      <c r="P1415">
        <v>150</v>
      </c>
      <c r="R1415" s="3" t="str">
        <f>HYPERLINK("https://panda.att.com.mx/ODKServer/view/binaryData?blobKey=FSSuministroFluidosv3%5B%40version%3Dnull+and+%40uiVersion%3Dnull%5D%2Fdata%5B%40key%3Duuid%3A007a6ba5-b275-4f1a-8a9e-885bf15c4779%5D%2FgroupInfoFuel%5B%40ordinal%3D1%5D%2FpicFuelRecibeInterno","Descargar")</f>
        <v>Descargar</v>
      </c>
    </row>
    <row r="1416" spans="1:18" x14ac:dyDescent="0.3">
      <c r="A1416">
        <v>1575783</v>
      </c>
      <c r="B1416" t="s">
        <v>18</v>
      </c>
      <c r="C1416" t="s">
        <v>100</v>
      </c>
      <c r="D1416" t="s">
        <v>101</v>
      </c>
      <c r="E1416" t="s">
        <v>126</v>
      </c>
      <c r="F1416" t="s">
        <v>22</v>
      </c>
      <c r="G1416" t="s">
        <v>83</v>
      </c>
      <c r="H1416" t="s">
        <v>58</v>
      </c>
      <c r="I1416" t="s">
        <v>25</v>
      </c>
      <c r="J1416" s="2">
        <v>45849.666643518518</v>
      </c>
      <c r="K1416">
        <v>11</v>
      </c>
      <c r="L1416">
        <v>7</v>
      </c>
      <c r="M1416">
        <v>2025</v>
      </c>
      <c r="N1416" t="s">
        <v>27</v>
      </c>
      <c r="O1416">
        <v>300</v>
      </c>
      <c r="P1416">
        <v>300</v>
      </c>
      <c r="R1416" s="3" t="str">
        <f>HYPERLINK("https://panda.att.com.mx/ODKServer/view/binaryData?blobKey=FSSuministroFluidosv3%5B%40version%3Dnull+and+%40uiVersion%3Dnull%5D%2Fdata%5B%40key%3Duuid%3A65348dbb-79a9-409d-b571-1e0b0785108a%5D%2FgroupInfoFuel%5B%40ordinal%3D1%5D%2FpicFuelRecibeInterno","Descargar")</f>
        <v>Descargar</v>
      </c>
    </row>
    <row r="1417" spans="1:18" x14ac:dyDescent="0.3">
      <c r="A1417">
        <v>1575782</v>
      </c>
      <c r="B1417" t="s">
        <v>18</v>
      </c>
      <c r="C1417" t="s">
        <v>100</v>
      </c>
      <c r="D1417" t="s">
        <v>101</v>
      </c>
      <c r="E1417" t="s">
        <v>102</v>
      </c>
      <c r="F1417" t="s">
        <v>22</v>
      </c>
      <c r="G1417" t="s">
        <v>83</v>
      </c>
      <c r="H1417" t="s">
        <v>58</v>
      </c>
      <c r="I1417" t="s">
        <v>25</v>
      </c>
      <c r="J1417" s="2">
        <v>45849.517523148148</v>
      </c>
      <c r="K1417">
        <v>11</v>
      </c>
      <c r="L1417">
        <v>7</v>
      </c>
      <c r="M1417">
        <v>2025</v>
      </c>
      <c r="N1417" t="s">
        <v>27</v>
      </c>
      <c r="O1417">
        <v>250</v>
      </c>
      <c r="P1417">
        <v>250</v>
      </c>
      <c r="R1417" s="3" t="str">
        <f>HYPERLINK("https://panda.att.com.mx/ODKServer/view/binaryData?blobKey=FSSuministroFluidosv3%5B%40version%3Dnull+and+%40uiVersion%3Dnull%5D%2Fdata%5B%40key%3Duuid%3A93baec73-9803-42cb-b44c-a825d54ad963%5D%2FgroupInfoFuel%5B%40ordinal%3D1%5D%2FpicFuelRecibeInterno","Descargar")</f>
        <v>Descargar</v>
      </c>
    </row>
    <row r="1418" spans="1:18" x14ac:dyDescent="0.3">
      <c r="A1418">
        <v>1575776</v>
      </c>
      <c r="B1418" t="s">
        <v>18</v>
      </c>
      <c r="C1418" t="s">
        <v>55</v>
      </c>
      <c r="D1418" t="s">
        <v>366</v>
      </c>
      <c r="E1418" t="s">
        <v>1531</v>
      </c>
      <c r="F1418" t="s">
        <v>22</v>
      </c>
      <c r="G1418" t="s">
        <v>23</v>
      </c>
      <c r="H1418" t="s">
        <v>58</v>
      </c>
      <c r="I1418" t="s">
        <v>25</v>
      </c>
      <c r="J1418" s="2">
        <v>45849.652337962973</v>
      </c>
      <c r="K1418">
        <v>11</v>
      </c>
      <c r="L1418">
        <v>7</v>
      </c>
      <c r="M1418">
        <v>2025</v>
      </c>
      <c r="N1418" t="s">
        <v>27</v>
      </c>
      <c r="O1418">
        <v>182</v>
      </c>
      <c r="P1418">
        <v>182</v>
      </c>
      <c r="R1418" s="3" t="str">
        <f>HYPERLINK("https://panda.att.com.mx/ODKServer/view/binaryData?blobKey=FSSuministroFluidosv3%5B%40version%3Dnull+and+%40uiVersion%3Dnull%5D%2Fdata%5B%40key%3Duuid%3A03c023fd-e543-4c80-911d-4ccf846251df%5D%2FgroupInfoFuel%5B%40ordinal%3D1%5D%2FpicFuelRecibeInterno","Descargar")</f>
        <v>Descargar</v>
      </c>
    </row>
    <row r="1419" spans="1:18" x14ac:dyDescent="0.3">
      <c r="A1419">
        <v>1575748</v>
      </c>
      <c r="B1419" t="s">
        <v>18</v>
      </c>
      <c r="C1419" t="s">
        <v>19</v>
      </c>
      <c r="D1419" t="s">
        <v>45</v>
      </c>
      <c r="E1419" t="s">
        <v>1671</v>
      </c>
      <c r="F1419" t="s">
        <v>22</v>
      </c>
      <c r="G1419" t="s">
        <v>23</v>
      </c>
      <c r="H1419" t="s">
        <v>24</v>
      </c>
      <c r="I1419" t="s">
        <v>25</v>
      </c>
      <c r="J1419" s="2">
        <v>45849.773796296293</v>
      </c>
      <c r="K1419">
        <v>11</v>
      </c>
      <c r="L1419">
        <v>7</v>
      </c>
      <c r="M1419">
        <v>2025</v>
      </c>
      <c r="N1419" t="s">
        <v>27</v>
      </c>
      <c r="O1419">
        <v>250</v>
      </c>
      <c r="P1419">
        <v>250</v>
      </c>
      <c r="R1419" s="3" t="str">
        <f>HYPERLINK("https://panda.att.com.mx/ODKServer/view/binaryData?blobKey=FSSuministroFluidosv3%5B%40version%3Dnull+and+%40uiVersion%3Dnull%5D%2Fdata%5B%40key%3Duuid%3A3a48d7f3-66c9-4ed2-8270-44a91ae59786%5D%2FgroupInfoFuel%5B%40ordinal%3D1%5D%2FpicFuelRecibeInterno","Descargar")</f>
        <v>Descargar</v>
      </c>
    </row>
    <row r="1420" spans="1:18" x14ac:dyDescent="0.3">
      <c r="A1420">
        <v>1575742</v>
      </c>
      <c r="B1420" t="s">
        <v>18</v>
      </c>
      <c r="C1420" t="s">
        <v>34</v>
      </c>
      <c r="D1420" t="s">
        <v>121</v>
      </c>
      <c r="E1420" t="s">
        <v>1672</v>
      </c>
      <c r="F1420" t="s">
        <v>22</v>
      </c>
      <c r="G1420" t="s">
        <v>23</v>
      </c>
      <c r="H1420" t="s">
        <v>37</v>
      </c>
      <c r="I1420" t="s">
        <v>25</v>
      </c>
      <c r="J1420" s="2">
        <v>45849.600162037037</v>
      </c>
      <c r="K1420">
        <v>11</v>
      </c>
      <c r="L1420">
        <v>7</v>
      </c>
      <c r="M1420">
        <v>2025</v>
      </c>
      <c r="N1420" t="s">
        <v>27</v>
      </c>
      <c r="O1420">
        <v>200</v>
      </c>
      <c r="P1420">
        <v>200</v>
      </c>
      <c r="R1420" s="3" t="str">
        <f>HYPERLINK("https://panda.att.com.mx/ODKServer/view/binaryData?blobKey=FSSuministroFluidosv3%5B%40version%3Dnull+and+%40uiVersion%3Dnull%5D%2Fdata%5B%40key%3Duuid%3A3e777b18-ad8f-4bf4-a4dc-a82b74ec0f12%5D%2FgroupInfoFuel%5B%40ordinal%3D1%5D%2FpicFuelRecibeInterno","Descargar")</f>
        <v>Descargar</v>
      </c>
    </row>
    <row r="1421" spans="1:18" x14ac:dyDescent="0.3">
      <c r="A1421">
        <v>1575721</v>
      </c>
      <c r="B1421" t="s">
        <v>18</v>
      </c>
      <c r="C1421" t="s">
        <v>34</v>
      </c>
      <c r="D1421" t="s">
        <v>53</v>
      </c>
      <c r="E1421" t="s">
        <v>144</v>
      </c>
      <c r="F1421" t="s">
        <v>22</v>
      </c>
      <c r="G1421" t="s">
        <v>23</v>
      </c>
      <c r="H1421" t="s">
        <v>37</v>
      </c>
      <c r="I1421" t="s">
        <v>25</v>
      </c>
      <c r="J1421" s="2">
        <v>45849.726655092592</v>
      </c>
      <c r="K1421">
        <v>11</v>
      </c>
      <c r="L1421">
        <v>7</v>
      </c>
      <c r="M1421">
        <v>2025</v>
      </c>
      <c r="N1421" t="s">
        <v>27</v>
      </c>
      <c r="O1421">
        <v>350</v>
      </c>
      <c r="P1421">
        <v>350</v>
      </c>
      <c r="R1421" s="3" t="str">
        <f>HYPERLINK("https://panda.att.com.mx/ODKServer/view/binaryData?blobKey=FSSuministroFluidosv3%5B%40version%3Dnull+and+%40uiVersion%3Dnull%5D%2Fdata%5B%40key%3Duuid%3A7590cc30-75dc-4502-90b0-5c0452685700%5D%2FgroupInfoFuel%5B%40ordinal%3D1%5D%2FpicFuelRecibeInterno","Descargar")</f>
        <v>Descargar</v>
      </c>
    </row>
    <row r="1422" spans="1:18" x14ac:dyDescent="0.3">
      <c r="A1422">
        <v>1575720</v>
      </c>
      <c r="B1422" t="s">
        <v>18</v>
      </c>
      <c r="C1422" t="s">
        <v>59</v>
      </c>
      <c r="D1422" t="s">
        <v>1242</v>
      </c>
      <c r="E1422" t="s">
        <v>1513</v>
      </c>
      <c r="F1422" t="s">
        <v>22</v>
      </c>
      <c r="G1422" t="s">
        <v>83</v>
      </c>
      <c r="H1422" t="s">
        <v>37</v>
      </c>
      <c r="I1422" t="s">
        <v>25</v>
      </c>
      <c r="J1422" s="2">
        <v>45849.633148148147</v>
      </c>
      <c r="K1422">
        <v>11</v>
      </c>
      <c r="L1422">
        <v>7</v>
      </c>
      <c r="M1422">
        <v>2025</v>
      </c>
      <c r="N1422" t="s">
        <v>27</v>
      </c>
      <c r="O1422">
        <v>400</v>
      </c>
      <c r="P1422">
        <v>400</v>
      </c>
      <c r="R1422" s="3" t="str">
        <f>HYPERLINK("https://panda.att.com.mx/ODKServer/view/binaryData?blobKey=FSSuministroFluidosv3%5B%40version%3Dnull+and+%40uiVersion%3Dnull%5D%2Fdata%5B%40key%3Duuid%3A935c89bf-2447-4546-8902-c26f8ff91db4%5D%2FgroupInfoFuel%5B%40ordinal%3D1%5D%2FpicFuelRecibeInterno","Descargar")</f>
        <v>Descargar</v>
      </c>
    </row>
    <row r="1423" spans="1:18" x14ac:dyDescent="0.3">
      <c r="A1423">
        <v>1575669</v>
      </c>
      <c r="B1423" t="s">
        <v>18</v>
      </c>
      <c r="C1423" t="s">
        <v>19</v>
      </c>
      <c r="D1423" t="s">
        <v>189</v>
      </c>
      <c r="E1423" t="s">
        <v>1673</v>
      </c>
      <c r="F1423" t="s">
        <v>22</v>
      </c>
      <c r="G1423" t="s">
        <v>23</v>
      </c>
      <c r="H1423" t="s">
        <v>24</v>
      </c>
      <c r="I1423" t="s">
        <v>25</v>
      </c>
      <c r="J1423" s="2">
        <v>45842.454502314817</v>
      </c>
      <c r="K1423">
        <v>4</v>
      </c>
      <c r="L1423">
        <v>7</v>
      </c>
      <c r="M1423">
        <v>2025</v>
      </c>
      <c r="N1423" t="s">
        <v>27</v>
      </c>
      <c r="O1423">
        <v>150</v>
      </c>
      <c r="P1423">
        <v>150</v>
      </c>
      <c r="R1423" s="3" t="str">
        <f>HYPERLINK("https://panda.att.com.mx/ODKServer/view/binaryData?blobKey=FSSuministroFluidosv3%5B%40version%3Dnull+and+%40uiVersion%3Dnull%5D%2Fdata%5B%40key%3Duuid%3A77492b2b-6074-4109-824c-dbea626faea6%5D%2FgroupInfoFuel%5B%40ordinal%3D1%5D%2FpicFuelRecibeInterno","Descargar")</f>
        <v>Descargar</v>
      </c>
    </row>
    <row r="1424" spans="1:18" x14ac:dyDescent="0.3">
      <c r="A1424">
        <v>1575617</v>
      </c>
      <c r="B1424" t="s">
        <v>18</v>
      </c>
      <c r="C1424" t="s">
        <v>19</v>
      </c>
      <c r="D1424" t="s">
        <v>62</v>
      </c>
      <c r="E1424" t="s">
        <v>1674</v>
      </c>
      <c r="F1424" t="s">
        <v>22</v>
      </c>
      <c r="G1424" t="s">
        <v>23</v>
      </c>
      <c r="H1424" t="s">
        <v>24</v>
      </c>
      <c r="I1424" t="s">
        <v>25</v>
      </c>
      <c r="J1424" s="2">
        <v>45849.680706018517</v>
      </c>
      <c r="K1424">
        <v>11</v>
      </c>
      <c r="L1424">
        <v>7</v>
      </c>
      <c r="M1424">
        <v>2025</v>
      </c>
      <c r="N1424" t="s">
        <v>44</v>
      </c>
      <c r="O1424">
        <v>15</v>
      </c>
      <c r="P1424">
        <v>15</v>
      </c>
      <c r="R1424" s="3" t="str">
        <f>HYPERLINK("https://panda.att.com.mx/ODKServer/view/binaryData?blobKey=FSSuministroFluidosv3%5B%40version%3Dnull+and+%40uiVersion%3Dnull%5D%2Fdata%5B%40key%3Duuid%3A70b67cb1-d8d6-4b9d-a101-9ff1661af0fc%5D%2FgroupInfoFuel%5B%40ordinal%3D1%5D%2FpicFuelRecibeInterno","Descargar")</f>
        <v>Descargar</v>
      </c>
    </row>
    <row r="1425" spans="1:18" x14ac:dyDescent="0.3">
      <c r="A1425">
        <v>1575547</v>
      </c>
      <c r="B1425" t="s">
        <v>18</v>
      </c>
      <c r="C1425" t="s">
        <v>55</v>
      </c>
      <c r="D1425" t="s">
        <v>887</v>
      </c>
      <c r="E1425" t="s">
        <v>888</v>
      </c>
      <c r="F1425" t="s">
        <v>22</v>
      </c>
      <c r="G1425" t="s">
        <v>23</v>
      </c>
      <c r="H1425" t="s">
        <v>58</v>
      </c>
      <c r="I1425" t="s">
        <v>25</v>
      </c>
      <c r="J1425" s="2">
        <v>45849.57371527778</v>
      </c>
      <c r="K1425">
        <v>11</v>
      </c>
      <c r="L1425">
        <v>7</v>
      </c>
      <c r="M1425">
        <v>2025</v>
      </c>
      <c r="N1425" t="s">
        <v>27</v>
      </c>
      <c r="O1425">
        <v>250</v>
      </c>
      <c r="P1425">
        <v>250</v>
      </c>
      <c r="R1425" s="3" t="str">
        <f>HYPERLINK("https://panda.att.com.mx/ODKServer/view/binaryData?blobKey=FSSuministroFluidosv3%5B%40version%3Dnull+and+%40uiVersion%3Dnull%5D%2Fdata%5B%40key%3Duuid%3A47f48e1e-bc9f-464d-8557-cdb04cc53990%5D%2FgroupInfoFuel%5B%40ordinal%3D1%5D%2FpicFuelRecibeInterno","Descargar")</f>
        <v>Descargar</v>
      </c>
    </row>
    <row r="1426" spans="1:18" x14ac:dyDescent="0.3">
      <c r="A1426">
        <v>1575540</v>
      </c>
      <c r="B1426" t="s">
        <v>18</v>
      </c>
      <c r="C1426" t="s">
        <v>28</v>
      </c>
      <c r="D1426" t="s">
        <v>66</v>
      </c>
      <c r="E1426" t="s">
        <v>1675</v>
      </c>
      <c r="F1426" t="s">
        <v>22</v>
      </c>
      <c r="G1426" t="s">
        <v>23</v>
      </c>
      <c r="H1426" t="s">
        <v>24</v>
      </c>
      <c r="I1426" t="s">
        <v>25</v>
      </c>
      <c r="J1426" s="2">
        <v>45849.555243055547</v>
      </c>
      <c r="K1426">
        <v>11</v>
      </c>
      <c r="L1426">
        <v>7</v>
      </c>
      <c r="M1426">
        <v>2025</v>
      </c>
      <c r="N1426" t="s">
        <v>44</v>
      </c>
      <c r="O1426">
        <v>40</v>
      </c>
      <c r="Q1426">
        <v>40</v>
      </c>
      <c r="R1426" s="3" t="str">
        <f>HYPERLINK("https://panda.att.com.mx/ODKServer/view/binaryData?blobKey=FSSuministroFluidosv3%5B%40version%3Dnull+and+%40uiVersion%3Dnull%5D%2Fdata%5B%40key%3Duuid%3A232ae7e5-9063-49bb-830f-ce7f771da6cd%5D%2FgroupInfoFuel%5B%40ordinal%3D1%5D%2FpicFuelRecibeInterno","Descargar")</f>
        <v>Descargar</v>
      </c>
    </row>
    <row r="1427" spans="1:18" x14ac:dyDescent="0.3">
      <c r="A1427">
        <v>1574556</v>
      </c>
      <c r="B1427" t="s">
        <v>18</v>
      </c>
      <c r="C1427" t="s">
        <v>19</v>
      </c>
      <c r="D1427" t="s">
        <v>189</v>
      </c>
      <c r="E1427" t="s">
        <v>1673</v>
      </c>
      <c r="F1427" t="s">
        <v>22</v>
      </c>
      <c r="G1427" t="s">
        <v>23</v>
      </c>
      <c r="H1427" t="s">
        <v>24</v>
      </c>
      <c r="I1427" t="s">
        <v>25</v>
      </c>
      <c r="J1427" s="2">
        <v>45847.788275462961</v>
      </c>
      <c r="K1427">
        <v>9</v>
      </c>
      <c r="L1427">
        <v>7</v>
      </c>
      <c r="M1427">
        <v>2025</v>
      </c>
      <c r="N1427" t="s">
        <v>27</v>
      </c>
      <c r="O1427">
        <v>300</v>
      </c>
      <c r="P1427">
        <v>300</v>
      </c>
      <c r="R1427" s="3" t="str">
        <f>HYPERLINK("https://panda.att.com.mx/ODKServer/view/binaryData?blobKey=FSSuministroFluidosv3%5B%40version%3Dnull+and+%40uiVersion%3Dnull%5D%2Fdata%5B%40key%3Duuid%3Afa326b24-e103-4948-852b-88afcb0742dc%5D%2FgroupInfoFuel%5B%40ordinal%3D1%5D%2FpicFuelRecibeInterno","Descargar")</f>
        <v>Descargar</v>
      </c>
    </row>
    <row r="1428" spans="1:18" x14ac:dyDescent="0.3">
      <c r="A1428">
        <v>1574339</v>
      </c>
      <c r="B1428" t="s">
        <v>18</v>
      </c>
      <c r="C1428" t="s">
        <v>167</v>
      </c>
      <c r="D1428" t="s">
        <v>264</v>
      </c>
      <c r="E1428" t="s">
        <v>284</v>
      </c>
      <c r="F1428" t="s">
        <v>22</v>
      </c>
      <c r="G1428" t="s">
        <v>83</v>
      </c>
      <c r="H1428" t="s">
        <v>58</v>
      </c>
      <c r="I1428" t="s">
        <v>25</v>
      </c>
      <c r="J1428" s="2">
        <v>45846.533634259264</v>
      </c>
      <c r="K1428">
        <v>8</v>
      </c>
      <c r="L1428">
        <v>7</v>
      </c>
      <c r="M1428">
        <v>2025</v>
      </c>
      <c r="N1428" t="s">
        <v>27</v>
      </c>
      <c r="O1428">
        <v>500</v>
      </c>
      <c r="P1428">
        <v>500</v>
      </c>
      <c r="R1428" s="3" t="str">
        <f>HYPERLINK("https://panda.att.com.mx/ODKServer/view/binaryData?blobKey=FSSuministroFluidosv3%5B%40version%3Dnull+and+%40uiVersion%3Dnull%5D%2Fdata%5B%40key%3Duuid%3A5475fe5f-cfb8-4815-8567-c9955e0c266b%5D%2FgroupInfoFuel%5B%40ordinal%3D1%5D%2FpicFuelRecibeInterno","Descargar")</f>
        <v>Descargar</v>
      </c>
    </row>
    <row r="1429" spans="1:18" x14ac:dyDescent="0.3">
      <c r="A1429">
        <v>1574338</v>
      </c>
      <c r="B1429" t="s">
        <v>18</v>
      </c>
      <c r="C1429" t="s">
        <v>167</v>
      </c>
      <c r="D1429" t="s">
        <v>264</v>
      </c>
      <c r="E1429" t="s">
        <v>284</v>
      </c>
      <c r="F1429" t="s">
        <v>22</v>
      </c>
      <c r="G1429" t="s">
        <v>47</v>
      </c>
      <c r="H1429" t="s">
        <v>58</v>
      </c>
      <c r="I1429" t="s">
        <v>25</v>
      </c>
      <c r="J1429" s="2">
        <v>45843.484178240738</v>
      </c>
      <c r="K1429">
        <v>5</v>
      </c>
      <c r="L1429">
        <v>7</v>
      </c>
      <c r="M1429">
        <v>2025</v>
      </c>
      <c r="N1429" t="s">
        <v>27</v>
      </c>
      <c r="O1429">
        <v>400</v>
      </c>
      <c r="P1429">
        <v>400</v>
      </c>
      <c r="R1429" s="3" t="str">
        <f>HYPERLINK("https://panda.att.com.mx/ODKServer/view/binaryData?blobKey=FSSuministroFluidosv3%5B%40version%3Dnull+and+%40uiVersion%3Dnull%5D%2Fdata%5B%40key%3Duuid%3A865a9661-7369-4a9f-ab3c-74c3b67b4300%5D%2FgroupInfoFuel%5B%40ordinal%3D1%5D%2FpicFuelRecibeInterno","Descargar")</f>
        <v>Descargar</v>
      </c>
    </row>
    <row r="1430" spans="1:18" x14ac:dyDescent="0.3">
      <c r="A1430">
        <v>1574325</v>
      </c>
      <c r="B1430" t="s">
        <v>18</v>
      </c>
      <c r="C1430" t="s">
        <v>19</v>
      </c>
      <c r="D1430" t="s">
        <v>45</v>
      </c>
      <c r="E1430" t="s">
        <v>1676</v>
      </c>
      <c r="F1430" t="s">
        <v>22</v>
      </c>
      <c r="G1430" t="s">
        <v>23</v>
      </c>
      <c r="H1430" t="s">
        <v>24</v>
      </c>
      <c r="I1430" t="s">
        <v>25</v>
      </c>
      <c r="J1430" s="2">
        <v>45847.415196759262</v>
      </c>
      <c r="K1430">
        <v>9</v>
      </c>
      <c r="L1430">
        <v>7</v>
      </c>
      <c r="M1430">
        <v>2025</v>
      </c>
      <c r="N1430" t="s">
        <v>27</v>
      </c>
      <c r="O1430">
        <v>200</v>
      </c>
      <c r="P1430">
        <v>200</v>
      </c>
      <c r="R1430" s="3" t="str">
        <f>HYPERLINK("https://panda.att.com.mx/ODKServer/view/binaryData?blobKey=FSSuministroFluidosv3%5B%40version%3Dnull+and+%40uiVersion%3Dnull%5D%2Fdata%5B%40key%3Duuid%3Aeafc3c45-396c-4795-bd8f-41ce56269cef%5D%2FgroupInfoFuel%5B%40ordinal%3D1%5D%2FpicFuelRecibeInterno","Descargar")</f>
        <v>Descargar</v>
      </c>
    </row>
    <row r="1431" spans="1:18" x14ac:dyDescent="0.3">
      <c r="A1431">
        <v>1574290</v>
      </c>
      <c r="B1431" t="s">
        <v>18</v>
      </c>
      <c r="C1431" t="s">
        <v>68</v>
      </c>
      <c r="D1431" t="s">
        <v>91</v>
      </c>
      <c r="E1431" t="s">
        <v>1677</v>
      </c>
      <c r="F1431" t="s">
        <v>22</v>
      </c>
      <c r="G1431" t="s">
        <v>23</v>
      </c>
      <c r="H1431" t="s">
        <v>37</v>
      </c>
      <c r="I1431" t="s">
        <v>25</v>
      </c>
      <c r="J1431" s="2">
        <v>45847.783773148149</v>
      </c>
      <c r="K1431">
        <v>9</v>
      </c>
      <c r="L1431">
        <v>7</v>
      </c>
      <c r="M1431">
        <v>2025</v>
      </c>
      <c r="N1431" t="s">
        <v>27</v>
      </c>
      <c r="O1431">
        <v>130</v>
      </c>
      <c r="P1431">
        <v>130</v>
      </c>
      <c r="R1431" s="3" t="str">
        <f>HYPERLINK("https://panda.att.com.mx/ODKServer/view/binaryData?blobKey=FSSuministroFluidosv3%5B%40version%3Dnull+and+%40uiVersion%3Dnull%5D%2Fdata%5B%40key%3Duuid%3Aaaf1a345-453e-4b84-94fe-4d83429f02a0%5D%2FgroupInfoFuel%5B%40ordinal%3D1%5D%2FpicFuelRecibeInterno","Descargar")</f>
        <v>Descargar</v>
      </c>
    </row>
    <row r="1432" spans="1:18" x14ac:dyDescent="0.3">
      <c r="A1432">
        <v>1574262</v>
      </c>
      <c r="B1432" t="s">
        <v>18</v>
      </c>
      <c r="C1432" t="s">
        <v>28</v>
      </c>
      <c r="D1432" t="s">
        <v>192</v>
      </c>
      <c r="E1432" t="s">
        <v>1678</v>
      </c>
      <c r="F1432" t="s">
        <v>22</v>
      </c>
      <c r="G1432" t="s">
        <v>23</v>
      </c>
      <c r="H1432" t="s">
        <v>24</v>
      </c>
      <c r="I1432" t="s">
        <v>25</v>
      </c>
      <c r="J1432" s="2">
        <v>45840.861863425933</v>
      </c>
      <c r="K1432">
        <v>2</v>
      </c>
      <c r="L1432">
        <v>7</v>
      </c>
      <c r="M1432">
        <v>2025</v>
      </c>
      <c r="N1432" t="s">
        <v>44</v>
      </c>
      <c r="O1432">
        <v>60</v>
      </c>
      <c r="P1432">
        <v>60</v>
      </c>
      <c r="R1432" s="3" t="str">
        <f>HYPERLINK("https://panda.att.com.mx/ODKServer/view/binaryData?blobKey=FSSuministroFluidosv3%5B%40version%3Dnull+and+%40uiVersion%3Dnull%5D%2Fdata%5B%40key%3Duuid%3A93d6216b-095a-499f-9b23-fe91236c026a%5D%2FgroupInfoFuel%5B%40ordinal%3D1%5D%2FpicFuelRecibeInterno","Descargar")</f>
        <v>Descargar</v>
      </c>
    </row>
    <row r="1433" spans="1:18" x14ac:dyDescent="0.3">
      <c r="A1433">
        <v>1574256</v>
      </c>
      <c r="B1433" t="s">
        <v>18</v>
      </c>
      <c r="C1433" t="s">
        <v>183</v>
      </c>
      <c r="D1433" t="s">
        <v>271</v>
      </c>
      <c r="E1433" t="s">
        <v>272</v>
      </c>
      <c r="F1433" t="s">
        <v>22</v>
      </c>
      <c r="G1433" t="s">
        <v>23</v>
      </c>
      <c r="H1433" t="s">
        <v>37</v>
      </c>
      <c r="I1433" t="s">
        <v>25</v>
      </c>
      <c r="J1433" s="2">
        <v>45847.685393518521</v>
      </c>
      <c r="K1433">
        <v>9</v>
      </c>
      <c r="L1433">
        <v>7</v>
      </c>
      <c r="M1433">
        <v>2025</v>
      </c>
      <c r="N1433" t="s">
        <v>27</v>
      </c>
      <c r="O1433">
        <v>80</v>
      </c>
      <c r="P1433">
        <v>80</v>
      </c>
      <c r="R1433" s="3" t="str">
        <f>HYPERLINK("https://panda.att.com.mx/ODKServer/view/binaryData?blobKey=FSSuministroFluidosv3%5B%40version%3Dnull+and+%40uiVersion%3Dnull%5D%2Fdata%5B%40key%3Duuid%3A462cd965-db8f-41b3-aa95-e504d5246841%5D%2FgroupInfoFuel%5B%40ordinal%3D1%5D%2FpicFuelRecibeInterno","Descargar")</f>
        <v>Descargar</v>
      </c>
    </row>
    <row r="1434" spans="1:18" x14ac:dyDescent="0.3">
      <c r="A1434">
        <v>1574230</v>
      </c>
      <c r="B1434" t="s">
        <v>18</v>
      </c>
      <c r="C1434" t="s">
        <v>19</v>
      </c>
      <c r="D1434" t="s">
        <v>347</v>
      </c>
      <c r="E1434" t="s">
        <v>1679</v>
      </c>
      <c r="F1434" t="s">
        <v>22</v>
      </c>
      <c r="G1434" t="s">
        <v>23</v>
      </c>
      <c r="H1434" t="s">
        <v>24</v>
      </c>
      <c r="I1434" t="s">
        <v>25</v>
      </c>
      <c r="J1434" s="2">
        <v>45847.283726851849</v>
      </c>
      <c r="K1434">
        <v>9</v>
      </c>
      <c r="L1434">
        <v>7</v>
      </c>
      <c r="M1434">
        <v>2025</v>
      </c>
      <c r="N1434" t="s">
        <v>44</v>
      </c>
      <c r="O1434">
        <v>50</v>
      </c>
      <c r="P1434">
        <v>50</v>
      </c>
      <c r="R1434" s="3" t="str">
        <f>HYPERLINK("https://panda.att.com.mx/ODKServer/view/binaryData?blobKey=FSSuministroFluidosv3%5B%40version%3Dnull+and+%40uiVersion%3Dnull%5D%2Fdata%5B%40key%3Duuid%3A117027e8-a4f0-41a8-b0c1-dde2dc77305b%5D%2FgroupInfoFuel%5B%40ordinal%3D1%5D%2FpicFuelRecibeInterno","Descargar")</f>
        <v>Descargar</v>
      </c>
    </row>
    <row r="1435" spans="1:18" x14ac:dyDescent="0.3">
      <c r="A1435">
        <v>1574186</v>
      </c>
      <c r="B1435" t="s">
        <v>18</v>
      </c>
      <c r="C1435" t="s">
        <v>59</v>
      </c>
      <c r="D1435" t="s">
        <v>233</v>
      </c>
      <c r="E1435" t="s">
        <v>1680</v>
      </c>
      <c r="F1435" t="s">
        <v>22</v>
      </c>
      <c r="G1435" t="s">
        <v>23</v>
      </c>
      <c r="H1435" t="s">
        <v>37</v>
      </c>
      <c r="I1435" t="s">
        <v>25</v>
      </c>
      <c r="J1435" s="2">
        <v>45846.704155092593</v>
      </c>
      <c r="K1435">
        <v>8</v>
      </c>
      <c r="L1435">
        <v>7</v>
      </c>
      <c r="M1435">
        <v>2025</v>
      </c>
      <c r="N1435" t="s">
        <v>27</v>
      </c>
      <c r="O1435">
        <v>350</v>
      </c>
      <c r="P1435">
        <v>350</v>
      </c>
      <c r="R1435" s="3" t="str">
        <f>HYPERLINK("https://panda.att.com.mx/ODKServer/view/binaryData?blobKey=FSSuministroFluidosv3%5B%40version%3Dnull+and+%40uiVersion%3Dnull%5D%2Fdata%5B%40key%3Duuid%3Aacade64c-12b4-4552-a223-41db492062ad%5D%2FgroupInfoFuel%5B%40ordinal%3D1%5D%2FpicFuelRecibeInterno","Descargar")</f>
        <v>Descargar</v>
      </c>
    </row>
    <row r="1436" spans="1:18" x14ac:dyDescent="0.3">
      <c r="A1436">
        <v>1574094</v>
      </c>
      <c r="B1436" t="s">
        <v>18</v>
      </c>
      <c r="C1436" t="s">
        <v>55</v>
      </c>
      <c r="D1436" t="s">
        <v>366</v>
      </c>
      <c r="E1436" t="s">
        <v>1531</v>
      </c>
      <c r="F1436" t="s">
        <v>22</v>
      </c>
      <c r="G1436" t="s">
        <v>23</v>
      </c>
      <c r="H1436" t="s">
        <v>58</v>
      </c>
      <c r="I1436" t="s">
        <v>25</v>
      </c>
      <c r="J1436" s="2">
        <v>45847.63453703704</v>
      </c>
      <c r="K1436">
        <v>9</v>
      </c>
      <c r="L1436">
        <v>7</v>
      </c>
      <c r="M1436">
        <v>2025</v>
      </c>
      <c r="N1436" t="s">
        <v>27</v>
      </c>
      <c r="O1436">
        <v>150</v>
      </c>
      <c r="P1436">
        <v>150</v>
      </c>
      <c r="R1436" s="3" t="str">
        <f>HYPERLINK("https://panda.att.com.mx/ODKServer/view/binaryData?blobKey=FSSuministroFluidosv3%5B%40version%3Dnull+and+%40uiVersion%3Dnull%5D%2Fdata%5B%40key%3Duuid%3A5d609f16-5943-47b9-b2ec-28f547a3dc41%5D%2FgroupInfoFuel%5B%40ordinal%3D1%5D%2FpicFuelRecibeInterno","Descargar")</f>
        <v>Descargar</v>
      </c>
    </row>
    <row r="1437" spans="1:18" x14ac:dyDescent="0.3">
      <c r="A1437">
        <v>1574088</v>
      </c>
      <c r="B1437" t="s">
        <v>18</v>
      </c>
      <c r="C1437" t="s">
        <v>100</v>
      </c>
      <c r="D1437" t="s">
        <v>651</v>
      </c>
      <c r="E1437" t="s">
        <v>1681</v>
      </c>
      <c r="F1437" t="s">
        <v>22</v>
      </c>
      <c r="G1437" t="s">
        <v>23</v>
      </c>
      <c r="H1437" t="s">
        <v>58</v>
      </c>
      <c r="I1437" t="s">
        <v>25</v>
      </c>
      <c r="J1437" s="2">
        <v>45847.715925925928</v>
      </c>
      <c r="K1437">
        <v>9</v>
      </c>
      <c r="L1437">
        <v>7</v>
      </c>
      <c r="M1437">
        <v>2025</v>
      </c>
      <c r="N1437" t="s">
        <v>27</v>
      </c>
      <c r="O1437">
        <v>300</v>
      </c>
      <c r="P1437">
        <v>300</v>
      </c>
      <c r="R1437" s="3" t="str">
        <f>HYPERLINK("https://panda.att.com.mx/ODKServer/view/binaryData?blobKey=FSSuministroFluidosv3%5B%40version%3Dnull+and+%40uiVersion%3Dnull%5D%2Fdata%5B%40key%3Duuid%3Afa64f657-4fb2-4923-a023-50b39763dc15%5D%2FgroupInfoFuel%5B%40ordinal%3D1%5D%2FpicFuelRecibeInterno","Descargar")</f>
        <v>Descargar</v>
      </c>
    </row>
    <row r="1438" spans="1:18" x14ac:dyDescent="0.3">
      <c r="A1438">
        <v>1574080</v>
      </c>
      <c r="B1438" t="s">
        <v>18</v>
      </c>
      <c r="C1438" t="s">
        <v>28</v>
      </c>
      <c r="D1438" t="s">
        <v>1054</v>
      </c>
      <c r="E1438" t="s">
        <v>1682</v>
      </c>
      <c r="F1438" t="s">
        <v>22</v>
      </c>
      <c r="G1438" t="s">
        <v>23</v>
      </c>
      <c r="H1438" t="s">
        <v>24</v>
      </c>
      <c r="I1438" t="s">
        <v>25</v>
      </c>
      <c r="J1438" s="2">
        <v>45847.75886574074</v>
      </c>
      <c r="K1438">
        <v>9</v>
      </c>
      <c r="L1438">
        <v>7</v>
      </c>
      <c r="M1438">
        <v>2025</v>
      </c>
      <c r="N1438" t="s">
        <v>44</v>
      </c>
      <c r="O1438">
        <v>30</v>
      </c>
      <c r="P1438">
        <v>30</v>
      </c>
      <c r="R1438" s="3" t="str">
        <f>HYPERLINK("https://panda.att.com.mx/ODKServer/view/binaryData?blobKey=FSSuministroFluidosv3%5B%40version%3Dnull+and+%40uiVersion%3Dnull%5D%2Fdata%5B%40key%3Duuid%3Adcab32c0-054a-45af-b597-46e7b9d3e817%5D%2FgroupInfoFuel%5B%40ordinal%3D1%5D%2FpicFuelRecibeInterno","Descargar")</f>
        <v>Descargar</v>
      </c>
    </row>
    <row r="1439" spans="1:18" x14ac:dyDescent="0.3">
      <c r="A1439">
        <v>1573892</v>
      </c>
      <c r="B1439" t="s">
        <v>18</v>
      </c>
      <c r="C1439" t="s">
        <v>100</v>
      </c>
      <c r="D1439" t="s">
        <v>716</v>
      </c>
      <c r="E1439" t="s">
        <v>1238</v>
      </c>
      <c r="F1439" t="s">
        <v>22</v>
      </c>
      <c r="G1439" t="s">
        <v>23</v>
      </c>
      <c r="H1439" t="s">
        <v>58</v>
      </c>
      <c r="I1439" t="s">
        <v>25</v>
      </c>
      <c r="J1439" s="2">
        <v>45847.684131944443</v>
      </c>
      <c r="K1439">
        <v>9</v>
      </c>
      <c r="L1439">
        <v>7</v>
      </c>
      <c r="M1439">
        <v>2025</v>
      </c>
      <c r="N1439" t="s">
        <v>27</v>
      </c>
      <c r="O1439">
        <v>300</v>
      </c>
      <c r="P1439">
        <v>300</v>
      </c>
      <c r="R1439" s="3" t="str">
        <f>HYPERLINK("https://panda.att.com.mx/ODKServer/view/binaryData?blobKey=FSSuministroFluidosv3%5B%40version%3Dnull+and+%40uiVersion%3Dnull%5D%2Fdata%5B%40key%3Duuid%3Ab9c4bcfc-24b1-4469-99af-c41b9190fd36%5D%2FgroupInfoFuel%5B%40ordinal%3D1%5D%2FpicFuelRecibeInterno","Descargar")</f>
        <v>Descargar</v>
      </c>
    </row>
    <row r="1440" spans="1:18" x14ac:dyDescent="0.3">
      <c r="A1440">
        <v>1573745</v>
      </c>
      <c r="B1440" t="s">
        <v>18</v>
      </c>
      <c r="C1440" t="s">
        <v>183</v>
      </c>
      <c r="D1440" t="s">
        <v>271</v>
      </c>
      <c r="E1440" t="s">
        <v>272</v>
      </c>
      <c r="F1440" t="s">
        <v>22</v>
      </c>
      <c r="G1440" t="s">
        <v>23</v>
      </c>
      <c r="H1440" t="s">
        <v>37</v>
      </c>
      <c r="I1440" t="s">
        <v>25</v>
      </c>
      <c r="J1440" s="2">
        <v>45847.570231481477</v>
      </c>
      <c r="K1440">
        <v>9</v>
      </c>
      <c r="L1440">
        <v>7</v>
      </c>
      <c r="M1440">
        <v>2025</v>
      </c>
      <c r="N1440" t="s">
        <v>27</v>
      </c>
      <c r="O1440">
        <v>120</v>
      </c>
      <c r="P1440">
        <v>120</v>
      </c>
      <c r="R1440" s="3" t="str">
        <f>HYPERLINK("https://panda.att.com.mx/ODKServer/view/binaryData?blobKey=FSSuministroFluidosv3%5B%40version%3Dnull+and+%40uiVersion%3Dnull%5D%2Fdata%5B%40key%3Duuid%3A1d2bc7cb-8ec8-4107-924b-967497da3265%5D%2FgroupInfoFuel%5B%40ordinal%3D1%5D%2FpicFuelRecibeInterno","Descargar")</f>
        <v>Descargar</v>
      </c>
    </row>
    <row r="1441" spans="1:18" x14ac:dyDescent="0.3">
      <c r="A1441">
        <v>1573696</v>
      </c>
      <c r="B1441" t="s">
        <v>18</v>
      </c>
      <c r="C1441" t="s">
        <v>100</v>
      </c>
      <c r="D1441" t="s">
        <v>716</v>
      </c>
      <c r="E1441" t="s">
        <v>991</v>
      </c>
      <c r="F1441" t="s">
        <v>22</v>
      </c>
      <c r="G1441" t="s">
        <v>23</v>
      </c>
      <c r="H1441" t="s">
        <v>58</v>
      </c>
      <c r="I1441" t="s">
        <v>25</v>
      </c>
      <c r="J1441" s="2">
        <v>45847.567407407398</v>
      </c>
      <c r="K1441">
        <v>9</v>
      </c>
      <c r="L1441">
        <v>7</v>
      </c>
      <c r="M1441">
        <v>2025</v>
      </c>
      <c r="N1441" t="s">
        <v>27</v>
      </c>
      <c r="O1441">
        <v>300</v>
      </c>
      <c r="P1441">
        <v>300</v>
      </c>
      <c r="R1441" s="3" t="str">
        <f>HYPERLINK("https://panda.att.com.mx/ODKServer/view/binaryData?blobKey=FSSuministroFluidosv3%5B%40version%3Dnull+and+%40uiVersion%3Dnull%5D%2Fdata%5B%40key%3Duuid%3A18a6ecca-d6e2-4dc8-8508-4c4bb30943c6%5D%2FgroupInfoFuel%5B%40ordinal%3D1%5D%2FpicFuelRecibeInterno","Descargar")</f>
        <v>Descargar</v>
      </c>
    </row>
    <row r="1442" spans="1:18" x14ac:dyDescent="0.3">
      <c r="A1442">
        <v>1573561</v>
      </c>
      <c r="B1442" t="s">
        <v>18</v>
      </c>
      <c r="C1442" t="s">
        <v>28</v>
      </c>
      <c r="D1442" t="s">
        <v>118</v>
      </c>
      <c r="E1442" t="s">
        <v>119</v>
      </c>
      <c r="F1442" t="s">
        <v>22</v>
      </c>
      <c r="G1442" t="s">
        <v>23</v>
      </c>
      <c r="H1442" t="s">
        <v>24</v>
      </c>
      <c r="I1442" t="s">
        <v>25</v>
      </c>
      <c r="J1442" s="2">
        <v>45847.357106481482</v>
      </c>
      <c r="K1442">
        <v>9</v>
      </c>
      <c r="L1442">
        <v>7</v>
      </c>
      <c r="M1442">
        <v>2025</v>
      </c>
      <c r="N1442" t="s">
        <v>44</v>
      </c>
      <c r="O1442">
        <v>40</v>
      </c>
      <c r="Q1442">
        <v>40</v>
      </c>
      <c r="R1442" s="3" t="str">
        <f>HYPERLINK("https://panda.att.com.mx/ODKServer/view/binaryData?blobKey=FSSuministroFluidosv3%5B%40version%3Dnull+and+%40uiVersion%3Dnull%5D%2Fdata%5B%40key%3Duuid%3Ad65a8e81-174c-49ef-8454-bd40a54988ef%5D%2FgroupInfoFuel%5B%40ordinal%3D1%5D%2FpicFuelRecibeInterno","Descargar")</f>
        <v>Descargar</v>
      </c>
    </row>
    <row r="1443" spans="1:18" x14ac:dyDescent="0.3">
      <c r="A1443">
        <v>1573523</v>
      </c>
      <c r="B1443" t="s">
        <v>18</v>
      </c>
      <c r="C1443" t="s">
        <v>19</v>
      </c>
      <c r="D1443" t="s">
        <v>170</v>
      </c>
      <c r="E1443" t="s">
        <v>376</v>
      </c>
      <c r="F1443" t="s">
        <v>22</v>
      </c>
      <c r="G1443" t="s">
        <v>23</v>
      </c>
      <c r="H1443" t="s">
        <v>24</v>
      </c>
      <c r="I1443" t="s">
        <v>25</v>
      </c>
      <c r="J1443" s="2">
        <v>45841.287569444437</v>
      </c>
      <c r="K1443">
        <v>3</v>
      </c>
      <c r="L1443">
        <v>7</v>
      </c>
      <c r="M1443">
        <v>2025</v>
      </c>
      <c r="N1443" t="s">
        <v>27</v>
      </c>
      <c r="O1443">
        <v>400</v>
      </c>
      <c r="P1443">
        <v>400</v>
      </c>
      <c r="R1443" s="3" t="str">
        <f>HYPERLINK("https://panda.att.com.mx/ODKServer/view/binaryData?blobKey=FSSuministroFluidosv3%5B%40version%3Dnull+and+%40uiVersion%3Dnull%5D%2Fdata%5B%40key%3Duuid%3A3a14c4f7-98e0-4d6d-aad7-6e8270660911%5D%2FgroupInfoFuel%5B%40ordinal%3D1%5D%2FpicFuelRecibeInterno","Descargar")</f>
        <v>Descargar</v>
      </c>
    </row>
    <row r="1444" spans="1:18" x14ac:dyDescent="0.3">
      <c r="A1444">
        <v>1573498</v>
      </c>
      <c r="B1444" t="s">
        <v>18</v>
      </c>
      <c r="C1444" t="s">
        <v>55</v>
      </c>
      <c r="D1444" t="s">
        <v>128</v>
      </c>
      <c r="E1444" t="s">
        <v>1683</v>
      </c>
      <c r="F1444" t="s">
        <v>22</v>
      </c>
      <c r="G1444" t="s">
        <v>23</v>
      </c>
      <c r="H1444" t="s">
        <v>58</v>
      </c>
      <c r="I1444" t="s">
        <v>25</v>
      </c>
      <c r="J1444" s="2">
        <v>45847.397743055553</v>
      </c>
      <c r="K1444">
        <v>9</v>
      </c>
      <c r="L1444">
        <v>7</v>
      </c>
      <c r="M1444">
        <v>2025</v>
      </c>
      <c r="N1444" t="s">
        <v>44</v>
      </c>
      <c r="O1444">
        <v>40</v>
      </c>
      <c r="P1444">
        <v>40</v>
      </c>
      <c r="R1444" s="3" t="str">
        <f>HYPERLINK("https://panda.att.com.mx/ODKServer/view/binaryData?blobKey=FSSuministroFluidosv3%5B%40version%3Dnull+and+%40uiVersion%3Dnull%5D%2Fdata%5B%40key%3Duuid%3A773bfa41-2e68-42b8-8325-a5ee05a719a4%5D%2FgroupInfoFuel%5B%40ordinal%3D1%5D%2FpicFuelRecibeInterno","Descargar")</f>
        <v>Descargar</v>
      </c>
    </row>
    <row r="1445" spans="1:18" x14ac:dyDescent="0.3">
      <c r="A1445">
        <v>1573482</v>
      </c>
      <c r="B1445" t="s">
        <v>18</v>
      </c>
      <c r="C1445" t="s">
        <v>100</v>
      </c>
      <c r="D1445" t="s">
        <v>716</v>
      </c>
      <c r="E1445" t="s">
        <v>1684</v>
      </c>
      <c r="F1445" t="s">
        <v>22</v>
      </c>
      <c r="G1445" t="s">
        <v>23</v>
      </c>
      <c r="H1445" t="s">
        <v>58</v>
      </c>
      <c r="I1445" t="s">
        <v>25</v>
      </c>
      <c r="J1445" s="2">
        <v>45847.432962962957</v>
      </c>
      <c r="K1445">
        <v>9</v>
      </c>
      <c r="L1445">
        <v>7</v>
      </c>
      <c r="M1445">
        <v>2025</v>
      </c>
      <c r="N1445" t="s">
        <v>27</v>
      </c>
      <c r="O1445">
        <v>200</v>
      </c>
      <c r="P1445">
        <v>200</v>
      </c>
      <c r="R1445" s="3" t="str">
        <f>HYPERLINK("https://panda.att.com.mx/ODKServer/view/binaryData?blobKey=FSSuministroFluidosv3%5B%40version%3Dnull+and+%40uiVersion%3Dnull%5D%2Fdata%5B%40key%3Duuid%3A316d2093-6c91-47e1-81ff-4d50b84a2380%5D%2FgroupInfoFuel%5B%40ordinal%3D1%5D%2FpicFuelRecibeInterno","Descargar")</f>
        <v>Descargar</v>
      </c>
    </row>
    <row r="1446" spans="1:18" x14ac:dyDescent="0.3">
      <c r="A1446">
        <v>1573403</v>
      </c>
      <c r="B1446" t="s">
        <v>18</v>
      </c>
      <c r="C1446" t="s">
        <v>19</v>
      </c>
      <c r="D1446" t="s">
        <v>62</v>
      </c>
      <c r="E1446" t="s">
        <v>1685</v>
      </c>
      <c r="F1446" t="s">
        <v>22</v>
      </c>
      <c r="G1446" t="s">
        <v>23</v>
      </c>
      <c r="H1446" t="s">
        <v>24</v>
      </c>
      <c r="I1446" t="s">
        <v>25</v>
      </c>
      <c r="J1446" s="2">
        <v>45847.331087962957</v>
      </c>
      <c r="K1446">
        <v>9</v>
      </c>
      <c r="L1446">
        <v>7</v>
      </c>
      <c r="M1446">
        <v>2025</v>
      </c>
      <c r="N1446" t="s">
        <v>27</v>
      </c>
      <c r="O1446">
        <v>90</v>
      </c>
      <c r="P1446">
        <v>90</v>
      </c>
      <c r="R1446" s="3" t="str">
        <f>HYPERLINK("https://panda.att.com.mx/ODKServer/view/binaryData?blobKey=FSSuministroFluidosv3%5B%40version%3Dnull+and+%40uiVersion%3Dnull%5D%2Fdata%5B%40key%3Duuid%3Aabbf78fd-3609-4e8f-8e29-900682a18fcd%5D%2FgroupInfoFuel%5B%40ordinal%3D1%5D%2FpicFuelRecibeInterno","Descargar")</f>
        <v>Descargar</v>
      </c>
    </row>
    <row r="1447" spans="1:18" x14ac:dyDescent="0.3">
      <c r="A1447">
        <v>1573383</v>
      </c>
      <c r="B1447" t="s">
        <v>18</v>
      </c>
      <c r="C1447" t="s">
        <v>55</v>
      </c>
      <c r="D1447" t="s">
        <v>64</v>
      </c>
      <c r="E1447" t="s">
        <v>1686</v>
      </c>
      <c r="F1447" t="s">
        <v>22</v>
      </c>
      <c r="G1447" t="s">
        <v>23</v>
      </c>
      <c r="H1447" t="s">
        <v>58</v>
      </c>
      <c r="I1447" t="s">
        <v>25</v>
      </c>
      <c r="J1447" s="2">
        <v>45847.252627314818</v>
      </c>
      <c r="K1447">
        <v>9</v>
      </c>
      <c r="L1447">
        <v>7</v>
      </c>
      <c r="M1447">
        <v>2025</v>
      </c>
      <c r="N1447" t="s">
        <v>44</v>
      </c>
      <c r="O1447">
        <v>50</v>
      </c>
      <c r="P1447">
        <v>50</v>
      </c>
      <c r="R1447" s="3" t="str">
        <f>HYPERLINK("https://panda.att.com.mx/ODKServer/view/binaryData?blobKey=FSSuministroFluidosv3%5B%40version%3Dnull+and+%40uiVersion%3Dnull%5D%2Fdata%5B%40key%3Duuid%3A4718400e-a153-4f8b-8e6b-6bbab404cbdb%5D%2FgroupInfoFuel%5B%40ordinal%3D1%5D%2FpicFuelRecibeInterno","Descargar")</f>
        <v>Descargar</v>
      </c>
    </row>
    <row r="1448" spans="1:18" x14ac:dyDescent="0.3">
      <c r="A1448">
        <v>1573379</v>
      </c>
      <c r="B1448" t="s">
        <v>18</v>
      </c>
      <c r="C1448" t="s">
        <v>28</v>
      </c>
      <c r="D1448" t="s">
        <v>118</v>
      </c>
      <c r="E1448" t="s">
        <v>119</v>
      </c>
      <c r="F1448" t="s">
        <v>22</v>
      </c>
      <c r="G1448" t="s">
        <v>23</v>
      </c>
      <c r="H1448" t="s">
        <v>24</v>
      </c>
      <c r="I1448" t="s">
        <v>25</v>
      </c>
      <c r="J1448" s="2">
        <v>45846.877662037034</v>
      </c>
      <c r="K1448">
        <v>8</v>
      </c>
      <c r="L1448">
        <v>7</v>
      </c>
      <c r="M1448">
        <v>2025</v>
      </c>
      <c r="N1448" t="s">
        <v>44</v>
      </c>
      <c r="O1448">
        <v>35</v>
      </c>
      <c r="Q1448">
        <v>35</v>
      </c>
      <c r="R1448" s="3" t="str">
        <f>HYPERLINK("https://panda.att.com.mx/ODKServer/view/binaryData?blobKey=FSSuministroFluidosv3%5B%40version%3Dnull+and+%40uiVersion%3Dnull%5D%2Fdata%5B%40key%3Duuid%3A39114113-e222-4351-8d11-d70c83e7939a%5D%2FgroupInfoFuel%5B%40ordinal%3D1%5D%2FpicFuelRecibeInterno","Descargar")</f>
        <v>Descargar</v>
      </c>
    </row>
    <row r="1449" spans="1:18" x14ac:dyDescent="0.3">
      <c r="A1449">
        <v>1573372</v>
      </c>
      <c r="B1449" t="s">
        <v>18</v>
      </c>
      <c r="C1449" t="s">
        <v>55</v>
      </c>
      <c r="D1449" t="s">
        <v>64</v>
      </c>
      <c r="E1449" t="s">
        <v>1687</v>
      </c>
      <c r="F1449" t="s">
        <v>22</v>
      </c>
      <c r="G1449" t="s">
        <v>23</v>
      </c>
      <c r="H1449" t="s">
        <v>58</v>
      </c>
      <c r="I1449" t="s">
        <v>25</v>
      </c>
      <c r="J1449" s="2">
        <v>45846.600601851853</v>
      </c>
      <c r="K1449">
        <v>8</v>
      </c>
      <c r="L1449">
        <v>7</v>
      </c>
      <c r="M1449">
        <v>2025</v>
      </c>
      <c r="N1449" t="s">
        <v>27</v>
      </c>
      <c r="O1449">
        <v>200</v>
      </c>
      <c r="P1449">
        <v>200</v>
      </c>
      <c r="R1449" s="3" t="str">
        <f>HYPERLINK("https://panda.att.com.mx/ODKServer/view/binaryData?blobKey=FSSuministroFluidosv3%5B%40version%3Dnull+and+%40uiVersion%3Dnull%5D%2Fdata%5B%40key%3Duuid%3A9397481e-f4a4-4cb5-a533-aa4ca1e3114e%5D%2FgroupInfoFuel%5B%40ordinal%3D1%5D%2FpicFuelRecibeInterno","Descargar")</f>
        <v>Descargar</v>
      </c>
    </row>
    <row r="1450" spans="1:18" x14ac:dyDescent="0.3">
      <c r="A1450">
        <v>1573371</v>
      </c>
      <c r="B1450" t="s">
        <v>18</v>
      </c>
      <c r="C1450" t="s">
        <v>28</v>
      </c>
      <c r="D1450" t="s">
        <v>66</v>
      </c>
      <c r="E1450" t="s">
        <v>1408</v>
      </c>
      <c r="F1450" t="s">
        <v>22</v>
      </c>
      <c r="G1450" t="s">
        <v>23</v>
      </c>
      <c r="H1450" t="s">
        <v>24</v>
      </c>
      <c r="I1450" t="s">
        <v>25</v>
      </c>
      <c r="J1450" s="2">
        <v>45846.83184027778</v>
      </c>
      <c r="K1450">
        <v>8</v>
      </c>
      <c r="L1450">
        <v>7</v>
      </c>
      <c r="M1450">
        <v>2025</v>
      </c>
      <c r="N1450" t="s">
        <v>44</v>
      </c>
      <c r="O1450">
        <v>40</v>
      </c>
      <c r="Q1450">
        <v>40</v>
      </c>
      <c r="R1450" s="3" t="str">
        <f>HYPERLINK("https://panda.att.com.mx/ODKServer/view/binaryData?blobKey=FSSuministroFluidosv3%5B%40version%3Dnull+and+%40uiVersion%3Dnull%5D%2Fdata%5B%40key%3Duuid%3Ac10451de-b83c-41b7-9646-db9feab9dbbc%5D%2FgroupInfoFuel%5B%40ordinal%3D1%5D%2FpicFuelRecibeInterno","Descargar")</f>
        <v>Descargar</v>
      </c>
    </row>
    <row r="1451" spans="1:18" x14ac:dyDescent="0.3">
      <c r="A1451">
        <v>1573332</v>
      </c>
      <c r="B1451" t="s">
        <v>18</v>
      </c>
      <c r="C1451" t="s">
        <v>167</v>
      </c>
      <c r="D1451" t="s">
        <v>168</v>
      </c>
      <c r="E1451" t="s">
        <v>169</v>
      </c>
      <c r="F1451" t="s">
        <v>22</v>
      </c>
      <c r="G1451" t="s">
        <v>83</v>
      </c>
      <c r="H1451" t="s">
        <v>58</v>
      </c>
      <c r="I1451" t="s">
        <v>25</v>
      </c>
      <c r="J1451" s="2">
        <v>45845.428090277783</v>
      </c>
      <c r="K1451">
        <v>7</v>
      </c>
      <c r="L1451">
        <v>7</v>
      </c>
      <c r="M1451">
        <v>2025</v>
      </c>
      <c r="N1451" t="s">
        <v>27</v>
      </c>
      <c r="O1451">
        <v>450</v>
      </c>
      <c r="P1451">
        <v>450</v>
      </c>
      <c r="R1451" s="3" t="str">
        <f>HYPERLINK("https://panda.att.com.mx/ODKServer/view/binaryData?blobKey=FSSuministroFluidosv3%5B%40version%3Dnull+and+%40uiVersion%3Dnull%5D%2Fdata%5B%40key%3Duuid%3A56dc95ed-7e32-4eb8-accb-896ce91b15a7%5D%2FgroupInfoFuel%5B%40ordinal%3D1%5D%2FpicFuelRecibeInterno","Descargar")</f>
        <v>Descargar</v>
      </c>
    </row>
    <row r="1452" spans="1:18" x14ac:dyDescent="0.3">
      <c r="A1452">
        <v>1575490</v>
      </c>
      <c r="B1452" t="s">
        <v>18</v>
      </c>
      <c r="C1452" t="s">
        <v>55</v>
      </c>
      <c r="D1452" t="s">
        <v>288</v>
      </c>
      <c r="E1452" t="s">
        <v>440</v>
      </c>
      <c r="F1452" t="s">
        <v>22</v>
      </c>
      <c r="G1452" t="s">
        <v>23</v>
      </c>
      <c r="H1452" t="s">
        <v>58</v>
      </c>
      <c r="I1452" t="s">
        <v>25</v>
      </c>
      <c r="J1452" s="2">
        <v>45848.51489583333</v>
      </c>
      <c r="K1452">
        <v>10</v>
      </c>
      <c r="L1452">
        <v>7</v>
      </c>
      <c r="M1452">
        <v>2025</v>
      </c>
      <c r="N1452" t="s">
        <v>27</v>
      </c>
      <c r="O1452">
        <v>250</v>
      </c>
      <c r="P1452">
        <v>250</v>
      </c>
      <c r="R1452" s="3" t="str">
        <f>HYPERLINK("https://panda.att.com.mx/ODKServer/view/binaryData?blobKey=FSSuministroFluidosv3%5B%40version%3Dnull+and+%40uiVersion%3Dnull%5D%2Fdata%5B%40key%3Duuid%3Abdfd988b-7ef6-4ccb-a17f-3f9d89690617%5D%2FgroupInfoFuel%5B%40ordinal%3D1%5D%2FpicFuelRecibeInterno","Descargar")</f>
        <v>Descargar</v>
      </c>
    </row>
    <row r="1453" spans="1:18" x14ac:dyDescent="0.3">
      <c r="A1453">
        <v>1575478</v>
      </c>
      <c r="B1453" t="s">
        <v>18</v>
      </c>
      <c r="C1453" t="s">
        <v>100</v>
      </c>
      <c r="D1453" t="s">
        <v>716</v>
      </c>
      <c r="E1453" t="s">
        <v>717</v>
      </c>
      <c r="F1453" t="s">
        <v>22</v>
      </c>
      <c r="G1453" t="s">
        <v>83</v>
      </c>
      <c r="H1453" t="s">
        <v>58</v>
      </c>
      <c r="I1453" t="s">
        <v>25</v>
      </c>
      <c r="J1453" s="2">
        <v>45848.89503472222</v>
      </c>
      <c r="K1453">
        <v>10</v>
      </c>
      <c r="L1453">
        <v>7</v>
      </c>
      <c r="M1453">
        <v>2025</v>
      </c>
      <c r="N1453" t="s">
        <v>27</v>
      </c>
      <c r="O1453">
        <v>150</v>
      </c>
      <c r="P1453">
        <v>150</v>
      </c>
      <c r="R1453" s="3" t="str">
        <f>HYPERLINK("https://panda.att.com.mx/ODKServer/view/binaryData?blobKey=FSSuministroFluidosv3%5B%40version%3Dnull+and+%40uiVersion%3Dnull%5D%2Fdata%5B%40key%3Duuid%3A78c20128-0856-4909-ad24-959d6823f36b%5D%2FgroupInfoFuel%5B%40ordinal%3D1%5D%2FpicFuelRecibeInterno","Descargar")</f>
        <v>Descargar</v>
      </c>
    </row>
    <row r="1454" spans="1:18" x14ac:dyDescent="0.3">
      <c r="A1454">
        <v>1575454</v>
      </c>
      <c r="B1454" t="s">
        <v>18</v>
      </c>
      <c r="C1454" t="s">
        <v>19</v>
      </c>
      <c r="D1454" t="s">
        <v>175</v>
      </c>
      <c r="E1454" t="s">
        <v>1632</v>
      </c>
      <c r="F1454" t="s">
        <v>22</v>
      </c>
      <c r="G1454" t="s">
        <v>23</v>
      </c>
      <c r="H1454" t="s">
        <v>24</v>
      </c>
      <c r="I1454" t="s">
        <v>25</v>
      </c>
      <c r="J1454" s="2">
        <v>45849.56082175926</v>
      </c>
      <c r="K1454">
        <v>11</v>
      </c>
      <c r="L1454">
        <v>7</v>
      </c>
      <c r="M1454">
        <v>2025</v>
      </c>
      <c r="N1454" t="s">
        <v>27</v>
      </c>
      <c r="O1454">
        <v>110</v>
      </c>
      <c r="P1454">
        <v>110</v>
      </c>
      <c r="R1454" s="3" t="str">
        <f>HYPERLINK("https://panda.att.com.mx/ODKServer/view/binaryData?blobKey=FSSuministroFluidosv3%5B%40version%3Dnull+and+%40uiVersion%3Dnull%5D%2Fdata%5B%40key%3Duuid%3Ad220ab47-ca46-40bd-ab10-36cb34aaf37d%5D%2FgroupInfoFuel%5B%40ordinal%3D1%5D%2FpicFuelRecibeInterno","Descargar")</f>
        <v>Descargar</v>
      </c>
    </row>
    <row r="1455" spans="1:18" x14ac:dyDescent="0.3">
      <c r="A1455">
        <v>1575366</v>
      </c>
      <c r="B1455" t="s">
        <v>18</v>
      </c>
      <c r="C1455" t="s">
        <v>19</v>
      </c>
      <c r="D1455" t="s">
        <v>175</v>
      </c>
      <c r="E1455" t="s">
        <v>1632</v>
      </c>
      <c r="F1455" t="s">
        <v>22</v>
      </c>
      <c r="G1455" t="s">
        <v>23</v>
      </c>
      <c r="H1455" t="s">
        <v>24</v>
      </c>
      <c r="I1455" t="s">
        <v>25</v>
      </c>
      <c r="J1455" s="2">
        <v>45848.966956018521</v>
      </c>
      <c r="K1455">
        <v>10</v>
      </c>
      <c r="L1455">
        <v>7</v>
      </c>
      <c r="M1455">
        <v>2025</v>
      </c>
      <c r="N1455" t="s">
        <v>27</v>
      </c>
      <c r="O1455">
        <v>100</v>
      </c>
      <c r="P1455">
        <v>100</v>
      </c>
      <c r="R1455" s="3" t="str">
        <f>HYPERLINK("https://panda.att.com.mx/ODKServer/view/binaryData?blobKey=FSSuministroFluidosv3%5B%40version%3Dnull+and+%40uiVersion%3Dnull%5D%2Fdata%5B%40key%3Duuid%3Acf77195a-79e6-4cbd-bee5-70e509a810bf%5D%2FgroupInfoFuel%5B%40ordinal%3D1%5D%2FpicFuelRecibeInterno","Descargar")</f>
        <v>Descargar</v>
      </c>
    </row>
    <row r="1456" spans="1:18" x14ac:dyDescent="0.3">
      <c r="A1456">
        <v>1575282</v>
      </c>
      <c r="B1456" t="s">
        <v>18</v>
      </c>
      <c r="C1456" t="s">
        <v>150</v>
      </c>
      <c r="D1456" t="s">
        <v>154</v>
      </c>
      <c r="E1456" t="s">
        <v>954</v>
      </c>
      <c r="F1456" t="s">
        <v>22</v>
      </c>
      <c r="G1456" t="s">
        <v>23</v>
      </c>
      <c r="H1456" t="s">
        <v>58</v>
      </c>
      <c r="I1456" t="s">
        <v>25</v>
      </c>
      <c r="J1456" s="2">
        <v>45848.477418981478</v>
      </c>
      <c r="K1456">
        <v>10</v>
      </c>
      <c r="L1456">
        <v>7</v>
      </c>
      <c r="M1456">
        <v>2025</v>
      </c>
      <c r="N1456" t="s">
        <v>27</v>
      </c>
      <c r="O1456">
        <v>400</v>
      </c>
      <c r="P1456">
        <v>400</v>
      </c>
      <c r="R1456" s="3" t="str">
        <f>HYPERLINK("https://panda.att.com.mx/ODKServer/view/binaryData?blobKey=FSSuministroFluidosv3%5B%40version%3Dnull+and+%40uiVersion%3Dnull%5D%2Fdata%5B%40key%3Duuid%3A41240b70-c296-4a4e-8ee1-472b7053c61e%5D%2FgroupInfoFuel%5B%40ordinal%3D1%5D%2FpicFuelRecibeInterno","Descargar")</f>
        <v>Descargar</v>
      </c>
    </row>
    <row r="1457" spans="1:18" x14ac:dyDescent="0.3">
      <c r="A1457">
        <v>1575281</v>
      </c>
      <c r="B1457" t="s">
        <v>18</v>
      </c>
      <c r="C1457" t="s">
        <v>150</v>
      </c>
      <c r="D1457" t="s">
        <v>164</v>
      </c>
      <c r="E1457" t="s">
        <v>165</v>
      </c>
      <c r="F1457" t="s">
        <v>22</v>
      </c>
      <c r="G1457" t="s">
        <v>23</v>
      </c>
      <c r="H1457" t="s">
        <v>58</v>
      </c>
      <c r="I1457" t="s">
        <v>25</v>
      </c>
      <c r="J1457" s="2">
        <v>45848.795925925922</v>
      </c>
      <c r="K1457">
        <v>10</v>
      </c>
      <c r="L1457">
        <v>7</v>
      </c>
      <c r="M1457">
        <v>2025</v>
      </c>
      <c r="N1457" t="s">
        <v>27</v>
      </c>
      <c r="O1457">
        <v>400</v>
      </c>
      <c r="P1457">
        <v>400</v>
      </c>
      <c r="R1457" s="3" t="str">
        <f>HYPERLINK("https://panda.att.com.mx/ODKServer/view/binaryData?blobKey=FSSuministroFluidosv3%5B%40version%3Dnull+and+%40uiVersion%3Dnull%5D%2Fdata%5B%40key%3Duuid%3A3e583105-4193-4ef8-8003-7b29ccea011b%5D%2FgroupInfoFuel%5B%40ordinal%3D1%5D%2FpicFuelRecibeInterno","Descargar")</f>
        <v>Descargar</v>
      </c>
    </row>
    <row r="1458" spans="1:18" x14ac:dyDescent="0.3">
      <c r="A1458">
        <v>1575280</v>
      </c>
      <c r="B1458" t="s">
        <v>18</v>
      </c>
      <c r="C1458" t="s">
        <v>150</v>
      </c>
      <c r="D1458" t="s">
        <v>164</v>
      </c>
      <c r="E1458" t="s">
        <v>1688</v>
      </c>
      <c r="F1458" t="s">
        <v>22</v>
      </c>
      <c r="G1458" t="s">
        <v>23</v>
      </c>
      <c r="H1458" t="s">
        <v>58</v>
      </c>
      <c r="I1458" t="s">
        <v>25</v>
      </c>
      <c r="J1458" s="2">
        <v>45848.92627314815</v>
      </c>
      <c r="K1458">
        <v>10</v>
      </c>
      <c r="L1458">
        <v>7</v>
      </c>
      <c r="M1458">
        <v>2025</v>
      </c>
      <c r="N1458" t="s">
        <v>27</v>
      </c>
      <c r="O1458">
        <v>137</v>
      </c>
      <c r="P1458">
        <v>137</v>
      </c>
      <c r="R1458" s="3" t="str">
        <f>HYPERLINK("https://panda.att.com.mx/ODKServer/view/binaryData?blobKey=FSSuministroFluidosv3%5B%40version%3Dnull+and+%40uiVersion%3Dnull%5D%2Fdata%5B%40key%3Duuid%3A305bb4f5-6a13-43df-ae89-cc213e69089d%5D%2FgroupInfoFuel%5B%40ordinal%3D1%5D%2FpicFuelRecibeInterno","Descargar")</f>
        <v>Descargar</v>
      </c>
    </row>
    <row r="1459" spans="1:18" x14ac:dyDescent="0.3">
      <c r="A1459">
        <v>1575279</v>
      </c>
      <c r="B1459" t="s">
        <v>18</v>
      </c>
      <c r="C1459" t="s">
        <v>150</v>
      </c>
      <c r="D1459" t="s">
        <v>230</v>
      </c>
      <c r="E1459" t="s">
        <v>1510</v>
      </c>
      <c r="F1459" t="s">
        <v>22</v>
      </c>
      <c r="G1459" t="s">
        <v>23</v>
      </c>
      <c r="H1459" t="s">
        <v>58</v>
      </c>
      <c r="I1459" t="s">
        <v>25</v>
      </c>
      <c r="J1459" s="2">
        <v>45849.434942129628</v>
      </c>
      <c r="K1459">
        <v>11</v>
      </c>
      <c r="L1459">
        <v>7</v>
      </c>
      <c r="M1459">
        <v>2025</v>
      </c>
      <c r="N1459" t="s">
        <v>27</v>
      </c>
      <c r="O1459">
        <v>350</v>
      </c>
      <c r="P1459">
        <v>350</v>
      </c>
      <c r="R1459" s="3" t="str">
        <f>HYPERLINK("https://panda.att.com.mx/ODKServer/view/binaryData?blobKey=FSSuministroFluidosv3%5B%40version%3Dnull+and+%40uiVersion%3Dnull%5D%2Fdata%5B%40key%3Duuid%3A728bde03-61b4-45ef-ac64-f026f2d3d302%5D%2FgroupInfoFuel%5B%40ordinal%3D1%5D%2FpicFuelRecibeInterno","Descargar")</f>
        <v>Descargar</v>
      </c>
    </row>
    <row r="1460" spans="1:18" x14ac:dyDescent="0.3">
      <c r="A1460">
        <v>1575266</v>
      </c>
      <c r="B1460" t="s">
        <v>18</v>
      </c>
      <c r="C1460" t="s">
        <v>19</v>
      </c>
      <c r="D1460" t="s">
        <v>45</v>
      </c>
      <c r="E1460" t="s">
        <v>1411</v>
      </c>
      <c r="F1460" t="s">
        <v>22</v>
      </c>
      <c r="G1460" t="s">
        <v>23</v>
      </c>
      <c r="H1460" t="s">
        <v>24</v>
      </c>
      <c r="I1460" t="s">
        <v>25</v>
      </c>
      <c r="J1460" s="2">
        <v>45849.439085648148</v>
      </c>
      <c r="K1460">
        <v>11</v>
      </c>
      <c r="L1460">
        <v>7</v>
      </c>
      <c r="M1460">
        <v>2025</v>
      </c>
      <c r="N1460" t="s">
        <v>27</v>
      </c>
      <c r="O1460">
        <v>300</v>
      </c>
      <c r="P1460">
        <v>300</v>
      </c>
      <c r="R1460" s="3" t="str">
        <f>HYPERLINK("https://panda.att.com.mx/ODKServer/view/binaryData?blobKey=FSSuministroFluidosv3%5B%40version%3Dnull+and+%40uiVersion%3Dnull%5D%2Fdata%5B%40key%3Duuid%3A26bd45c3-e23e-4368-9cf7-7831289e3727%5D%2FgroupInfoFuel%5B%40ordinal%3D1%5D%2FpicFuelRecibeInterno","Descargar")</f>
        <v>Descargar</v>
      </c>
    </row>
    <row r="1461" spans="1:18" x14ac:dyDescent="0.3">
      <c r="A1461">
        <v>1575239</v>
      </c>
      <c r="B1461" t="s">
        <v>18</v>
      </c>
      <c r="C1461" t="s">
        <v>28</v>
      </c>
      <c r="D1461" t="s">
        <v>261</v>
      </c>
      <c r="E1461" t="s">
        <v>879</v>
      </c>
      <c r="F1461" t="s">
        <v>22</v>
      </c>
      <c r="G1461" t="s">
        <v>23</v>
      </c>
      <c r="H1461" t="s">
        <v>37</v>
      </c>
      <c r="I1461" t="s">
        <v>25</v>
      </c>
      <c r="J1461" s="2">
        <v>45842.752384259264</v>
      </c>
      <c r="K1461">
        <v>4</v>
      </c>
      <c r="L1461">
        <v>7</v>
      </c>
      <c r="M1461">
        <v>2025</v>
      </c>
      <c r="N1461" t="s">
        <v>44</v>
      </c>
      <c r="O1461">
        <v>50</v>
      </c>
      <c r="P1461">
        <v>50</v>
      </c>
      <c r="R1461" s="3" t="str">
        <f>HYPERLINK("https://panda.att.com.mx/ODKServer/view/binaryData?blobKey=FSSuministroFluidosv3%5B%40version%3Dnull+and+%40uiVersion%3Dnull%5D%2Fdata%5B%40key%3Duuid%3A47dfe52a-0c1f-4535-afb9-5178c761a7b9%5D%2FgroupInfoFuel%5B%40ordinal%3D1%5D%2FpicFuelRecibeInterno","Descargar")</f>
        <v>Descargar</v>
      </c>
    </row>
    <row r="1462" spans="1:18" x14ac:dyDescent="0.3">
      <c r="A1462">
        <v>1575157</v>
      </c>
      <c r="B1462" t="s">
        <v>18</v>
      </c>
      <c r="C1462" t="s">
        <v>28</v>
      </c>
      <c r="D1462" t="s">
        <v>1689</v>
      </c>
      <c r="E1462" t="s">
        <v>1690</v>
      </c>
      <c r="F1462" t="s">
        <v>22</v>
      </c>
      <c r="G1462" t="s">
        <v>47</v>
      </c>
      <c r="H1462" t="s">
        <v>24</v>
      </c>
      <c r="I1462" t="s">
        <v>25</v>
      </c>
      <c r="J1462" s="2">
        <v>45828.272199074083</v>
      </c>
      <c r="K1462">
        <v>20</v>
      </c>
      <c r="L1462">
        <v>6</v>
      </c>
      <c r="M1462">
        <v>2025</v>
      </c>
      <c r="N1462" t="s">
        <v>44</v>
      </c>
      <c r="O1462">
        <v>40</v>
      </c>
      <c r="P1462">
        <v>40</v>
      </c>
      <c r="R1462" s="3" t="str">
        <f>HYPERLINK("https://panda.att.com.mx/ODKServer/view/binaryData?blobKey=FSSuministroFluidosv3%5B%40version%3Dnull+and+%40uiVersion%3Dnull%5D%2Fdata%5B%40key%3Duuid%3A3d24bb68-5f10-4e2f-805a-317ff1b107cb%5D%2FgroupInfoFuel%5B%40ordinal%3D1%5D%2FpicFuelRecibeInterno","Descargar")</f>
        <v>Descargar</v>
      </c>
    </row>
    <row r="1463" spans="1:18" x14ac:dyDescent="0.3">
      <c r="A1463">
        <v>1575153</v>
      </c>
      <c r="B1463" t="s">
        <v>18</v>
      </c>
      <c r="C1463" t="s">
        <v>19</v>
      </c>
      <c r="D1463" t="s">
        <v>45</v>
      </c>
      <c r="E1463" t="s">
        <v>1691</v>
      </c>
      <c r="F1463" t="s">
        <v>22</v>
      </c>
      <c r="G1463" t="s">
        <v>23</v>
      </c>
      <c r="H1463" t="s">
        <v>24</v>
      </c>
      <c r="I1463" t="s">
        <v>25</v>
      </c>
      <c r="J1463" s="2">
        <v>45845.494212962964</v>
      </c>
      <c r="K1463">
        <v>7</v>
      </c>
      <c r="L1463">
        <v>7</v>
      </c>
      <c r="M1463">
        <v>2025</v>
      </c>
      <c r="N1463" t="s">
        <v>27</v>
      </c>
      <c r="O1463">
        <v>350</v>
      </c>
      <c r="P1463">
        <v>350</v>
      </c>
      <c r="R1463" s="3" t="str">
        <f>HYPERLINK("https://panda.att.com.mx/ODKServer/view/binaryData?blobKey=FSSuministroFluidosv3%5B%40version%3Dnull+and+%40uiVersion%3Dnull%5D%2Fdata%5B%40key%3Duuid%3Aa8a12db4-a429-4e17-8b04-4d2a23f9b735%5D%2FgroupInfoFuel%5B%40ordinal%3D1%5D%2FpicFuelRecibeInterno","Descargar")</f>
        <v>Descargar</v>
      </c>
    </row>
    <row r="1464" spans="1:18" x14ac:dyDescent="0.3">
      <c r="A1464">
        <v>1575151</v>
      </c>
      <c r="B1464" t="s">
        <v>18</v>
      </c>
      <c r="C1464" t="s">
        <v>68</v>
      </c>
      <c r="D1464" t="s">
        <v>556</v>
      </c>
      <c r="E1464" t="s">
        <v>1692</v>
      </c>
      <c r="F1464" t="s">
        <v>22</v>
      </c>
      <c r="G1464" t="s">
        <v>47</v>
      </c>
      <c r="H1464" t="s">
        <v>37</v>
      </c>
      <c r="I1464" t="s">
        <v>25</v>
      </c>
      <c r="J1464" s="2">
        <v>45847.774050925917</v>
      </c>
      <c r="K1464">
        <v>9</v>
      </c>
      <c r="L1464">
        <v>7</v>
      </c>
      <c r="M1464">
        <v>2025</v>
      </c>
      <c r="N1464" t="s">
        <v>27</v>
      </c>
      <c r="O1464">
        <v>300</v>
      </c>
      <c r="P1464">
        <v>300</v>
      </c>
      <c r="R1464" s="3" t="str">
        <f>HYPERLINK("https://panda.att.com.mx/ODKServer/view/binaryData?blobKey=FSSuministroFluidosv3%5B%40version%3Dnull+and+%40uiVersion%3Dnull%5D%2Fdata%5B%40key%3Duuid%3A1edf813b-7878-4847-9c01-2849277ff6f9%5D%2FgroupInfoFuel%5B%40ordinal%3D1%5D%2FpicFuelRecibeInterno","Descargar")</f>
        <v>Descargar</v>
      </c>
    </row>
    <row r="1465" spans="1:18" x14ac:dyDescent="0.3">
      <c r="A1465">
        <v>1575014</v>
      </c>
      <c r="B1465" t="s">
        <v>18</v>
      </c>
      <c r="C1465" t="s">
        <v>68</v>
      </c>
      <c r="D1465" t="s">
        <v>91</v>
      </c>
      <c r="E1465" t="s">
        <v>1606</v>
      </c>
      <c r="F1465" t="s">
        <v>22</v>
      </c>
      <c r="G1465" t="s">
        <v>23</v>
      </c>
      <c r="H1465" t="s">
        <v>37</v>
      </c>
      <c r="I1465" t="s">
        <v>25</v>
      </c>
      <c r="J1465" s="2">
        <v>45848.522893518522</v>
      </c>
      <c r="K1465">
        <v>10</v>
      </c>
      <c r="L1465">
        <v>7</v>
      </c>
      <c r="M1465">
        <v>2025</v>
      </c>
      <c r="N1465" t="s">
        <v>27</v>
      </c>
      <c r="O1465">
        <v>150</v>
      </c>
      <c r="P1465">
        <v>150</v>
      </c>
      <c r="R1465" s="3" t="str">
        <f>HYPERLINK("https://panda.att.com.mx/ODKServer/view/binaryData?blobKey=FSSuministroFluidosv3%5B%40version%3Dnull+and+%40uiVersion%3Dnull%5D%2Fdata%5B%40key%3Duuid%3Ae2fed308-4500-4911-a8e8-6be6218f623d%5D%2FgroupInfoFuel%5B%40ordinal%3D1%5D%2FpicFuelRecibeInterno","Descargar")</f>
        <v>Descargar</v>
      </c>
    </row>
    <row r="1466" spans="1:18" x14ac:dyDescent="0.3">
      <c r="A1466">
        <v>1574997</v>
      </c>
      <c r="B1466" t="s">
        <v>18</v>
      </c>
      <c r="C1466" t="s">
        <v>19</v>
      </c>
      <c r="D1466" t="s">
        <v>45</v>
      </c>
      <c r="E1466" t="s">
        <v>752</v>
      </c>
      <c r="F1466" t="s">
        <v>22</v>
      </c>
      <c r="G1466" t="s">
        <v>23</v>
      </c>
      <c r="H1466" t="s">
        <v>24</v>
      </c>
      <c r="I1466" t="s">
        <v>25</v>
      </c>
      <c r="J1466" s="2">
        <v>45847.343182870369</v>
      </c>
      <c r="K1466">
        <v>9</v>
      </c>
      <c r="L1466">
        <v>7</v>
      </c>
      <c r="M1466">
        <v>2025</v>
      </c>
      <c r="N1466" t="s">
        <v>27</v>
      </c>
      <c r="O1466">
        <v>300</v>
      </c>
      <c r="P1466">
        <v>300</v>
      </c>
      <c r="R1466" s="3" t="str">
        <f>HYPERLINK("https://panda.att.com.mx/ODKServer/view/binaryData?blobKey=FSSuministroFluidosv3%5B%40version%3Dnull+and+%40uiVersion%3Dnull%5D%2Fdata%5B%40key%3Duuid%3Ac8bbf03e-fc2e-41f1-bab5-c94090aa088b%5D%2FgroupInfoFuel%5B%40ordinal%3D1%5D%2FpicFuelRecibeInterno","Descargar")</f>
        <v>Descargar</v>
      </c>
    </row>
    <row r="1467" spans="1:18" x14ac:dyDescent="0.3">
      <c r="A1467">
        <v>1574996</v>
      </c>
      <c r="B1467" t="s">
        <v>18</v>
      </c>
      <c r="C1467" t="s">
        <v>19</v>
      </c>
      <c r="D1467" t="s">
        <v>45</v>
      </c>
      <c r="E1467" t="s">
        <v>752</v>
      </c>
      <c r="F1467" t="s">
        <v>22</v>
      </c>
      <c r="G1467" t="s">
        <v>23</v>
      </c>
      <c r="H1467" t="s">
        <v>24</v>
      </c>
      <c r="I1467" t="s">
        <v>25</v>
      </c>
      <c r="J1467" s="2">
        <v>45840.483680555553</v>
      </c>
      <c r="K1467">
        <v>2</v>
      </c>
      <c r="L1467">
        <v>7</v>
      </c>
      <c r="M1467">
        <v>2025</v>
      </c>
      <c r="N1467" t="s">
        <v>27</v>
      </c>
      <c r="O1467">
        <v>300</v>
      </c>
      <c r="P1467">
        <v>300</v>
      </c>
      <c r="R1467" s="3" t="str">
        <f>HYPERLINK("https://panda.att.com.mx/ODKServer/view/binaryData?blobKey=FSSuministroFluidosv3%5B%40version%3Dnull+and+%40uiVersion%3Dnull%5D%2Fdata%5B%40key%3Duuid%3Ac2f42716-7a46-4a3c-9875-e5b4257d7b59%5D%2FgroupInfoFuel%5B%40ordinal%3D1%5D%2FpicFuelRecibeInterno","Descargar")</f>
        <v>Descargar</v>
      </c>
    </row>
    <row r="1468" spans="1:18" x14ac:dyDescent="0.3">
      <c r="A1468">
        <v>1574919</v>
      </c>
      <c r="B1468" t="s">
        <v>18</v>
      </c>
      <c r="C1468" t="s">
        <v>68</v>
      </c>
      <c r="D1468" t="s">
        <v>258</v>
      </c>
      <c r="E1468" t="s">
        <v>1693</v>
      </c>
      <c r="F1468" t="s">
        <v>22</v>
      </c>
      <c r="G1468" t="s">
        <v>23</v>
      </c>
      <c r="H1468" t="s">
        <v>37</v>
      </c>
      <c r="I1468" t="s">
        <v>25</v>
      </c>
      <c r="J1468" s="2">
        <v>45848.705740740741</v>
      </c>
      <c r="K1468">
        <v>10</v>
      </c>
      <c r="L1468">
        <v>7</v>
      </c>
      <c r="M1468">
        <v>2025</v>
      </c>
      <c r="N1468" t="s">
        <v>27</v>
      </c>
      <c r="O1468">
        <v>100</v>
      </c>
      <c r="P1468">
        <v>100</v>
      </c>
      <c r="R1468" s="3" t="str">
        <f>HYPERLINK("https://panda.att.com.mx/ODKServer/view/binaryData?blobKey=FSSuministroFluidosv3%5B%40version%3Dnull+and+%40uiVersion%3Dnull%5D%2Fdata%5B%40key%3Duuid%3A4524dd2c-92b1-49c6-85a8-00a7273b2ea3%5D%2FgroupInfoFuel%5B%40ordinal%3D1%5D%2FpicFuelRecibeInterno","Descargar")</f>
        <v>Descargar</v>
      </c>
    </row>
    <row r="1469" spans="1:18" x14ac:dyDescent="0.3">
      <c r="A1469">
        <v>1574897</v>
      </c>
      <c r="B1469" t="s">
        <v>18</v>
      </c>
      <c r="C1469" t="s">
        <v>68</v>
      </c>
      <c r="D1469" t="s">
        <v>258</v>
      </c>
      <c r="E1469" t="s">
        <v>1694</v>
      </c>
      <c r="F1469" t="s">
        <v>22</v>
      </c>
      <c r="G1469" t="s">
        <v>23</v>
      </c>
      <c r="H1469" t="s">
        <v>37</v>
      </c>
      <c r="I1469" t="s">
        <v>25</v>
      </c>
      <c r="J1469" s="2">
        <v>45847.703252314823</v>
      </c>
      <c r="K1469">
        <v>9</v>
      </c>
      <c r="L1469">
        <v>7</v>
      </c>
      <c r="M1469">
        <v>2025</v>
      </c>
      <c r="N1469" t="s">
        <v>27</v>
      </c>
      <c r="O1469">
        <v>200</v>
      </c>
      <c r="P1469">
        <v>200</v>
      </c>
      <c r="R1469" s="3" t="str">
        <f>HYPERLINK("https://panda.att.com.mx/ODKServer/view/binaryData?blobKey=FSSuministroFluidosv3%5B%40version%3Dnull+and+%40uiVersion%3Dnull%5D%2Fdata%5B%40key%3Duuid%3A144f2864-f957-434d-b452-6fa814b7b481%5D%2FgroupInfoFuel%5B%40ordinal%3D1%5D%2FpicFuelRecibeInterno","Descargar")</f>
        <v>Descargar</v>
      </c>
    </row>
    <row r="1470" spans="1:18" x14ac:dyDescent="0.3">
      <c r="A1470">
        <v>1574890</v>
      </c>
      <c r="B1470" t="s">
        <v>18</v>
      </c>
      <c r="C1470" t="s">
        <v>28</v>
      </c>
      <c r="D1470" t="s">
        <v>429</v>
      </c>
      <c r="E1470" t="s">
        <v>1695</v>
      </c>
      <c r="F1470" t="s">
        <v>22</v>
      </c>
      <c r="G1470" t="s">
        <v>23</v>
      </c>
      <c r="H1470" t="s">
        <v>24</v>
      </c>
      <c r="I1470" t="s">
        <v>25</v>
      </c>
      <c r="J1470" s="2">
        <v>45845.002268518518</v>
      </c>
      <c r="K1470">
        <v>7</v>
      </c>
      <c r="L1470">
        <v>7</v>
      </c>
      <c r="M1470">
        <v>2025</v>
      </c>
      <c r="N1470" t="s">
        <v>44</v>
      </c>
      <c r="O1470">
        <v>60</v>
      </c>
      <c r="P1470">
        <v>60</v>
      </c>
      <c r="R1470" s="3" t="str">
        <f>HYPERLINK("https://panda.att.com.mx/ODKServer/view/binaryData?blobKey=FSSuministroFluidosv3%5B%40version%3Dnull+and+%40uiVersion%3Dnull%5D%2Fdata%5B%40key%3Duuid%3A29fc0547-e089-4638-b29f-75be259722d1%5D%2FgroupInfoFuel%5B%40ordinal%3D1%5D%2FpicFuelRecibeInterno","Descargar")</f>
        <v>Descargar</v>
      </c>
    </row>
    <row r="1471" spans="1:18" x14ac:dyDescent="0.3">
      <c r="A1471">
        <v>1574574</v>
      </c>
      <c r="B1471" t="s">
        <v>18</v>
      </c>
      <c r="C1471" t="s">
        <v>19</v>
      </c>
      <c r="D1471" t="s">
        <v>347</v>
      </c>
      <c r="E1471" t="s">
        <v>364</v>
      </c>
      <c r="F1471" t="s">
        <v>22</v>
      </c>
      <c r="G1471" t="s">
        <v>23</v>
      </c>
      <c r="H1471" t="s">
        <v>24</v>
      </c>
      <c r="I1471" t="s">
        <v>25</v>
      </c>
      <c r="J1471" s="2">
        <v>45846.386863425927</v>
      </c>
      <c r="K1471">
        <v>8</v>
      </c>
      <c r="L1471">
        <v>7</v>
      </c>
      <c r="M1471">
        <v>2025</v>
      </c>
      <c r="N1471" t="s">
        <v>27</v>
      </c>
      <c r="O1471">
        <v>300</v>
      </c>
      <c r="P1471">
        <v>300</v>
      </c>
      <c r="R1471" s="3" t="str">
        <f>HYPERLINK("https://panda.att.com.mx/ODKServer/view/binaryData?blobKey=FSSuministroFluidosv3%5B%40version%3Dnull+and+%40uiVersion%3Dnull%5D%2Fdata%5B%40key%3Duuid%3A52078650-7816-4810-a7fe-8454b0dbb1d3%5D%2FgroupInfoFuel%5B%40ordinal%3D1%5D%2FpicFuelRecibeInterno","Descargar")</f>
        <v>Descargar</v>
      </c>
    </row>
    <row r="1472" spans="1:18" x14ac:dyDescent="0.3">
      <c r="A1472">
        <v>1574573</v>
      </c>
      <c r="B1472" t="s">
        <v>18</v>
      </c>
      <c r="C1472" t="s">
        <v>19</v>
      </c>
      <c r="D1472" t="s">
        <v>347</v>
      </c>
      <c r="E1472" t="s">
        <v>364</v>
      </c>
      <c r="F1472" t="s">
        <v>22</v>
      </c>
      <c r="G1472" t="s">
        <v>23</v>
      </c>
      <c r="H1472" t="s">
        <v>24</v>
      </c>
      <c r="I1472" t="s">
        <v>25</v>
      </c>
      <c r="J1472" s="2">
        <v>45839.399791666663</v>
      </c>
      <c r="K1472">
        <v>1</v>
      </c>
      <c r="L1472">
        <v>7</v>
      </c>
      <c r="M1472">
        <v>2025</v>
      </c>
      <c r="N1472" t="s">
        <v>27</v>
      </c>
      <c r="O1472">
        <v>300</v>
      </c>
      <c r="P1472">
        <v>300</v>
      </c>
      <c r="R1472" s="3" t="str">
        <f>HYPERLINK("https://panda.att.com.mx/ODKServer/view/binaryData?blobKey=FSSuministroFluidosv3%5B%40version%3Dnull+and+%40uiVersion%3Dnull%5D%2Fdata%5B%40key%3Duuid%3A01f465cc-7a30-4de6-88cc-8c9a253f4415%5D%2FgroupInfoFuel%5B%40ordinal%3D1%5D%2FpicFuelRecibeInterno","Descargar")</f>
        <v>Descargar</v>
      </c>
    </row>
    <row r="1473" spans="1:18" x14ac:dyDescent="0.3">
      <c r="A1473">
        <v>1574572</v>
      </c>
      <c r="B1473" t="s">
        <v>18</v>
      </c>
      <c r="C1473" t="s">
        <v>19</v>
      </c>
      <c r="D1473" t="s">
        <v>347</v>
      </c>
      <c r="E1473" t="s">
        <v>364</v>
      </c>
      <c r="F1473" t="s">
        <v>22</v>
      </c>
      <c r="G1473" t="s">
        <v>23</v>
      </c>
      <c r="H1473" t="s">
        <v>24</v>
      </c>
      <c r="I1473" t="s">
        <v>25</v>
      </c>
      <c r="J1473" s="2">
        <v>45835.318807870368</v>
      </c>
      <c r="K1473">
        <v>27</v>
      </c>
      <c r="L1473">
        <v>6</v>
      </c>
      <c r="M1473">
        <v>2025</v>
      </c>
      <c r="N1473" t="s">
        <v>27</v>
      </c>
      <c r="O1473">
        <v>300</v>
      </c>
      <c r="P1473">
        <v>300</v>
      </c>
      <c r="R1473" s="3" t="str">
        <f>HYPERLINK("https://panda.att.com.mx/ODKServer/view/binaryData?blobKey=FSSuministroFluidosv3%5B%40version%3Dnull+and+%40uiVersion%3Dnull%5D%2Fdata%5B%40key%3Duuid%3Aadcb5cb0-90ad-4546-8356-42a906c30bae%5D%2FgroupInfoFuel%5B%40ordinal%3D1%5D%2FpicFuelRecibeInterno","Descargar")</f>
        <v>Descargar</v>
      </c>
    </row>
    <row r="1474" spans="1:18" x14ac:dyDescent="0.3">
      <c r="A1474">
        <v>1574565</v>
      </c>
      <c r="B1474" t="s">
        <v>18</v>
      </c>
      <c r="C1474" t="s">
        <v>19</v>
      </c>
      <c r="D1474" t="s">
        <v>347</v>
      </c>
      <c r="E1474" t="s">
        <v>364</v>
      </c>
      <c r="F1474" t="s">
        <v>22</v>
      </c>
      <c r="G1474" t="s">
        <v>23</v>
      </c>
      <c r="H1474" t="s">
        <v>24</v>
      </c>
      <c r="I1474" t="s">
        <v>25</v>
      </c>
      <c r="J1474" s="2">
        <v>45832.29991898148</v>
      </c>
      <c r="K1474">
        <v>24</v>
      </c>
      <c r="L1474">
        <v>6</v>
      </c>
      <c r="M1474">
        <v>2025</v>
      </c>
      <c r="N1474" t="s">
        <v>27</v>
      </c>
      <c r="O1474">
        <v>300</v>
      </c>
      <c r="P1474">
        <v>300</v>
      </c>
      <c r="R1474" s="3" t="str">
        <f>HYPERLINK("https://panda.att.com.mx/ODKServer/view/binaryData?blobKey=FSSuministroFluidosv3%5B%40version%3Dnull+and+%40uiVersion%3Dnull%5D%2Fdata%5B%40key%3Duuid%3A7bcbc8d3-9ce5-449a-9e0d-ecbe84a13361%5D%2FgroupInfoFuel%5B%40ordinal%3D1%5D%2FpicFuelRecibeInterno","Descargar")</f>
        <v>Descargar</v>
      </c>
    </row>
    <row r="1475" spans="1:18" x14ac:dyDescent="0.3">
      <c r="A1475">
        <v>1574564</v>
      </c>
      <c r="B1475" t="s">
        <v>18</v>
      </c>
      <c r="C1475" t="s">
        <v>19</v>
      </c>
      <c r="D1475" t="s">
        <v>347</v>
      </c>
      <c r="E1475" t="s">
        <v>364</v>
      </c>
      <c r="F1475" t="s">
        <v>22</v>
      </c>
      <c r="G1475" t="s">
        <v>23</v>
      </c>
      <c r="H1475" t="s">
        <v>24</v>
      </c>
      <c r="I1475" t="s">
        <v>25</v>
      </c>
      <c r="J1475" s="2">
        <v>45848.542870370373</v>
      </c>
      <c r="K1475">
        <v>10</v>
      </c>
      <c r="L1475">
        <v>7</v>
      </c>
      <c r="M1475">
        <v>2025</v>
      </c>
      <c r="N1475" t="s">
        <v>27</v>
      </c>
      <c r="O1475">
        <v>200</v>
      </c>
      <c r="P1475">
        <v>200</v>
      </c>
      <c r="R1475" s="3" t="str">
        <f>HYPERLINK("https://panda.att.com.mx/ODKServer/view/binaryData?blobKey=FSSuministroFluidosv3%5B%40version%3Dnull+and+%40uiVersion%3Dnull%5D%2Fdata%5B%40key%3Duuid%3Ac56790a4-07de-465d-8f3e-342d2e93a3ec%5D%2FgroupInfoFuel%5B%40ordinal%3D1%5D%2FpicFuelRecibeInterno","Descargar")</f>
        <v>Descargar</v>
      </c>
    </row>
    <row r="1476" spans="1:18" x14ac:dyDescent="0.3">
      <c r="A1476">
        <v>1574563</v>
      </c>
      <c r="B1476" t="s">
        <v>18</v>
      </c>
      <c r="C1476" t="s">
        <v>19</v>
      </c>
      <c r="D1476" t="s">
        <v>347</v>
      </c>
      <c r="E1476" t="s">
        <v>364</v>
      </c>
      <c r="F1476" t="s">
        <v>22</v>
      </c>
      <c r="G1476" t="s">
        <v>23</v>
      </c>
      <c r="H1476" t="s">
        <v>24</v>
      </c>
      <c r="I1476" t="s">
        <v>25</v>
      </c>
      <c r="J1476" s="2">
        <v>45848.533067129632</v>
      </c>
      <c r="K1476">
        <v>10</v>
      </c>
      <c r="L1476">
        <v>7</v>
      </c>
      <c r="M1476">
        <v>2025</v>
      </c>
      <c r="N1476" t="s">
        <v>27</v>
      </c>
      <c r="O1476">
        <v>300</v>
      </c>
      <c r="P1476">
        <v>300</v>
      </c>
      <c r="R1476" s="3" t="str">
        <f>HYPERLINK("https://panda.att.com.mx/ODKServer/view/binaryData?blobKey=FSSuministroFluidosv3%5B%40version%3Dnull+and+%40uiVersion%3Dnull%5D%2Fdata%5B%40key%3Duuid%3A7383eb37-74b7-4850-9ae9-4573e9b1dd3b%5D%2FgroupInfoFuel%5B%40ordinal%3D1%5D%2FpicFuelRecibeInterno","Descargar")</f>
        <v>Descargar</v>
      </c>
    </row>
    <row r="1477" spans="1:18" x14ac:dyDescent="0.3">
      <c r="A1477">
        <v>1573322</v>
      </c>
      <c r="B1477" t="s">
        <v>18</v>
      </c>
      <c r="C1477" t="s">
        <v>34</v>
      </c>
      <c r="D1477" t="s">
        <v>53</v>
      </c>
      <c r="E1477" t="s">
        <v>1696</v>
      </c>
      <c r="F1477" t="s">
        <v>22</v>
      </c>
      <c r="G1477" t="s">
        <v>23</v>
      </c>
      <c r="H1477" t="s">
        <v>37</v>
      </c>
      <c r="I1477" t="s">
        <v>25</v>
      </c>
      <c r="J1477" s="2">
        <v>45846.399791666663</v>
      </c>
      <c r="K1477">
        <v>8</v>
      </c>
      <c r="L1477">
        <v>7</v>
      </c>
      <c r="M1477">
        <v>2025</v>
      </c>
      <c r="N1477" t="s">
        <v>27</v>
      </c>
      <c r="O1477">
        <v>200</v>
      </c>
      <c r="P1477">
        <v>200</v>
      </c>
      <c r="R1477" s="3" t="str">
        <f>HYPERLINK("https://panda.att.com.mx/ODKServer/view/binaryData?blobKey=FSSuministroFluidosv3%5B%40version%3Dnull+and+%40uiVersion%3Dnull%5D%2Fdata%5B%40key%3Duuid%3A63a85bfd-7431-48e3-a57d-2c8e6ac7fd77%5D%2FgroupInfoFuel%5B%40ordinal%3D1%5D%2FpicFuelRecibeInterno","Descargar")</f>
        <v>Descargar</v>
      </c>
    </row>
    <row r="1478" spans="1:18" x14ac:dyDescent="0.3">
      <c r="A1478">
        <v>1573314</v>
      </c>
      <c r="B1478" t="s">
        <v>18</v>
      </c>
      <c r="C1478" t="s">
        <v>183</v>
      </c>
      <c r="D1478" t="s">
        <v>1660</v>
      </c>
      <c r="E1478" t="s">
        <v>1661</v>
      </c>
      <c r="F1478" t="s">
        <v>22</v>
      </c>
      <c r="G1478" t="s">
        <v>23</v>
      </c>
      <c r="H1478" t="s">
        <v>37</v>
      </c>
      <c r="I1478" t="s">
        <v>25</v>
      </c>
      <c r="J1478" s="2">
        <v>45846.534479166658</v>
      </c>
      <c r="K1478">
        <v>8</v>
      </c>
      <c r="L1478">
        <v>7</v>
      </c>
      <c r="M1478">
        <v>2025</v>
      </c>
      <c r="N1478" t="s">
        <v>27</v>
      </c>
      <c r="O1478">
        <v>350</v>
      </c>
      <c r="P1478">
        <v>350</v>
      </c>
      <c r="R1478" s="3" t="str">
        <f>HYPERLINK("https://panda.att.com.mx/ODKServer/view/binaryData?blobKey=FSSuministroFluidosv3%5B%40version%3Dnull+and+%40uiVersion%3Dnull%5D%2Fdata%5B%40key%3Duuid%3A9ef3f1e2-2cd3-4eda-9e57-2bc23b8e6c41%5D%2FgroupInfoFuel%5B%40ordinal%3D1%5D%2FpicFuelRecibeInterno","Descargar")</f>
        <v>Descargar</v>
      </c>
    </row>
    <row r="1479" spans="1:18" x14ac:dyDescent="0.3">
      <c r="A1479">
        <v>1573313</v>
      </c>
      <c r="B1479" t="s">
        <v>18</v>
      </c>
      <c r="C1479" t="s">
        <v>59</v>
      </c>
      <c r="D1479" t="s">
        <v>233</v>
      </c>
      <c r="E1479" t="s">
        <v>294</v>
      </c>
      <c r="F1479" t="s">
        <v>22</v>
      </c>
      <c r="G1479" t="s">
        <v>23</v>
      </c>
      <c r="H1479" t="s">
        <v>37</v>
      </c>
      <c r="I1479" t="s">
        <v>25</v>
      </c>
      <c r="J1479" s="2">
        <v>45846.372685185182</v>
      </c>
      <c r="K1479">
        <v>8</v>
      </c>
      <c r="L1479">
        <v>7</v>
      </c>
      <c r="M1479">
        <v>2025</v>
      </c>
      <c r="N1479" t="s">
        <v>27</v>
      </c>
      <c r="O1479">
        <v>350</v>
      </c>
      <c r="P1479">
        <v>350</v>
      </c>
      <c r="R1479" s="3" t="str">
        <f>HYPERLINK("https://panda.att.com.mx/ODKServer/view/binaryData?blobKey=FSSuministroFluidosv3%5B%40version%3Dnull+and+%40uiVersion%3Dnull%5D%2Fdata%5B%40key%3Duuid%3A8cc6b4a1-8d17-49c3-b24f-de33d3d839cb%5D%2FgroupInfoFuel%5B%40ordinal%3D1%5D%2FpicFuelRecibeInterno","Descargar")</f>
        <v>Descargar</v>
      </c>
    </row>
    <row r="1480" spans="1:18" x14ac:dyDescent="0.3">
      <c r="A1480">
        <v>1573296</v>
      </c>
      <c r="B1480" t="s">
        <v>18</v>
      </c>
      <c r="C1480" t="s">
        <v>100</v>
      </c>
      <c r="D1480" t="s">
        <v>101</v>
      </c>
      <c r="E1480" t="s">
        <v>102</v>
      </c>
      <c r="F1480" t="s">
        <v>22</v>
      </c>
      <c r="G1480" t="s">
        <v>83</v>
      </c>
      <c r="H1480" t="s">
        <v>58</v>
      </c>
      <c r="I1480" t="s">
        <v>25</v>
      </c>
      <c r="J1480" s="2">
        <v>45846.747465277767</v>
      </c>
      <c r="K1480">
        <v>8</v>
      </c>
      <c r="L1480">
        <v>7</v>
      </c>
      <c r="M1480">
        <v>2025</v>
      </c>
      <c r="N1480" t="s">
        <v>27</v>
      </c>
      <c r="O1480">
        <v>230</v>
      </c>
      <c r="P1480">
        <v>230</v>
      </c>
      <c r="R1480" s="3" t="str">
        <f>HYPERLINK("https://panda.att.com.mx/ODKServer/view/binaryData?blobKey=FSSuministroFluidosv3%5B%40version%3Dnull+and+%40uiVersion%3Dnull%5D%2Fdata%5B%40key%3Duuid%3A1ddcc254-990f-4a22-a416-03162c750531%5D%2FgroupInfoFuel%5B%40ordinal%3D1%5D%2FpicFuelRecibeInterno","Descargar")</f>
        <v>Descargar</v>
      </c>
    </row>
    <row r="1481" spans="1:18" x14ac:dyDescent="0.3">
      <c r="A1481">
        <v>1573295</v>
      </c>
      <c r="B1481" t="s">
        <v>18</v>
      </c>
      <c r="C1481" t="s">
        <v>100</v>
      </c>
      <c r="D1481" t="s">
        <v>101</v>
      </c>
      <c r="E1481" t="s">
        <v>102</v>
      </c>
      <c r="F1481" t="s">
        <v>22</v>
      </c>
      <c r="G1481" t="s">
        <v>83</v>
      </c>
      <c r="H1481" t="s">
        <v>58</v>
      </c>
      <c r="I1481" t="s">
        <v>25</v>
      </c>
      <c r="J1481" s="2">
        <v>45843.550046296303</v>
      </c>
      <c r="K1481">
        <v>5</v>
      </c>
      <c r="L1481">
        <v>7</v>
      </c>
      <c r="M1481">
        <v>2025</v>
      </c>
      <c r="N1481" t="s">
        <v>27</v>
      </c>
      <c r="O1481">
        <v>220</v>
      </c>
      <c r="P1481">
        <v>220</v>
      </c>
      <c r="R1481" s="3" t="str">
        <f>HYPERLINK("https://panda.att.com.mx/ODKServer/view/binaryData?blobKey=FSSuministroFluidosv3%5B%40version%3Dnull+and+%40uiVersion%3Dnull%5D%2Fdata%5B%40key%3Duuid%3Ad706f063-850d-4cb5-9219-f475ea8b78e7%5D%2FgroupInfoFuel%5B%40ordinal%3D1%5D%2FpicFuelRecibeInterno","Descargar")</f>
        <v>Descargar</v>
      </c>
    </row>
    <row r="1482" spans="1:18" x14ac:dyDescent="0.3">
      <c r="A1482">
        <v>1573292</v>
      </c>
      <c r="B1482" t="s">
        <v>18</v>
      </c>
      <c r="C1482" t="s">
        <v>19</v>
      </c>
      <c r="D1482" t="s">
        <v>20</v>
      </c>
      <c r="E1482" t="s">
        <v>21</v>
      </c>
      <c r="F1482" t="s">
        <v>22</v>
      </c>
      <c r="G1482" t="s">
        <v>23</v>
      </c>
      <c r="H1482" t="s">
        <v>24</v>
      </c>
      <c r="I1482" t="s">
        <v>25</v>
      </c>
      <c r="J1482" s="2">
        <v>45846.575104166674</v>
      </c>
      <c r="K1482">
        <v>8</v>
      </c>
      <c r="L1482">
        <v>7</v>
      </c>
      <c r="M1482">
        <v>2025</v>
      </c>
      <c r="N1482" t="s">
        <v>27</v>
      </c>
      <c r="O1482">
        <v>200</v>
      </c>
      <c r="P1482">
        <v>200</v>
      </c>
      <c r="R1482" s="3" t="str">
        <f>HYPERLINK("https://panda.att.com.mx/ODKServer/view/binaryData?blobKey=FSSuministroFluidosv3%5B%40version%3Dnull+and+%40uiVersion%3Dnull%5D%2Fdata%5B%40key%3Duuid%3A7eb23f35-d815-48ee-8f6c-9e19dc9fe18d%5D%2FgroupInfoFuel%5B%40ordinal%3D1%5D%2FpicFuelRecibeInterno","Descargar")</f>
        <v>Descargar</v>
      </c>
    </row>
    <row r="1483" spans="1:18" x14ac:dyDescent="0.3">
      <c r="A1483">
        <v>1573287</v>
      </c>
      <c r="B1483" t="s">
        <v>18</v>
      </c>
      <c r="C1483" t="s">
        <v>100</v>
      </c>
      <c r="D1483" t="s">
        <v>651</v>
      </c>
      <c r="E1483" t="s">
        <v>857</v>
      </c>
      <c r="F1483" t="s">
        <v>22</v>
      </c>
      <c r="G1483" t="s">
        <v>23</v>
      </c>
      <c r="H1483" t="s">
        <v>58</v>
      </c>
      <c r="I1483" t="s">
        <v>25</v>
      </c>
      <c r="J1483" s="2">
        <v>45846.607199074067</v>
      </c>
      <c r="K1483">
        <v>8</v>
      </c>
      <c r="L1483">
        <v>7</v>
      </c>
      <c r="M1483">
        <v>2025</v>
      </c>
      <c r="N1483" t="s">
        <v>27</v>
      </c>
      <c r="O1483">
        <v>200</v>
      </c>
      <c r="P1483">
        <v>200</v>
      </c>
      <c r="R1483" s="3" t="str">
        <f>HYPERLINK("https://panda.att.com.mx/ODKServer/view/binaryData?blobKey=FSSuministroFluidosv3%5B%40version%3Dnull+and+%40uiVersion%3Dnull%5D%2Fdata%5B%40key%3Duuid%3A17e3e07d-4e83-4f0e-b111-e8c310020e2e%5D%2FgroupInfoFuel%5B%40ordinal%3D1%5D%2FpicFuelRecibeInterno","Descargar")</f>
        <v>Descargar</v>
      </c>
    </row>
    <row r="1484" spans="1:18" x14ac:dyDescent="0.3">
      <c r="A1484">
        <v>1573286</v>
      </c>
      <c r="B1484" t="s">
        <v>18</v>
      </c>
      <c r="C1484" t="s">
        <v>19</v>
      </c>
      <c r="D1484" t="s">
        <v>20</v>
      </c>
      <c r="E1484" t="s">
        <v>1697</v>
      </c>
      <c r="F1484" t="s">
        <v>22</v>
      </c>
      <c r="G1484" t="s">
        <v>23</v>
      </c>
      <c r="H1484" t="s">
        <v>24</v>
      </c>
      <c r="I1484" t="s">
        <v>25</v>
      </c>
      <c r="J1484" s="2">
        <v>45846.662928240738</v>
      </c>
      <c r="K1484">
        <v>8</v>
      </c>
      <c r="L1484">
        <v>7</v>
      </c>
      <c r="M1484">
        <v>2025</v>
      </c>
      <c r="N1484" t="s">
        <v>27</v>
      </c>
      <c r="O1484">
        <v>200</v>
      </c>
      <c r="P1484">
        <v>200</v>
      </c>
      <c r="R1484" s="3" t="str">
        <f>HYPERLINK("https://panda.att.com.mx/ODKServer/view/binaryData?blobKey=FSSuministroFluidosv3%5B%40version%3Dnull+and+%40uiVersion%3Dnull%5D%2Fdata%5B%40key%3Duuid%3A4c43e54e-fae5-478a-8cf1-96d4c5b6e6e6%5D%2FgroupInfoFuel%5B%40ordinal%3D1%5D%2FpicFuelRecibeInterno","Descargar")</f>
        <v>Descargar</v>
      </c>
    </row>
    <row r="1485" spans="1:18" x14ac:dyDescent="0.3">
      <c r="A1485">
        <v>1573269</v>
      </c>
      <c r="B1485" t="s">
        <v>18</v>
      </c>
      <c r="C1485" t="s">
        <v>28</v>
      </c>
      <c r="D1485" t="s">
        <v>118</v>
      </c>
      <c r="E1485" t="s">
        <v>864</v>
      </c>
      <c r="F1485" t="s">
        <v>22</v>
      </c>
      <c r="G1485" t="s">
        <v>23</v>
      </c>
      <c r="H1485" t="s">
        <v>24</v>
      </c>
      <c r="I1485" t="s">
        <v>25</v>
      </c>
      <c r="J1485" s="2">
        <v>45846.623067129629</v>
      </c>
      <c r="K1485">
        <v>8</v>
      </c>
      <c r="L1485">
        <v>7</v>
      </c>
      <c r="M1485">
        <v>2025</v>
      </c>
      <c r="N1485" t="s">
        <v>27</v>
      </c>
      <c r="O1485">
        <v>100</v>
      </c>
      <c r="P1485">
        <v>100</v>
      </c>
      <c r="R1485" s="3" t="str">
        <f>HYPERLINK("https://panda.att.com.mx/ODKServer/view/binaryData?blobKey=FSSuministroFluidosv3%5B%40version%3Dnull+and+%40uiVersion%3Dnull%5D%2Fdata%5B%40key%3Duuid%3A0837a471-5e26-49ab-8dfe-ea7444f32c58%5D%2FgroupInfoFuel%5B%40ordinal%3D1%5D%2FpicFuelRecibeInterno","Descargar")</f>
        <v>Descargar</v>
      </c>
    </row>
    <row r="1486" spans="1:18" x14ac:dyDescent="0.3">
      <c r="A1486">
        <v>1573258</v>
      </c>
      <c r="B1486" t="s">
        <v>18</v>
      </c>
      <c r="C1486" t="s">
        <v>28</v>
      </c>
      <c r="D1486" t="s">
        <v>1036</v>
      </c>
      <c r="E1486" t="s">
        <v>1698</v>
      </c>
      <c r="F1486" t="s">
        <v>22</v>
      </c>
      <c r="G1486" t="s">
        <v>23</v>
      </c>
      <c r="H1486" t="s">
        <v>24</v>
      </c>
      <c r="I1486" t="s">
        <v>25</v>
      </c>
      <c r="J1486" s="2">
        <v>45846.572442129633</v>
      </c>
      <c r="K1486">
        <v>8</v>
      </c>
      <c r="L1486">
        <v>7</v>
      </c>
      <c r="M1486">
        <v>2025</v>
      </c>
      <c r="N1486" t="s">
        <v>44</v>
      </c>
      <c r="O1486">
        <v>50</v>
      </c>
      <c r="P1486">
        <v>50</v>
      </c>
      <c r="R1486" s="3" t="str">
        <f>HYPERLINK("https://panda.att.com.mx/ODKServer/view/binaryData?blobKey=FSSuministroFluidosv3%5B%40version%3Dnull+and+%40uiVersion%3Dnull%5D%2Fdata%5B%40key%3Duuid%3A5c640c03-dbef-40ff-85c0-c02fa9d86271%5D%2FgroupInfoFuel%5B%40ordinal%3D1%5D%2FpicFuelRecibeInterno","Descargar")</f>
        <v>Descargar</v>
      </c>
    </row>
    <row r="1487" spans="1:18" x14ac:dyDescent="0.3">
      <c r="A1487">
        <v>1573257</v>
      </c>
      <c r="B1487" t="s">
        <v>18</v>
      </c>
      <c r="C1487" t="s">
        <v>28</v>
      </c>
      <c r="D1487" t="s">
        <v>1036</v>
      </c>
      <c r="E1487" t="s">
        <v>1699</v>
      </c>
      <c r="F1487" t="s">
        <v>22</v>
      </c>
      <c r="G1487" t="s">
        <v>23</v>
      </c>
      <c r="H1487" t="s">
        <v>24</v>
      </c>
      <c r="I1487" t="s">
        <v>25</v>
      </c>
      <c r="J1487" s="2">
        <v>45846.557199074072</v>
      </c>
      <c r="K1487">
        <v>8</v>
      </c>
      <c r="L1487">
        <v>7</v>
      </c>
      <c r="M1487">
        <v>2025</v>
      </c>
      <c r="N1487" t="s">
        <v>44</v>
      </c>
      <c r="O1487">
        <v>20</v>
      </c>
      <c r="P1487">
        <v>20</v>
      </c>
      <c r="R1487" s="3" t="str">
        <f>HYPERLINK("https://panda.att.com.mx/ODKServer/view/binaryData?blobKey=FSSuministroFluidosv3%5B%40version%3Dnull+and+%40uiVersion%3Dnull%5D%2Fdata%5B%40key%3Duuid%3A96d3dac7-590d-436d-938f-8c8c96460bf3%5D%2FgroupInfoFuel%5B%40ordinal%3D1%5D%2FpicFuelRecibeInterno","Descargar")</f>
        <v>Descargar</v>
      </c>
    </row>
    <row r="1488" spans="1:18" x14ac:dyDescent="0.3">
      <c r="A1488">
        <v>1573224</v>
      </c>
      <c r="B1488" t="s">
        <v>18</v>
      </c>
      <c r="C1488" t="s">
        <v>28</v>
      </c>
      <c r="D1488" t="s">
        <v>66</v>
      </c>
      <c r="E1488" t="s">
        <v>276</v>
      </c>
      <c r="F1488" t="s">
        <v>22</v>
      </c>
      <c r="G1488" t="s">
        <v>23</v>
      </c>
      <c r="H1488" t="s">
        <v>24</v>
      </c>
      <c r="I1488" t="s">
        <v>25</v>
      </c>
      <c r="J1488" s="2">
        <v>45846.500787037039</v>
      </c>
      <c r="K1488">
        <v>8</v>
      </c>
      <c r="L1488">
        <v>7</v>
      </c>
      <c r="M1488">
        <v>2025</v>
      </c>
      <c r="N1488" t="s">
        <v>44</v>
      </c>
      <c r="O1488">
        <v>40</v>
      </c>
      <c r="P1488">
        <v>40</v>
      </c>
      <c r="R1488" s="3" t="str">
        <f>HYPERLINK("https://panda.att.com.mx/ODKServer/view/binaryData?blobKey=FSSuministroFluidosv3%5B%40version%3Dnull+and+%40uiVersion%3Dnull%5D%2Fdata%5B%40key%3Duuid%3A76fd040f-2f22-49dd-b2ee-8f5f7f16c0de%5D%2FgroupInfoFuel%5B%40ordinal%3D1%5D%2FpicFuelRecibeInterno","Descargar")</f>
        <v>Descargar</v>
      </c>
    </row>
    <row r="1489" spans="1:18" x14ac:dyDescent="0.3">
      <c r="A1489">
        <v>1573223</v>
      </c>
      <c r="B1489" t="s">
        <v>18</v>
      </c>
      <c r="C1489" t="s">
        <v>28</v>
      </c>
      <c r="D1489" t="s">
        <v>66</v>
      </c>
      <c r="E1489" t="s">
        <v>1408</v>
      </c>
      <c r="F1489" t="s">
        <v>22</v>
      </c>
      <c r="G1489" t="s">
        <v>23</v>
      </c>
      <c r="H1489" t="s">
        <v>24</v>
      </c>
      <c r="I1489" t="s">
        <v>25</v>
      </c>
      <c r="J1489" s="2">
        <v>45846.442847222221</v>
      </c>
      <c r="K1489">
        <v>8</v>
      </c>
      <c r="L1489">
        <v>7</v>
      </c>
      <c r="M1489">
        <v>2025</v>
      </c>
      <c r="N1489" t="s">
        <v>44</v>
      </c>
      <c r="O1489">
        <v>35</v>
      </c>
      <c r="Q1489">
        <v>35</v>
      </c>
      <c r="R1489" s="3" t="str">
        <f>HYPERLINK("https://panda.att.com.mx/ODKServer/view/binaryData?blobKey=FSSuministroFluidosv3%5B%40version%3Dnull+and+%40uiVersion%3Dnull%5D%2Fdata%5B%40key%3Duuid%3A0d64afed-fcfe-4ff4-b594-04039d1a0f27%5D%2FgroupInfoFuel%5B%40ordinal%3D1%5D%2FpicFuelRecibeInterno","Descargar")</f>
        <v>Descargar</v>
      </c>
    </row>
    <row r="1490" spans="1:18" x14ac:dyDescent="0.3">
      <c r="A1490">
        <v>1573218</v>
      </c>
      <c r="B1490" t="s">
        <v>18</v>
      </c>
      <c r="C1490" t="s">
        <v>28</v>
      </c>
      <c r="D1490" t="s">
        <v>66</v>
      </c>
      <c r="E1490" t="s">
        <v>1700</v>
      </c>
      <c r="F1490" t="s">
        <v>22</v>
      </c>
      <c r="G1490" t="s">
        <v>23</v>
      </c>
      <c r="H1490" t="s">
        <v>24</v>
      </c>
      <c r="I1490" t="s">
        <v>25</v>
      </c>
      <c r="J1490" s="2">
        <v>45846.558078703703</v>
      </c>
      <c r="K1490">
        <v>8</v>
      </c>
      <c r="L1490">
        <v>7</v>
      </c>
      <c r="M1490">
        <v>2025</v>
      </c>
      <c r="N1490" t="s">
        <v>44</v>
      </c>
      <c r="O1490">
        <v>35</v>
      </c>
      <c r="P1490">
        <v>35</v>
      </c>
      <c r="R1490" s="3" t="str">
        <f>HYPERLINK("https://panda.att.com.mx/ODKServer/view/binaryData?blobKey=FSSuministroFluidosv3%5B%40version%3Dnull+and+%40uiVersion%3Dnull%5D%2Fdata%5B%40key%3Duuid%3A8a187296-282c-43c2-8a72-5e7dd3e98e6b%5D%2FgroupInfoFuel%5B%40ordinal%3D1%5D%2FpicFuelRecibeInterno","Descargar")</f>
        <v>Descargar</v>
      </c>
    </row>
    <row r="1491" spans="1:18" x14ac:dyDescent="0.3">
      <c r="A1491">
        <v>1573167</v>
      </c>
      <c r="B1491" t="s">
        <v>18</v>
      </c>
      <c r="C1491" t="s">
        <v>167</v>
      </c>
      <c r="D1491" t="s">
        <v>215</v>
      </c>
      <c r="E1491" t="s">
        <v>674</v>
      </c>
      <c r="F1491" t="s">
        <v>22</v>
      </c>
      <c r="G1491" t="s">
        <v>23</v>
      </c>
      <c r="H1491" t="s">
        <v>58</v>
      </c>
      <c r="I1491" t="s">
        <v>25</v>
      </c>
      <c r="J1491" s="2">
        <v>45846.713645833333</v>
      </c>
      <c r="K1491">
        <v>8</v>
      </c>
      <c r="L1491">
        <v>7</v>
      </c>
      <c r="M1491">
        <v>2025</v>
      </c>
      <c r="N1491" t="s">
        <v>27</v>
      </c>
      <c r="O1491">
        <v>100</v>
      </c>
      <c r="P1491">
        <v>100</v>
      </c>
      <c r="R1491" s="3" t="str">
        <f>HYPERLINK("https://panda.att.com.mx/ODKServer/view/binaryData?blobKey=FSSuministroFluidosv3%5B%40version%3Dnull+and+%40uiVersion%3Dnull%5D%2Fdata%5B%40key%3Duuid%3Aac53c7fc-e29f-456f-b9f2-01d15f7a14c2%5D%2FgroupInfoFuel%5B%40ordinal%3D1%5D%2FpicFuelRecibeInterno","Descargar")</f>
        <v>Descargar</v>
      </c>
    </row>
    <row r="1492" spans="1:18" x14ac:dyDescent="0.3">
      <c r="A1492">
        <v>1573113</v>
      </c>
      <c r="B1492" t="s">
        <v>18</v>
      </c>
      <c r="C1492" t="s">
        <v>55</v>
      </c>
      <c r="D1492" t="s">
        <v>56</v>
      </c>
      <c r="E1492" t="s">
        <v>1701</v>
      </c>
      <c r="F1492" t="s">
        <v>22</v>
      </c>
      <c r="G1492" t="s">
        <v>23</v>
      </c>
      <c r="H1492" t="s">
        <v>58</v>
      </c>
      <c r="I1492" t="s">
        <v>25</v>
      </c>
      <c r="J1492" s="2">
        <v>45828.408726851849</v>
      </c>
      <c r="K1492">
        <v>20</v>
      </c>
      <c r="L1492">
        <v>6</v>
      </c>
      <c r="M1492">
        <v>2025</v>
      </c>
      <c r="N1492" t="s">
        <v>27</v>
      </c>
      <c r="O1492">
        <v>200</v>
      </c>
      <c r="P1492">
        <v>200</v>
      </c>
      <c r="R1492" s="3" t="str">
        <f>HYPERLINK("https://panda.att.com.mx/ODKServer/view/binaryData?blobKey=FSSuministroFluidosv3%5B%40version%3Dnull+and+%40uiVersion%3Dnull%5D%2Fdata%5B%40key%3Duuid%3A5506cfb4-a33a-44ff-bdcd-496d75f6acf4%5D%2FgroupInfoFuel%5B%40ordinal%3D1%5D%2FpicFuelRecibeInterno","Descargar")</f>
        <v>Descargar</v>
      </c>
    </row>
    <row r="1493" spans="1:18" x14ac:dyDescent="0.3">
      <c r="A1493">
        <v>1573105</v>
      </c>
      <c r="B1493" t="s">
        <v>18</v>
      </c>
      <c r="C1493" t="s">
        <v>55</v>
      </c>
      <c r="D1493" t="s">
        <v>56</v>
      </c>
      <c r="E1493" t="s">
        <v>1555</v>
      </c>
      <c r="F1493" t="s">
        <v>22</v>
      </c>
      <c r="G1493" t="s">
        <v>23</v>
      </c>
      <c r="H1493" t="s">
        <v>58</v>
      </c>
      <c r="I1493" t="s">
        <v>25</v>
      </c>
      <c r="J1493" s="2">
        <v>45846.420370370368</v>
      </c>
      <c r="K1493">
        <v>8</v>
      </c>
      <c r="L1493">
        <v>7</v>
      </c>
      <c r="M1493">
        <v>2025</v>
      </c>
      <c r="N1493" t="s">
        <v>27</v>
      </c>
      <c r="O1493">
        <v>300</v>
      </c>
      <c r="P1493">
        <v>300</v>
      </c>
      <c r="R1493" s="3" t="str">
        <f>HYPERLINK("https://panda.att.com.mx/ODKServer/view/binaryData?blobKey=FSSuministroFluidosv3%5B%40version%3Dnull+and+%40uiVersion%3Dnull%5D%2Fdata%5B%40key%3Duuid%3A0a883f60-bbd4-40ee-ac59-26c7242b5d75%5D%2FgroupInfoFuel%5B%40ordinal%3D1%5D%2FpicFuelRecibeInterno","Descargar")</f>
        <v>Descargar</v>
      </c>
    </row>
    <row r="1494" spans="1:18" x14ac:dyDescent="0.3">
      <c r="A1494">
        <v>1573104</v>
      </c>
      <c r="B1494" t="s">
        <v>18</v>
      </c>
      <c r="C1494" t="s">
        <v>55</v>
      </c>
      <c r="D1494" t="s">
        <v>56</v>
      </c>
      <c r="E1494" t="s">
        <v>1702</v>
      </c>
      <c r="F1494" t="s">
        <v>22</v>
      </c>
      <c r="G1494" t="s">
        <v>23</v>
      </c>
      <c r="H1494" t="s">
        <v>58</v>
      </c>
      <c r="I1494" t="s">
        <v>25</v>
      </c>
      <c r="J1494" s="2">
        <v>45825.66002314815</v>
      </c>
      <c r="K1494">
        <v>17</v>
      </c>
      <c r="L1494">
        <v>6</v>
      </c>
      <c r="M1494">
        <v>2025</v>
      </c>
      <c r="N1494" t="s">
        <v>27</v>
      </c>
      <c r="O1494">
        <v>65</v>
      </c>
      <c r="P1494">
        <v>65</v>
      </c>
      <c r="R1494" s="3" t="str">
        <f>HYPERLINK("https://panda.att.com.mx/ODKServer/view/binaryData?blobKey=FSSuministroFluidosv3%5B%40version%3Dnull+and+%40uiVersion%3Dnull%5D%2Fdata%5B%40key%3Duuid%3Aad6cf595-e398-4a19-a3ef-679158104025%5D%2FgroupInfoFuel%5B%40ordinal%3D1%5D%2FpicFuelRecibeInterno","Descargar")</f>
        <v>Descargar</v>
      </c>
    </row>
    <row r="1495" spans="1:18" x14ac:dyDescent="0.3">
      <c r="A1495">
        <v>1573094</v>
      </c>
      <c r="B1495" t="s">
        <v>18</v>
      </c>
      <c r="C1495" t="s">
        <v>68</v>
      </c>
      <c r="D1495" t="s">
        <v>91</v>
      </c>
      <c r="E1495" t="s">
        <v>1606</v>
      </c>
      <c r="F1495" t="s">
        <v>22</v>
      </c>
      <c r="G1495" t="s">
        <v>23</v>
      </c>
      <c r="H1495" t="s">
        <v>37</v>
      </c>
      <c r="I1495" t="s">
        <v>25</v>
      </c>
      <c r="J1495" s="2">
        <v>45846.53765046296</v>
      </c>
      <c r="K1495">
        <v>8</v>
      </c>
      <c r="L1495">
        <v>7</v>
      </c>
      <c r="M1495">
        <v>2025</v>
      </c>
      <c r="N1495" t="s">
        <v>27</v>
      </c>
      <c r="O1495">
        <v>120</v>
      </c>
      <c r="P1495">
        <v>120</v>
      </c>
      <c r="R1495" s="3" t="str">
        <f>HYPERLINK("https://panda.att.com.mx/ODKServer/view/binaryData?blobKey=FSSuministroFluidosv3%5B%40version%3Dnull+and+%40uiVersion%3Dnull%5D%2Fdata%5B%40key%3Duuid%3A0a2da8ad-940e-4271-b3d2-03aa3d897433%5D%2FgroupInfoFuel%5B%40ordinal%3D1%5D%2FpicFuelRecibeInterno","Descargar")</f>
        <v>Descargar</v>
      </c>
    </row>
    <row r="1496" spans="1:18" x14ac:dyDescent="0.3">
      <c r="A1496">
        <v>1573075</v>
      </c>
      <c r="B1496" t="s">
        <v>18</v>
      </c>
      <c r="C1496" t="s">
        <v>100</v>
      </c>
      <c r="D1496" t="s">
        <v>716</v>
      </c>
      <c r="E1496" t="s">
        <v>717</v>
      </c>
      <c r="F1496" t="s">
        <v>22</v>
      </c>
      <c r="G1496" t="s">
        <v>83</v>
      </c>
      <c r="H1496" t="s">
        <v>58</v>
      </c>
      <c r="I1496" t="s">
        <v>25</v>
      </c>
      <c r="J1496" s="2">
        <v>45846.687893518523</v>
      </c>
      <c r="K1496">
        <v>8</v>
      </c>
      <c r="L1496">
        <v>7</v>
      </c>
      <c r="M1496">
        <v>2025</v>
      </c>
      <c r="N1496" t="s">
        <v>27</v>
      </c>
      <c r="O1496">
        <v>150</v>
      </c>
      <c r="P1496">
        <v>150</v>
      </c>
      <c r="R1496" s="3" t="str">
        <f>HYPERLINK("https://panda.att.com.mx/ODKServer/view/binaryData?blobKey=FSSuministroFluidosv3%5B%40version%3Dnull+and+%40uiVersion%3Dnull%5D%2Fdata%5B%40key%3Duuid%3A15f04179-72d1-4250-85a4-8c42f2ecfe5e%5D%2FgroupInfoFuel%5B%40ordinal%3D1%5D%2FpicFuelRecibeInterno","Descargar")</f>
        <v>Descargar</v>
      </c>
    </row>
    <row r="1497" spans="1:18" x14ac:dyDescent="0.3">
      <c r="A1497">
        <v>1573060</v>
      </c>
      <c r="B1497" t="s">
        <v>18</v>
      </c>
      <c r="C1497" t="s">
        <v>34</v>
      </c>
      <c r="D1497" t="s">
        <v>53</v>
      </c>
      <c r="E1497" t="s">
        <v>1703</v>
      </c>
      <c r="F1497" t="s">
        <v>22</v>
      </c>
      <c r="G1497" t="s">
        <v>23</v>
      </c>
      <c r="H1497" t="s">
        <v>390</v>
      </c>
      <c r="I1497" t="s">
        <v>25</v>
      </c>
      <c r="J1497" s="2">
        <v>45846.606469907398</v>
      </c>
      <c r="K1497">
        <v>8</v>
      </c>
      <c r="L1497">
        <v>7</v>
      </c>
      <c r="M1497">
        <v>2025</v>
      </c>
      <c r="N1497" t="s">
        <v>27</v>
      </c>
      <c r="O1497">
        <v>40</v>
      </c>
      <c r="P1497">
        <v>40</v>
      </c>
      <c r="R1497" s="3" t="str">
        <f>HYPERLINK("https://panda.att.com.mx/ODKServer/view/binaryData?blobKey=FSSuministroFluidosv3%5B%40version%3Dnull+and+%40uiVersion%3Dnull%5D%2Fdata%5B%40key%3Duuid%3Aa8e57e4f-9b98-437d-90c1-6a1e1d277b08%5D%2FgroupInfoFuel%5B%40ordinal%3D1%5D%2FpicFuelRecibeInterno","Descargar")</f>
        <v>Descargar</v>
      </c>
    </row>
    <row r="1498" spans="1:18" x14ac:dyDescent="0.3">
      <c r="A1498">
        <v>1573030</v>
      </c>
      <c r="B1498" t="s">
        <v>18</v>
      </c>
      <c r="C1498" t="s">
        <v>68</v>
      </c>
      <c r="D1498" t="s">
        <v>258</v>
      </c>
      <c r="E1498" t="s">
        <v>1704</v>
      </c>
      <c r="F1498" t="s">
        <v>22</v>
      </c>
      <c r="G1498" t="s">
        <v>23</v>
      </c>
      <c r="H1498" t="s">
        <v>37</v>
      </c>
      <c r="I1498" t="s">
        <v>25</v>
      </c>
      <c r="J1498" s="2">
        <v>45846.400277777779</v>
      </c>
      <c r="K1498">
        <v>8</v>
      </c>
      <c r="L1498">
        <v>7</v>
      </c>
      <c r="M1498">
        <v>2025</v>
      </c>
      <c r="N1498" t="s">
        <v>27</v>
      </c>
      <c r="O1498">
        <v>100</v>
      </c>
      <c r="P1498">
        <v>100</v>
      </c>
      <c r="R1498" s="3" t="str">
        <f>HYPERLINK("https://panda.att.com.mx/ODKServer/view/binaryData?blobKey=FSSuministroFluidosv3%5B%40version%3Dnull+and+%40uiVersion%3Dnull%5D%2Fdata%5B%40key%3Duuid%3A306eebbc-ab53-47df-b2bf-72ce4fbd02d8%5D%2FgroupInfoFuel%5B%40ordinal%3D1%5D%2FpicFuelRecibeInterno","Descargar")</f>
        <v>Descargar</v>
      </c>
    </row>
    <row r="1499" spans="1:18" x14ac:dyDescent="0.3">
      <c r="A1499">
        <v>1573029</v>
      </c>
      <c r="B1499" t="s">
        <v>18</v>
      </c>
      <c r="C1499" t="s">
        <v>28</v>
      </c>
      <c r="D1499" t="s">
        <v>118</v>
      </c>
      <c r="E1499" t="s">
        <v>119</v>
      </c>
      <c r="F1499" t="s">
        <v>22</v>
      </c>
      <c r="G1499" t="s">
        <v>23</v>
      </c>
      <c r="H1499" t="s">
        <v>24</v>
      </c>
      <c r="I1499" t="s">
        <v>25</v>
      </c>
      <c r="J1499" s="2">
        <v>45846.480868055558</v>
      </c>
      <c r="K1499">
        <v>8</v>
      </c>
      <c r="L1499">
        <v>7</v>
      </c>
      <c r="M1499">
        <v>2025</v>
      </c>
      <c r="N1499" t="s">
        <v>44</v>
      </c>
      <c r="O1499">
        <v>35</v>
      </c>
      <c r="Q1499">
        <v>35</v>
      </c>
      <c r="R1499" s="3" t="str">
        <f>HYPERLINK("https://panda.att.com.mx/ODKServer/view/binaryData?blobKey=FSSuministroFluidosv3%5B%40version%3Dnull+and+%40uiVersion%3Dnull%5D%2Fdata%5B%40key%3Duuid%3A874560db-d32a-4f61-afc3-6600afa403cb%5D%2FgroupInfoFuel%5B%40ordinal%3D1%5D%2FpicFuelRecibeInterno","Descargar")</f>
        <v>Descargar</v>
      </c>
    </row>
    <row r="1500" spans="1:18" x14ac:dyDescent="0.3">
      <c r="A1500">
        <v>1573028</v>
      </c>
      <c r="B1500" t="s">
        <v>18</v>
      </c>
      <c r="C1500" t="s">
        <v>55</v>
      </c>
      <c r="D1500" t="s">
        <v>887</v>
      </c>
      <c r="E1500" t="s">
        <v>888</v>
      </c>
      <c r="F1500" t="s">
        <v>22</v>
      </c>
      <c r="G1500" t="s">
        <v>23</v>
      </c>
      <c r="H1500" t="s">
        <v>58</v>
      </c>
      <c r="I1500" t="s">
        <v>25</v>
      </c>
      <c r="J1500" s="2">
        <v>45846.503842592603</v>
      </c>
      <c r="K1500">
        <v>8</v>
      </c>
      <c r="L1500">
        <v>7</v>
      </c>
      <c r="M1500">
        <v>2025</v>
      </c>
      <c r="N1500" t="s">
        <v>27</v>
      </c>
      <c r="O1500">
        <v>350</v>
      </c>
      <c r="P1500">
        <v>350</v>
      </c>
      <c r="R1500" s="3" t="str">
        <f>HYPERLINK("https://panda.att.com.mx/ODKServer/view/binaryData?blobKey=FSSuministroFluidosv3%5B%40version%3Dnull+and+%40uiVersion%3Dnull%5D%2Fdata%5B%40key%3Duuid%3A8a36201f-781b-486a-a54b-eaf456dae136%5D%2FgroupInfoFuel%5B%40ordinal%3D1%5D%2FpicFuelRecibeInterno","Descargar")</f>
        <v>Descargar</v>
      </c>
    </row>
    <row r="1501" spans="1:18" x14ac:dyDescent="0.3">
      <c r="A1501">
        <v>1572989</v>
      </c>
      <c r="B1501" t="s">
        <v>18</v>
      </c>
      <c r="C1501" t="s">
        <v>19</v>
      </c>
      <c r="D1501" t="s">
        <v>45</v>
      </c>
      <c r="E1501" t="s">
        <v>1705</v>
      </c>
      <c r="F1501" t="s">
        <v>22</v>
      </c>
      <c r="G1501" t="s">
        <v>23</v>
      </c>
      <c r="H1501" t="s">
        <v>24</v>
      </c>
      <c r="I1501" t="s">
        <v>25</v>
      </c>
      <c r="J1501" s="2">
        <v>45845.60597222222</v>
      </c>
      <c r="K1501">
        <v>7</v>
      </c>
      <c r="L1501">
        <v>7</v>
      </c>
      <c r="M1501">
        <v>2025</v>
      </c>
      <c r="N1501" t="s">
        <v>27</v>
      </c>
      <c r="O1501">
        <v>100</v>
      </c>
      <c r="P1501">
        <v>100</v>
      </c>
      <c r="R1501" s="3" t="str">
        <f>HYPERLINK("https://panda.att.com.mx/ODKServer/view/binaryData?blobKey=FSSuministroFluidosv3%5B%40version%3Dnull+and+%40uiVersion%3Dnull%5D%2Fdata%5B%40key%3Duuid%3A4b13a7f4-67fe-4b0a-aa1b-06dfb56f7310%5D%2FgroupInfoFuel%5B%40ordinal%3D1%5D%2FpicFuelRecibeInterno","Descargar")</f>
        <v>Descargar</v>
      </c>
    </row>
    <row r="1502" spans="1:18" x14ac:dyDescent="0.3">
      <c r="A1502">
        <v>1572948</v>
      </c>
      <c r="B1502" t="s">
        <v>18</v>
      </c>
      <c r="C1502" t="s">
        <v>28</v>
      </c>
      <c r="D1502" t="s">
        <v>1036</v>
      </c>
      <c r="E1502" t="s">
        <v>1637</v>
      </c>
      <c r="F1502" t="s">
        <v>22</v>
      </c>
      <c r="G1502" t="s">
        <v>47</v>
      </c>
      <c r="H1502" t="s">
        <v>24</v>
      </c>
      <c r="I1502" t="s">
        <v>25</v>
      </c>
      <c r="J1502" s="2">
        <v>45843.500185185178</v>
      </c>
      <c r="K1502">
        <v>5</v>
      </c>
      <c r="L1502">
        <v>7</v>
      </c>
      <c r="M1502">
        <v>2025</v>
      </c>
      <c r="N1502" t="s">
        <v>44</v>
      </c>
      <c r="O1502">
        <v>50</v>
      </c>
      <c r="P1502">
        <v>50</v>
      </c>
      <c r="R1502" s="3" t="str">
        <f>HYPERLINK("https://panda.att.com.mx/ODKServer/view/binaryData?blobKey=FSSuministroFluidosv3%5B%40version%3Dnull+and+%40uiVersion%3Dnull%5D%2Fdata%5B%40key%3Duuid%3Ab61e651a-03d3-4e60-a759-b2e2a73f7582%5D%2FgroupInfoFuel%5B%40ordinal%3D1%5D%2FpicFuelRecibeInterno","Descargar")</f>
        <v>Descargar</v>
      </c>
    </row>
    <row r="1503" spans="1:18" x14ac:dyDescent="0.3">
      <c r="A1503">
        <v>1572898</v>
      </c>
      <c r="B1503" t="s">
        <v>18</v>
      </c>
      <c r="C1503" t="s">
        <v>19</v>
      </c>
      <c r="D1503" t="s">
        <v>200</v>
      </c>
      <c r="E1503" t="s">
        <v>1706</v>
      </c>
      <c r="F1503" t="s">
        <v>22</v>
      </c>
      <c r="G1503" t="s">
        <v>23</v>
      </c>
      <c r="H1503" t="s">
        <v>24</v>
      </c>
      <c r="I1503" t="s">
        <v>25</v>
      </c>
      <c r="J1503" s="2">
        <v>45846.570763888893</v>
      </c>
      <c r="K1503">
        <v>8</v>
      </c>
      <c r="L1503">
        <v>7</v>
      </c>
      <c r="M1503">
        <v>2025</v>
      </c>
      <c r="N1503" t="s">
        <v>44</v>
      </c>
      <c r="O1503">
        <v>45</v>
      </c>
      <c r="P1503">
        <v>45</v>
      </c>
      <c r="R1503" s="3" t="str">
        <f>HYPERLINK("https://panda.att.com.mx/ODKServer/view/binaryData?blobKey=FSSuministroFluidosv3%5B%40version%3Dnull+and+%40uiVersion%3Dnull%5D%2Fdata%5B%40key%3Duuid%3A6c5b3056-9158-45c6-aa72-2a525117d083%5D%2FgroupInfoFuel%5B%40ordinal%3D1%5D%2FpicFuelRecibeInterno","Descargar")</f>
        <v>Descargar</v>
      </c>
    </row>
    <row r="1504" spans="1:18" x14ac:dyDescent="0.3">
      <c r="A1504">
        <v>1572752</v>
      </c>
      <c r="B1504" t="s">
        <v>18</v>
      </c>
      <c r="C1504" t="s">
        <v>68</v>
      </c>
      <c r="D1504" t="s">
        <v>219</v>
      </c>
      <c r="E1504" t="s">
        <v>1707</v>
      </c>
      <c r="F1504" t="s">
        <v>22</v>
      </c>
      <c r="G1504" t="s">
        <v>23</v>
      </c>
      <c r="H1504" t="s">
        <v>37</v>
      </c>
      <c r="I1504" t="s">
        <v>25</v>
      </c>
      <c r="J1504" s="2">
        <v>45845.525601851848</v>
      </c>
      <c r="K1504">
        <v>7</v>
      </c>
      <c r="L1504">
        <v>7</v>
      </c>
      <c r="M1504">
        <v>2025</v>
      </c>
      <c r="N1504" t="s">
        <v>27</v>
      </c>
      <c r="O1504">
        <v>300</v>
      </c>
      <c r="P1504">
        <v>300</v>
      </c>
      <c r="R1504" s="3" t="str">
        <f>HYPERLINK("https://panda.att.com.mx/ODKServer/view/binaryData?blobKey=FSSuministroFluidosv3%5B%40version%3Dnull+and+%40uiVersion%3Dnull%5D%2Fdata%5B%40key%3Duuid%3A17eb6572-4d87-4dc9-891c-6ca7606eb02e%5D%2FgroupInfoFuel%5B%40ordinal%3D1%5D%2FpicFuelRecibeInterno","Descargar")</f>
        <v>Descargar</v>
      </c>
    </row>
    <row r="1505" spans="1:18" x14ac:dyDescent="0.3">
      <c r="A1505">
        <v>1572743</v>
      </c>
      <c r="B1505" t="s">
        <v>18</v>
      </c>
      <c r="C1505" t="s">
        <v>183</v>
      </c>
      <c r="D1505" t="s">
        <v>534</v>
      </c>
      <c r="E1505" t="s">
        <v>1708</v>
      </c>
      <c r="F1505" t="s">
        <v>22</v>
      </c>
      <c r="G1505" t="s">
        <v>23</v>
      </c>
      <c r="H1505" t="s">
        <v>37</v>
      </c>
      <c r="I1505" t="s">
        <v>25</v>
      </c>
      <c r="J1505" s="2">
        <v>45845.434594907398</v>
      </c>
      <c r="K1505">
        <v>7</v>
      </c>
      <c r="L1505">
        <v>7</v>
      </c>
      <c r="M1505">
        <v>2025</v>
      </c>
      <c r="N1505" t="s">
        <v>44</v>
      </c>
      <c r="O1505">
        <v>50</v>
      </c>
      <c r="P1505">
        <v>50</v>
      </c>
      <c r="R1505" s="3" t="str">
        <f>HYPERLINK("https://panda.att.com.mx/ODKServer/view/binaryData?blobKey=FSSuministroFluidosv3%5B%40version%3Dnull+and+%40uiVersion%3Dnull%5D%2Fdata%5B%40key%3Duuid%3A40ac503d-9f51-45e8-95a8-9777d8eb7800%5D%2FgroupInfoFuel%5B%40ordinal%3D1%5D%2FpicFuelRecibeInterno","Descargar")</f>
        <v>Descargar</v>
      </c>
    </row>
    <row r="1506" spans="1:18" x14ac:dyDescent="0.3">
      <c r="A1506">
        <v>1572726</v>
      </c>
      <c r="B1506" t="s">
        <v>18</v>
      </c>
      <c r="C1506" t="s">
        <v>55</v>
      </c>
      <c r="D1506" t="s">
        <v>56</v>
      </c>
      <c r="E1506" t="s">
        <v>1555</v>
      </c>
      <c r="F1506" t="s">
        <v>22</v>
      </c>
      <c r="G1506" t="s">
        <v>23</v>
      </c>
      <c r="H1506" t="s">
        <v>58</v>
      </c>
      <c r="I1506" t="s">
        <v>25</v>
      </c>
      <c r="J1506" s="2">
        <v>45843.490057870367</v>
      </c>
      <c r="K1506">
        <v>5</v>
      </c>
      <c r="L1506">
        <v>7</v>
      </c>
      <c r="M1506">
        <v>2025</v>
      </c>
      <c r="N1506" t="s">
        <v>27</v>
      </c>
      <c r="O1506">
        <v>200</v>
      </c>
      <c r="P1506">
        <v>200</v>
      </c>
      <c r="R1506" s="3" t="str">
        <f>HYPERLINK("https://panda.att.com.mx/ODKServer/view/binaryData?blobKey=FSSuministroFluidosv3%5B%40version%3Dnull+and+%40uiVersion%3Dnull%5D%2Fdata%5B%40key%3Duuid%3A8b12b369-bad0-4c64-a3ea-d7abf5585cd8%5D%2FgroupInfoFuel%5B%40ordinal%3D1%5D%2FpicFuelRecibeInterno","Descargar")</f>
        <v>Descargar</v>
      </c>
    </row>
    <row r="1507" spans="1:18" x14ac:dyDescent="0.3">
      <c r="A1507">
        <v>1572703</v>
      </c>
      <c r="B1507" t="s">
        <v>18</v>
      </c>
      <c r="C1507" t="s">
        <v>68</v>
      </c>
      <c r="D1507" t="s">
        <v>461</v>
      </c>
      <c r="E1507" t="s">
        <v>1709</v>
      </c>
      <c r="F1507" t="s">
        <v>22</v>
      </c>
      <c r="G1507" t="s">
        <v>23</v>
      </c>
      <c r="H1507" t="s">
        <v>37</v>
      </c>
      <c r="I1507" t="s">
        <v>25</v>
      </c>
      <c r="J1507" s="2">
        <v>45843.53019675926</v>
      </c>
      <c r="K1507">
        <v>5</v>
      </c>
      <c r="L1507">
        <v>7</v>
      </c>
      <c r="M1507">
        <v>2025</v>
      </c>
      <c r="N1507" t="s">
        <v>27</v>
      </c>
      <c r="O1507">
        <v>300</v>
      </c>
      <c r="P1507">
        <v>300</v>
      </c>
      <c r="R1507" s="3" t="str">
        <f>HYPERLINK("https://panda.att.com.mx/ODKServer/view/binaryData?blobKey=FSSuministroFluidosv3%5B%40version%3Dnull+and+%40uiVersion%3Dnull%5D%2Fdata%5B%40key%3Duuid%3Ab989ca60-06e5-41e3-a529-13cef7b71ec0%5D%2FgroupInfoFuel%5B%40ordinal%3D1%5D%2FpicFuelRecibeInterno","Descargar")</f>
        <v>Descargar</v>
      </c>
    </row>
    <row r="1508" spans="1:18" x14ac:dyDescent="0.3">
      <c r="A1508">
        <v>1572698</v>
      </c>
      <c r="B1508" t="s">
        <v>18</v>
      </c>
      <c r="C1508" t="s">
        <v>59</v>
      </c>
      <c r="D1508" t="s">
        <v>60</v>
      </c>
      <c r="E1508" t="s">
        <v>1710</v>
      </c>
      <c r="F1508" t="s">
        <v>22</v>
      </c>
      <c r="G1508" t="s">
        <v>23</v>
      </c>
      <c r="H1508" t="s">
        <v>37</v>
      </c>
      <c r="I1508" t="s">
        <v>25</v>
      </c>
      <c r="J1508" s="2">
        <v>45845.593101851853</v>
      </c>
      <c r="K1508">
        <v>7</v>
      </c>
      <c r="L1508">
        <v>7</v>
      </c>
      <c r="M1508">
        <v>2025</v>
      </c>
      <c r="N1508" t="s">
        <v>27</v>
      </c>
      <c r="O1508">
        <v>44</v>
      </c>
      <c r="P1508">
        <v>44</v>
      </c>
      <c r="R1508" s="3" t="str">
        <f>HYPERLINK("https://panda.att.com.mx/ODKServer/view/binaryData?blobKey=FSSuministroFluidosv3%5B%40version%3Dnull+and+%40uiVersion%3Dnull%5D%2Fdata%5B%40key%3Duuid%3Ad3d0b5c0-b52b-401e-902b-119246da19f1%5D%2FgroupInfoFuel%5B%40ordinal%3D1%5D%2FpicFuelRecibeInterno","Descargar")</f>
        <v>Descargar</v>
      </c>
    </row>
    <row r="1509" spans="1:18" x14ac:dyDescent="0.3">
      <c r="A1509">
        <v>1572697</v>
      </c>
      <c r="B1509" t="s">
        <v>18</v>
      </c>
      <c r="C1509" t="s">
        <v>34</v>
      </c>
      <c r="D1509" t="s">
        <v>53</v>
      </c>
      <c r="E1509" t="s">
        <v>1711</v>
      </c>
      <c r="F1509" t="s">
        <v>22</v>
      </c>
      <c r="G1509" t="s">
        <v>23</v>
      </c>
      <c r="H1509" t="s">
        <v>37</v>
      </c>
      <c r="I1509" t="s">
        <v>25</v>
      </c>
      <c r="J1509" s="2">
        <v>45846.358541666668</v>
      </c>
      <c r="K1509">
        <v>8</v>
      </c>
      <c r="L1509">
        <v>7</v>
      </c>
      <c r="M1509">
        <v>2025</v>
      </c>
      <c r="N1509" t="s">
        <v>44</v>
      </c>
      <c r="O1509">
        <v>41.37</v>
      </c>
      <c r="P1509">
        <v>41.37</v>
      </c>
      <c r="R1509" s="3" t="str">
        <f>HYPERLINK("https://panda.att.com.mx/ODKServer/view/binaryData?blobKey=FSSuministroFluidosv3%5B%40version%3Dnull+and+%40uiVersion%3Dnull%5D%2Fdata%5B%40key%3Duuid%3Afab91277-a602-4294-ac51-f99649d66a82%5D%2FgroupInfoFuel%5B%40ordinal%3D1%5D%2FpicFuelRecibeInterno","Descargar")</f>
        <v>Descargar</v>
      </c>
    </row>
    <row r="1510" spans="1:18" x14ac:dyDescent="0.3">
      <c r="A1510">
        <v>1572658</v>
      </c>
      <c r="B1510" t="s">
        <v>18</v>
      </c>
      <c r="C1510" t="s">
        <v>19</v>
      </c>
      <c r="D1510" t="s">
        <v>200</v>
      </c>
      <c r="E1510" t="s">
        <v>1712</v>
      </c>
      <c r="F1510" t="s">
        <v>22</v>
      </c>
      <c r="G1510" t="s">
        <v>23</v>
      </c>
      <c r="H1510" t="s">
        <v>24</v>
      </c>
      <c r="I1510" t="s">
        <v>25</v>
      </c>
      <c r="J1510" s="2">
        <v>45844.57130787037</v>
      </c>
      <c r="K1510">
        <v>6</v>
      </c>
      <c r="L1510">
        <v>7</v>
      </c>
      <c r="M1510">
        <v>2025</v>
      </c>
      <c r="N1510" t="s">
        <v>27</v>
      </c>
      <c r="O1510">
        <v>50</v>
      </c>
      <c r="P1510">
        <v>50</v>
      </c>
      <c r="R1510" s="3" t="str">
        <f>HYPERLINK("https://panda.att.com.mx/ODKServer/view/binaryData?blobKey=FSSuministroFluidosv3%5B%40version%3Dnull+and+%40uiVersion%3Dnull%5D%2Fdata%5B%40key%3Duuid%3Ac7c6c8a3-7c6b-4b50-aacd-90ad7140ec25%5D%2FgroupInfoFuel%5B%40ordinal%3D1%5D%2FpicFuelRecibeInterno","Descargar")</f>
        <v>Descargar</v>
      </c>
    </row>
    <row r="1511" spans="1:18" x14ac:dyDescent="0.3">
      <c r="A1511">
        <v>1572641</v>
      </c>
      <c r="B1511" t="s">
        <v>18</v>
      </c>
      <c r="C1511" t="s">
        <v>55</v>
      </c>
      <c r="D1511" t="s">
        <v>64</v>
      </c>
      <c r="E1511" t="s">
        <v>798</v>
      </c>
      <c r="F1511" t="s">
        <v>22</v>
      </c>
      <c r="G1511" t="s">
        <v>23</v>
      </c>
      <c r="H1511" t="s">
        <v>58</v>
      </c>
      <c r="I1511" t="s">
        <v>25</v>
      </c>
      <c r="J1511" s="2">
        <v>45841.466631944437</v>
      </c>
      <c r="K1511">
        <v>3</v>
      </c>
      <c r="L1511">
        <v>7</v>
      </c>
      <c r="M1511">
        <v>2025</v>
      </c>
      <c r="N1511" t="s">
        <v>27</v>
      </c>
      <c r="O1511">
        <v>250</v>
      </c>
      <c r="P1511">
        <v>250</v>
      </c>
      <c r="R1511" s="3" t="str">
        <f>HYPERLINK("https://panda.att.com.mx/ODKServer/view/binaryData?blobKey=FSSuministroFluidosv3%5B%40version%3Dnull+and+%40uiVersion%3Dnull%5D%2Fdata%5B%40key%3Duuid%3A5f569f0a-fae4-4135-8efd-4004e07821e7%5D%2FgroupInfoFuel%5B%40ordinal%3D1%5D%2FpicFuelRecibeInterno","Descargar")</f>
        <v>Descargar</v>
      </c>
    </row>
    <row r="1512" spans="1:18" x14ac:dyDescent="0.3">
      <c r="A1512">
        <v>1572636</v>
      </c>
      <c r="B1512" t="s">
        <v>18</v>
      </c>
      <c r="C1512" t="s">
        <v>55</v>
      </c>
      <c r="D1512" t="s">
        <v>56</v>
      </c>
      <c r="E1512" t="s">
        <v>1713</v>
      </c>
      <c r="F1512" t="s">
        <v>22</v>
      </c>
      <c r="G1512" t="s">
        <v>23</v>
      </c>
      <c r="H1512" t="s">
        <v>58</v>
      </c>
      <c r="I1512" t="s">
        <v>25</v>
      </c>
      <c r="J1512" s="2">
        <v>45845.611643518518</v>
      </c>
      <c r="K1512">
        <v>7</v>
      </c>
      <c r="L1512">
        <v>7</v>
      </c>
      <c r="M1512">
        <v>2025</v>
      </c>
      <c r="N1512" t="s">
        <v>27</v>
      </c>
      <c r="O1512">
        <v>150</v>
      </c>
      <c r="P1512">
        <v>150</v>
      </c>
      <c r="R1512" s="3" t="str">
        <f>HYPERLINK("https://panda.att.com.mx/ODKServer/view/binaryData?blobKey=FSSuministroFluidosv3%5B%40version%3Dnull+and+%40uiVersion%3Dnull%5D%2Fdata%5B%40key%3Duuid%3A7e89b212-4ad2-4921-95b1-1393459c50bb%5D%2FgroupInfoFuel%5B%40ordinal%3D1%5D%2FpicFuelRecibeInterno","Descargar")</f>
        <v>Descargar</v>
      </c>
    </row>
    <row r="1513" spans="1:18" x14ac:dyDescent="0.3">
      <c r="A1513">
        <v>1572633</v>
      </c>
      <c r="B1513" t="s">
        <v>18</v>
      </c>
      <c r="C1513" t="s">
        <v>55</v>
      </c>
      <c r="D1513" t="s">
        <v>56</v>
      </c>
      <c r="E1513" t="s">
        <v>1714</v>
      </c>
      <c r="F1513" t="s">
        <v>22</v>
      </c>
      <c r="G1513" t="s">
        <v>23</v>
      </c>
      <c r="H1513" t="s">
        <v>58</v>
      </c>
      <c r="I1513" t="s">
        <v>25</v>
      </c>
      <c r="J1513" s="2">
        <v>45845.711354166669</v>
      </c>
      <c r="K1513">
        <v>7</v>
      </c>
      <c r="L1513">
        <v>7</v>
      </c>
      <c r="M1513">
        <v>2025</v>
      </c>
      <c r="N1513" t="s">
        <v>27</v>
      </c>
      <c r="O1513">
        <v>150</v>
      </c>
      <c r="P1513">
        <v>150</v>
      </c>
      <c r="R1513" s="3" t="str">
        <f>HYPERLINK("https://panda.att.com.mx/ODKServer/view/binaryData?blobKey=FSSuministroFluidosv3%5B%40version%3Dnull+and+%40uiVersion%3Dnull%5D%2Fdata%5B%40key%3Duuid%3Aa3677253-6d62-4781-8f6b-fd37306f72c4%5D%2FgroupInfoFuel%5B%40ordinal%3D1%5D%2FpicFuelRecibeInterno","Descargar")</f>
        <v>Descargar</v>
      </c>
    </row>
    <row r="1514" spans="1:18" x14ac:dyDescent="0.3">
      <c r="A1514">
        <v>1572632</v>
      </c>
      <c r="B1514" t="s">
        <v>18</v>
      </c>
      <c r="C1514" t="s">
        <v>183</v>
      </c>
      <c r="D1514" t="s">
        <v>1715</v>
      </c>
      <c r="E1514" t="s">
        <v>1716</v>
      </c>
      <c r="F1514" t="s">
        <v>22</v>
      </c>
      <c r="G1514" t="s">
        <v>23</v>
      </c>
      <c r="H1514" t="s">
        <v>58</v>
      </c>
      <c r="I1514" t="s">
        <v>25</v>
      </c>
      <c r="J1514" s="2">
        <v>45845.807905092603</v>
      </c>
      <c r="K1514">
        <v>7</v>
      </c>
      <c r="L1514">
        <v>7</v>
      </c>
      <c r="M1514">
        <v>2025</v>
      </c>
      <c r="N1514" t="s">
        <v>27</v>
      </c>
      <c r="O1514">
        <v>150</v>
      </c>
      <c r="P1514">
        <v>150</v>
      </c>
      <c r="R1514" s="3" t="str">
        <f>HYPERLINK("https://panda.att.com.mx/ODKServer/view/binaryData?blobKey=FSSuministroFluidosv3%5B%40version%3Dnull+and+%40uiVersion%3Dnull%5D%2Fdata%5B%40key%3Duuid%3A89e7e73f-8c80-4c6b-93fb-766b674186bf%5D%2FgroupInfoFuel%5B%40ordinal%3D1%5D%2FpicFuelRecibeInterno","Descargar")</f>
        <v>Descargar</v>
      </c>
    </row>
    <row r="1515" spans="1:18" x14ac:dyDescent="0.3">
      <c r="A1515">
        <v>1572491</v>
      </c>
      <c r="B1515" t="s">
        <v>18</v>
      </c>
      <c r="C1515" t="s">
        <v>28</v>
      </c>
      <c r="D1515" t="s">
        <v>513</v>
      </c>
      <c r="E1515" t="s">
        <v>1717</v>
      </c>
      <c r="F1515" t="s">
        <v>22</v>
      </c>
      <c r="G1515" t="s">
        <v>23</v>
      </c>
      <c r="H1515" t="s">
        <v>24</v>
      </c>
      <c r="I1515" t="s">
        <v>25</v>
      </c>
      <c r="J1515" s="2">
        <v>45832.972245370373</v>
      </c>
      <c r="K1515">
        <v>24</v>
      </c>
      <c r="L1515">
        <v>6</v>
      </c>
      <c r="M1515">
        <v>2025</v>
      </c>
      <c r="N1515" t="s">
        <v>27</v>
      </c>
      <c r="O1515">
        <v>200</v>
      </c>
      <c r="P1515">
        <v>200</v>
      </c>
      <c r="R1515" s="3" t="str">
        <f>HYPERLINK("https://panda.att.com.mx/ODKServer/view/binaryData?blobKey=FSSuministroFluidosv3%5B%40version%3Dnull+and+%40uiVersion%3Dnull%5D%2Fdata%5B%40key%3Duuid%3Af903c609-9aa5-48da-b694-1bc96bd56f75%5D%2FgroupInfoFuel%5B%40ordinal%3D1%5D%2FpicFuelRecibeInterno","Descargar")</f>
        <v>Descargar</v>
      </c>
    </row>
    <row r="1516" spans="1:18" x14ac:dyDescent="0.3">
      <c r="A1516">
        <v>1572487</v>
      </c>
      <c r="B1516" t="s">
        <v>18</v>
      </c>
      <c r="C1516" t="s">
        <v>55</v>
      </c>
      <c r="D1516" t="s">
        <v>288</v>
      </c>
      <c r="E1516" t="s">
        <v>1537</v>
      </c>
      <c r="F1516" t="s">
        <v>22</v>
      </c>
      <c r="G1516" t="s">
        <v>23</v>
      </c>
      <c r="H1516" t="s">
        <v>58</v>
      </c>
      <c r="I1516" t="s">
        <v>25</v>
      </c>
      <c r="J1516" s="2">
        <v>45845.782349537039</v>
      </c>
      <c r="K1516">
        <v>7</v>
      </c>
      <c r="L1516">
        <v>7</v>
      </c>
      <c r="M1516">
        <v>2025</v>
      </c>
      <c r="N1516" t="s">
        <v>27</v>
      </c>
      <c r="O1516">
        <v>250</v>
      </c>
      <c r="P1516">
        <v>250</v>
      </c>
      <c r="R1516" s="3" t="str">
        <f>HYPERLINK("https://panda.att.com.mx/ODKServer/view/binaryData?blobKey=FSSuministroFluidosv3%5B%40version%3Dnull+and+%40uiVersion%3Dnull%5D%2Fdata%5B%40key%3Duuid%3Ad62a0fbf-d4f2-418b-839a-04b4def7d3bb%5D%2FgroupInfoFuel%5B%40ordinal%3D1%5D%2FpicFuelRecibeInterno","Descargar")</f>
        <v>Descargar</v>
      </c>
    </row>
    <row r="1517" spans="1:18" x14ac:dyDescent="0.3">
      <c r="A1517">
        <v>1572471</v>
      </c>
      <c r="B1517" t="s">
        <v>18</v>
      </c>
      <c r="C1517" t="s">
        <v>28</v>
      </c>
      <c r="D1517" t="s">
        <v>1036</v>
      </c>
      <c r="E1517" t="s">
        <v>1037</v>
      </c>
      <c r="F1517" t="s">
        <v>22</v>
      </c>
      <c r="G1517" t="s">
        <v>23</v>
      </c>
      <c r="H1517" t="s">
        <v>24</v>
      </c>
      <c r="I1517" t="s">
        <v>25</v>
      </c>
      <c r="J1517" s="2">
        <v>45845.560046296298</v>
      </c>
      <c r="K1517">
        <v>7</v>
      </c>
      <c r="L1517">
        <v>7</v>
      </c>
      <c r="M1517">
        <v>2025</v>
      </c>
      <c r="N1517" t="s">
        <v>27</v>
      </c>
      <c r="O1517">
        <v>100</v>
      </c>
      <c r="P1517">
        <v>100</v>
      </c>
      <c r="R1517" s="3" t="str">
        <f>HYPERLINK("https://panda.att.com.mx/ODKServer/view/binaryData?blobKey=FSSuministroFluidosv3%5B%40version%3Dnull+and+%40uiVersion%3Dnull%5D%2Fdata%5B%40key%3Duuid%3A2a5dfa3d-60d3-4e9c-8895-c7ce95ca36f7%5D%2FgroupInfoFuel%5B%40ordinal%3D1%5D%2FpicFuelRecibeInterno","Descargar")</f>
        <v>Descargar</v>
      </c>
    </row>
    <row r="1518" spans="1:18" x14ac:dyDescent="0.3">
      <c r="A1518">
        <v>1572443</v>
      </c>
      <c r="B1518" t="s">
        <v>18</v>
      </c>
      <c r="C1518" t="s">
        <v>28</v>
      </c>
      <c r="D1518" t="s">
        <v>1036</v>
      </c>
      <c r="E1518" t="s">
        <v>1718</v>
      </c>
      <c r="F1518" t="s">
        <v>22</v>
      </c>
      <c r="G1518" t="s">
        <v>23</v>
      </c>
      <c r="H1518" t="s">
        <v>24</v>
      </c>
      <c r="I1518" t="s">
        <v>25</v>
      </c>
      <c r="J1518" s="2">
        <v>45841.676111111112</v>
      </c>
      <c r="K1518">
        <v>3</v>
      </c>
      <c r="L1518">
        <v>7</v>
      </c>
      <c r="M1518">
        <v>2025</v>
      </c>
      <c r="N1518" t="s">
        <v>44</v>
      </c>
      <c r="O1518">
        <v>60</v>
      </c>
      <c r="P1518">
        <v>60</v>
      </c>
      <c r="R1518" s="3" t="str">
        <f>HYPERLINK("https://panda.att.com.mx/ODKServer/view/binaryData?blobKey=FSSuministroFluidosv3%5B%40version%3Dnull+and+%40uiVersion%3Dnull%5D%2Fdata%5B%40key%3Duuid%3A0785f341-5e86-4159-9925-534a6445d62c%5D%2FgroupInfoFuel%5B%40ordinal%3D1%5D%2FpicFuelRecibeInterno","Descargar")</f>
        <v>Descargar</v>
      </c>
    </row>
    <row r="1519" spans="1:18" x14ac:dyDescent="0.3">
      <c r="A1519">
        <v>1572237</v>
      </c>
      <c r="B1519" t="s">
        <v>18</v>
      </c>
      <c r="C1519" t="s">
        <v>34</v>
      </c>
      <c r="D1519" t="s">
        <v>53</v>
      </c>
      <c r="E1519" t="s">
        <v>144</v>
      </c>
      <c r="F1519" t="s">
        <v>22</v>
      </c>
      <c r="G1519" t="s">
        <v>83</v>
      </c>
      <c r="H1519" t="s">
        <v>390</v>
      </c>
      <c r="I1519" t="s">
        <v>1635</v>
      </c>
      <c r="J1519" s="2">
        <v>45841.647824074083</v>
      </c>
      <c r="K1519">
        <v>3</v>
      </c>
      <c r="L1519">
        <v>7</v>
      </c>
      <c r="M1519">
        <v>2025</v>
      </c>
      <c r="N1519" t="s">
        <v>27</v>
      </c>
      <c r="O1519">
        <v>300</v>
      </c>
      <c r="P1519">
        <v>300</v>
      </c>
      <c r="R1519" s="3" t="str">
        <f>HYPERLINK("https://panda.att.com.mx/ODKServer/view/binaryData?blobKey=FSSuministroFluidosv3%5B%40version%3Dnull+and+%40uiVersion%3Dnull%5D%2Fdata%5B%40key%3Duuid%3A66d8a208-5684-4228-a759-1be91fdc4ef2%5D%2FgroupInfoFuel%5B%40ordinal%3D1%5D%2FpicFuelRecibeInterno","Descargar")</f>
        <v>Descargar</v>
      </c>
    </row>
    <row r="1520" spans="1:18" x14ac:dyDescent="0.3">
      <c r="A1520">
        <v>1572221</v>
      </c>
      <c r="B1520" t="s">
        <v>18</v>
      </c>
      <c r="C1520" t="s">
        <v>34</v>
      </c>
      <c r="D1520" t="s">
        <v>53</v>
      </c>
      <c r="E1520" t="s">
        <v>1719</v>
      </c>
      <c r="F1520" t="s">
        <v>22</v>
      </c>
      <c r="G1520" t="s">
        <v>23</v>
      </c>
      <c r="H1520" t="s">
        <v>37</v>
      </c>
      <c r="I1520" t="s">
        <v>25</v>
      </c>
      <c r="J1520" s="2">
        <v>45845.484710648147</v>
      </c>
      <c r="K1520">
        <v>7</v>
      </c>
      <c r="L1520">
        <v>7</v>
      </c>
      <c r="M1520">
        <v>2025</v>
      </c>
      <c r="N1520" t="s">
        <v>27</v>
      </c>
      <c r="O1520">
        <v>250</v>
      </c>
      <c r="Q1520">
        <v>250</v>
      </c>
      <c r="R1520" s="3" t="str">
        <f>HYPERLINK("https://panda.att.com.mx/ODKServer/view/binaryData?blobKey=FSSuministroFluidosv3%5B%40version%3Dnull+and+%40uiVersion%3Dnull%5D%2Fdata%5B%40key%3Duuid%3Ad6049f90-2a16-4597-8bf9-f3744f015150%5D%2FgroupInfoFuel%5B%40ordinal%3D1%5D%2FpicFuelRecibeInterno","Descargar")</f>
        <v>Descargar</v>
      </c>
    </row>
    <row r="1521" spans="1:18" x14ac:dyDescent="0.3">
      <c r="A1521">
        <v>1572195</v>
      </c>
      <c r="B1521" t="s">
        <v>18</v>
      </c>
      <c r="C1521" t="s">
        <v>59</v>
      </c>
      <c r="D1521" t="s">
        <v>1242</v>
      </c>
      <c r="E1521" t="s">
        <v>1513</v>
      </c>
      <c r="F1521" t="s">
        <v>22</v>
      </c>
      <c r="G1521" t="s">
        <v>83</v>
      </c>
      <c r="H1521" t="s">
        <v>37</v>
      </c>
      <c r="I1521" t="s">
        <v>25</v>
      </c>
      <c r="J1521" s="2">
        <v>45845.490370370368</v>
      </c>
      <c r="K1521">
        <v>7</v>
      </c>
      <c r="L1521">
        <v>7</v>
      </c>
      <c r="M1521">
        <v>2025</v>
      </c>
      <c r="N1521" t="s">
        <v>27</v>
      </c>
      <c r="O1521">
        <v>400</v>
      </c>
      <c r="P1521">
        <v>400</v>
      </c>
      <c r="R1521" s="3" t="str">
        <f>HYPERLINK("https://panda.att.com.mx/ODKServer/view/binaryData?blobKey=FSSuministroFluidosv3%5B%40version%3Dnull+and+%40uiVersion%3Dnull%5D%2Fdata%5B%40key%3Duuid%3Ac6bdcfb3-02c7-4e92-8020-0134c7cd1fc8%5D%2FgroupInfoFuel%5B%40ordinal%3D1%5D%2FpicFuelRecibeInterno","Descargar")</f>
        <v>Descargar</v>
      </c>
    </row>
    <row r="1522" spans="1:18" x14ac:dyDescent="0.3">
      <c r="A1522">
        <v>1572188</v>
      </c>
      <c r="B1522" t="s">
        <v>18</v>
      </c>
      <c r="C1522" t="s">
        <v>150</v>
      </c>
      <c r="D1522" t="s">
        <v>230</v>
      </c>
      <c r="E1522" t="s">
        <v>1510</v>
      </c>
      <c r="F1522" t="s">
        <v>22</v>
      </c>
      <c r="G1522" t="s">
        <v>23</v>
      </c>
      <c r="H1522" t="s">
        <v>58</v>
      </c>
      <c r="I1522" t="s">
        <v>25</v>
      </c>
      <c r="J1522" s="2">
        <v>45845.591377314813</v>
      </c>
      <c r="K1522">
        <v>7</v>
      </c>
      <c r="L1522">
        <v>7</v>
      </c>
      <c r="M1522">
        <v>2025</v>
      </c>
      <c r="N1522" t="s">
        <v>27</v>
      </c>
      <c r="O1522">
        <v>300</v>
      </c>
      <c r="P1522">
        <v>300</v>
      </c>
      <c r="R1522" s="3" t="str">
        <f>HYPERLINK("https://panda.att.com.mx/ODKServer/view/binaryData?blobKey=FSSuministroFluidosv3%5B%40version%3Dnull+and+%40uiVersion%3Dnull%5D%2Fdata%5B%40key%3Duuid%3A6956d0d3-bec6-4c4f-a7ff-407923f4ab5e%5D%2FgroupInfoFuel%5B%40ordinal%3D1%5D%2FpicFuelRecibeInterno","Descargar")</f>
        <v>Descargar</v>
      </c>
    </row>
    <row r="1523" spans="1:18" x14ac:dyDescent="0.3">
      <c r="A1523">
        <v>1572185</v>
      </c>
      <c r="B1523" t="s">
        <v>18</v>
      </c>
      <c r="C1523" t="s">
        <v>183</v>
      </c>
      <c r="D1523" t="s">
        <v>1720</v>
      </c>
      <c r="E1523" t="s">
        <v>1721</v>
      </c>
      <c r="F1523" t="s">
        <v>22</v>
      </c>
      <c r="G1523" t="s">
        <v>23</v>
      </c>
      <c r="H1523" t="s">
        <v>24</v>
      </c>
      <c r="I1523" t="s">
        <v>25</v>
      </c>
      <c r="J1523" s="2">
        <v>45844.73646990741</v>
      </c>
      <c r="K1523">
        <v>6</v>
      </c>
      <c r="L1523">
        <v>7</v>
      </c>
      <c r="M1523">
        <v>2025</v>
      </c>
      <c r="N1523" t="s">
        <v>44</v>
      </c>
      <c r="O1523">
        <v>35</v>
      </c>
      <c r="P1523">
        <v>35</v>
      </c>
      <c r="R1523" s="3" t="str">
        <f>HYPERLINK("https://panda.att.com.mx/ODKServer/view/binaryData?blobKey=FSSuministroFluidosv3%5B%40version%3Dnull+and+%40uiVersion%3Dnull%5D%2Fdata%5B%40key%3Duuid%3A79cb5eb4-5a6c-4da5-ab41-7291fa3a602f%5D%2FgroupInfoFuel%5B%40ordinal%3D1%5D%2FpicFuelRecibeInterno","Descargar")</f>
        <v>Descargar</v>
      </c>
    </row>
    <row r="1524" spans="1:18" x14ac:dyDescent="0.3">
      <c r="A1524">
        <v>1572143</v>
      </c>
      <c r="B1524" t="s">
        <v>18</v>
      </c>
      <c r="C1524" t="s">
        <v>55</v>
      </c>
      <c r="D1524" t="s">
        <v>288</v>
      </c>
      <c r="E1524" t="s">
        <v>561</v>
      </c>
      <c r="F1524" t="s">
        <v>22</v>
      </c>
      <c r="G1524" t="s">
        <v>23</v>
      </c>
      <c r="H1524" t="s">
        <v>58</v>
      </c>
      <c r="I1524" t="s">
        <v>25</v>
      </c>
      <c r="J1524" s="2">
        <v>45845.548182870371</v>
      </c>
      <c r="K1524">
        <v>7</v>
      </c>
      <c r="L1524">
        <v>7</v>
      </c>
      <c r="M1524">
        <v>2025</v>
      </c>
      <c r="N1524" t="s">
        <v>27</v>
      </c>
      <c r="O1524">
        <v>250</v>
      </c>
      <c r="P1524">
        <v>250</v>
      </c>
      <c r="R1524" s="3" t="str">
        <f>HYPERLINK("https://panda.att.com.mx/ODKServer/view/binaryData?blobKey=FSSuministroFluidosv3%5B%40version%3Dnull+and+%40uiVersion%3Dnull%5D%2Fdata%5B%40key%3Duuid%3A5d7cd21d-ad58-4a18-91b1-d24f024f958a%5D%2FgroupInfoFuel%5B%40ordinal%3D1%5D%2FpicFuelRecibeInterno","Descargar")</f>
        <v>Descargar</v>
      </c>
    </row>
    <row r="1525" spans="1:18" x14ac:dyDescent="0.3">
      <c r="A1525">
        <v>1572110</v>
      </c>
      <c r="B1525" t="s">
        <v>18</v>
      </c>
      <c r="C1525" t="s">
        <v>100</v>
      </c>
      <c r="D1525" t="s">
        <v>854</v>
      </c>
      <c r="E1525" t="s">
        <v>993</v>
      </c>
      <c r="F1525" t="s">
        <v>22</v>
      </c>
      <c r="G1525" t="s">
        <v>83</v>
      </c>
      <c r="H1525" t="s">
        <v>58</v>
      </c>
      <c r="I1525" t="s">
        <v>25</v>
      </c>
      <c r="J1525" s="2">
        <v>45845.478912037041</v>
      </c>
      <c r="K1525">
        <v>7</v>
      </c>
      <c r="L1525">
        <v>7</v>
      </c>
      <c r="M1525">
        <v>2025</v>
      </c>
      <c r="N1525" t="s">
        <v>27</v>
      </c>
      <c r="O1525">
        <v>200</v>
      </c>
      <c r="P1525">
        <v>200</v>
      </c>
      <c r="R1525" s="3" t="str">
        <f>HYPERLINK("https://panda.att.com.mx/ODKServer/view/binaryData?blobKey=FSSuministroFluidosv3%5B%40version%3Dnull+and+%40uiVersion%3Dnull%5D%2Fdata%5B%40key%3Duuid%3Abf713595-9b5a-4d1d-ab3c-bfa2e9201d30%5D%2FgroupInfoFuel%5B%40ordinal%3D1%5D%2FpicFuelRecibeInterno","Descargar")</f>
        <v>Descargar</v>
      </c>
    </row>
    <row r="1526" spans="1:18" x14ac:dyDescent="0.3">
      <c r="A1526">
        <v>1572084</v>
      </c>
      <c r="B1526" t="s">
        <v>18</v>
      </c>
      <c r="C1526" t="s">
        <v>68</v>
      </c>
      <c r="D1526" t="s">
        <v>87</v>
      </c>
      <c r="E1526" t="s">
        <v>1722</v>
      </c>
      <c r="F1526" t="s">
        <v>22</v>
      </c>
      <c r="G1526" t="s">
        <v>23</v>
      </c>
      <c r="H1526" t="s">
        <v>37</v>
      </c>
      <c r="I1526" t="s">
        <v>25</v>
      </c>
      <c r="J1526" s="2">
        <v>45844.326921296299</v>
      </c>
      <c r="K1526">
        <v>6</v>
      </c>
      <c r="L1526">
        <v>7</v>
      </c>
      <c r="M1526">
        <v>2025</v>
      </c>
      <c r="N1526" t="s">
        <v>44</v>
      </c>
      <c r="O1526">
        <v>50</v>
      </c>
      <c r="P1526">
        <v>50</v>
      </c>
      <c r="R1526" s="3" t="str">
        <f>HYPERLINK("https://panda.att.com.mx/ODKServer/view/binaryData?blobKey=FSSuministroFluidosv3%5B%40version%3Dnull+and+%40uiVersion%3Dnull%5D%2Fdata%5B%40key%3Duuid%3A08dcb9cd-4de0-4f16-8c72-38480c6d941a%5D%2FgroupInfoFuel%5B%40ordinal%3D1%5D%2FpicFuelRecibeInterno","Descargar")</f>
        <v>Descargar</v>
      </c>
    </row>
    <row r="1527" spans="1:18" x14ac:dyDescent="0.3">
      <c r="A1527">
        <v>1571999</v>
      </c>
      <c r="B1527" t="s">
        <v>18</v>
      </c>
      <c r="C1527" t="s">
        <v>28</v>
      </c>
      <c r="D1527" t="s">
        <v>1723</v>
      </c>
      <c r="E1527" t="s">
        <v>1724</v>
      </c>
      <c r="F1527" t="s">
        <v>22</v>
      </c>
      <c r="G1527" t="s">
        <v>47</v>
      </c>
      <c r="H1527" t="s">
        <v>24</v>
      </c>
      <c r="I1527" t="s">
        <v>25</v>
      </c>
      <c r="J1527" s="2">
        <v>45841.477592592593</v>
      </c>
      <c r="K1527">
        <v>3</v>
      </c>
      <c r="L1527">
        <v>7</v>
      </c>
      <c r="M1527">
        <v>2025</v>
      </c>
      <c r="N1527" t="s">
        <v>27</v>
      </c>
      <c r="O1527">
        <v>600</v>
      </c>
      <c r="Q1527">
        <v>600</v>
      </c>
      <c r="R1527" s="3" t="str">
        <f>HYPERLINK("https://panda.att.com.mx/ODKServer/view/binaryData?blobKey=FSSuministroFluidosv3%5B%40version%3Dnull+and+%40uiVersion%3Dnull%5D%2Fdata%5B%40key%3Duuid%3A9c0003f4-2f40-4a95-a466-71566a8564bf%5D%2FgroupInfoFuel%5B%40ordinal%3D1%5D%2FpicFuelRecibeInterno","Descargar")</f>
        <v>Descargar</v>
      </c>
    </row>
    <row r="1528" spans="1:18" x14ac:dyDescent="0.3">
      <c r="A1528">
        <v>1571903</v>
      </c>
      <c r="B1528" t="s">
        <v>18</v>
      </c>
      <c r="C1528" t="s">
        <v>150</v>
      </c>
      <c r="D1528" t="s">
        <v>164</v>
      </c>
      <c r="E1528" t="s">
        <v>165</v>
      </c>
      <c r="F1528" t="s">
        <v>22</v>
      </c>
      <c r="G1528" t="s">
        <v>23</v>
      </c>
      <c r="H1528" t="s">
        <v>58</v>
      </c>
      <c r="I1528" t="s">
        <v>25</v>
      </c>
      <c r="J1528" s="2">
        <v>45845.362534722219</v>
      </c>
      <c r="K1528">
        <v>7</v>
      </c>
      <c r="L1528">
        <v>7</v>
      </c>
      <c r="M1528">
        <v>2025</v>
      </c>
      <c r="N1528" t="s">
        <v>27</v>
      </c>
      <c r="O1528">
        <v>400</v>
      </c>
      <c r="P1528">
        <v>400</v>
      </c>
      <c r="R1528" s="3" t="str">
        <f>HYPERLINK("https://panda.att.com.mx/ODKServer/view/binaryData?blobKey=FSSuministroFluidosv3%5B%40version%3Dnull+and+%40uiVersion%3Dnull%5D%2Fdata%5B%40key%3Duuid%3A1843b9b8-fedd-4323-b09a-63ddbfd6395f%5D%2FgroupInfoFuel%5B%40ordinal%3D1%5D%2FpicFuelRecibeInterno","Descargar")</f>
        <v>Descargar</v>
      </c>
    </row>
    <row r="1529" spans="1:18" x14ac:dyDescent="0.3">
      <c r="A1529">
        <v>1571787</v>
      </c>
      <c r="B1529" t="s">
        <v>18</v>
      </c>
      <c r="C1529" t="s">
        <v>28</v>
      </c>
      <c r="D1529" t="s">
        <v>66</v>
      </c>
      <c r="E1529" t="s">
        <v>1024</v>
      </c>
      <c r="F1529" t="s">
        <v>22</v>
      </c>
      <c r="G1529" t="s">
        <v>23</v>
      </c>
      <c r="H1529" t="s">
        <v>24</v>
      </c>
      <c r="I1529" t="s">
        <v>25</v>
      </c>
      <c r="J1529" s="2">
        <v>45844.54074074074</v>
      </c>
      <c r="K1529">
        <v>6</v>
      </c>
      <c r="L1529">
        <v>7</v>
      </c>
      <c r="M1529">
        <v>2025</v>
      </c>
      <c r="N1529" t="s">
        <v>44</v>
      </c>
      <c r="O1529">
        <v>40</v>
      </c>
      <c r="P1529">
        <v>40</v>
      </c>
      <c r="R1529" s="3" t="str">
        <f>HYPERLINK("https://panda.att.com.mx/ODKServer/view/binaryData?blobKey=FSSuministroFluidosv3%5B%40version%3Dnull+and+%40uiVersion%3Dnull%5D%2Fdata%5B%40key%3Duuid%3Afb90aff3-cbdd-4b29-8b24-8197fb6b5325%5D%2FgroupInfoFuel%5B%40ordinal%3D1%5D%2FpicFuelRecibeInterno","Descargar")</f>
        <v>Descargar</v>
      </c>
    </row>
    <row r="1530" spans="1:18" x14ac:dyDescent="0.3">
      <c r="A1530">
        <v>1571767</v>
      </c>
      <c r="B1530" t="s">
        <v>18</v>
      </c>
      <c r="C1530" t="s">
        <v>19</v>
      </c>
      <c r="D1530" t="s">
        <v>42</v>
      </c>
      <c r="E1530" t="s">
        <v>980</v>
      </c>
      <c r="F1530" t="s">
        <v>22</v>
      </c>
      <c r="G1530" t="s">
        <v>23</v>
      </c>
      <c r="H1530" t="s">
        <v>24</v>
      </c>
      <c r="I1530" t="s">
        <v>25</v>
      </c>
      <c r="J1530" s="2">
        <v>45844.722037037027</v>
      </c>
      <c r="K1530">
        <v>6</v>
      </c>
      <c r="L1530">
        <v>7</v>
      </c>
      <c r="M1530">
        <v>2025</v>
      </c>
      <c r="N1530" t="s">
        <v>44</v>
      </c>
      <c r="O1530">
        <v>35</v>
      </c>
      <c r="P1530">
        <v>35</v>
      </c>
      <c r="R1530" s="3" t="str">
        <f>HYPERLINK("https://panda.att.com.mx/ODKServer/view/binaryData?blobKey=FSSuministroFluidosv3%5B%40version%3Dnull+and+%40uiVersion%3Dnull%5D%2Fdata%5B%40key%3Duuid%3Adc93cc23-c83f-4dcd-ba50-c3cd6009bcaa%5D%2FgroupInfoFuel%5B%40ordinal%3D1%5D%2FpicFuelRecibeInterno","Descargar")</f>
        <v>Descargar</v>
      </c>
    </row>
    <row r="1531" spans="1:18" x14ac:dyDescent="0.3">
      <c r="A1531">
        <v>1571766</v>
      </c>
      <c r="B1531" t="s">
        <v>18</v>
      </c>
      <c r="C1531" t="s">
        <v>19</v>
      </c>
      <c r="D1531" t="s">
        <v>42</v>
      </c>
      <c r="E1531" t="s">
        <v>733</v>
      </c>
      <c r="F1531" t="s">
        <v>22</v>
      </c>
      <c r="G1531" t="s">
        <v>23</v>
      </c>
      <c r="H1531" t="s">
        <v>24</v>
      </c>
      <c r="I1531" t="s">
        <v>25</v>
      </c>
      <c r="J1531" s="2">
        <v>45844.68787037037</v>
      </c>
      <c r="K1531">
        <v>6</v>
      </c>
      <c r="L1531">
        <v>7</v>
      </c>
      <c r="M1531">
        <v>2025</v>
      </c>
      <c r="N1531" t="s">
        <v>44</v>
      </c>
      <c r="O1531">
        <v>40</v>
      </c>
      <c r="P1531">
        <v>40</v>
      </c>
      <c r="R1531" s="3" t="str">
        <f>HYPERLINK("https://panda.att.com.mx/ODKServer/view/binaryData?blobKey=FSSuministroFluidosv3%5B%40version%3Dnull+and+%40uiVersion%3Dnull%5D%2Fdata%5B%40key%3Duuid%3A610e2146-9eeb-435e-b6a8-54c9f48bb291%5D%2FgroupInfoFuel%5B%40ordinal%3D1%5D%2FpicFuelRecibeInterno","Descargar")</f>
        <v>Descargar</v>
      </c>
    </row>
    <row r="1532" spans="1:18" x14ac:dyDescent="0.3">
      <c r="A1532">
        <v>1571765</v>
      </c>
      <c r="B1532" t="s">
        <v>18</v>
      </c>
      <c r="C1532" t="s">
        <v>183</v>
      </c>
      <c r="D1532" t="s">
        <v>1720</v>
      </c>
      <c r="E1532" t="s">
        <v>1721</v>
      </c>
      <c r="F1532" t="s">
        <v>22</v>
      </c>
      <c r="G1532" t="s">
        <v>23</v>
      </c>
      <c r="H1532" t="s">
        <v>24</v>
      </c>
      <c r="I1532" t="s">
        <v>25</v>
      </c>
      <c r="J1532" s="2">
        <v>45841.367569444446</v>
      </c>
      <c r="K1532">
        <v>3</v>
      </c>
      <c r="L1532">
        <v>7</v>
      </c>
      <c r="M1532">
        <v>2025</v>
      </c>
      <c r="N1532" t="s">
        <v>44</v>
      </c>
      <c r="O1532">
        <v>55</v>
      </c>
      <c r="P1532">
        <v>55</v>
      </c>
      <c r="R1532" s="3" t="str">
        <f>HYPERLINK("https://panda.att.com.mx/ODKServer/view/binaryData?blobKey=FSSuministroFluidosv3%5B%40version%3Dnull+and+%40uiVersion%3Dnull%5D%2Fdata%5B%40key%3Duuid%3Aadc36482-235f-4ebc-b91e-8627826ffe5e%5D%2FgroupInfoFuel%5B%40ordinal%3D1%5D%2FpicFuelRecibeInterno","Descargar")</f>
        <v>Descargar</v>
      </c>
    </row>
    <row r="1533" spans="1:18" x14ac:dyDescent="0.3">
      <c r="A1533">
        <v>1571754</v>
      </c>
      <c r="B1533" t="s">
        <v>18</v>
      </c>
      <c r="C1533" t="s">
        <v>34</v>
      </c>
      <c r="D1533" t="s">
        <v>53</v>
      </c>
      <c r="E1533" t="s">
        <v>1725</v>
      </c>
      <c r="F1533" t="s">
        <v>22</v>
      </c>
      <c r="G1533" t="s">
        <v>23</v>
      </c>
      <c r="H1533" t="s">
        <v>37</v>
      </c>
      <c r="I1533" t="s">
        <v>25</v>
      </c>
      <c r="J1533" s="2">
        <v>45842.585694444453</v>
      </c>
      <c r="K1533">
        <v>4</v>
      </c>
      <c r="L1533">
        <v>7</v>
      </c>
      <c r="M1533">
        <v>2025</v>
      </c>
      <c r="N1533" t="s">
        <v>27</v>
      </c>
      <c r="O1533">
        <v>200</v>
      </c>
      <c r="P1533">
        <v>200</v>
      </c>
      <c r="R1533" s="3" t="str">
        <f>HYPERLINK("https://panda.att.com.mx/ODKServer/view/binaryData?blobKey=FSSuministroFluidosv3%5B%40version%3Dnull+and+%40uiVersion%3Dnull%5D%2Fdata%5B%40key%3Duuid%3A756bf807-8c1e-4170-8c01-39d916796399%5D%2FgroupInfoFuel%5B%40ordinal%3D1%5D%2FpicFuelRecibeInterno","Descargar")</f>
        <v>Descargar</v>
      </c>
    </row>
    <row r="1534" spans="1:18" x14ac:dyDescent="0.3">
      <c r="A1534">
        <v>1571744</v>
      </c>
      <c r="B1534" t="s">
        <v>18</v>
      </c>
      <c r="C1534" t="s">
        <v>34</v>
      </c>
      <c r="D1534" t="s">
        <v>51</v>
      </c>
      <c r="E1534" t="s">
        <v>1726</v>
      </c>
      <c r="F1534" t="s">
        <v>22</v>
      </c>
      <c r="G1534" t="s">
        <v>23</v>
      </c>
      <c r="H1534" t="s">
        <v>24</v>
      </c>
      <c r="I1534" t="s">
        <v>25</v>
      </c>
      <c r="J1534" s="2">
        <v>45838.747974537036</v>
      </c>
      <c r="K1534">
        <v>30</v>
      </c>
      <c r="L1534">
        <v>6</v>
      </c>
      <c r="M1534">
        <v>2025</v>
      </c>
      <c r="N1534" t="s">
        <v>44</v>
      </c>
      <c r="O1534">
        <v>40</v>
      </c>
      <c r="P1534">
        <v>40</v>
      </c>
      <c r="R1534" s="3" t="str">
        <f>HYPERLINK("https://panda.att.com.mx/ODKServer/view/binaryData?blobKey=FSSuministroFluidosv3%5B%40version%3Dnull+and+%40uiVersion%3Dnull%5D%2Fdata%5B%40key%3Duuid%3Ad89fe979-3919-4b3d-ac5f-af2492c47bc9%5D%2FgroupInfoFuel%5B%40ordinal%3D1%5D%2FpicFuelRecibeInterno","Descargar")</f>
        <v>Descargar</v>
      </c>
    </row>
    <row r="1535" spans="1:18" x14ac:dyDescent="0.3">
      <c r="A1535">
        <v>1571730</v>
      </c>
      <c r="B1535" t="s">
        <v>18</v>
      </c>
      <c r="C1535" t="s">
        <v>68</v>
      </c>
      <c r="D1535" t="s">
        <v>91</v>
      </c>
      <c r="E1535" t="s">
        <v>1606</v>
      </c>
      <c r="F1535" t="s">
        <v>22</v>
      </c>
      <c r="G1535" t="s">
        <v>23</v>
      </c>
      <c r="H1535" t="s">
        <v>37</v>
      </c>
      <c r="I1535" t="s">
        <v>25</v>
      </c>
      <c r="J1535" s="2">
        <v>45844.564583333333</v>
      </c>
      <c r="K1535">
        <v>6</v>
      </c>
      <c r="L1535">
        <v>7</v>
      </c>
      <c r="M1535">
        <v>2025</v>
      </c>
      <c r="N1535" t="s">
        <v>27</v>
      </c>
      <c r="O1535">
        <v>120</v>
      </c>
      <c r="P1535">
        <v>120</v>
      </c>
      <c r="R1535" s="3" t="str">
        <f>HYPERLINK("https://panda.att.com.mx/ODKServer/view/binaryData?blobKey=FSSuministroFluidosv3%5B%40version%3Dnull+and+%40uiVersion%3Dnull%5D%2Fdata%5B%40key%3Duuid%3Afdb1ce0d-9a41-4dea-9e4b-a96f20d0b8cb%5D%2FgroupInfoFuel%5B%40ordinal%3D1%5D%2FpicFuelRecibeInterno","Descargar")</f>
        <v>Descargar</v>
      </c>
    </row>
    <row r="1536" spans="1:18" x14ac:dyDescent="0.3">
      <c r="A1536">
        <v>1571707</v>
      </c>
      <c r="B1536" t="s">
        <v>18</v>
      </c>
      <c r="C1536" t="s">
        <v>34</v>
      </c>
      <c r="D1536" t="s">
        <v>53</v>
      </c>
      <c r="E1536" t="s">
        <v>1727</v>
      </c>
      <c r="F1536" t="s">
        <v>22</v>
      </c>
      <c r="G1536" t="s">
        <v>23</v>
      </c>
      <c r="H1536" t="s">
        <v>37</v>
      </c>
      <c r="I1536" t="s">
        <v>25</v>
      </c>
      <c r="J1536" s="2">
        <v>45842.491087962961</v>
      </c>
      <c r="K1536">
        <v>4</v>
      </c>
      <c r="L1536">
        <v>7</v>
      </c>
      <c r="M1536">
        <v>2025</v>
      </c>
      <c r="N1536" t="s">
        <v>27</v>
      </c>
      <c r="O1536">
        <v>200</v>
      </c>
      <c r="P1536">
        <v>200</v>
      </c>
      <c r="R1536" s="3" t="str">
        <f>HYPERLINK("https://panda.att.com.mx/ODKServer/view/binaryData?blobKey=FSSuministroFluidosv3%5B%40version%3Dnull+and+%40uiVersion%3Dnull%5D%2Fdata%5B%40key%3Duuid%3A6472eed7-b307-488c-be46-1fd44e30c3c1%5D%2FgroupInfoFuel%5B%40ordinal%3D1%5D%2FpicFuelRecibeInterno","Descargar")</f>
        <v>Descargar</v>
      </c>
    </row>
    <row r="1537" spans="1:18" x14ac:dyDescent="0.3">
      <c r="A1537">
        <v>1571699</v>
      </c>
      <c r="B1537" t="s">
        <v>18</v>
      </c>
      <c r="C1537" t="s">
        <v>150</v>
      </c>
      <c r="D1537" t="s">
        <v>151</v>
      </c>
      <c r="E1537" t="s">
        <v>1728</v>
      </c>
      <c r="F1537" t="s">
        <v>22</v>
      </c>
      <c r="G1537" t="s">
        <v>23</v>
      </c>
      <c r="H1537" t="s">
        <v>58</v>
      </c>
      <c r="I1537" t="s">
        <v>25</v>
      </c>
      <c r="J1537" s="2">
        <v>45844.480092592603</v>
      </c>
      <c r="K1537">
        <v>6</v>
      </c>
      <c r="L1537">
        <v>7</v>
      </c>
      <c r="M1537">
        <v>2025</v>
      </c>
      <c r="N1537" t="s">
        <v>27</v>
      </c>
      <c r="O1537">
        <v>100</v>
      </c>
      <c r="P1537">
        <v>100</v>
      </c>
      <c r="R1537" s="3" t="str">
        <f>HYPERLINK("https://panda.att.com.mx/ODKServer/view/binaryData?blobKey=FSSuministroFluidosv3%5B%40version%3Dnull+and+%40uiVersion%3Dnull%5D%2Fdata%5B%40key%3Duuid%3Ad8a49232-c194-4641-a60d-88007bb1eb74%5D%2FgroupInfoFuel%5B%40ordinal%3D1%5D%2FpicFuelRecibeInterno","Descargar")</f>
        <v>Descargar</v>
      </c>
    </row>
    <row r="1538" spans="1:18" x14ac:dyDescent="0.3">
      <c r="A1538">
        <v>1571665</v>
      </c>
      <c r="B1538" t="s">
        <v>18</v>
      </c>
      <c r="C1538" t="s">
        <v>59</v>
      </c>
      <c r="D1538" t="s">
        <v>60</v>
      </c>
      <c r="E1538" t="s">
        <v>1729</v>
      </c>
      <c r="F1538" t="s">
        <v>22</v>
      </c>
      <c r="G1538" t="s">
        <v>23</v>
      </c>
      <c r="H1538" t="s">
        <v>37</v>
      </c>
      <c r="I1538" t="s">
        <v>25</v>
      </c>
      <c r="J1538" s="2">
        <v>45844.029953703714</v>
      </c>
      <c r="K1538">
        <v>6</v>
      </c>
      <c r="L1538">
        <v>7</v>
      </c>
      <c r="M1538">
        <v>2025</v>
      </c>
      <c r="N1538" t="s">
        <v>27</v>
      </c>
      <c r="O1538">
        <v>27.29</v>
      </c>
      <c r="P1538">
        <v>27.29</v>
      </c>
      <c r="R1538" s="3" t="str">
        <f>HYPERLINK("https://panda.att.com.mx/ODKServer/view/binaryData?blobKey=FSSuministroFluidosv3%5B%40version%3Dnull+and+%40uiVersion%3Dnull%5D%2Fdata%5B%40key%3Duuid%3A87d0aed0-d32c-46f6-9902-bea21053e240%5D%2FgroupInfoFuel%5B%40ordinal%3D1%5D%2FpicFuelRecibeInterno","Descargar")</f>
        <v>Descargar</v>
      </c>
    </row>
    <row r="1539" spans="1:18" x14ac:dyDescent="0.3">
      <c r="A1539">
        <v>1571484</v>
      </c>
      <c r="B1539" t="s">
        <v>18</v>
      </c>
      <c r="C1539" t="s">
        <v>55</v>
      </c>
      <c r="D1539" t="s">
        <v>56</v>
      </c>
      <c r="E1539" t="s">
        <v>1730</v>
      </c>
      <c r="F1539" t="s">
        <v>22</v>
      </c>
      <c r="G1539" t="s">
        <v>23</v>
      </c>
      <c r="H1539" t="s">
        <v>58</v>
      </c>
      <c r="I1539" t="s">
        <v>25</v>
      </c>
      <c r="J1539" s="2">
        <v>45843.375520833331</v>
      </c>
      <c r="K1539">
        <v>5</v>
      </c>
      <c r="L1539">
        <v>7</v>
      </c>
      <c r="M1539">
        <v>2025</v>
      </c>
      <c r="N1539" t="s">
        <v>27</v>
      </c>
      <c r="O1539">
        <v>250</v>
      </c>
      <c r="P1539">
        <v>250</v>
      </c>
      <c r="R1539" s="3" t="str">
        <f>HYPERLINK("https://panda.att.com.mx/ODKServer/view/binaryData?blobKey=FSSuministroFluidosv3%5B%40version%3Dnull+and+%40uiVersion%3Dnull%5D%2Fdata%5B%40key%3Duuid%3A767fbdb1-0c47-4043-8abe-4b946804c430%5D%2FgroupInfoFuel%5B%40ordinal%3D1%5D%2FpicFuelRecibeInterno","Descargar")</f>
        <v>Descargar</v>
      </c>
    </row>
    <row r="1540" spans="1:18" x14ac:dyDescent="0.3">
      <c r="A1540">
        <v>1571481</v>
      </c>
      <c r="B1540" t="s">
        <v>18</v>
      </c>
      <c r="C1540" t="s">
        <v>55</v>
      </c>
      <c r="D1540" t="s">
        <v>56</v>
      </c>
      <c r="E1540" t="s">
        <v>320</v>
      </c>
      <c r="F1540" t="s">
        <v>22</v>
      </c>
      <c r="G1540" t="s">
        <v>23</v>
      </c>
      <c r="H1540" t="s">
        <v>58</v>
      </c>
      <c r="I1540" t="s">
        <v>25</v>
      </c>
      <c r="J1540" s="2">
        <v>45842.408993055556</v>
      </c>
      <c r="K1540">
        <v>4</v>
      </c>
      <c r="L1540">
        <v>7</v>
      </c>
      <c r="M1540">
        <v>2025</v>
      </c>
      <c r="N1540" t="s">
        <v>27</v>
      </c>
      <c r="O1540">
        <v>300</v>
      </c>
      <c r="P1540">
        <v>300</v>
      </c>
      <c r="R1540" s="3" t="str">
        <f>HYPERLINK("https://panda.att.com.mx/ODKServer/view/binaryData?blobKey=FSSuministroFluidosv3%5B%40version%3Dnull+and+%40uiVersion%3Dnull%5D%2Fdata%5B%40key%3Duuid%3A98d52676-2239-43d7-811c-f3e4c9f22032%5D%2FgroupInfoFuel%5B%40ordinal%3D1%5D%2FpicFuelRecibeInterno","Descargar")</f>
        <v>Descargar</v>
      </c>
    </row>
    <row r="1541" spans="1:18" x14ac:dyDescent="0.3">
      <c r="A1541">
        <v>1571446</v>
      </c>
      <c r="B1541" t="s">
        <v>18</v>
      </c>
      <c r="C1541" t="s">
        <v>55</v>
      </c>
      <c r="D1541" t="s">
        <v>56</v>
      </c>
      <c r="E1541" t="s">
        <v>1713</v>
      </c>
      <c r="F1541" t="s">
        <v>22</v>
      </c>
      <c r="G1541" t="s">
        <v>23</v>
      </c>
      <c r="H1541" t="s">
        <v>58</v>
      </c>
      <c r="I1541" t="s">
        <v>25</v>
      </c>
      <c r="J1541" s="2">
        <v>45843.386469907397</v>
      </c>
      <c r="K1541">
        <v>5</v>
      </c>
      <c r="L1541">
        <v>7</v>
      </c>
      <c r="M1541">
        <v>2025</v>
      </c>
      <c r="N1541" t="s">
        <v>27</v>
      </c>
      <c r="O1541">
        <v>100</v>
      </c>
      <c r="P1541">
        <v>100</v>
      </c>
      <c r="R1541" s="3" t="str">
        <f>HYPERLINK("https://panda.att.com.mx/ODKServer/view/binaryData?blobKey=FSSuministroFluidosv3%5B%40version%3Dnull+and+%40uiVersion%3Dnull%5D%2Fdata%5B%40key%3Duuid%3A26b66239-5451-4b48-8bff-e0c540b6703b%5D%2FgroupInfoFuel%5B%40ordinal%3D1%5D%2FpicFuelRecibeInterno","Descargar")</f>
        <v>Descargar</v>
      </c>
    </row>
    <row r="1542" spans="1:18" x14ac:dyDescent="0.3">
      <c r="A1542">
        <v>1571429</v>
      </c>
      <c r="B1542" t="s">
        <v>18</v>
      </c>
      <c r="C1542" t="s">
        <v>28</v>
      </c>
      <c r="D1542" t="s">
        <v>29</v>
      </c>
      <c r="E1542" t="s">
        <v>179</v>
      </c>
      <c r="F1542" t="s">
        <v>22</v>
      </c>
      <c r="G1542" t="s">
        <v>23</v>
      </c>
      <c r="H1542" t="s">
        <v>24</v>
      </c>
      <c r="I1542" t="s">
        <v>25</v>
      </c>
      <c r="J1542" s="2">
        <v>45841.813645833332</v>
      </c>
      <c r="K1542">
        <v>3</v>
      </c>
      <c r="L1542">
        <v>7</v>
      </c>
      <c r="M1542">
        <v>2025</v>
      </c>
      <c r="N1542" t="s">
        <v>27</v>
      </c>
      <c r="O1542">
        <v>100</v>
      </c>
      <c r="P1542">
        <v>100</v>
      </c>
      <c r="R1542" s="3" t="str">
        <f>HYPERLINK("https://panda.att.com.mx/ODKServer/view/binaryData?blobKey=FSSuministroFluidosv3%5B%40version%3Dnull+and+%40uiVersion%3Dnull%5D%2Fdata%5B%40key%3Duuid%3A2101517c-27ea-49c1-a21e-143cead6b752%5D%2FgroupInfoFuel%5B%40ordinal%3D1%5D%2FpicFuelRecibeInterno","Descargar")</f>
        <v>Descargar</v>
      </c>
    </row>
    <row r="1543" spans="1:18" x14ac:dyDescent="0.3">
      <c r="A1543">
        <v>1571369</v>
      </c>
      <c r="B1543" t="s">
        <v>18</v>
      </c>
      <c r="C1543" t="s">
        <v>34</v>
      </c>
      <c r="D1543" t="s">
        <v>53</v>
      </c>
      <c r="E1543" t="s">
        <v>1731</v>
      </c>
      <c r="F1543" t="s">
        <v>22</v>
      </c>
      <c r="G1543" t="s">
        <v>23</v>
      </c>
      <c r="H1543" t="s">
        <v>37</v>
      </c>
      <c r="I1543" t="s">
        <v>25</v>
      </c>
      <c r="J1543" s="2">
        <v>45842.907500000001</v>
      </c>
      <c r="K1543">
        <v>4</v>
      </c>
      <c r="L1543">
        <v>7</v>
      </c>
      <c r="M1543">
        <v>2025</v>
      </c>
      <c r="N1543" t="s">
        <v>27</v>
      </c>
      <c r="O1543">
        <v>50</v>
      </c>
      <c r="P1543">
        <v>50</v>
      </c>
      <c r="R1543" s="3" t="str">
        <f>HYPERLINK("https://panda.att.com.mx/ODKServer/view/binaryData?blobKey=FSSuministroFluidosv3%5B%40version%3Dnull+and+%40uiVersion%3Dnull%5D%2Fdata%5B%40key%3Duuid%3A10132617-fcf5-486f-93c8-e47bff1be425%5D%2FgroupInfoFuel%5B%40ordinal%3D1%5D%2FpicFuelRecibeInterno","Descargar")</f>
        <v>Descargar</v>
      </c>
    </row>
    <row r="1544" spans="1:18" x14ac:dyDescent="0.3">
      <c r="A1544">
        <v>1571368</v>
      </c>
      <c r="B1544" t="s">
        <v>18</v>
      </c>
      <c r="C1544" t="s">
        <v>28</v>
      </c>
      <c r="D1544" t="s">
        <v>1036</v>
      </c>
      <c r="E1544" t="s">
        <v>1718</v>
      </c>
      <c r="F1544" t="s">
        <v>22</v>
      </c>
      <c r="G1544" t="s">
        <v>23</v>
      </c>
      <c r="H1544" t="s">
        <v>37</v>
      </c>
      <c r="I1544" t="s">
        <v>25</v>
      </c>
      <c r="J1544" s="2">
        <v>45842.750393518523</v>
      </c>
      <c r="K1544">
        <v>4</v>
      </c>
      <c r="L1544">
        <v>7</v>
      </c>
      <c r="M1544">
        <v>2025</v>
      </c>
      <c r="N1544" t="s">
        <v>44</v>
      </c>
      <c r="O1544">
        <v>60</v>
      </c>
      <c r="P1544">
        <v>60</v>
      </c>
      <c r="R1544" s="3" t="str">
        <f>HYPERLINK("https://panda.att.com.mx/ODKServer/view/binaryData?blobKey=FSSuministroFluidosv3%5B%40version%3Dnull+and+%40uiVersion%3Dnull%5D%2Fdata%5B%40key%3Duuid%3A66c92715-cc17-4e81-be63-336ec80c638d%5D%2FgroupInfoFuel%5B%40ordinal%3D1%5D%2FpicFuelRecibeInterno","Descargar")</f>
        <v>Descargar</v>
      </c>
    </row>
    <row r="1545" spans="1:18" x14ac:dyDescent="0.3">
      <c r="A1545">
        <v>1571259</v>
      </c>
      <c r="B1545" t="s">
        <v>18</v>
      </c>
      <c r="C1545" t="s">
        <v>100</v>
      </c>
      <c r="D1545" t="s">
        <v>716</v>
      </c>
      <c r="E1545" t="s">
        <v>717</v>
      </c>
      <c r="F1545" t="s">
        <v>22</v>
      </c>
      <c r="G1545" t="s">
        <v>83</v>
      </c>
      <c r="H1545" t="s">
        <v>58</v>
      </c>
      <c r="I1545" t="s">
        <v>25</v>
      </c>
      <c r="J1545" s="2">
        <v>45842.779340277782</v>
      </c>
      <c r="K1545">
        <v>4</v>
      </c>
      <c r="L1545">
        <v>7</v>
      </c>
      <c r="M1545">
        <v>2025</v>
      </c>
      <c r="N1545" t="s">
        <v>27</v>
      </c>
      <c r="O1545">
        <v>150</v>
      </c>
      <c r="P1545">
        <v>150</v>
      </c>
      <c r="R1545" s="3" t="str">
        <f>HYPERLINK("https://panda.att.com.mx/ODKServer/view/binaryData?blobKey=FSSuministroFluidosv3%5B%40version%3Dnull+and+%40uiVersion%3Dnull%5D%2Fdata%5B%40key%3Duuid%3A3d0dc36d-9126-4923-9b43-0cdbd0bb5057%5D%2FgroupInfoFuel%5B%40ordinal%3D1%5D%2FpicFuelRecibeInterno","Descargar")</f>
        <v>Descargar</v>
      </c>
    </row>
    <row r="1546" spans="1:18" x14ac:dyDescent="0.3">
      <c r="A1546">
        <v>1571215</v>
      </c>
      <c r="B1546" t="s">
        <v>18</v>
      </c>
      <c r="C1546" t="s">
        <v>68</v>
      </c>
      <c r="D1546" t="s">
        <v>69</v>
      </c>
      <c r="E1546" t="s">
        <v>1732</v>
      </c>
      <c r="F1546" t="s">
        <v>22</v>
      </c>
      <c r="G1546" t="s">
        <v>23</v>
      </c>
      <c r="H1546" t="s">
        <v>37</v>
      </c>
      <c r="I1546" t="s">
        <v>25</v>
      </c>
      <c r="J1546" s="2">
        <v>45842.548657407409</v>
      </c>
      <c r="K1546">
        <v>4</v>
      </c>
      <c r="L1546">
        <v>7</v>
      </c>
      <c r="M1546">
        <v>2025</v>
      </c>
      <c r="N1546" t="s">
        <v>44</v>
      </c>
      <c r="O1546">
        <v>50</v>
      </c>
      <c r="P1546">
        <v>50</v>
      </c>
      <c r="R1546" s="3" t="str">
        <f>HYPERLINK("https://panda.att.com.mx/ODKServer/view/binaryData?blobKey=FSSuministroFluidosv3%5B%40version%3Dnull+and+%40uiVersion%3Dnull%5D%2Fdata%5B%40key%3Duuid%3Ae0856bb1-5892-458d-b697-8fda37127ddd%5D%2FgroupInfoFuel%5B%40ordinal%3D1%5D%2FpicFuelRecibeInterno","Descargar")</f>
        <v>Descargar</v>
      </c>
    </row>
    <row r="1547" spans="1:18" x14ac:dyDescent="0.3">
      <c r="A1547">
        <v>1571214</v>
      </c>
      <c r="B1547" t="s">
        <v>18</v>
      </c>
      <c r="C1547" t="s">
        <v>68</v>
      </c>
      <c r="D1547" t="s">
        <v>69</v>
      </c>
      <c r="E1547" t="s">
        <v>1733</v>
      </c>
      <c r="F1547" t="s">
        <v>22</v>
      </c>
      <c r="G1547" t="s">
        <v>23</v>
      </c>
      <c r="H1547" t="s">
        <v>37</v>
      </c>
      <c r="I1547" t="s">
        <v>25</v>
      </c>
      <c r="J1547" s="2">
        <v>45842.534004629633</v>
      </c>
      <c r="K1547">
        <v>4</v>
      </c>
      <c r="L1547">
        <v>7</v>
      </c>
      <c r="M1547">
        <v>2025</v>
      </c>
      <c r="N1547" t="s">
        <v>44</v>
      </c>
      <c r="O1547">
        <v>35</v>
      </c>
      <c r="P1547">
        <v>35</v>
      </c>
      <c r="R1547" s="3" t="str">
        <f>HYPERLINK("https://panda.att.com.mx/ODKServer/view/binaryData?blobKey=FSSuministroFluidosv3%5B%40version%3Dnull+and+%40uiVersion%3Dnull%5D%2Fdata%5B%40key%3Duuid%3Abdb95c38-a859-4a7a-b4fe-74c0bec90524%5D%2FgroupInfoFuel%5B%40ordinal%3D1%5D%2FpicFuelRecibeInterno","Descargar")</f>
        <v>Descargar</v>
      </c>
    </row>
    <row r="1548" spans="1:18" x14ac:dyDescent="0.3">
      <c r="A1548">
        <v>1571074</v>
      </c>
      <c r="B1548" t="s">
        <v>18</v>
      </c>
      <c r="C1548" t="s">
        <v>100</v>
      </c>
      <c r="D1548" t="s">
        <v>101</v>
      </c>
      <c r="E1548" t="s">
        <v>126</v>
      </c>
      <c r="F1548" t="s">
        <v>22</v>
      </c>
      <c r="G1548" t="s">
        <v>83</v>
      </c>
      <c r="H1548" t="s">
        <v>58</v>
      </c>
      <c r="I1548" t="s">
        <v>25</v>
      </c>
      <c r="J1548" s="2">
        <v>45842.594027777777</v>
      </c>
      <c r="K1548">
        <v>4</v>
      </c>
      <c r="L1548">
        <v>7</v>
      </c>
      <c r="M1548">
        <v>2025</v>
      </c>
      <c r="N1548" t="s">
        <v>27</v>
      </c>
      <c r="O1548">
        <v>295</v>
      </c>
      <c r="P1548">
        <v>295</v>
      </c>
      <c r="R1548" s="3" t="str">
        <f>HYPERLINK("https://panda.att.com.mx/ODKServer/view/binaryData?blobKey=FSSuministroFluidosv3%5B%40version%3Dnull+and+%40uiVersion%3Dnull%5D%2Fdata%5B%40key%3Duuid%3A2eba68b2-a4ed-49d4-872e-3b1b0fc692a0%5D%2FgroupInfoFuel%5B%40ordinal%3D1%5D%2FpicFuelRecibeInterno","Descargar")</f>
        <v>Descargar</v>
      </c>
    </row>
    <row r="1549" spans="1:18" x14ac:dyDescent="0.3">
      <c r="A1549">
        <v>1571073</v>
      </c>
      <c r="B1549" t="s">
        <v>18</v>
      </c>
      <c r="C1549" t="s">
        <v>100</v>
      </c>
      <c r="D1549" t="s">
        <v>101</v>
      </c>
      <c r="E1549" t="s">
        <v>1203</v>
      </c>
      <c r="F1549" t="s">
        <v>22</v>
      </c>
      <c r="G1549" t="s">
        <v>23</v>
      </c>
      <c r="H1549" t="s">
        <v>58</v>
      </c>
      <c r="I1549" t="s">
        <v>25</v>
      </c>
      <c r="J1549" s="2">
        <v>45842.399027777778</v>
      </c>
      <c r="K1549">
        <v>4</v>
      </c>
      <c r="L1549">
        <v>7</v>
      </c>
      <c r="M1549">
        <v>2025</v>
      </c>
      <c r="N1549" t="s">
        <v>27</v>
      </c>
      <c r="O1549">
        <v>270</v>
      </c>
      <c r="P1549">
        <v>270</v>
      </c>
      <c r="R1549" s="3" t="str">
        <f>HYPERLINK("https://panda.att.com.mx/ODKServer/view/binaryData?blobKey=FSSuministroFluidosv3%5B%40version%3Dnull+and+%40uiVersion%3Dnull%5D%2Fdata%5B%40key%3Duuid%3A290ec690-2a97-4b05-9edc-edb267fc4bb0%5D%2FgroupInfoFuel%5B%40ordinal%3D1%5D%2FpicFuelRecibeInterno","Descargar")</f>
        <v>Descargar</v>
      </c>
    </row>
    <row r="1550" spans="1:18" x14ac:dyDescent="0.3">
      <c r="A1550">
        <v>1571029</v>
      </c>
      <c r="B1550" t="s">
        <v>18</v>
      </c>
      <c r="C1550" t="s">
        <v>183</v>
      </c>
      <c r="D1550" t="s">
        <v>1734</v>
      </c>
      <c r="E1550" t="s">
        <v>1735</v>
      </c>
      <c r="F1550" t="s">
        <v>22</v>
      </c>
      <c r="G1550" t="s">
        <v>23</v>
      </c>
      <c r="H1550" t="s">
        <v>37</v>
      </c>
      <c r="I1550" t="s">
        <v>25</v>
      </c>
      <c r="J1550" s="2">
        <v>45841.742951388893</v>
      </c>
      <c r="K1550">
        <v>3</v>
      </c>
      <c r="L1550">
        <v>7</v>
      </c>
      <c r="M1550">
        <v>2025</v>
      </c>
      <c r="N1550" t="s">
        <v>27</v>
      </c>
      <c r="O1550">
        <v>200</v>
      </c>
      <c r="Q1550">
        <v>200</v>
      </c>
      <c r="R1550" s="3" t="str">
        <f>HYPERLINK("https://panda.att.com.mx/ODKServer/view/binaryData?blobKey=FSSuministroFluidosv3%5B%40version%3Dnull+and+%40uiVersion%3Dnull%5D%2Fdata%5B%40key%3Duuid%3A2b6b5b70-648c-4823-a4e6-5258f98e1ecf%5D%2FgroupInfoFuel%5B%40ordinal%3D1%5D%2FpicFuelRecibeInterno","Descargar")</f>
        <v>Descargar</v>
      </c>
    </row>
    <row r="1551" spans="1:18" x14ac:dyDescent="0.3">
      <c r="A1551">
        <v>1570997</v>
      </c>
      <c r="B1551" t="s">
        <v>18</v>
      </c>
      <c r="C1551" t="s">
        <v>150</v>
      </c>
      <c r="D1551" t="s">
        <v>230</v>
      </c>
      <c r="E1551" t="s">
        <v>1510</v>
      </c>
      <c r="F1551" t="s">
        <v>22</v>
      </c>
      <c r="G1551" t="s">
        <v>23</v>
      </c>
      <c r="H1551" t="s">
        <v>58</v>
      </c>
      <c r="I1551" t="s">
        <v>25</v>
      </c>
      <c r="J1551" s="2">
        <v>45842.549097222232</v>
      </c>
      <c r="K1551">
        <v>4</v>
      </c>
      <c r="L1551">
        <v>7</v>
      </c>
      <c r="M1551">
        <v>2025</v>
      </c>
      <c r="N1551" t="s">
        <v>27</v>
      </c>
      <c r="O1551">
        <v>300</v>
      </c>
      <c r="P1551">
        <v>300</v>
      </c>
      <c r="R1551" s="3" t="str">
        <f>HYPERLINK("https://panda.att.com.mx/ODKServer/view/binaryData?blobKey=FSSuministroFluidosv3%5B%40version%3Dnull+and+%40uiVersion%3Dnull%5D%2Fdata%5B%40key%3Duuid%3Ada1371b7-22ad-448b-aeda-00c49112b0b6%5D%2FgroupInfoFuel%5B%40ordinal%3D1%5D%2FpicFuelRecibeInterno","Descargar")</f>
        <v>Descargar</v>
      </c>
    </row>
    <row r="1552" spans="1:18" x14ac:dyDescent="0.3">
      <c r="A1552">
        <v>1569258</v>
      </c>
      <c r="B1552" t="s">
        <v>18</v>
      </c>
      <c r="C1552" t="s">
        <v>28</v>
      </c>
      <c r="D1552" t="s">
        <v>181</v>
      </c>
      <c r="E1552" t="s">
        <v>277</v>
      </c>
      <c r="F1552" t="s">
        <v>22</v>
      </c>
      <c r="G1552" t="s">
        <v>47</v>
      </c>
      <c r="H1552" t="s">
        <v>24</v>
      </c>
      <c r="I1552" t="s">
        <v>25</v>
      </c>
      <c r="J1552" s="2">
        <v>45837.909525462957</v>
      </c>
      <c r="K1552">
        <v>29</v>
      </c>
      <c r="L1552">
        <v>6</v>
      </c>
      <c r="M1552">
        <v>2025</v>
      </c>
      <c r="N1552" t="s">
        <v>27</v>
      </c>
      <c r="O1552">
        <v>200</v>
      </c>
      <c r="P1552">
        <v>200</v>
      </c>
      <c r="R1552" s="3" t="str">
        <f>HYPERLINK("https://panda.att.com.mx/ODKServer/view/binaryData?blobKey=FSSuministroFluidosv3%5B%40version%3Dnull+and+%40uiVersion%3Dnull%5D%2Fdata%5B%40key%3Duuid%3Afbe095f7-b556-4dcd-a955-40273314c3b0%5D%2FgroupInfoFuel%5B%40ordinal%3D1%5D%2FpicFuelRecibeInterno","Descargar")</f>
        <v>Descargar</v>
      </c>
    </row>
    <row r="1553" spans="1:18" x14ac:dyDescent="0.3">
      <c r="A1553">
        <v>1569250</v>
      </c>
      <c r="B1553" t="s">
        <v>18</v>
      </c>
      <c r="C1553" t="s">
        <v>28</v>
      </c>
      <c r="D1553" t="s">
        <v>181</v>
      </c>
      <c r="E1553" t="s">
        <v>277</v>
      </c>
      <c r="F1553" t="s">
        <v>22</v>
      </c>
      <c r="G1553" t="s">
        <v>23</v>
      </c>
      <c r="H1553" t="s">
        <v>24</v>
      </c>
      <c r="I1553" t="s">
        <v>25</v>
      </c>
      <c r="J1553" s="2">
        <v>45814.878055555557</v>
      </c>
      <c r="K1553">
        <v>6</v>
      </c>
      <c r="L1553">
        <v>6</v>
      </c>
      <c r="M1553">
        <v>2025</v>
      </c>
      <c r="N1553" t="s">
        <v>27</v>
      </c>
      <c r="O1553">
        <v>200</v>
      </c>
      <c r="P1553">
        <v>200</v>
      </c>
      <c r="R1553" s="3" t="str">
        <f>HYPERLINK("https://panda.att.com.mx/ODKServer/view/binaryData?blobKey=FSSuministroFluidosv3%5B%40version%3Dnull+and+%40uiVersion%3Dnull%5D%2Fdata%5B%40key%3Duuid%3A88f29b1d-2013-4e04-b085-57744e7e133b%5D%2FgroupInfoFuel%5B%40ordinal%3D1%5D%2FpicFuelRecibeInterno","Descargar")</f>
        <v>Descargar</v>
      </c>
    </row>
    <row r="1554" spans="1:18" x14ac:dyDescent="0.3">
      <c r="A1554">
        <v>1569227</v>
      </c>
      <c r="B1554" t="s">
        <v>18</v>
      </c>
      <c r="C1554" t="s">
        <v>34</v>
      </c>
      <c r="D1554" t="s">
        <v>53</v>
      </c>
      <c r="E1554" t="s">
        <v>285</v>
      </c>
      <c r="F1554" t="s">
        <v>22</v>
      </c>
      <c r="G1554" t="s">
        <v>23</v>
      </c>
      <c r="H1554" t="s">
        <v>37</v>
      </c>
      <c r="I1554" t="s">
        <v>25</v>
      </c>
      <c r="J1554" s="2">
        <v>45839.447592592587</v>
      </c>
      <c r="K1554">
        <v>1</v>
      </c>
      <c r="L1554">
        <v>7</v>
      </c>
      <c r="M1554">
        <v>2025</v>
      </c>
      <c r="N1554" t="s">
        <v>27</v>
      </c>
      <c r="O1554">
        <v>200</v>
      </c>
      <c r="Q1554">
        <v>200</v>
      </c>
      <c r="R1554" s="3" t="str">
        <f>HYPERLINK("https://panda.att.com.mx/ODKServer/view/binaryData?blobKey=FSSuministroFluidosv3%5B%40version%3Dnull+and+%40uiVersion%3Dnull%5D%2Fdata%5B%40key%3Duuid%3A80ccacd8-0689-4983-bea1-53699933c37b%5D%2FgroupInfoFuel%5B%40ordinal%3D1%5D%2FpicFuelRecibeInterno","Descargar")</f>
        <v>Descargar</v>
      </c>
    </row>
    <row r="1555" spans="1:18" x14ac:dyDescent="0.3">
      <c r="A1555">
        <v>1569226</v>
      </c>
      <c r="B1555" t="s">
        <v>18</v>
      </c>
      <c r="C1555" t="s">
        <v>34</v>
      </c>
      <c r="D1555" t="s">
        <v>53</v>
      </c>
      <c r="E1555" t="s">
        <v>1711</v>
      </c>
      <c r="F1555" t="s">
        <v>22</v>
      </c>
      <c r="G1555" t="s">
        <v>23</v>
      </c>
      <c r="H1555" t="s">
        <v>37</v>
      </c>
      <c r="I1555" t="s">
        <v>25</v>
      </c>
      <c r="J1555" s="2">
        <v>45839.426990740743</v>
      </c>
      <c r="K1555">
        <v>1</v>
      </c>
      <c r="L1555">
        <v>7</v>
      </c>
      <c r="M1555">
        <v>2025</v>
      </c>
      <c r="N1555" t="s">
        <v>27</v>
      </c>
      <c r="O1555">
        <v>300</v>
      </c>
      <c r="Q1555">
        <v>300</v>
      </c>
      <c r="R1555" s="3" t="str">
        <f>HYPERLINK("https://panda.att.com.mx/ODKServer/view/binaryData?blobKey=FSSuministroFluidosv3%5B%40version%3Dnull+and+%40uiVersion%3Dnull%5D%2Fdata%5B%40key%3Duuid%3A079d75a8-1347-4b6e-873d-d8a69312d08c%5D%2FgroupInfoFuel%5B%40ordinal%3D1%5D%2FpicFuelRecibeInterno","Descargar")</f>
        <v>Descargar</v>
      </c>
    </row>
    <row r="1556" spans="1:18" x14ac:dyDescent="0.3">
      <c r="A1556">
        <v>1569144</v>
      </c>
      <c r="B1556" t="s">
        <v>18</v>
      </c>
      <c r="C1556" t="s">
        <v>167</v>
      </c>
      <c r="D1556" t="s">
        <v>253</v>
      </c>
      <c r="E1556" t="s">
        <v>403</v>
      </c>
      <c r="F1556" t="s">
        <v>22</v>
      </c>
      <c r="G1556" t="s">
        <v>23</v>
      </c>
      <c r="H1556" t="s">
        <v>58</v>
      </c>
      <c r="I1556" t="s">
        <v>25</v>
      </c>
      <c r="J1556" s="2">
        <v>45839.631469907406</v>
      </c>
      <c r="K1556">
        <v>1</v>
      </c>
      <c r="L1556">
        <v>7</v>
      </c>
      <c r="M1556">
        <v>2025</v>
      </c>
      <c r="N1556" t="s">
        <v>27</v>
      </c>
      <c r="O1556">
        <v>150</v>
      </c>
      <c r="P1556">
        <v>150</v>
      </c>
      <c r="R1556" s="3" t="str">
        <f>HYPERLINK("https://panda.att.com.mx/ODKServer/view/binaryData?blobKey=FSSuministroFluidosv3%5B%40version%3Dnull+and+%40uiVersion%3Dnull%5D%2Fdata%5B%40key%3Duuid%3A72020672-5554-4d0a-9c26-c0db3970ed33%5D%2FgroupInfoFuel%5B%40ordinal%3D1%5D%2FpicFuelRecibeInterno","Descargar")</f>
        <v>Descargar</v>
      </c>
    </row>
    <row r="1557" spans="1:18" x14ac:dyDescent="0.3">
      <c r="A1557">
        <v>1569059</v>
      </c>
      <c r="B1557" t="s">
        <v>18</v>
      </c>
      <c r="C1557" t="s">
        <v>55</v>
      </c>
      <c r="D1557" t="s">
        <v>887</v>
      </c>
      <c r="E1557" t="s">
        <v>888</v>
      </c>
      <c r="F1557" t="s">
        <v>22</v>
      </c>
      <c r="G1557" t="s">
        <v>23</v>
      </c>
      <c r="H1557" t="s">
        <v>58</v>
      </c>
      <c r="I1557" t="s">
        <v>25</v>
      </c>
      <c r="J1557" s="2">
        <v>45839.578900462962</v>
      </c>
      <c r="K1557">
        <v>1</v>
      </c>
      <c r="L1557">
        <v>7</v>
      </c>
      <c r="M1557">
        <v>2025</v>
      </c>
      <c r="N1557" t="s">
        <v>27</v>
      </c>
      <c r="O1557">
        <v>350</v>
      </c>
      <c r="P1557">
        <v>350</v>
      </c>
      <c r="R1557" s="3" t="str">
        <f>HYPERLINK("https://panda.att.com.mx/ODKServer/view/binaryData?blobKey=FSSuministroFluidosv3%5B%40version%3Dnull+and+%40uiVersion%3Dnull%5D%2Fdata%5B%40key%3Duuid%3Aeb993d29-c5c0-4c7c-9192-65667aebf174%5D%2FgroupInfoFuel%5B%40ordinal%3D1%5D%2FpicFuelRecibeInterno","Descargar")</f>
        <v>Descargar</v>
      </c>
    </row>
    <row r="1558" spans="1:18" x14ac:dyDescent="0.3">
      <c r="A1558">
        <v>1568995</v>
      </c>
      <c r="B1558" t="s">
        <v>18</v>
      </c>
      <c r="C1558" t="s">
        <v>34</v>
      </c>
      <c r="D1558" t="s">
        <v>51</v>
      </c>
      <c r="E1558" t="s">
        <v>1736</v>
      </c>
      <c r="F1558" t="s">
        <v>22</v>
      </c>
      <c r="G1558" t="s">
        <v>23</v>
      </c>
      <c r="H1558" t="s">
        <v>24</v>
      </c>
      <c r="I1558" t="s">
        <v>25</v>
      </c>
      <c r="J1558" s="2">
        <v>45839.416851851849</v>
      </c>
      <c r="K1558">
        <v>1</v>
      </c>
      <c r="L1558">
        <v>7</v>
      </c>
      <c r="M1558">
        <v>2025</v>
      </c>
      <c r="N1558" t="s">
        <v>44</v>
      </c>
      <c r="O1558">
        <v>40</v>
      </c>
      <c r="Q1558">
        <v>40</v>
      </c>
      <c r="R1558" s="3" t="str">
        <f>HYPERLINK("https://panda.att.com.mx/ODKServer/view/binaryData?blobKey=FSSuministroFluidosv3%5B%40version%3Dnull+and+%40uiVersion%3Dnull%5D%2Fdata%5B%40key%3Duuid%3Ac21c8bbe-73da-4659-bccf-fc57c96bab7e%5D%2FgroupInfoFuel%5B%40ordinal%3D1%5D%2FpicFuelRecibeInterno","Descargar")</f>
        <v>Descargar</v>
      </c>
    </row>
    <row r="1559" spans="1:18" x14ac:dyDescent="0.3">
      <c r="A1559">
        <v>1568992</v>
      </c>
      <c r="B1559" t="s">
        <v>18</v>
      </c>
      <c r="C1559" t="s">
        <v>28</v>
      </c>
      <c r="D1559" t="s">
        <v>429</v>
      </c>
      <c r="E1559" t="s">
        <v>430</v>
      </c>
      <c r="F1559" t="s">
        <v>22</v>
      </c>
      <c r="G1559" t="s">
        <v>23</v>
      </c>
      <c r="H1559" t="s">
        <v>24</v>
      </c>
      <c r="I1559" t="s">
        <v>25</v>
      </c>
      <c r="J1559" s="2">
        <v>45839.298518518517</v>
      </c>
      <c r="K1559">
        <v>1</v>
      </c>
      <c r="L1559">
        <v>7</v>
      </c>
      <c r="M1559">
        <v>2025</v>
      </c>
      <c r="N1559" t="s">
        <v>44</v>
      </c>
      <c r="O1559">
        <v>60</v>
      </c>
      <c r="Q1559">
        <v>60</v>
      </c>
      <c r="R1559" s="3" t="str">
        <f>HYPERLINK("https://panda.att.com.mx/ODKServer/view/binaryData?blobKey=FSSuministroFluidosv3%5B%40version%3Dnull+and+%40uiVersion%3Dnull%5D%2Fdata%5B%40key%3Duuid%3A7c508393-0777-4094-a91c-11f3f54c36e0%5D%2FgroupInfoFuel%5B%40ordinal%3D1%5D%2FpicFuelRecibeInterno","Descargar")</f>
        <v>Descargar</v>
      </c>
    </row>
    <row r="1560" spans="1:18" x14ac:dyDescent="0.3">
      <c r="A1560">
        <v>1568893</v>
      </c>
      <c r="B1560" t="s">
        <v>18</v>
      </c>
      <c r="C1560" t="s">
        <v>59</v>
      </c>
      <c r="D1560" t="s">
        <v>60</v>
      </c>
      <c r="E1560" t="s">
        <v>1737</v>
      </c>
      <c r="F1560" t="s">
        <v>22</v>
      </c>
      <c r="G1560" t="s">
        <v>23</v>
      </c>
      <c r="H1560" t="s">
        <v>37</v>
      </c>
      <c r="I1560" t="s">
        <v>25</v>
      </c>
      <c r="J1560" s="2">
        <v>45838.672777777778</v>
      </c>
      <c r="K1560">
        <v>30</v>
      </c>
      <c r="L1560">
        <v>6</v>
      </c>
      <c r="M1560">
        <v>2025</v>
      </c>
      <c r="N1560" t="s">
        <v>27</v>
      </c>
      <c r="O1560">
        <v>58.62</v>
      </c>
      <c r="P1560">
        <v>58.62</v>
      </c>
      <c r="R1560" s="3" t="str">
        <f>HYPERLINK("https://panda.att.com.mx/ODKServer/view/binaryData?blobKey=FSSuministroFluidosv3%5B%40version%3Dnull+and+%40uiVersion%3Dnull%5D%2Fdata%5B%40key%3Duuid%3Af28ca579-97be-4a10-b4cd-e96883be8581%5D%2FgroupInfoFuel%5B%40ordinal%3D1%5D%2FpicFuelRecibeInterno","Descargar")</f>
        <v>Descargar</v>
      </c>
    </row>
    <row r="1561" spans="1:18" x14ac:dyDescent="0.3">
      <c r="A1561">
        <v>1568883</v>
      </c>
      <c r="B1561" t="s">
        <v>18</v>
      </c>
      <c r="C1561" t="s">
        <v>150</v>
      </c>
      <c r="D1561" t="s">
        <v>230</v>
      </c>
      <c r="E1561" t="s">
        <v>1510</v>
      </c>
      <c r="F1561" t="s">
        <v>22</v>
      </c>
      <c r="G1561" t="s">
        <v>23</v>
      </c>
      <c r="H1561" t="s">
        <v>58</v>
      </c>
      <c r="I1561" t="s">
        <v>25</v>
      </c>
      <c r="J1561" s="2">
        <v>45839.424212962957</v>
      </c>
      <c r="K1561">
        <v>1</v>
      </c>
      <c r="L1561">
        <v>7</v>
      </c>
      <c r="M1561">
        <v>2025</v>
      </c>
      <c r="N1561" t="s">
        <v>27</v>
      </c>
      <c r="O1561">
        <v>320</v>
      </c>
      <c r="P1561">
        <v>320</v>
      </c>
      <c r="R1561" s="3" t="str">
        <f>HYPERLINK("https://panda.att.com.mx/ODKServer/view/binaryData?blobKey=FSSuministroFluidosv3%5B%40version%3Dnull+and+%40uiVersion%3Dnull%5D%2Fdata%5B%40key%3Duuid%3A38cea176-0d0e-48e6-a943-9e884a930cec%5D%2FgroupInfoFuel%5B%40ordinal%3D1%5D%2FpicFuelRecibeInterno","Descargar")</f>
        <v>Descargar</v>
      </c>
    </row>
    <row r="1562" spans="1:18" x14ac:dyDescent="0.3">
      <c r="A1562">
        <v>1568876</v>
      </c>
      <c r="B1562" t="s">
        <v>18</v>
      </c>
      <c r="C1562" t="s">
        <v>19</v>
      </c>
      <c r="D1562" t="s">
        <v>347</v>
      </c>
      <c r="E1562" t="s">
        <v>348</v>
      </c>
      <c r="F1562" t="s">
        <v>22</v>
      </c>
      <c r="G1562" t="s">
        <v>23</v>
      </c>
      <c r="H1562" t="s">
        <v>24</v>
      </c>
      <c r="I1562" t="s">
        <v>25</v>
      </c>
      <c r="J1562" s="2">
        <v>45836.833622685182</v>
      </c>
      <c r="K1562">
        <v>28</v>
      </c>
      <c r="L1562">
        <v>6</v>
      </c>
      <c r="M1562">
        <v>2025</v>
      </c>
      <c r="N1562" t="s">
        <v>27</v>
      </c>
      <c r="O1562">
        <v>100</v>
      </c>
      <c r="P1562">
        <v>100</v>
      </c>
      <c r="R1562" s="3" t="str">
        <f>HYPERLINK("https://panda.att.com.mx/ODKServer/view/binaryData?blobKey=FSSuministroFluidosv3%5B%40version%3Dnull+and+%40uiVersion%3Dnull%5D%2Fdata%5B%40key%3Duuid%3A8e327801-8015-4c6e-93b3-19599abcfa36%5D%2FgroupInfoFuel%5B%40ordinal%3D1%5D%2FpicFuelRecibeInterno","Descargar")</f>
        <v>Descargar</v>
      </c>
    </row>
    <row r="1563" spans="1:18" x14ac:dyDescent="0.3">
      <c r="A1563">
        <v>1568803</v>
      </c>
      <c r="B1563" t="s">
        <v>18</v>
      </c>
      <c r="C1563" t="s">
        <v>167</v>
      </c>
      <c r="D1563" t="s">
        <v>268</v>
      </c>
      <c r="E1563" t="s">
        <v>729</v>
      </c>
      <c r="F1563" t="s">
        <v>22</v>
      </c>
      <c r="G1563" t="s">
        <v>47</v>
      </c>
      <c r="H1563" t="s">
        <v>58</v>
      </c>
      <c r="I1563" t="s">
        <v>25</v>
      </c>
      <c r="J1563" s="2">
        <v>45838.303090277783</v>
      </c>
      <c r="K1563">
        <v>30</v>
      </c>
      <c r="L1563">
        <v>6</v>
      </c>
      <c r="M1563">
        <v>2025</v>
      </c>
      <c r="N1563" t="s">
        <v>27</v>
      </c>
      <c r="O1563">
        <v>50</v>
      </c>
      <c r="P1563">
        <v>50</v>
      </c>
      <c r="R1563" s="3" t="str">
        <f>HYPERLINK("https://panda.att.com.mx/ODKServer/view/binaryData?blobKey=FSSuministroFluidosv3%5B%40version%3Dnull+and+%40uiVersion%3Dnull%5D%2Fdata%5B%40key%3Duuid%3A8682292f-3e07-4ff5-aeff-572194f8f1ba%5D%2FgroupInfoFuel%5B%40ordinal%3D1%5D%2FpicFuelRecibeInterno","Descargar")</f>
        <v>Descargar</v>
      </c>
    </row>
    <row r="1564" spans="1:18" x14ac:dyDescent="0.3">
      <c r="A1564">
        <v>1568729</v>
      </c>
      <c r="B1564" t="s">
        <v>18</v>
      </c>
      <c r="C1564" t="s">
        <v>167</v>
      </c>
      <c r="D1564" t="s">
        <v>215</v>
      </c>
      <c r="E1564" t="s">
        <v>1738</v>
      </c>
      <c r="F1564" t="s">
        <v>22</v>
      </c>
      <c r="G1564" t="s">
        <v>23</v>
      </c>
      <c r="H1564" t="s">
        <v>58</v>
      </c>
      <c r="I1564" t="s">
        <v>25</v>
      </c>
      <c r="J1564" s="2">
        <v>45838.973275462973</v>
      </c>
      <c r="K1564">
        <v>30</v>
      </c>
      <c r="L1564">
        <v>6</v>
      </c>
      <c r="M1564">
        <v>2025</v>
      </c>
      <c r="N1564" t="s">
        <v>27</v>
      </c>
      <c r="O1564">
        <v>80</v>
      </c>
      <c r="P1564">
        <v>80</v>
      </c>
      <c r="R1564" s="3" t="str">
        <f>HYPERLINK("https://panda.att.com.mx/ODKServer/view/binaryData?blobKey=FSSuministroFluidosv3%5B%40version%3Dnull+and+%40uiVersion%3Dnull%5D%2Fdata%5B%40key%3Duuid%3A52ea6339-791e-4ca6-b66b-d878de5b00f7%5D%2FgroupInfoFuel%5B%40ordinal%3D1%5D%2FpicFuelRecibeInterno","Descargar")</f>
        <v>Descargar</v>
      </c>
    </row>
    <row r="1565" spans="1:18" x14ac:dyDescent="0.3">
      <c r="A1565">
        <v>1568711</v>
      </c>
      <c r="B1565" t="s">
        <v>18</v>
      </c>
      <c r="C1565" t="s">
        <v>34</v>
      </c>
      <c r="D1565" t="s">
        <v>53</v>
      </c>
      <c r="E1565" t="s">
        <v>459</v>
      </c>
      <c r="F1565" t="s">
        <v>22</v>
      </c>
      <c r="G1565" t="s">
        <v>83</v>
      </c>
      <c r="H1565" t="s">
        <v>390</v>
      </c>
      <c r="I1565" t="s">
        <v>25</v>
      </c>
      <c r="J1565" s="2">
        <v>45838.714328703703</v>
      </c>
      <c r="K1565">
        <v>30</v>
      </c>
      <c r="L1565">
        <v>6</v>
      </c>
      <c r="M1565">
        <v>2025</v>
      </c>
      <c r="N1565" t="s">
        <v>27</v>
      </c>
      <c r="O1565">
        <v>450</v>
      </c>
      <c r="P1565">
        <v>450</v>
      </c>
      <c r="R1565" s="3" t="str">
        <f>HYPERLINK("https://panda.att.com.mx/ODKServer/view/binaryData?blobKey=FSSuministroFluidosv3%5B%40version%3Dnull+and+%40uiVersion%3Dnull%5D%2Fdata%5B%40key%3Duuid%3A3092d556-3859-4ae5-82d0-bd7357b70ef3%5D%2FgroupInfoFuel%5B%40ordinal%3D1%5D%2FpicFuelRecibeInterno","Descargar")</f>
        <v>Descargar</v>
      </c>
    </row>
    <row r="1566" spans="1:18" x14ac:dyDescent="0.3">
      <c r="A1566">
        <v>1568710</v>
      </c>
      <c r="B1566" t="s">
        <v>18</v>
      </c>
      <c r="C1566" t="s">
        <v>34</v>
      </c>
      <c r="D1566" t="s">
        <v>53</v>
      </c>
      <c r="E1566" t="s">
        <v>457</v>
      </c>
      <c r="F1566" t="s">
        <v>22</v>
      </c>
      <c r="G1566" t="s">
        <v>83</v>
      </c>
      <c r="H1566" t="s">
        <v>390</v>
      </c>
      <c r="I1566" t="s">
        <v>25</v>
      </c>
      <c r="J1566" s="2">
        <v>45838.616469907407</v>
      </c>
      <c r="K1566">
        <v>30</v>
      </c>
      <c r="L1566">
        <v>6</v>
      </c>
      <c r="M1566">
        <v>2025</v>
      </c>
      <c r="N1566" t="s">
        <v>27</v>
      </c>
      <c r="O1566">
        <v>450</v>
      </c>
      <c r="P1566">
        <v>450</v>
      </c>
      <c r="R1566" s="3" t="str">
        <f>HYPERLINK("https://panda.att.com.mx/ODKServer/view/binaryData?blobKey=FSSuministroFluidosv3%5B%40version%3Dnull+and+%40uiVersion%3Dnull%5D%2Fdata%5B%40key%3Duuid%3A590c679f-4709-46d2-9d01-9d230fd3ad5e%5D%2FgroupInfoFuel%5B%40ordinal%3D1%5D%2FpicFuelRecibeInterno","Descargar")</f>
        <v>Descargar</v>
      </c>
    </row>
    <row r="1567" spans="1:18" x14ac:dyDescent="0.3">
      <c r="A1567">
        <v>1568659</v>
      </c>
      <c r="B1567" t="s">
        <v>18</v>
      </c>
      <c r="C1567" t="s">
        <v>34</v>
      </c>
      <c r="D1567" t="s">
        <v>53</v>
      </c>
      <c r="E1567" t="s">
        <v>1739</v>
      </c>
      <c r="F1567" t="s">
        <v>22</v>
      </c>
      <c r="G1567" t="s">
        <v>23</v>
      </c>
      <c r="H1567" t="s">
        <v>37</v>
      </c>
      <c r="I1567" t="s">
        <v>25</v>
      </c>
      <c r="J1567" s="2">
        <v>45838.922546296293</v>
      </c>
      <c r="K1567">
        <v>30</v>
      </c>
      <c r="L1567">
        <v>6</v>
      </c>
      <c r="M1567">
        <v>2025</v>
      </c>
      <c r="N1567" t="s">
        <v>27</v>
      </c>
      <c r="O1567">
        <v>150</v>
      </c>
      <c r="P1567">
        <v>150</v>
      </c>
      <c r="R1567" s="3" t="str">
        <f>HYPERLINK("https://panda.att.com.mx/ODKServer/view/binaryData?blobKey=FSSuministroFluidosv3%5B%40version%3Dnull+and+%40uiVersion%3Dnull%5D%2Fdata%5B%40key%3Duuid%3A8b45f633-967e-465a-ba0f-6aa5f2533278%5D%2FgroupInfoFuel%5B%40ordinal%3D1%5D%2FpicFuelRecibeInterno","Descargar")</f>
        <v>Descargar</v>
      </c>
    </row>
    <row r="1568" spans="1:18" x14ac:dyDescent="0.3">
      <c r="A1568">
        <v>1568654</v>
      </c>
      <c r="B1568" t="s">
        <v>18</v>
      </c>
      <c r="C1568" t="s">
        <v>19</v>
      </c>
      <c r="D1568" t="s">
        <v>189</v>
      </c>
      <c r="E1568" t="s">
        <v>1740</v>
      </c>
      <c r="F1568" t="s">
        <v>22</v>
      </c>
      <c r="G1568" t="s">
        <v>23</v>
      </c>
      <c r="H1568" t="s">
        <v>24</v>
      </c>
      <c r="I1568" t="s">
        <v>25</v>
      </c>
      <c r="J1568" s="2">
        <v>45836.464317129627</v>
      </c>
      <c r="K1568">
        <v>28</v>
      </c>
      <c r="L1568">
        <v>6</v>
      </c>
      <c r="M1568">
        <v>2025</v>
      </c>
      <c r="N1568" t="s">
        <v>27</v>
      </c>
      <c r="O1568">
        <v>135</v>
      </c>
      <c r="P1568">
        <v>135</v>
      </c>
      <c r="R1568" s="3" t="str">
        <f>HYPERLINK("https://panda.att.com.mx/ODKServer/view/binaryData?blobKey=FSSuministroFluidosv3%5B%40version%3Dnull+and+%40uiVersion%3Dnull%5D%2Fdata%5B%40key%3Duuid%3A82e82223-1bfa-4f35-8c4b-d7bb31098362%5D%2FgroupInfoFuel%5B%40ordinal%3D1%5D%2FpicFuelRecibeInterno","Descargar")</f>
        <v>Descargar</v>
      </c>
    </row>
    <row r="1569" spans="1:18" x14ac:dyDescent="0.3">
      <c r="A1569">
        <v>1568648</v>
      </c>
      <c r="B1569" t="s">
        <v>18</v>
      </c>
      <c r="C1569" t="s">
        <v>19</v>
      </c>
      <c r="D1569" t="s">
        <v>20</v>
      </c>
      <c r="E1569" t="s">
        <v>21</v>
      </c>
      <c r="F1569" t="s">
        <v>22</v>
      </c>
      <c r="G1569" t="s">
        <v>23</v>
      </c>
      <c r="H1569" t="s">
        <v>24</v>
      </c>
      <c r="I1569" t="s">
        <v>25</v>
      </c>
      <c r="J1569" s="2">
        <v>45838.929976851847</v>
      </c>
      <c r="K1569">
        <v>30</v>
      </c>
      <c r="L1569">
        <v>6</v>
      </c>
      <c r="M1569">
        <v>2025</v>
      </c>
      <c r="N1569" t="s">
        <v>27</v>
      </c>
      <c r="O1569">
        <v>200</v>
      </c>
      <c r="P1569">
        <v>200</v>
      </c>
      <c r="R1569" s="3" t="str">
        <f>HYPERLINK("https://panda.att.com.mx/ODKServer/view/binaryData?blobKey=FSSuministroFluidosv3%5B%40version%3Dnull+and+%40uiVersion%3Dnull%5D%2Fdata%5B%40key%3Duuid%3A2d633264-35e7-4a7c-aeb6-9c3ea4f12ed1%5D%2FgroupInfoFuel%5B%40ordinal%3D1%5D%2FpicFuelRecibeInterno","Descargar")</f>
        <v>Descargar</v>
      </c>
    </row>
    <row r="1570" spans="1:18" x14ac:dyDescent="0.3">
      <c r="A1570">
        <v>1568638</v>
      </c>
      <c r="B1570" t="s">
        <v>18</v>
      </c>
      <c r="C1570" t="s">
        <v>19</v>
      </c>
      <c r="D1570" t="s">
        <v>170</v>
      </c>
      <c r="E1570" t="s">
        <v>1741</v>
      </c>
      <c r="F1570" t="s">
        <v>22</v>
      </c>
      <c r="G1570" t="s">
        <v>23</v>
      </c>
      <c r="H1570" t="s">
        <v>24</v>
      </c>
      <c r="I1570" t="s">
        <v>25</v>
      </c>
      <c r="J1570" s="2">
        <v>45833.433159722219</v>
      </c>
      <c r="K1570">
        <v>25</v>
      </c>
      <c r="L1570">
        <v>6</v>
      </c>
      <c r="M1570">
        <v>2025</v>
      </c>
      <c r="N1570" t="s">
        <v>27</v>
      </c>
      <c r="O1570">
        <v>400</v>
      </c>
      <c r="P1570">
        <v>400</v>
      </c>
      <c r="R1570" s="3" t="str">
        <f>HYPERLINK("https://panda.att.com.mx/ODKServer/view/binaryData?blobKey=FSSuministroFluidosv3%5B%40version%3Dnull+and+%40uiVersion%3Dnull%5D%2Fdata%5B%40key%3Duuid%3A13d3c1b4-c44a-4de6-aa6d-8d5a55bbf0e3%5D%2FgroupInfoFuel%5B%40ordinal%3D1%5D%2FpicFuelRecibeInterno","Descargar")</f>
        <v>Descargar</v>
      </c>
    </row>
    <row r="1571" spans="1:18" x14ac:dyDescent="0.3">
      <c r="A1571">
        <v>1568626</v>
      </c>
      <c r="B1571" t="s">
        <v>18</v>
      </c>
      <c r="C1571" t="s">
        <v>19</v>
      </c>
      <c r="D1571" t="s">
        <v>45</v>
      </c>
      <c r="E1571" t="s">
        <v>1742</v>
      </c>
      <c r="F1571" t="s">
        <v>22</v>
      </c>
      <c r="G1571" t="s">
        <v>23</v>
      </c>
      <c r="H1571" t="s">
        <v>24</v>
      </c>
      <c r="I1571" t="s">
        <v>25</v>
      </c>
      <c r="J1571" s="2">
        <v>45838.919560185182</v>
      </c>
      <c r="K1571">
        <v>30</v>
      </c>
      <c r="L1571">
        <v>6</v>
      </c>
      <c r="M1571">
        <v>2025</v>
      </c>
      <c r="N1571" t="s">
        <v>27</v>
      </c>
      <c r="O1571">
        <v>150</v>
      </c>
      <c r="P1571">
        <v>150</v>
      </c>
      <c r="R1571" s="3" t="str">
        <f>HYPERLINK("https://panda.att.com.mx/ODKServer/view/binaryData?blobKey=FSSuministroFluidosv3%5B%40version%3Dnull+and+%40uiVersion%3Dnull%5D%2Fdata%5B%40key%3Duuid%3A179ddbee-fb97-42b5-87d5-a8816deb32b6%5D%2FgroupInfoFuel%5B%40ordinal%3D1%5D%2FpicFuelRecibeInterno","Descargar")</f>
        <v>Descargar</v>
      </c>
    </row>
    <row r="1572" spans="1:18" x14ac:dyDescent="0.3">
      <c r="A1572">
        <v>1568618</v>
      </c>
      <c r="B1572" t="s">
        <v>18</v>
      </c>
      <c r="C1572" t="s">
        <v>19</v>
      </c>
      <c r="D1572" t="s">
        <v>20</v>
      </c>
      <c r="E1572" t="s">
        <v>143</v>
      </c>
      <c r="F1572" t="s">
        <v>22</v>
      </c>
      <c r="G1572" t="s">
        <v>23</v>
      </c>
      <c r="H1572" t="s">
        <v>24</v>
      </c>
      <c r="I1572" t="s">
        <v>25</v>
      </c>
      <c r="J1572" s="2">
        <v>45834.50203703704</v>
      </c>
      <c r="K1572">
        <v>26</v>
      </c>
      <c r="L1572">
        <v>6</v>
      </c>
      <c r="M1572">
        <v>2025</v>
      </c>
      <c r="N1572" t="s">
        <v>27</v>
      </c>
      <c r="O1572">
        <v>150</v>
      </c>
      <c r="P1572">
        <v>150</v>
      </c>
      <c r="R1572" s="3" t="str">
        <f>HYPERLINK("https://panda.att.com.mx/ODKServer/view/binaryData?blobKey=FSSuministroFluidosv3%5B%40version%3Dnull+and+%40uiVersion%3Dnull%5D%2Fdata%5B%40key%3Duuid%3Ab9d8a3e6-6cdb-4e97-8ca2-bc5c39f7ded5%5D%2FgroupInfoFuel%5B%40ordinal%3D1%5D%2FpicFuelRecibeInterno","Descargar")</f>
        <v>Descargar</v>
      </c>
    </row>
    <row r="1573" spans="1:18" x14ac:dyDescent="0.3">
      <c r="A1573">
        <v>1568598</v>
      </c>
      <c r="B1573" t="s">
        <v>18</v>
      </c>
      <c r="C1573" t="s">
        <v>19</v>
      </c>
      <c r="D1573" t="s">
        <v>45</v>
      </c>
      <c r="E1573" t="s">
        <v>48</v>
      </c>
      <c r="F1573" t="s">
        <v>22</v>
      </c>
      <c r="G1573" t="s">
        <v>23</v>
      </c>
      <c r="H1573" t="s">
        <v>24</v>
      </c>
      <c r="I1573" t="s">
        <v>25</v>
      </c>
      <c r="J1573" s="2">
        <v>45838.716192129628</v>
      </c>
      <c r="K1573">
        <v>30</v>
      </c>
      <c r="L1573">
        <v>6</v>
      </c>
      <c r="M1573">
        <v>2025</v>
      </c>
      <c r="N1573" t="s">
        <v>27</v>
      </c>
      <c r="O1573">
        <v>300</v>
      </c>
      <c r="P1573">
        <v>300</v>
      </c>
      <c r="R1573" s="3" t="str">
        <f>HYPERLINK("https://panda.att.com.mx/ODKServer/view/binaryData?blobKey=FSSuministroFluidosv3%5B%40version%3Dnull+and+%40uiVersion%3Dnull%5D%2Fdata%5B%40key%3Duuid%3Ac4011391-3a31-4a0b-88af-123305e16d9c%5D%2FgroupInfoFuel%5B%40ordinal%3D1%5D%2FpicFuelRecibeInterno","Descargar")</f>
        <v>Descargar</v>
      </c>
    </row>
    <row r="1574" spans="1:18" x14ac:dyDescent="0.3">
      <c r="A1574">
        <v>1568586</v>
      </c>
      <c r="B1574" t="s">
        <v>18</v>
      </c>
      <c r="C1574" t="s">
        <v>34</v>
      </c>
      <c r="D1574" t="s">
        <v>53</v>
      </c>
      <c r="E1574" t="s">
        <v>1743</v>
      </c>
      <c r="F1574" t="s">
        <v>22</v>
      </c>
      <c r="G1574" t="s">
        <v>23</v>
      </c>
      <c r="H1574" t="s">
        <v>37</v>
      </c>
      <c r="I1574" t="s">
        <v>25</v>
      </c>
      <c r="J1574" s="2">
        <v>45838.590717592589</v>
      </c>
      <c r="K1574">
        <v>30</v>
      </c>
      <c r="L1574">
        <v>6</v>
      </c>
      <c r="M1574">
        <v>2025</v>
      </c>
      <c r="N1574" t="s">
        <v>27</v>
      </c>
      <c r="O1574">
        <v>450</v>
      </c>
      <c r="Q1574">
        <v>450</v>
      </c>
      <c r="R1574" s="3" t="str">
        <f>HYPERLINK("https://panda.att.com.mx/ODKServer/view/binaryData?blobKey=FSSuministroFluidosv3%5B%40version%3Dnull+and+%40uiVersion%3Dnull%5D%2Fdata%5B%40key%3Duuid%3A871fbe3c-38b3-4d0a-b97a-977b0a71c134%5D%2FgroupInfoFuel%5B%40ordinal%3D1%5D%2FpicFuelRecibeInterno","Descargar")</f>
        <v>Descargar</v>
      </c>
    </row>
    <row r="1575" spans="1:18" x14ac:dyDescent="0.3">
      <c r="A1575">
        <v>1568575</v>
      </c>
      <c r="B1575" t="s">
        <v>18</v>
      </c>
      <c r="C1575" t="s">
        <v>28</v>
      </c>
      <c r="D1575" t="s">
        <v>66</v>
      </c>
      <c r="E1575" t="s">
        <v>1086</v>
      </c>
      <c r="F1575" t="s">
        <v>22</v>
      </c>
      <c r="G1575" t="s">
        <v>23</v>
      </c>
      <c r="H1575" t="s">
        <v>24</v>
      </c>
      <c r="I1575" t="s">
        <v>25</v>
      </c>
      <c r="J1575" s="2">
        <v>45838.811631944453</v>
      </c>
      <c r="K1575">
        <v>30</v>
      </c>
      <c r="L1575">
        <v>6</v>
      </c>
      <c r="M1575">
        <v>2025</v>
      </c>
      <c r="N1575" t="s">
        <v>44</v>
      </c>
      <c r="O1575">
        <v>40</v>
      </c>
      <c r="P1575">
        <v>40</v>
      </c>
      <c r="R1575" s="3" t="str">
        <f>HYPERLINK("https://panda.att.com.mx/ODKServer/view/binaryData?blobKey=FSSuministroFluidosv3%5B%40version%3Dnull+and+%40uiVersion%3Dnull%5D%2Fdata%5B%40key%3Duuid%3Aa3249d62-f4f1-4cb8-8eb1-bec0e4537ca3%5D%2FgroupInfoFuel%5B%40ordinal%3D1%5D%2FpicFuelRecibeInterno","Descargar")</f>
        <v>Descargar</v>
      </c>
    </row>
    <row r="1576" spans="1:18" x14ac:dyDescent="0.3">
      <c r="A1576">
        <v>1568558</v>
      </c>
      <c r="B1576" t="s">
        <v>18</v>
      </c>
      <c r="C1576" t="s">
        <v>19</v>
      </c>
      <c r="D1576" t="s">
        <v>170</v>
      </c>
      <c r="E1576" t="s">
        <v>1741</v>
      </c>
      <c r="F1576" t="s">
        <v>22</v>
      </c>
      <c r="G1576" t="s">
        <v>23</v>
      </c>
      <c r="H1576" t="s">
        <v>24</v>
      </c>
      <c r="I1576" t="s">
        <v>25</v>
      </c>
      <c r="J1576" s="2">
        <v>45835.509594907409</v>
      </c>
      <c r="K1576">
        <v>27</v>
      </c>
      <c r="L1576">
        <v>6</v>
      </c>
      <c r="M1576">
        <v>2025</v>
      </c>
      <c r="N1576" t="s">
        <v>27</v>
      </c>
      <c r="O1576">
        <v>300</v>
      </c>
      <c r="Q1576">
        <v>300</v>
      </c>
      <c r="R1576" s="3" t="str">
        <f>HYPERLINK("https://panda.att.com.mx/ODKServer/view/binaryData?blobKey=FSSuministroFluidosv3%5B%40version%3Dnull+and+%40uiVersion%3Dnull%5D%2Fdata%5B%40key%3Duuid%3A26d9338f-a1d9-40cd-8677-402d0141dce8%5D%2FgroupInfoFuel%5B%40ordinal%3D1%5D%2FpicFuelRecibeInterno","Descargar")</f>
        <v>Descargar</v>
      </c>
    </row>
    <row r="1577" spans="1:18" x14ac:dyDescent="0.3">
      <c r="A1577">
        <v>1570035</v>
      </c>
      <c r="B1577" t="s">
        <v>18</v>
      </c>
      <c r="C1577" t="s">
        <v>34</v>
      </c>
      <c r="D1577" t="s">
        <v>187</v>
      </c>
      <c r="E1577" t="s">
        <v>1744</v>
      </c>
      <c r="F1577" t="s">
        <v>22</v>
      </c>
      <c r="G1577" t="s">
        <v>23</v>
      </c>
      <c r="H1577" t="s">
        <v>24</v>
      </c>
      <c r="I1577" t="s">
        <v>25</v>
      </c>
      <c r="J1577" s="2">
        <v>45840.878495370373</v>
      </c>
      <c r="K1577">
        <v>2</v>
      </c>
      <c r="L1577">
        <v>7</v>
      </c>
      <c r="M1577">
        <v>2025</v>
      </c>
      <c r="N1577" t="s">
        <v>44</v>
      </c>
      <c r="O1577">
        <v>40</v>
      </c>
      <c r="Q1577">
        <v>40</v>
      </c>
      <c r="R1577" s="3" t="str">
        <f>HYPERLINK("https://panda.att.com.mx/ODKServer/view/binaryData?blobKey=FSSuministroFluidosv3%5B%40version%3Dnull+and+%40uiVersion%3Dnull%5D%2Fdata%5B%40key%3Duuid%3Ae62a8bbe-8b98-4f76-9c30-49748fe0fdfb%5D%2FgroupInfoFuel%5B%40ordinal%3D1%5D%2FpicFuelRecibeInterno","Descargar")</f>
        <v>Descargar</v>
      </c>
    </row>
    <row r="1578" spans="1:18" x14ac:dyDescent="0.3">
      <c r="A1578">
        <v>1569979</v>
      </c>
      <c r="B1578" t="s">
        <v>18</v>
      </c>
      <c r="C1578" t="s">
        <v>59</v>
      </c>
      <c r="D1578" t="s">
        <v>1745</v>
      </c>
      <c r="E1578" t="s">
        <v>1746</v>
      </c>
      <c r="F1578" t="s">
        <v>22</v>
      </c>
      <c r="G1578" t="s">
        <v>23</v>
      </c>
      <c r="H1578" t="s">
        <v>24</v>
      </c>
      <c r="I1578" t="s">
        <v>25</v>
      </c>
      <c r="J1578" s="2">
        <v>45840.440324074072</v>
      </c>
      <c r="K1578">
        <v>2</v>
      </c>
      <c r="L1578">
        <v>7</v>
      </c>
      <c r="M1578">
        <v>2025</v>
      </c>
      <c r="N1578" t="s">
        <v>44</v>
      </c>
      <c r="O1578">
        <v>55</v>
      </c>
      <c r="P1578">
        <v>55</v>
      </c>
      <c r="R1578" s="3" t="str">
        <f>HYPERLINK("https://panda.att.com.mx/ODKServer/view/binaryData?blobKey=FSSuministroFluidosv3%5B%40version%3Dnull+and+%40uiVersion%3Dnull%5D%2Fdata%5B%40key%3Duuid%3A59638f54-fa98-4490-b8e5-76685f8801f6%5D%2FgroupInfoFuel%5B%40ordinal%3D1%5D%2FpicFuelRecibeInterno","Descargar")</f>
        <v>Descargar</v>
      </c>
    </row>
    <row r="1579" spans="1:18" x14ac:dyDescent="0.3">
      <c r="A1579">
        <v>1569978</v>
      </c>
      <c r="B1579" t="s">
        <v>18</v>
      </c>
      <c r="C1579" t="s">
        <v>59</v>
      </c>
      <c r="D1579" t="s">
        <v>1745</v>
      </c>
      <c r="E1579" t="s">
        <v>1747</v>
      </c>
      <c r="F1579" t="s">
        <v>22</v>
      </c>
      <c r="G1579" t="s">
        <v>23</v>
      </c>
      <c r="H1579" t="s">
        <v>24</v>
      </c>
      <c r="I1579" t="s">
        <v>25</v>
      </c>
      <c r="J1579" s="2">
        <v>45840.418923611112</v>
      </c>
      <c r="K1579">
        <v>2</v>
      </c>
      <c r="L1579">
        <v>7</v>
      </c>
      <c r="M1579">
        <v>2025</v>
      </c>
      <c r="N1579" t="s">
        <v>44</v>
      </c>
      <c r="O1579">
        <v>32</v>
      </c>
      <c r="P1579">
        <v>32</v>
      </c>
      <c r="R1579" s="3" t="str">
        <f>HYPERLINK("https://panda.att.com.mx/ODKServer/view/binaryData?blobKey=FSSuministroFluidosv3%5B%40version%3Dnull+and+%40uiVersion%3Dnull%5D%2Fdata%5B%40key%3Duuid%3A180d31ea-07ef-4e69-9d76-589b3d1253e1%5D%2FgroupInfoFuel%5B%40ordinal%3D1%5D%2FpicFuelRecibeInterno","Descargar")</f>
        <v>Descargar</v>
      </c>
    </row>
    <row r="1580" spans="1:18" x14ac:dyDescent="0.3">
      <c r="A1580">
        <v>1569972</v>
      </c>
      <c r="B1580" t="s">
        <v>18</v>
      </c>
      <c r="C1580" t="s">
        <v>28</v>
      </c>
      <c r="D1580" t="s">
        <v>192</v>
      </c>
      <c r="E1580" t="s">
        <v>1678</v>
      </c>
      <c r="F1580" t="s">
        <v>22</v>
      </c>
      <c r="G1580" t="s">
        <v>23</v>
      </c>
      <c r="H1580" t="s">
        <v>24</v>
      </c>
      <c r="I1580" t="s">
        <v>25</v>
      </c>
      <c r="J1580" s="2">
        <v>45840.365983796299</v>
      </c>
      <c r="K1580">
        <v>2</v>
      </c>
      <c r="L1580">
        <v>7</v>
      </c>
      <c r="M1580">
        <v>2025</v>
      </c>
      <c r="N1580" t="s">
        <v>44</v>
      </c>
      <c r="O1580">
        <v>60</v>
      </c>
      <c r="P1580">
        <v>60</v>
      </c>
      <c r="R1580" s="3" t="str">
        <f>HYPERLINK("https://panda.att.com.mx/ODKServer/view/binaryData?blobKey=FSSuministroFluidosv3%5B%40version%3Dnull+and+%40uiVersion%3Dnull%5D%2Fdata%5B%40key%3Duuid%3A01baa3ff-b975-49e9-a3db-1fcc8acf1784%5D%2FgroupInfoFuel%5B%40ordinal%3D1%5D%2FpicFuelRecibeInterno","Descargar")</f>
        <v>Descargar</v>
      </c>
    </row>
    <row r="1581" spans="1:18" x14ac:dyDescent="0.3">
      <c r="A1581">
        <v>1569952</v>
      </c>
      <c r="B1581" t="s">
        <v>18</v>
      </c>
      <c r="C1581" t="s">
        <v>183</v>
      </c>
      <c r="D1581" t="s">
        <v>278</v>
      </c>
      <c r="E1581" t="s">
        <v>279</v>
      </c>
      <c r="F1581" t="s">
        <v>22</v>
      </c>
      <c r="G1581" t="s">
        <v>23</v>
      </c>
      <c r="H1581" t="s">
        <v>37</v>
      </c>
      <c r="I1581" t="s">
        <v>25</v>
      </c>
      <c r="J1581" s="2">
        <v>45840.431354166663</v>
      </c>
      <c r="K1581">
        <v>2</v>
      </c>
      <c r="L1581">
        <v>7</v>
      </c>
      <c r="M1581">
        <v>2025</v>
      </c>
      <c r="N1581" t="s">
        <v>27</v>
      </c>
      <c r="O1581">
        <v>100</v>
      </c>
      <c r="P1581">
        <v>100</v>
      </c>
      <c r="R1581" s="3" t="str">
        <f>HYPERLINK("https://panda.att.com.mx/ODKServer/view/binaryData?blobKey=FSSuministroFluidosv3%5B%40version%3Dnull+and+%40uiVersion%3Dnull%5D%2Fdata%5B%40key%3Duuid%3Ad963f581-1802-47e0-8fd3-1c541fcfd77c%5D%2FgroupInfoFuel%5B%40ordinal%3D1%5D%2FpicFuelRecibeInterno","Descargar")</f>
        <v>Descargar</v>
      </c>
    </row>
    <row r="1582" spans="1:18" x14ac:dyDescent="0.3">
      <c r="A1582">
        <v>1569936</v>
      </c>
      <c r="B1582" t="s">
        <v>18</v>
      </c>
      <c r="C1582" t="s">
        <v>55</v>
      </c>
      <c r="D1582" t="s">
        <v>56</v>
      </c>
      <c r="E1582" t="s">
        <v>1748</v>
      </c>
      <c r="F1582" t="s">
        <v>22</v>
      </c>
      <c r="G1582" t="s">
        <v>23</v>
      </c>
      <c r="H1582" t="s">
        <v>58</v>
      </c>
      <c r="I1582" t="s">
        <v>25</v>
      </c>
      <c r="J1582" s="2">
        <v>45839.472893518519</v>
      </c>
      <c r="K1582">
        <v>1</v>
      </c>
      <c r="L1582">
        <v>7</v>
      </c>
      <c r="M1582">
        <v>2025</v>
      </c>
      <c r="N1582" t="s">
        <v>27</v>
      </c>
      <c r="O1582">
        <v>100</v>
      </c>
      <c r="P1582">
        <v>100</v>
      </c>
      <c r="R1582" s="3" t="str">
        <f>HYPERLINK("https://panda.att.com.mx/ODKServer/view/binaryData?blobKey=FSSuministroFluidosv3%5B%40version%3Dnull+and+%40uiVersion%3Dnull%5D%2Fdata%5B%40key%3Duuid%3Af87b17f0-2ffd-4a1a-9106-baa64c725759%5D%2FgroupInfoFuel%5B%40ordinal%3D1%5D%2FpicFuelRecibeInterno","Descargar")</f>
        <v>Descargar</v>
      </c>
    </row>
    <row r="1583" spans="1:18" x14ac:dyDescent="0.3">
      <c r="A1583">
        <v>1569932</v>
      </c>
      <c r="B1583" t="s">
        <v>18</v>
      </c>
      <c r="C1583" t="s">
        <v>55</v>
      </c>
      <c r="D1583" t="s">
        <v>56</v>
      </c>
      <c r="E1583" t="s">
        <v>1713</v>
      </c>
      <c r="F1583" t="s">
        <v>22</v>
      </c>
      <c r="G1583" t="s">
        <v>23</v>
      </c>
      <c r="H1583" t="s">
        <v>58</v>
      </c>
      <c r="I1583" t="s">
        <v>25</v>
      </c>
      <c r="J1583" s="2">
        <v>45839.536006944443</v>
      </c>
      <c r="K1583">
        <v>1</v>
      </c>
      <c r="L1583">
        <v>7</v>
      </c>
      <c r="M1583">
        <v>2025</v>
      </c>
      <c r="N1583" t="s">
        <v>27</v>
      </c>
      <c r="O1583">
        <v>100</v>
      </c>
      <c r="P1583">
        <v>100</v>
      </c>
      <c r="R1583" s="3" t="str">
        <f>HYPERLINK("https://panda.att.com.mx/ODKServer/view/binaryData?blobKey=FSSuministroFluidosv3%5B%40version%3Dnull+and+%40uiVersion%3Dnull%5D%2Fdata%5B%40key%3Duuid%3Aac684f82-4587-4f01-bdf3-2b48c1ba352c%5D%2FgroupInfoFuel%5B%40ordinal%3D1%5D%2FpicFuelRecibeInterno","Descargar")</f>
        <v>Descargar</v>
      </c>
    </row>
    <row r="1584" spans="1:18" x14ac:dyDescent="0.3">
      <c r="A1584">
        <v>1569859</v>
      </c>
      <c r="B1584" t="s">
        <v>18</v>
      </c>
      <c r="C1584" t="s">
        <v>150</v>
      </c>
      <c r="D1584" t="s">
        <v>164</v>
      </c>
      <c r="E1584" t="s">
        <v>165</v>
      </c>
      <c r="F1584" t="s">
        <v>22</v>
      </c>
      <c r="G1584" t="s">
        <v>23</v>
      </c>
      <c r="H1584" t="s">
        <v>58</v>
      </c>
      <c r="I1584" t="s">
        <v>25</v>
      </c>
      <c r="J1584" s="2">
        <v>45840.715856481482</v>
      </c>
      <c r="K1584">
        <v>2</v>
      </c>
      <c r="L1584">
        <v>7</v>
      </c>
      <c r="M1584">
        <v>2025</v>
      </c>
      <c r="N1584" t="s">
        <v>27</v>
      </c>
      <c r="O1584">
        <v>400</v>
      </c>
      <c r="P1584">
        <v>400</v>
      </c>
      <c r="R1584" s="3" t="str">
        <f>HYPERLINK("https://panda.att.com.mx/ODKServer/view/binaryData?blobKey=FSSuministroFluidosv3%5B%40version%3Dnull+and+%40uiVersion%3Dnull%5D%2Fdata%5B%40key%3Duuid%3A99e759ad-599d-4042-85b5-caebaa20de88%5D%2FgroupInfoFuel%5B%40ordinal%3D1%5D%2FpicFuelRecibeInterno","Descargar")</f>
        <v>Descargar</v>
      </c>
    </row>
    <row r="1585" spans="1:18" x14ac:dyDescent="0.3">
      <c r="A1585">
        <v>1569709</v>
      </c>
      <c r="B1585" t="s">
        <v>18</v>
      </c>
      <c r="C1585" t="s">
        <v>28</v>
      </c>
      <c r="D1585" t="s">
        <v>31</v>
      </c>
      <c r="E1585" t="s">
        <v>1749</v>
      </c>
      <c r="F1585" t="s">
        <v>22</v>
      </c>
      <c r="G1585" t="s">
        <v>23</v>
      </c>
      <c r="H1585" t="s">
        <v>24</v>
      </c>
      <c r="I1585" t="s">
        <v>25</v>
      </c>
      <c r="J1585" s="2">
        <v>45840.422048611108</v>
      </c>
      <c r="K1585">
        <v>2</v>
      </c>
      <c r="L1585">
        <v>7</v>
      </c>
      <c r="M1585">
        <v>2025</v>
      </c>
      <c r="N1585" t="s">
        <v>44</v>
      </c>
      <c r="O1585">
        <v>20</v>
      </c>
      <c r="P1585">
        <v>20</v>
      </c>
      <c r="R1585" s="3" t="str">
        <f>HYPERLINK("https://panda.att.com.mx/ODKServer/view/binaryData?blobKey=FSSuministroFluidosv3%5B%40version%3Dnull+and+%40uiVersion%3Dnull%5D%2Fdata%5B%40key%3Duuid%3A3649a8f4-0767-4188-8f3f-3145d255300b%5D%2FgroupInfoFuel%5B%40ordinal%3D1%5D%2FpicFuelRecibeInterno","Descargar")</f>
        <v>Descargar</v>
      </c>
    </row>
    <row r="1586" spans="1:18" x14ac:dyDescent="0.3">
      <c r="A1586">
        <v>1569681</v>
      </c>
      <c r="B1586" t="s">
        <v>18</v>
      </c>
      <c r="C1586" t="s">
        <v>59</v>
      </c>
      <c r="D1586" t="s">
        <v>60</v>
      </c>
      <c r="E1586" t="s">
        <v>1750</v>
      </c>
      <c r="F1586" t="s">
        <v>22</v>
      </c>
      <c r="G1586" t="s">
        <v>23</v>
      </c>
      <c r="H1586" t="s">
        <v>37</v>
      </c>
      <c r="I1586" t="s">
        <v>25</v>
      </c>
      <c r="J1586" s="2">
        <v>45840.582592592589</v>
      </c>
      <c r="K1586">
        <v>2</v>
      </c>
      <c r="L1586">
        <v>7</v>
      </c>
      <c r="M1586">
        <v>2025</v>
      </c>
      <c r="N1586" t="s">
        <v>27</v>
      </c>
      <c r="O1586">
        <v>83</v>
      </c>
      <c r="P1586">
        <v>83</v>
      </c>
      <c r="R1586" s="3" t="str">
        <f>HYPERLINK("https://panda.att.com.mx/ODKServer/view/binaryData?blobKey=FSSuministroFluidosv3%5B%40version%3Dnull+and+%40uiVersion%3Dnull%5D%2Fdata%5B%40key%3Duuid%3Afe8d3c27-f452-406d-820e-104634afcf4d%5D%2FgroupInfoFuel%5B%40ordinal%3D1%5D%2FpicFuelRecibeInterno","Descargar")</f>
        <v>Descargar</v>
      </c>
    </row>
    <row r="1587" spans="1:18" x14ac:dyDescent="0.3">
      <c r="A1587">
        <v>1569660</v>
      </c>
      <c r="B1587" t="s">
        <v>18</v>
      </c>
      <c r="C1587" t="s">
        <v>55</v>
      </c>
      <c r="D1587" t="s">
        <v>366</v>
      </c>
      <c r="E1587" t="s">
        <v>1751</v>
      </c>
      <c r="F1587" t="s">
        <v>22</v>
      </c>
      <c r="G1587" t="s">
        <v>23</v>
      </c>
      <c r="H1587" t="s">
        <v>58</v>
      </c>
      <c r="I1587" t="s">
        <v>25</v>
      </c>
      <c r="J1587" s="2">
        <v>45840.357060185182</v>
      </c>
      <c r="K1587">
        <v>2</v>
      </c>
      <c r="L1587">
        <v>7</v>
      </c>
      <c r="M1587">
        <v>2025</v>
      </c>
      <c r="N1587" t="s">
        <v>27</v>
      </c>
      <c r="O1587">
        <v>200</v>
      </c>
      <c r="P1587">
        <v>200</v>
      </c>
      <c r="R1587" s="3" t="str">
        <f>HYPERLINK("https://panda.att.com.mx/ODKServer/view/binaryData?blobKey=FSSuministroFluidosv3%5B%40version%3Dnull+and+%40uiVersion%3Dnull%5D%2Fdata%5B%40key%3Duuid%3A98258bdd-7a66-4729-96ba-a1ccafe5519f%5D%2FgroupInfoFuel%5B%40ordinal%3D1%5D%2FpicFuelRecibeInterno","Descargar")</f>
        <v>Descargar</v>
      </c>
    </row>
    <row r="1588" spans="1:18" x14ac:dyDescent="0.3">
      <c r="A1588">
        <v>1569561</v>
      </c>
      <c r="B1588" t="s">
        <v>18</v>
      </c>
      <c r="C1588" t="s">
        <v>34</v>
      </c>
      <c r="D1588" t="s">
        <v>53</v>
      </c>
      <c r="E1588" t="s">
        <v>1752</v>
      </c>
      <c r="F1588" t="s">
        <v>22</v>
      </c>
      <c r="G1588" t="s">
        <v>1648</v>
      </c>
      <c r="H1588" t="s">
        <v>37</v>
      </c>
      <c r="I1588" t="s">
        <v>25</v>
      </c>
      <c r="J1588" s="2">
        <v>45840.430798611109</v>
      </c>
      <c r="K1588">
        <v>2</v>
      </c>
      <c r="L1588">
        <v>7</v>
      </c>
      <c r="M1588">
        <v>2025</v>
      </c>
      <c r="N1588" t="s">
        <v>27</v>
      </c>
      <c r="O1588">
        <v>150</v>
      </c>
      <c r="P1588">
        <v>150</v>
      </c>
      <c r="R1588" s="3" t="str">
        <f>HYPERLINK("https://panda.att.com.mx/ODKServer/view/binaryData?blobKey=FSSuministroFluidosv3%5B%40version%3Dnull+and+%40uiVersion%3Dnull%5D%2Fdata%5B%40key%3Duuid%3A6829fa09-1219-430e-896c-a56677f9ace5%5D%2FgroupInfoFuel%5B%40ordinal%3D1%5D%2FpicFuelRecibeInterno","Descargar")</f>
        <v>Descargar</v>
      </c>
    </row>
    <row r="1589" spans="1:18" x14ac:dyDescent="0.3">
      <c r="A1589">
        <v>1569526</v>
      </c>
      <c r="B1589" t="s">
        <v>18</v>
      </c>
      <c r="C1589" t="s">
        <v>34</v>
      </c>
      <c r="D1589" t="s">
        <v>53</v>
      </c>
      <c r="E1589" t="s">
        <v>1753</v>
      </c>
      <c r="F1589" t="s">
        <v>22</v>
      </c>
      <c r="G1589" t="s">
        <v>23</v>
      </c>
      <c r="H1589" t="s">
        <v>37</v>
      </c>
      <c r="I1589" t="s">
        <v>25</v>
      </c>
      <c r="J1589" s="2">
        <v>45840.419976851852</v>
      </c>
      <c r="K1589">
        <v>2</v>
      </c>
      <c r="L1589">
        <v>7</v>
      </c>
      <c r="M1589">
        <v>2025</v>
      </c>
      <c r="N1589" t="s">
        <v>27</v>
      </c>
      <c r="O1589">
        <v>400</v>
      </c>
      <c r="P1589">
        <v>400</v>
      </c>
      <c r="R1589" s="3" t="str">
        <f>HYPERLINK("https://panda.att.com.mx/ODKServer/view/binaryData?blobKey=FSSuministroFluidosv3%5B%40version%3Dnull+and+%40uiVersion%3Dnull%5D%2Fdata%5B%40key%3Duuid%3A0886f7e8-18b1-4f7b-859d-77d35be3f1d7%5D%2FgroupInfoFuel%5B%40ordinal%3D1%5D%2FpicFuelRecibeInterno","Descargar")</f>
        <v>Descargar</v>
      </c>
    </row>
    <row r="1590" spans="1:18" x14ac:dyDescent="0.3">
      <c r="A1590">
        <v>1569432</v>
      </c>
      <c r="B1590" t="s">
        <v>18</v>
      </c>
      <c r="C1590" t="s">
        <v>28</v>
      </c>
      <c r="D1590" t="s">
        <v>118</v>
      </c>
      <c r="E1590" t="s">
        <v>1754</v>
      </c>
      <c r="F1590" t="s">
        <v>22</v>
      </c>
      <c r="G1590" t="s">
        <v>23</v>
      </c>
      <c r="H1590" t="s">
        <v>24</v>
      </c>
      <c r="I1590" t="s">
        <v>25</v>
      </c>
      <c r="J1590" s="2">
        <v>45839.745682870373</v>
      </c>
      <c r="K1590">
        <v>1</v>
      </c>
      <c r="L1590">
        <v>7</v>
      </c>
      <c r="M1590">
        <v>2025</v>
      </c>
      <c r="N1590" t="s">
        <v>44</v>
      </c>
      <c r="O1590">
        <v>35</v>
      </c>
      <c r="P1590">
        <v>35</v>
      </c>
      <c r="R1590" s="3" t="str">
        <f>HYPERLINK("https://panda.att.com.mx/ODKServer/view/binaryData?blobKey=FSSuministroFluidosv3%5B%40version%3Dnull+and+%40uiVersion%3Dnull%5D%2Fdata%5B%40key%3Duuid%3Af6cab07b-eeec-4a20-ab7d-ee8ec9dfbee9%5D%2FgroupInfoFuel%5B%40ordinal%3D1%5D%2FpicFuelRecibeInterno","Descargar")</f>
        <v>Descargar</v>
      </c>
    </row>
    <row r="1591" spans="1:18" x14ac:dyDescent="0.3">
      <c r="A1591">
        <v>1569417</v>
      </c>
      <c r="B1591" t="s">
        <v>18</v>
      </c>
      <c r="C1591" t="s">
        <v>28</v>
      </c>
      <c r="D1591" t="s">
        <v>66</v>
      </c>
      <c r="E1591" t="s">
        <v>1086</v>
      </c>
      <c r="F1591" t="s">
        <v>22</v>
      </c>
      <c r="G1591" t="s">
        <v>23</v>
      </c>
      <c r="H1591" t="s">
        <v>24</v>
      </c>
      <c r="I1591" t="s">
        <v>25</v>
      </c>
      <c r="J1591" s="2">
        <v>45839.669733796298</v>
      </c>
      <c r="K1591">
        <v>1</v>
      </c>
      <c r="L1591">
        <v>7</v>
      </c>
      <c r="M1591">
        <v>2025</v>
      </c>
      <c r="N1591" t="s">
        <v>44</v>
      </c>
      <c r="O1591">
        <v>20</v>
      </c>
      <c r="P1591">
        <v>20</v>
      </c>
      <c r="R1591" s="3" t="str">
        <f>HYPERLINK("https://panda.att.com.mx/ODKServer/view/binaryData?blobKey=FSSuministroFluidosv3%5B%40version%3Dnull+and+%40uiVersion%3Dnull%5D%2Fdata%5B%40key%3Duuid%3Ab75dfc45-127f-41df-bd2c-f89eb1e92a47%5D%2FgroupInfoFuel%5B%40ordinal%3D1%5D%2FpicFuelRecibeInterno","Descargar")</f>
        <v>Descargar</v>
      </c>
    </row>
    <row r="1592" spans="1:18" x14ac:dyDescent="0.3">
      <c r="A1592">
        <v>1569408</v>
      </c>
      <c r="B1592" t="s">
        <v>18</v>
      </c>
      <c r="C1592" t="s">
        <v>167</v>
      </c>
      <c r="D1592" t="s">
        <v>215</v>
      </c>
      <c r="E1592" t="s">
        <v>1738</v>
      </c>
      <c r="F1592" t="s">
        <v>22</v>
      </c>
      <c r="G1592" t="s">
        <v>23</v>
      </c>
      <c r="H1592" t="s">
        <v>58</v>
      </c>
      <c r="I1592" t="s">
        <v>25</v>
      </c>
      <c r="J1592" s="2">
        <v>45840.028495370367</v>
      </c>
      <c r="K1592">
        <v>2</v>
      </c>
      <c r="L1592">
        <v>7</v>
      </c>
      <c r="M1592">
        <v>2025</v>
      </c>
      <c r="N1592" t="s">
        <v>27</v>
      </c>
      <c r="O1592">
        <v>70</v>
      </c>
      <c r="P1592">
        <v>70</v>
      </c>
      <c r="R1592" s="3" t="str">
        <f>HYPERLINK("https://panda.att.com.mx/ODKServer/view/binaryData?blobKey=FSSuministroFluidosv3%5B%40version%3Dnull+and+%40uiVersion%3Dnull%5D%2Fdata%5B%40key%3Duuid%3Ac520f829-4e0b-41ad-8f4c-10f2467fc397%5D%2FgroupInfoFuel%5B%40ordinal%3D1%5D%2FpicFuelRecibeInterno","Descargar")</f>
        <v>Descargar</v>
      </c>
    </row>
    <row r="1593" spans="1:18" x14ac:dyDescent="0.3">
      <c r="A1593">
        <v>1569383</v>
      </c>
      <c r="B1593" t="s">
        <v>18</v>
      </c>
      <c r="C1593" t="s">
        <v>34</v>
      </c>
      <c r="D1593" t="s">
        <v>53</v>
      </c>
      <c r="E1593" t="s">
        <v>482</v>
      </c>
      <c r="F1593" t="s">
        <v>22</v>
      </c>
      <c r="G1593" t="s">
        <v>23</v>
      </c>
      <c r="H1593" t="s">
        <v>37</v>
      </c>
      <c r="I1593" t="s">
        <v>25</v>
      </c>
      <c r="J1593" s="2">
        <v>45839.676712962973</v>
      </c>
      <c r="K1593">
        <v>1</v>
      </c>
      <c r="L1593">
        <v>7</v>
      </c>
      <c r="M1593">
        <v>2025</v>
      </c>
      <c r="N1593" t="s">
        <v>27</v>
      </c>
      <c r="O1593">
        <v>100</v>
      </c>
      <c r="P1593">
        <v>100</v>
      </c>
      <c r="R1593" s="3" t="str">
        <f>HYPERLINK("https://panda.att.com.mx/ODKServer/view/binaryData?blobKey=FSSuministroFluidosv3%5B%40version%3Dnull+and+%40uiVersion%3Dnull%5D%2Fdata%5B%40key%3Duuid%3A9afc2165-cbc3-4299-86bb-eccea59adb15%5D%2FgroupInfoFuel%5B%40ordinal%3D1%5D%2FpicFuelRecibeInterno","Descargar")</f>
        <v>Descargar</v>
      </c>
    </row>
    <row r="1594" spans="1:18" x14ac:dyDescent="0.3">
      <c r="A1594">
        <v>1569381</v>
      </c>
      <c r="B1594" t="s">
        <v>18</v>
      </c>
      <c r="C1594" t="s">
        <v>34</v>
      </c>
      <c r="D1594" t="s">
        <v>53</v>
      </c>
      <c r="E1594" t="s">
        <v>1755</v>
      </c>
      <c r="F1594" t="s">
        <v>22</v>
      </c>
      <c r="G1594" t="s">
        <v>23</v>
      </c>
      <c r="H1594" t="s">
        <v>37</v>
      </c>
      <c r="I1594" t="s">
        <v>25</v>
      </c>
      <c r="J1594" s="2">
        <v>45839.496423611112</v>
      </c>
      <c r="K1594">
        <v>1</v>
      </c>
      <c r="L1594">
        <v>7</v>
      </c>
      <c r="M1594">
        <v>2025</v>
      </c>
      <c r="N1594" t="s">
        <v>27</v>
      </c>
      <c r="O1594">
        <v>60</v>
      </c>
      <c r="P1594">
        <v>60</v>
      </c>
      <c r="R1594" s="3" t="str">
        <f>HYPERLINK("https://panda.att.com.mx/ODKServer/view/binaryData?blobKey=FSSuministroFluidosv3%5B%40version%3Dnull+and+%40uiVersion%3Dnull%5D%2Fdata%5B%40key%3Duuid%3Ab1ea251d-d998-4ac5-9309-0d4a496bcf5b%5D%2FgroupInfoFuel%5B%40ordinal%3D1%5D%2FpicFuelRecibeInterno","Descargar")</f>
        <v>Descargar</v>
      </c>
    </row>
    <row r="1595" spans="1:18" x14ac:dyDescent="0.3">
      <c r="A1595">
        <v>1569377</v>
      </c>
      <c r="B1595" t="s">
        <v>18</v>
      </c>
      <c r="C1595" t="s">
        <v>34</v>
      </c>
      <c r="D1595" t="s">
        <v>53</v>
      </c>
      <c r="E1595" t="s">
        <v>1756</v>
      </c>
      <c r="F1595" t="s">
        <v>22</v>
      </c>
      <c r="G1595" t="s">
        <v>23</v>
      </c>
      <c r="H1595" t="s">
        <v>37</v>
      </c>
      <c r="I1595" t="s">
        <v>25</v>
      </c>
      <c r="J1595" s="2">
        <v>45839.610300925917</v>
      </c>
      <c r="K1595">
        <v>1</v>
      </c>
      <c r="L1595">
        <v>7</v>
      </c>
      <c r="M1595">
        <v>2025</v>
      </c>
      <c r="N1595" t="s">
        <v>27</v>
      </c>
      <c r="O1595">
        <v>200</v>
      </c>
      <c r="P1595">
        <v>200</v>
      </c>
      <c r="R1595" s="3" t="str">
        <f>HYPERLINK("https://panda.att.com.mx/ODKServer/view/binaryData?blobKey=FSSuministroFluidosv3%5B%40version%3Dnull+and+%40uiVersion%3Dnull%5D%2Fdata%5B%40key%3Duuid%3A58412822-d40d-4e78-92c0-f970891fcca7%5D%2FgroupInfoFuel%5B%40ordinal%3D1%5D%2FpicFuelRecibeInterno","Descargar")</f>
        <v>Descargar</v>
      </c>
    </row>
    <row r="1596" spans="1:18" x14ac:dyDescent="0.3">
      <c r="A1596">
        <v>1569347</v>
      </c>
      <c r="B1596" t="s">
        <v>18</v>
      </c>
      <c r="C1596" t="s">
        <v>167</v>
      </c>
      <c r="D1596" t="s">
        <v>264</v>
      </c>
      <c r="E1596" t="s">
        <v>284</v>
      </c>
      <c r="F1596" t="s">
        <v>22</v>
      </c>
      <c r="G1596" t="s">
        <v>47</v>
      </c>
      <c r="H1596" t="s">
        <v>58</v>
      </c>
      <c r="I1596" t="s">
        <v>25</v>
      </c>
      <c r="J1596" s="2">
        <v>45839.49015046296</v>
      </c>
      <c r="K1596">
        <v>1</v>
      </c>
      <c r="L1596">
        <v>7</v>
      </c>
      <c r="M1596">
        <v>2025</v>
      </c>
      <c r="N1596" t="s">
        <v>27</v>
      </c>
      <c r="O1596">
        <v>250</v>
      </c>
      <c r="P1596">
        <v>250</v>
      </c>
      <c r="R1596" s="3" t="str">
        <f>HYPERLINK("https://panda.att.com.mx/ODKServer/view/binaryData?blobKey=FSSuministroFluidosv3%5B%40version%3Dnull+and+%40uiVersion%3Dnull%5D%2Fdata%5B%40key%3Duuid%3A1697decf-ed62-4558-afaf-fdfd991dbba8%5D%2FgroupInfoFuel%5B%40ordinal%3D1%5D%2FpicFuelRecibeInterno","Descargar")</f>
        <v>Descargar</v>
      </c>
    </row>
    <row r="1597" spans="1:18" x14ac:dyDescent="0.3">
      <c r="A1597">
        <v>1569298</v>
      </c>
      <c r="B1597" t="s">
        <v>18</v>
      </c>
      <c r="C1597" t="s">
        <v>28</v>
      </c>
      <c r="D1597" t="s">
        <v>1689</v>
      </c>
      <c r="E1597" t="s">
        <v>1757</v>
      </c>
      <c r="F1597" t="s">
        <v>22</v>
      </c>
      <c r="G1597" t="s">
        <v>47</v>
      </c>
      <c r="H1597" t="s">
        <v>24</v>
      </c>
      <c r="I1597" t="s">
        <v>25</v>
      </c>
      <c r="J1597" s="2">
        <v>45827.395509259259</v>
      </c>
      <c r="K1597">
        <v>19</v>
      </c>
      <c r="L1597">
        <v>6</v>
      </c>
      <c r="M1597">
        <v>2025</v>
      </c>
      <c r="N1597" t="s">
        <v>44</v>
      </c>
      <c r="O1597">
        <v>60</v>
      </c>
      <c r="P1597">
        <v>60</v>
      </c>
      <c r="R1597" s="3" t="str">
        <f>HYPERLINK("https://panda.att.com.mx/ODKServer/view/binaryData?blobKey=FSSuministroFluidosv3%5B%40version%3Dnull+and+%40uiVersion%3Dnull%5D%2Fdata%5B%40key%3Duuid%3A3776b983-c18d-40c1-81a6-2ba5798a5ef5%5D%2FgroupInfoFuel%5B%40ordinal%3D1%5D%2FpicFuelRecibeInterno","Descargar")</f>
        <v>Descargar</v>
      </c>
    </row>
    <row r="1598" spans="1:18" x14ac:dyDescent="0.3">
      <c r="A1598">
        <v>1569297</v>
      </c>
      <c r="B1598" t="s">
        <v>18</v>
      </c>
      <c r="C1598" t="s">
        <v>28</v>
      </c>
      <c r="D1598" t="s">
        <v>31</v>
      </c>
      <c r="E1598" t="s">
        <v>1758</v>
      </c>
      <c r="F1598" t="s">
        <v>22</v>
      </c>
      <c r="G1598" t="s">
        <v>23</v>
      </c>
      <c r="H1598" t="s">
        <v>24</v>
      </c>
      <c r="I1598" t="s">
        <v>25</v>
      </c>
      <c r="J1598" s="2">
        <v>45839.49077546296</v>
      </c>
      <c r="K1598">
        <v>1</v>
      </c>
      <c r="L1598">
        <v>7</v>
      </c>
      <c r="M1598">
        <v>2025</v>
      </c>
      <c r="N1598" t="s">
        <v>44</v>
      </c>
      <c r="O1598">
        <v>30</v>
      </c>
      <c r="P1598">
        <v>30</v>
      </c>
      <c r="R1598" s="3" t="str">
        <f>HYPERLINK("https://panda.att.com.mx/ODKServer/view/binaryData?blobKey=FSSuministroFluidosv3%5B%40version%3Dnull+and+%40uiVersion%3Dnull%5D%2Fdata%5B%40key%3Duuid%3A18f1c62d-34d7-49fc-944c-423060d80734%5D%2FgroupInfoFuel%5B%40ordinal%3D1%5D%2FpicFuelRecibeInterno","Descargar")</f>
        <v>Descargar</v>
      </c>
    </row>
    <row r="1599" spans="1:18" x14ac:dyDescent="0.3">
      <c r="A1599">
        <v>1569281</v>
      </c>
      <c r="B1599" t="s">
        <v>18</v>
      </c>
      <c r="C1599" t="s">
        <v>34</v>
      </c>
      <c r="D1599" t="s">
        <v>811</v>
      </c>
      <c r="E1599" t="s">
        <v>1759</v>
      </c>
      <c r="F1599" t="s">
        <v>22</v>
      </c>
      <c r="G1599" t="s">
        <v>23</v>
      </c>
      <c r="H1599" t="s">
        <v>37</v>
      </c>
      <c r="I1599" t="s">
        <v>25</v>
      </c>
      <c r="J1599" s="2">
        <v>45839.56144675926</v>
      </c>
      <c r="K1599">
        <v>1</v>
      </c>
      <c r="L1599">
        <v>7</v>
      </c>
      <c r="M1599">
        <v>2025</v>
      </c>
      <c r="N1599" t="s">
        <v>27</v>
      </c>
      <c r="O1599">
        <v>260</v>
      </c>
      <c r="P1599">
        <v>260</v>
      </c>
      <c r="R1599" s="3" t="str">
        <f>HYPERLINK("https://panda.att.com.mx/ODKServer/view/binaryData?blobKey=FSSuministroFluidosv3%5B%40version%3Dnull+and+%40uiVersion%3Dnull%5D%2Fdata%5B%40key%3Duuid%3Ad346888e-7f3c-47ca-83d6-ce2ba2abdec6%5D%2FgroupInfoFuel%5B%40ordinal%3D1%5D%2FpicFuelRecibeInterno","Descargar")</f>
        <v>Descargar</v>
      </c>
    </row>
    <row r="1600" spans="1:18" x14ac:dyDescent="0.3">
      <c r="A1600">
        <v>1569280</v>
      </c>
      <c r="B1600" t="s">
        <v>18</v>
      </c>
      <c r="C1600" t="s">
        <v>34</v>
      </c>
      <c r="D1600" t="s">
        <v>53</v>
      </c>
      <c r="E1600" t="s">
        <v>1760</v>
      </c>
      <c r="F1600" t="s">
        <v>22</v>
      </c>
      <c r="G1600" t="s">
        <v>23</v>
      </c>
      <c r="H1600" t="s">
        <v>37</v>
      </c>
      <c r="I1600" t="s">
        <v>25</v>
      </c>
      <c r="J1600" s="2">
        <v>45839.534560185188</v>
      </c>
      <c r="K1600">
        <v>1</v>
      </c>
      <c r="L1600">
        <v>7</v>
      </c>
      <c r="M1600">
        <v>2025</v>
      </c>
      <c r="N1600" t="s">
        <v>27</v>
      </c>
      <c r="O1600">
        <v>230</v>
      </c>
      <c r="P1600">
        <v>230</v>
      </c>
      <c r="R1600" s="3" t="str">
        <f>HYPERLINK("https://panda.att.com.mx/ODKServer/view/binaryData?blobKey=FSSuministroFluidosv3%5B%40version%3Dnull+and+%40uiVersion%3Dnull%5D%2Fdata%5B%40key%3Duuid%3A738e9056-47fc-4d74-bd2a-e6f101b8ce94%5D%2FgroupInfoFuel%5B%40ordinal%3D1%5D%2FpicFuelRecibeInterno","Descargar")</f>
        <v>Descargar</v>
      </c>
    </row>
    <row r="1601" spans="1:18" x14ac:dyDescent="0.3">
      <c r="A1601">
        <v>1569278</v>
      </c>
      <c r="B1601" t="s">
        <v>18</v>
      </c>
      <c r="C1601" t="s">
        <v>167</v>
      </c>
      <c r="D1601" t="s">
        <v>253</v>
      </c>
      <c r="E1601" t="s">
        <v>507</v>
      </c>
      <c r="F1601" t="s">
        <v>33</v>
      </c>
      <c r="G1601" t="s">
        <v>23</v>
      </c>
      <c r="H1601" t="s">
        <v>58</v>
      </c>
      <c r="I1601" t="s">
        <v>25</v>
      </c>
      <c r="J1601" s="2">
        <v>45839.789895833332</v>
      </c>
      <c r="K1601">
        <v>1</v>
      </c>
      <c r="L1601">
        <v>7</v>
      </c>
      <c r="M1601">
        <v>2025</v>
      </c>
      <c r="N1601" t="s">
        <v>27</v>
      </c>
      <c r="O1601">
        <v>100</v>
      </c>
      <c r="P1601">
        <v>100</v>
      </c>
      <c r="R1601" s="3" t="str">
        <f>HYPERLINK("https://panda.att.com.mx/ODKServer/view/binaryData?blobKey=FSSuministroFluidosv3%5B%40version%3Dnull+and+%40uiVersion%3Dnull%5D%2Fdata%5B%40key%3Duuid%3A5a011808-f3f2-4afd-9d8b-3e9dde653c7a%5D%2FgroupInfoFuel%5B%40ordinal%3D1%5D%2FpicFuelRecibeInterno","Descargar")</f>
        <v>Descargar</v>
      </c>
    </row>
    <row r="1602" spans="1:18" x14ac:dyDescent="0.3">
      <c r="A1602">
        <v>1570958</v>
      </c>
      <c r="B1602" t="s">
        <v>18</v>
      </c>
      <c r="C1602" t="s">
        <v>19</v>
      </c>
      <c r="D1602" t="s">
        <v>189</v>
      </c>
      <c r="E1602" t="s">
        <v>1673</v>
      </c>
      <c r="F1602" t="s">
        <v>22</v>
      </c>
      <c r="G1602" t="s">
        <v>23</v>
      </c>
      <c r="H1602" t="s">
        <v>24</v>
      </c>
      <c r="I1602" t="s">
        <v>25</v>
      </c>
      <c r="J1602" s="2">
        <v>45838.387256944443</v>
      </c>
      <c r="K1602">
        <v>30</v>
      </c>
      <c r="L1602">
        <v>6</v>
      </c>
      <c r="M1602">
        <v>2025</v>
      </c>
      <c r="N1602" t="s">
        <v>27</v>
      </c>
      <c r="O1602">
        <v>300</v>
      </c>
      <c r="P1602">
        <v>300</v>
      </c>
      <c r="R1602" s="3" t="str">
        <f>HYPERLINK("https://panda.att.com.mx/ODKServer/view/binaryData?blobKey=FSSuministroFluidosv3%5B%40version%3Dnull+and+%40uiVersion%3Dnull%5D%2Fdata%5B%40key%3Duuid%3A6a03d81b-15a8-4545-b3b3-73b8a172fef2%5D%2FgroupInfoFuel%5B%40ordinal%3D1%5D%2FpicFuelRecibeInterno","Descargar")</f>
        <v>Descargar</v>
      </c>
    </row>
    <row r="1603" spans="1:18" x14ac:dyDescent="0.3">
      <c r="A1603">
        <v>1570794</v>
      </c>
      <c r="B1603" t="s">
        <v>18</v>
      </c>
      <c r="C1603" t="s">
        <v>19</v>
      </c>
      <c r="D1603" t="s">
        <v>156</v>
      </c>
      <c r="E1603" t="s">
        <v>1761</v>
      </c>
      <c r="F1603" t="s">
        <v>22</v>
      </c>
      <c r="G1603" t="s">
        <v>23</v>
      </c>
      <c r="H1603" t="s">
        <v>24</v>
      </c>
      <c r="I1603" t="s">
        <v>25</v>
      </c>
      <c r="J1603" s="2">
        <v>45831.395729166667</v>
      </c>
      <c r="K1603">
        <v>23</v>
      </c>
      <c r="L1603">
        <v>6</v>
      </c>
      <c r="M1603">
        <v>2025</v>
      </c>
      <c r="N1603" t="s">
        <v>44</v>
      </c>
      <c r="O1603">
        <v>18</v>
      </c>
      <c r="P1603">
        <v>18</v>
      </c>
      <c r="R1603" s="3" t="str">
        <f>HYPERLINK("https://panda.att.com.mx/ODKServer/view/binaryData?blobKey=FSSuministroFluidosv3%5B%40version%3Dnull+and+%40uiVersion%3Dnull%5D%2Fdata%5B%40key%3Duuid%3A798356ac-53c8-4faa-89b8-39ea68fa8890%5D%2FgroupInfoFuel%5B%40ordinal%3D1%5D%2FpicFuelRecibeInterno","Descargar")</f>
        <v>Descargar</v>
      </c>
    </row>
    <row r="1604" spans="1:18" x14ac:dyDescent="0.3">
      <c r="A1604">
        <v>1570793</v>
      </c>
      <c r="B1604" t="s">
        <v>18</v>
      </c>
      <c r="C1604" t="s">
        <v>55</v>
      </c>
      <c r="D1604" t="s">
        <v>56</v>
      </c>
      <c r="E1604" t="s">
        <v>1762</v>
      </c>
      <c r="F1604" t="s">
        <v>22</v>
      </c>
      <c r="G1604" t="s">
        <v>23</v>
      </c>
      <c r="H1604" t="s">
        <v>1763</v>
      </c>
      <c r="I1604" t="s">
        <v>25</v>
      </c>
      <c r="J1604" s="2">
        <v>45809.417013888888</v>
      </c>
      <c r="K1604">
        <v>1</v>
      </c>
      <c r="L1604">
        <v>6</v>
      </c>
      <c r="M1604">
        <v>2025</v>
      </c>
      <c r="N1604" t="s">
        <v>27</v>
      </c>
      <c r="O1604">
        <v>100</v>
      </c>
      <c r="P1604">
        <v>100</v>
      </c>
      <c r="R1604" s="3" t="str">
        <f>HYPERLINK("https://panda.att.com.mx/ODKServer/view/binaryData?blobKey=FSSuministroFluidosv3%5B%40version%3Dnull+and+%40uiVersion%3Dnull%5D%2Fdata%5B%40key%3Duuid%3Ad7edd858-f996-4138-a951-5a2a1292babe%5D%2FgroupInfoFuel%5B%40ordinal%3D1%5D%2FpicFuelRecibeInterno","Descargar")</f>
        <v>Descargar</v>
      </c>
    </row>
    <row r="1605" spans="1:18" x14ac:dyDescent="0.3">
      <c r="A1605">
        <v>1570713</v>
      </c>
      <c r="B1605" t="s">
        <v>18</v>
      </c>
      <c r="C1605" t="s">
        <v>68</v>
      </c>
      <c r="D1605" t="s">
        <v>258</v>
      </c>
      <c r="E1605" t="s">
        <v>1764</v>
      </c>
      <c r="F1605" t="s">
        <v>22</v>
      </c>
      <c r="G1605" t="s">
        <v>23</v>
      </c>
      <c r="H1605" t="s">
        <v>37</v>
      </c>
      <c r="I1605" t="s">
        <v>25</v>
      </c>
      <c r="J1605" s="2">
        <v>45840.425219907411</v>
      </c>
      <c r="K1605">
        <v>2</v>
      </c>
      <c r="L1605">
        <v>7</v>
      </c>
      <c r="M1605">
        <v>2025</v>
      </c>
      <c r="N1605" t="s">
        <v>27</v>
      </c>
      <c r="O1605">
        <v>250</v>
      </c>
      <c r="P1605">
        <v>250</v>
      </c>
      <c r="R1605" s="3" t="str">
        <f>HYPERLINK("https://panda.att.com.mx/ODKServer/view/binaryData?blobKey=FSSuministroFluidosv3%5B%40version%3Dnull+and+%40uiVersion%3Dnull%5D%2Fdata%5B%40key%3Duuid%3A90aa879a-1b76-41d8-b117-b3e5a7effc6c%5D%2FgroupInfoFuel%5B%40ordinal%3D1%5D%2FpicFuelRecibeInterno","Descargar")</f>
        <v>Descargar</v>
      </c>
    </row>
    <row r="1606" spans="1:18" x14ac:dyDescent="0.3">
      <c r="A1606">
        <v>1570704</v>
      </c>
      <c r="B1606" t="s">
        <v>18</v>
      </c>
      <c r="C1606" t="s">
        <v>34</v>
      </c>
      <c r="D1606" t="s">
        <v>51</v>
      </c>
      <c r="E1606" t="s">
        <v>1765</v>
      </c>
      <c r="F1606" t="s">
        <v>22</v>
      </c>
      <c r="G1606" t="s">
        <v>23</v>
      </c>
      <c r="H1606" t="s">
        <v>24</v>
      </c>
      <c r="I1606" t="s">
        <v>25</v>
      </c>
      <c r="J1606" s="2">
        <v>45839.604942129627</v>
      </c>
      <c r="K1606">
        <v>1</v>
      </c>
      <c r="L1606">
        <v>7</v>
      </c>
      <c r="M1606">
        <v>2025</v>
      </c>
      <c r="N1606" t="s">
        <v>44</v>
      </c>
      <c r="O1606">
        <v>40</v>
      </c>
      <c r="Q1606">
        <v>40</v>
      </c>
      <c r="R1606" s="3" t="str">
        <f>HYPERLINK("https://panda.att.com.mx/ODKServer/view/binaryData?blobKey=FSSuministroFluidosv3%5B%40version%3Dnull+and+%40uiVersion%3Dnull%5D%2Fdata%5B%40key%3Duuid%3Aa156b523-3f62-4115-abc9-793c6e183067%5D%2FgroupInfoFuel%5B%40ordinal%3D1%5D%2FpicFuelRecibeInterno","Descargar")</f>
        <v>Descargar</v>
      </c>
    </row>
    <row r="1607" spans="1:18" x14ac:dyDescent="0.3">
      <c r="A1607">
        <v>1570694</v>
      </c>
      <c r="B1607" t="s">
        <v>18</v>
      </c>
      <c r="C1607" t="s">
        <v>183</v>
      </c>
      <c r="D1607" t="s">
        <v>271</v>
      </c>
      <c r="E1607" t="s">
        <v>272</v>
      </c>
      <c r="F1607" t="s">
        <v>22</v>
      </c>
      <c r="G1607" t="s">
        <v>23</v>
      </c>
      <c r="H1607" t="s">
        <v>37</v>
      </c>
      <c r="I1607" t="s">
        <v>25</v>
      </c>
      <c r="J1607" s="2">
        <v>45842.236250000002</v>
      </c>
      <c r="K1607">
        <v>4</v>
      </c>
      <c r="L1607">
        <v>7</v>
      </c>
      <c r="M1607">
        <v>2025</v>
      </c>
      <c r="N1607" t="s">
        <v>27</v>
      </c>
      <c r="O1607">
        <v>50</v>
      </c>
      <c r="P1607">
        <v>50</v>
      </c>
      <c r="R1607" s="3" t="str">
        <f>HYPERLINK("https://panda.att.com.mx/ODKServer/view/binaryData?blobKey=FSSuministroFluidosv3%5B%40version%3Dnull+and+%40uiVersion%3Dnull%5D%2Fdata%5B%40key%3Duuid%3A18ab2726-f46f-4f21-aaf0-3d3eb841ebdc%5D%2FgroupInfoFuel%5B%40ordinal%3D1%5D%2FpicFuelRecibeInterno","Descargar")</f>
        <v>Descargar</v>
      </c>
    </row>
    <row r="1608" spans="1:18" x14ac:dyDescent="0.3">
      <c r="A1608">
        <v>1570627</v>
      </c>
      <c r="B1608" t="s">
        <v>18</v>
      </c>
      <c r="C1608" t="s">
        <v>34</v>
      </c>
      <c r="D1608" t="s">
        <v>53</v>
      </c>
      <c r="E1608" t="s">
        <v>285</v>
      </c>
      <c r="F1608" t="s">
        <v>22</v>
      </c>
      <c r="G1608" t="s">
        <v>23</v>
      </c>
      <c r="H1608" t="s">
        <v>37</v>
      </c>
      <c r="I1608" t="s">
        <v>25</v>
      </c>
      <c r="J1608" s="2">
        <v>45841.433668981481</v>
      </c>
      <c r="K1608">
        <v>3</v>
      </c>
      <c r="L1608">
        <v>7</v>
      </c>
      <c r="M1608">
        <v>2025</v>
      </c>
      <c r="N1608" t="s">
        <v>27</v>
      </c>
      <c r="O1608">
        <v>200</v>
      </c>
      <c r="Q1608">
        <v>200</v>
      </c>
      <c r="R1608" s="3" t="str">
        <f>HYPERLINK("https://panda.att.com.mx/ODKServer/view/binaryData?blobKey=FSSuministroFluidosv3%5B%40version%3Dnull+and+%40uiVersion%3Dnull%5D%2Fdata%5B%40key%3Duuid%3Aecee0e1f-5371-4884-92e1-2d9ee9a35b84%5D%2FgroupInfoFuel%5B%40ordinal%3D1%5D%2FpicFuelRecibeInterno","Descargar")</f>
        <v>Descargar</v>
      </c>
    </row>
    <row r="1609" spans="1:18" x14ac:dyDescent="0.3">
      <c r="A1609">
        <v>1570601</v>
      </c>
      <c r="B1609" t="s">
        <v>18</v>
      </c>
      <c r="C1609" t="s">
        <v>34</v>
      </c>
      <c r="D1609" t="s">
        <v>53</v>
      </c>
      <c r="E1609" t="s">
        <v>1711</v>
      </c>
      <c r="F1609" t="s">
        <v>22</v>
      </c>
      <c r="G1609" t="s">
        <v>23</v>
      </c>
      <c r="H1609" t="s">
        <v>37</v>
      </c>
      <c r="I1609" t="s">
        <v>25</v>
      </c>
      <c r="J1609" s="2">
        <v>45841.41306712963</v>
      </c>
      <c r="K1609">
        <v>3</v>
      </c>
      <c r="L1609">
        <v>7</v>
      </c>
      <c r="M1609">
        <v>2025</v>
      </c>
      <c r="N1609" t="s">
        <v>27</v>
      </c>
      <c r="O1609">
        <v>180</v>
      </c>
      <c r="Q1609">
        <v>180</v>
      </c>
      <c r="R1609" s="3" t="str">
        <f>HYPERLINK("https://panda.att.com.mx/ODKServer/view/binaryData?blobKey=FSSuministroFluidosv3%5B%40version%3Dnull+and+%40uiVersion%3Dnull%5D%2Fdata%5B%40key%3Duuid%3A4a059741-9d6d-4a5f-ae52-6e02ac079f40%5D%2FgroupInfoFuel%5B%40ordinal%3D1%5D%2FpicFuelRecibeInterno","Descargar")</f>
        <v>Descargar</v>
      </c>
    </row>
    <row r="1610" spans="1:18" x14ac:dyDescent="0.3">
      <c r="A1610">
        <v>1570554</v>
      </c>
      <c r="B1610" t="s">
        <v>18</v>
      </c>
      <c r="C1610" t="s">
        <v>19</v>
      </c>
      <c r="D1610" t="s">
        <v>347</v>
      </c>
      <c r="E1610" t="s">
        <v>353</v>
      </c>
      <c r="F1610" t="s">
        <v>22</v>
      </c>
      <c r="G1610" t="s">
        <v>23</v>
      </c>
      <c r="H1610" t="s">
        <v>24</v>
      </c>
      <c r="I1610" t="s">
        <v>25</v>
      </c>
      <c r="J1610" s="2">
        <v>45840.617060185177</v>
      </c>
      <c r="K1610">
        <v>2</v>
      </c>
      <c r="L1610">
        <v>7</v>
      </c>
      <c r="M1610">
        <v>2025</v>
      </c>
      <c r="N1610" t="s">
        <v>27</v>
      </c>
      <c r="O1610">
        <v>300</v>
      </c>
      <c r="P1610">
        <v>300</v>
      </c>
      <c r="R1610" s="3" t="str">
        <f>HYPERLINK("https://panda.att.com.mx/ODKServer/view/binaryData?blobKey=FSSuministroFluidosv3%5B%40version%3Dnull+and+%40uiVersion%3Dnull%5D%2Fdata%5B%40key%3Duuid%3Afecc5490-b010-46a9-a881-7913ac4350bc%5D%2FgroupInfoFuel%5B%40ordinal%3D1%5D%2FpicFuelRecibeInterno","Descargar")</f>
        <v>Descargar</v>
      </c>
    </row>
    <row r="1611" spans="1:18" x14ac:dyDescent="0.3">
      <c r="A1611">
        <v>1570545</v>
      </c>
      <c r="B1611" t="s">
        <v>18</v>
      </c>
      <c r="C1611" t="s">
        <v>100</v>
      </c>
      <c r="D1611" t="s">
        <v>854</v>
      </c>
      <c r="E1611" t="s">
        <v>993</v>
      </c>
      <c r="F1611" t="s">
        <v>22</v>
      </c>
      <c r="G1611" t="s">
        <v>83</v>
      </c>
      <c r="H1611" t="s">
        <v>58</v>
      </c>
      <c r="I1611" t="s">
        <v>25</v>
      </c>
      <c r="J1611" s="2">
        <v>45841.536886574067</v>
      </c>
      <c r="K1611">
        <v>3</v>
      </c>
      <c r="L1611">
        <v>7</v>
      </c>
      <c r="M1611">
        <v>2025</v>
      </c>
      <c r="N1611" t="s">
        <v>27</v>
      </c>
      <c r="O1611">
        <v>200</v>
      </c>
      <c r="P1611">
        <v>200</v>
      </c>
      <c r="R1611" s="3" t="str">
        <f>HYPERLINK("https://panda.att.com.mx/ODKServer/view/binaryData?blobKey=FSSuministroFluidosv3%5B%40version%3Dnull+and+%40uiVersion%3Dnull%5D%2Fdata%5B%40key%3Duuid%3A1682804d-c33a-480e-b2b2-52a337d72faf%5D%2FgroupInfoFuel%5B%40ordinal%3D1%5D%2FpicFuelRecibeInterno","Descargar")</f>
        <v>Descargar</v>
      </c>
    </row>
    <row r="1612" spans="1:18" x14ac:dyDescent="0.3">
      <c r="A1612">
        <v>1570438</v>
      </c>
      <c r="B1612" t="s">
        <v>18</v>
      </c>
      <c r="C1612" t="s">
        <v>150</v>
      </c>
      <c r="D1612" t="s">
        <v>230</v>
      </c>
      <c r="E1612" t="s">
        <v>1766</v>
      </c>
      <c r="F1612" t="s">
        <v>22</v>
      </c>
      <c r="G1612" t="s">
        <v>23</v>
      </c>
      <c r="H1612" t="s">
        <v>58</v>
      </c>
      <c r="I1612" t="s">
        <v>25</v>
      </c>
      <c r="J1612" s="2">
        <v>45841.661550925928</v>
      </c>
      <c r="K1612">
        <v>3</v>
      </c>
      <c r="L1612">
        <v>7</v>
      </c>
      <c r="M1612">
        <v>2025</v>
      </c>
      <c r="N1612" t="s">
        <v>27</v>
      </c>
      <c r="O1612">
        <v>250</v>
      </c>
      <c r="P1612">
        <v>250</v>
      </c>
      <c r="R1612" s="3" t="str">
        <f>HYPERLINK("https://panda.att.com.mx/ODKServer/view/binaryData?blobKey=FSSuministroFluidosv3%5B%40version%3Dnull+and+%40uiVersion%3Dnull%5D%2Fdata%5B%40key%3Duuid%3Ad7476486-7af9-44cc-bf86-0818c44497cc%5D%2FgroupInfoFuel%5B%40ordinal%3D1%5D%2FpicFuelRecibeInterno","Descargar")</f>
        <v>Descargar</v>
      </c>
    </row>
    <row r="1613" spans="1:18" x14ac:dyDescent="0.3">
      <c r="A1613">
        <v>1570423</v>
      </c>
      <c r="B1613" t="s">
        <v>18</v>
      </c>
      <c r="C1613" t="s">
        <v>55</v>
      </c>
      <c r="D1613" t="s">
        <v>56</v>
      </c>
      <c r="E1613" t="s">
        <v>1714</v>
      </c>
      <c r="F1613" t="s">
        <v>22</v>
      </c>
      <c r="G1613" t="s">
        <v>23</v>
      </c>
      <c r="H1613" t="s">
        <v>58</v>
      </c>
      <c r="I1613" t="s">
        <v>25</v>
      </c>
      <c r="J1613" s="2">
        <v>45838.509710648148</v>
      </c>
      <c r="K1613">
        <v>30</v>
      </c>
      <c r="L1613">
        <v>6</v>
      </c>
      <c r="M1613">
        <v>2025</v>
      </c>
      <c r="N1613" t="s">
        <v>27</v>
      </c>
      <c r="O1613">
        <v>150</v>
      </c>
      <c r="P1613">
        <v>150</v>
      </c>
      <c r="R1613" s="3" t="str">
        <f>HYPERLINK("https://panda.att.com.mx/ODKServer/view/binaryData?blobKey=FSSuministroFluidosv3%5B%40version%3Dnull+and+%40uiVersion%3Dnull%5D%2Fdata%5B%40key%3Duuid%3A1bc26ba6-cf0d-4b3d-baf5-27b4416c8375%5D%2FgroupInfoFuel%5B%40ordinal%3D1%5D%2FpicFuelRecibeInterno","Descargar")</f>
        <v>Descargar</v>
      </c>
    </row>
    <row r="1614" spans="1:18" x14ac:dyDescent="0.3">
      <c r="A1614">
        <v>1570422</v>
      </c>
      <c r="B1614" t="s">
        <v>18</v>
      </c>
      <c r="C1614" t="s">
        <v>59</v>
      </c>
      <c r="D1614" t="s">
        <v>1242</v>
      </c>
      <c r="E1614" t="s">
        <v>1513</v>
      </c>
      <c r="F1614" t="s">
        <v>22</v>
      </c>
      <c r="G1614" t="s">
        <v>47</v>
      </c>
      <c r="H1614" t="s">
        <v>37</v>
      </c>
      <c r="I1614" t="s">
        <v>25</v>
      </c>
      <c r="J1614" s="2">
        <v>45841.517291666663</v>
      </c>
      <c r="K1614">
        <v>3</v>
      </c>
      <c r="L1614">
        <v>7</v>
      </c>
      <c r="M1614">
        <v>2025</v>
      </c>
      <c r="N1614" t="s">
        <v>27</v>
      </c>
      <c r="O1614">
        <v>400</v>
      </c>
      <c r="P1614">
        <v>400</v>
      </c>
      <c r="R1614" s="3" t="str">
        <f>HYPERLINK("https://panda.att.com.mx/ODKServer/view/binaryData?blobKey=FSSuministroFluidosv3%5B%40version%3Dnull+and+%40uiVersion%3Dnull%5D%2Fdata%5B%40key%3Duuid%3A640cc8e1-f7fa-4d49-8316-6532f3a5196d%5D%2FgroupInfoFuel%5B%40ordinal%3D1%5D%2FpicFuelRecibeInterno","Descargar")</f>
        <v>Descargar</v>
      </c>
    </row>
    <row r="1615" spans="1:18" x14ac:dyDescent="0.3">
      <c r="A1615">
        <v>1570410</v>
      </c>
      <c r="B1615" t="s">
        <v>18</v>
      </c>
      <c r="C1615" t="s">
        <v>55</v>
      </c>
      <c r="D1615" t="s">
        <v>56</v>
      </c>
      <c r="E1615" t="s">
        <v>320</v>
      </c>
      <c r="F1615" t="s">
        <v>22</v>
      </c>
      <c r="G1615" t="s">
        <v>23</v>
      </c>
      <c r="H1615" t="s">
        <v>58</v>
      </c>
      <c r="I1615" t="s">
        <v>25</v>
      </c>
      <c r="J1615" s="2">
        <v>45829.430196759262</v>
      </c>
      <c r="K1615">
        <v>21</v>
      </c>
      <c r="L1615">
        <v>6</v>
      </c>
      <c r="M1615">
        <v>2025</v>
      </c>
      <c r="N1615" t="s">
        <v>27</v>
      </c>
      <c r="O1615">
        <v>150</v>
      </c>
      <c r="P1615">
        <v>150</v>
      </c>
      <c r="R1615" s="3" t="str">
        <f>HYPERLINK("https://panda.att.com.mx/ODKServer/view/binaryData?blobKey=FSSuministroFluidosv3%5B%40version%3Dnull+and+%40uiVersion%3Dnull%5D%2Fdata%5B%40key%3Duuid%3Af1b3eaaf-bfdf-48de-bf94-0584fac3e268%5D%2FgroupInfoFuel%5B%40ordinal%3D1%5D%2FpicFuelRecibeInterno","Descargar")</f>
        <v>Descargar</v>
      </c>
    </row>
    <row r="1616" spans="1:18" x14ac:dyDescent="0.3">
      <c r="A1616">
        <v>1570220</v>
      </c>
      <c r="B1616" t="s">
        <v>18</v>
      </c>
      <c r="C1616" t="s">
        <v>34</v>
      </c>
      <c r="D1616" t="s">
        <v>121</v>
      </c>
      <c r="E1616" t="s">
        <v>1767</v>
      </c>
      <c r="F1616" t="s">
        <v>22</v>
      </c>
      <c r="G1616" t="s">
        <v>23</v>
      </c>
      <c r="H1616" t="s">
        <v>37</v>
      </c>
      <c r="I1616" t="s">
        <v>25</v>
      </c>
      <c r="J1616" s="2">
        <v>45841.382511574076</v>
      </c>
      <c r="K1616">
        <v>3</v>
      </c>
      <c r="L1616">
        <v>7</v>
      </c>
      <c r="M1616">
        <v>2025</v>
      </c>
      <c r="N1616" t="s">
        <v>27</v>
      </c>
      <c r="O1616">
        <v>300</v>
      </c>
      <c r="P1616">
        <v>300</v>
      </c>
      <c r="R1616" s="3" t="str">
        <f>HYPERLINK("https://panda.att.com.mx/ODKServer/view/binaryData?blobKey=FSSuministroFluidosv3%5B%40version%3Dnull+and+%40uiVersion%3Dnull%5D%2Fdata%5B%40key%3Duuid%3A16e911ac-29ff-481b-8d63-f3e840eb2378%5D%2FgroupInfoFuel%5B%40ordinal%3D1%5D%2FpicFuelRecibeInterno","Descargar")</f>
        <v>Descargar</v>
      </c>
    </row>
    <row r="1617" spans="1:18" x14ac:dyDescent="0.3">
      <c r="A1617">
        <v>1570219</v>
      </c>
      <c r="B1617" t="s">
        <v>18</v>
      </c>
      <c r="C1617" t="s">
        <v>100</v>
      </c>
      <c r="D1617" t="s">
        <v>101</v>
      </c>
      <c r="E1617" t="s">
        <v>102</v>
      </c>
      <c r="F1617" t="s">
        <v>22</v>
      </c>
      <c r="G1617" t="s">
        <v>83</v>
      </c>
      <c r="H1617" t="s">
        <v>58</v>
      </c>
      <c r="I1617" t="s">
        <v>25</v>
      </c>
      <c r="J1617" s="2">
        <v>45840.501354166663</v>
      </c>
      <c r="K1617">
        <v>2</v>
      </c>
      <c r="L1617">
        <v>7</v>
      </c>
      <c r="M1617">
        <v>2025</v>
      </c>
      <c r="N1617" t="s">
        <v>27</v>
      </c>
      <c r="O1617">
        <v>247</v>
      </c>
      <c r="P1617">
        <v>247</v>
      </c>
      <c r="R1617" s="3" t="str">
        <f>HYPERLINK("https://panda.att.com.mx/ODKServer/view/binaryData?blobKey=FSSuministroFluidosv3%5B%40version%3Dnull+and+%40uiVersion%3Dnull%5D%2Fdata%5B%40key%3Duuid%3A872de5fe-352f-4661-99f6-ef2c1f2cb165%5D%2FgroupInfoFuel%5B%40ordinal%3D1%5D%2FpicFuelRecibeInterno","Descargar")</f>
        <v>Descargar</v>
      </c>
    </row>
    <row r="1618" spans="1:18" x14ac:dyDescent="0.3">
      <c r="A1618">
        <v>1570218</v>
      </c>
      <c r="B1618" t="s">
        <v>18</v>
      </c>
      <c r="C1618" t="s">
        <v>100</v>
      </c>
      <c r="D1618" t="s">
        <v>101</v>
      </c>
      <c r="E1618" t="s">
        <v>1768</v>
      </c>
      <c r="F1618" t="s">
        <v>22</v>
      </c>
      <c r="G1618" t="s">
        <v>23</v>
      </c>
      <c r="H1618" t="s">
        <v>58</v>
      </c>
      <c r="I1618" t="s">
        <v>25</v>
      </c>
      <c r="J1618" s="2">
        <v>45839.542118055557</v>
      </c>
      <c r="K1618">
        <v>1</v>
      </c>
      <c r="L1618">
        <v>7</v>
      </c>
      <c r="M1618">
        <v>2025</v>
      </c>
      <c r="N1618" t="s">
        <v>27</v>
      </c>
      <c r="O1618">
        <v>200</v>
      </c>
      <c r="P1618">
        <v>200</v>
      </c>
      <c r="R1618" s="3" t="str">
        <f>HYPERLINK("https://panda.att.com.mx/ODKServer/view/binaryData?blobKey=FSSuministroFluidosv3%5B%40version%3Dnull+and+%40uiVersion%3Dnull%5D%2Fdata%5B%40key%3Duuid%3A9824335d-c40c-4a85-96d5-4e206db5664c%5D%2FgroupInfoFuel%5B%40ordinal%3D1%5D%2FpicFuelRecibeInterno","Descargar")</f>
        <v>Descargar</v>
      </c>
    </row>
    <row r="1619" spans="1:18" x14ac:dyDescent="0.3">
      <c r="A1619">
        <v>1570154</v>
      </c>
      <c r="B1619" t="s">
        <v>18</v>
      </c>
      <c r="C1619" t="s">
        <v>55</v>
      </c>
      <c r="D1619" t="s">
        <v>56</v>
      </c>
      <c r="E1619" t="s">
        <v>668</v>
      </c>
      <c r="F1619" t="s">
        <v>22</v>
      </c>
      <c r="G1619" t="s">
        <v>23</v>
      </c>
      <c r="H1619" t="s">
        <v>58</v>
      </c>
      <c r="I1619" t="s">
        <v>25</v>
      </c>
      <c r="J1619" s="2">
        <v>45838.746307870373</v>
      </c>
      <c r="K1619">
        <v>30</v>
      </c>
      <c r="L1619">
        <v>6</v>
      </c>
      <c r="M1619">
        <v>2025</v>
      </c>
      <c r="N1619" t="s">
        <v>27</v>
      </c>
      <c r="O1619">
        <v>300</v>
      </c>
      <c r="P1619">
        <v>300</v>
      </c>
      <c r="R1619" s="3" t="str">
        <f>HYPERLINK("https://panda.att.com.mx/ODKServer/view/binaryData?blobKey=FSSuministroFluidosv3%5B%40version%3Dnull+and+%40uiVersion%3Dnull%5D%2Fdata%5B%40key%3Duuid%3A524f1ddf-e6f4-4fd3-9345-2dc513e467bc%5D%2FgroupInfoFuel%5B%40ordinal%3D1%5D%2FpicFuelRecibeInterno","Descargar")</f>
        <v>Descargar</v>
      </c>
    </row>
    <row r="1620" spans="1:18" x14ac:dyDescent="0.3">
      <c r="A1620">
        <v>1570142</v>
      </c>
      <c r="B1620" t="s">
        <v>18</v>
      </c>
      <c r="C1620" t="s">
        <v>55</v>
      </c>
      <c r="D1620" t="s">
        <v>56</v>
      </c>
      <c r="E1620" t="s">
        <v>1714</v>
      </c>
      <c r="F1620" t="s">
        <v>22</v>
      </c>
      <c r="G1620" t="s">
        <v>23</v>
      </c>
      <c r="H1620" t="s">
        <v>58</v>
      </c>
      <c r="I1620" t="s">
        <v>25</v>
      </c>
      <c r="J1620" s="2">
        <v>45840.676481481481</v>
      </c>
      <c r="K1620">
        <v>2</v>
      </c>
      <c r="L1620">
        <v>7</v>
      </c>
      <c r="M1620">
        <v>2025</v>
      </c>
      <c r="N1620" t="s">
        <v>27</v>
      </c>
      <c r="O1620">
        <v>100</v>
      </c>
      <c r="P1620">
        <v>100</v>
      </c>
      <c r="R1620" s="3" t="str">
        <f>HYPERLINK("https://panda.att.com.mx/ODKServer/view/binaryData?blobKey=FSSuministroFluidosv3%5B%40version%3Dnull+and+%40uiVersion%3Dnull%5D%2Fdata%5B%40key%3Duuid%3Abaf0f9e9-ce95-4308-914c-311ed55d9fa4%5D%2FgroupInfoFuel%5B%40ordinal%3D1%5D%2FpicFuelRecibeInterno","Descargar")</f>
        <v>Descargar</v>
      </c>
    </row>
    <row r="1621" spans="1:18" x14ac:dyDescent="0.3">
      <c r="A1621">
        <v>1570138</v>
      </c>
      <c r="B1621" t="s">
        <v>18</v>
      </c>
      <c r="C1621" t="s">
        <v>28</v>
      </c>
      <c r="D1621" t="s">
        <v>192</v>
      </c>
      <c r="E1621" t="s">
        <v>1678</v>
      </c>
      <c r="F1621" t="s">
        <v>22</v>
      </c>
      <c r="G1621" t="s">
        <v>23</v>
      </c>
      <c r="H1621" t="s">
        <v>24</v>
      </c>
      <c r="I1621" t="s">
        <v>25</v>
      </c>
      <c r="J1621" s="2">
        <v>45840.433171296303</v>
      </c>
      <c r="K1621">
        <v>2</v>
      </c>
      <c r="L1621">
        <v>7</v>
      </c>
      <c r="M1621">
        <v>2025</v>
      </c>
      <c r="N1621" t="s">
        <v>44</v>
      </c>
      <c r="O1621">
        <v>60</v>
      </c>
      <c r="P1621">
        <v>60</v>
      </c>
      <c r="R1621" s="3" t="str">
        <f>HYPERLINK("https://panda.att.com.mx/ODKServer/view/binaryData?blobKey=FSSuministroFluidosv3%5B%40version%3Dnull+and+%40uiVersion%3Dnull%5D%2Fdata%5B%40key%3Duuid%3A87bd3526-9c95-46ac-890a-e30e0a678cb7%5D%2FgroupInfoFuel%5B%40ordinal%3D1%5D%2FpicFuelRecibeInterno","Descargar")</f>
        <v>Descargar</v>
      </c>
    </row>
    <row r="1622" spans="1:18" x14ac:dyDescent="0.3">
      <c r="A1622">
        <v>1570106</v>
      </c>
      <c r="B1622" t="s">
        <v>18</v>
      </c>
      <c r="C1622" t="s">
        <v>55</v>
      </c>
      <c r="D1622" t="s">
        <v>64</v>
      </c>
      <c r="E1622" t="s">
        <v>1392</v>
      </c>
      <c r="F1622" t="s">
        <v>22</v>
      </c>
      <c r="G1622" t="s">
        <v>23</v>
      </c>
      <c r="H1622" t="s">
        <v>58</v>
      </c>
      <c r="I1622" t="s">
        <v>25</v>
      </c>
      <c r="J1622" s="2">
        <v>45840.844270833331</v>
      </c>
      <c r="K1622">
        <v>2</v>
      </c>
      <c r="L1622">
        <v>7</v>
      </c>
      <c r="M1622">
        <v>2025</v>
      </c>
      <c r="N1622" t="s">
        <v>44</v>
      </c>
      <c r="O1622">
        <v>50</v>
      </c>
      <c r="P1622">
        <v>50</v>
      </c>
      <c r="R1622" s="3" t="str">
        <f>HYPERLINK("https://panda.att.com.mx/ODKServer/view/binaryData?blobKey=FSSuministroFluidosv3%5B%40version%3Dnull+and+%40uiVersion%3Dnull%5D%2Fdata%5B%40key%3Duuid%3Adcbfc085-6e5d-4cf6-905a-57879ee57312%5D%2FgroupInfoFuel%5B%40ordinal%3D1%5D%2FpicFuelRecibeInterno","Descargar")</f>
        <v>Descargar</v>
      </c>
    </row>
    <row r="1623" spans="1:18" x14ac:dyDescent="0.3">
      <c r="A1623">
        <v>1570099</v>
      </c>
      <c r="B1623" t="s">
        <v>18</v>
      </c>
      <c r="C1623" t="s">
        <v>55</v>
      </c>
      <c r="D1623" t="s">
        <v>64</v>
      </c>
      <c r="E1623" t="s">
        <v>1392</v>
      </c>
      <c r="F1623" t="s">
        <v>22</v>
      </c>
      <c r="G1623" t="s">
        <v>23</v>
      </c>
      <c r="H1623" t="s">
        <v>58</v>
      </c>
      <c r="I1623" t="s">
        <v>25</v>
      </c>
      <c r="J1623" s="2">
        <v>45840.310543981483</v>
      </c>
      <c r="K1623">
        <v>2</v>
      </c>
      <c r="L1623">
        <v>7</v>
      </c>
      <c r="M1623">
        <v>2025</v>
      </c>
      <c r="N1623" t="s">
        <v>27</v>
      </c>
      <c r="O1623">
        <v>200</v>
      </c>
      <c r="P1623">
        <v>200</v>
      </c>
      <c r="R1623" s="3" t="str">
        <f>HYPERLINK("https://panda.att.com.mx/ODKServer/view/binaryData?blobKey=FSSuministroFluidosv3%5B%40version%3Dnull+and+%40uiVersion%3Dnull%5D%2Fdata%5B%40key%3Duuid%3A650141ca-bde1-4e83-aad5-e110577a1328%5D%2FgroupInfoFuel%5B%40ordinal%3D1%5D%2FpicFuelRecibeInterno","Descargar")</f>
        <v>Descargar</v>
      </c>
    </row>
    <row r="1624" spans="1:18" x14ac:dyDescent="0.3">
      <c r="A1624">
        <v>1570090</v>
      </c>
      <c r="B1624" t="s">
        <v>18</v>
      </c>
      <c r="C1624" t="s">
        <v>55</v>
      </c>
      <c r="D1624" t="s">
        <v>56</v>
      </c>
      <c r="E1624" t="s">
        <v>1730</v>
      </c>
      <c r="F1624" t="s">
        <v>22</v>
      </c>
      <c r="G1624" t="s">
        <v>23</v>
      </c>
      <c r="H1624" t="s">
        <v>58</v>
      </c>
      <c r="I1624" t="s">
        <v>25</v>
      </c>
      <c r="J1624" s="2">
        <v>45840.489988425928</v>
      </c>
      <c r="K1624">
        <v>2</v>
      </c>
      <c r="L1624">
        <v>7</v>
      </c>
      <c r="M1624">
        <v>2025</v>
      </c>
      <c r="N1624" t="s">
        <v>27</v>
      </c>
      <c r="O1624">
        <v>200</v>
      </c>
      <c r="P1624">
        <v>200</v>
      </c>
      <c r="R1624" s="3" t="str">
        <f>HYPERLINK("https://panda.att.com.mx/ODKServer/view/binaryData?blobKey=FSSuministroFluidosv3%5B%40version%3Dnull+and+%40uiVersion%3Dnull%5D%2Fdata%5B%40key%3Duuid%3A1af6fd9a-5f46-4b60-86b5-e005d88f0780%5D%2FgroupInfoFuel%5B%40ordinal%3D1%5D%2FpicFuelRecibeInterno","Descargar")</f>
        <v>Descargar</v>
      </c>
    </row>
    <row r="1625" spans="1:18" x14ac:dyDescent="0.3">
      <c r="A1625">
        <v>1570063</v>
      </c>
      <c r="B1625" t="s">
        <v>18</v>
      </c>
      <c r="C1625" t="s">
        <v>19</v>
      </c>
      <c r="D1625" t="s">
        <v>45</v>
      </c>
      <c r="E1625" t="s">
        <v>1769</v>
      </c>
      <c r="F1625" t="s">
        <v>22</v>
      </c>
      <c r="G1625" t="s">
        <v>23</v>
      </c>
      <c r="H1625" t="s">
        <v>24</v>
      </c>
      <c r="I1625" t="s">
        <v>25</v>
      </c>
      <c r="J1625" s="2">
        <v>45841.264826388891</v>
      </c>
      <c r="K1625">
        <v>3</v>
      </c>
      <c r="L1625">
        <v>7</v>
      </c>
      <c r="M1625">
        <v>2025</v>
      </c>
      <c r="N1625" t="s">
        <v>27</v>
      </c>
      <c r="O1625">
        <v>200</v>
      </c>
      <c r="P1625">
        <v>200</v>
      </c>
      <c r="R1625" s="3" t="str">
        <f>HYPERLINK("https://panda.att.com.mx/ODKServer/view/binaryData?blobKey=FSSuministroFluidosv3%5B%40version%3Dnull+and+%40uiVersion%3Dnull%5D%2Fdata%5B%40key%3Duuid%3Aa5a29e61-08e7-4840-b297-c30d895e7d51%5D%2FgroupInfoFuel%5B%40ordinal%3D1%5D%2FpicFuelRecibeInterno","Descargar")</f>
        <v>Descargar</v>
      </c>
    </row>
    <row r="1626" spans="1:18" x14ac:dyDescent="0.3">
      <c r="A1626">
        <v>1570061</v>
      </c>
      <c r="B1626" t="s">
        <v>18</v>
      </c>
      <c r="C1626" t="s">
        <v>19</v>
      </c>
      <c r="D1626" t="s">
        <v>45</v>
      </c>
      <c r="E1626" t="s">
        <v>173</v>
      </c>
      <c r="F1626" t="s">
        <v>22</v>
      </c>
      <c r="G1626" t="s">
        <v>23</v>
      </c>
      <c r="H1626" t="s">
        <v>24</v>
      </c>
      <c r="I1626" t="s">
        <v>25</v>
      </c>
      <c r="J1626" s="2">
        <v>45834.777824074074</v>
      </c>
      <c r="K1626">
        <v>26</v>
      </c>
      <c r="L1626">
        <v>6</v>
      </c>
      <c r="M1626">
        <v>2025</v>
      </c>
      <c r="N1626" t="s">
        <v>27</v>
      </c>
      <c r="O1626">
        <v>100</v>
      </c>
      <c r="P1626">
        <v>100</v>
      </c>
      <c r="R1626" s="3" t="str">
        <f>HYPERLINK("https://panda.att.com.mx/ODKServer/view/binaryData?blobKey=FSSuministroFluidosv3%5B%40version%3Dnull+and+%40uiVersion%3Dnull%5D%2Fdata%5B%40key%3Duuid%3A935bed93-7603-46c2-9e20-7d550e89e0a8%5D%2FgroupInfoFuel%5B%40ordinal%3D1%5D%2FpicFuelRecibeInterno","Descargar")</f>
        <v>Descargar</v>
      </c>
    </row>
    <row r="1627" spans="1:18" x14ac:dyDescent="0.3">
      <c r="A1627">
        <v>1568521</v>
      </c>
      <c r="B1627" t="s">
        <v>18</v>
      </c>
      <c r="C1627" t="s">
        <v>68</v>
      </c>
      <c r="D1627" t="s">
        <v>132</v>
      </c>
      <c r="E1627" t="s">
        <v>1770</v>
      </c>
      <c r="F1627" t="s">
        <v>22</v>
      </c>
      <c r="G1627" t="s">
        <v>23</v>
      </c>
      <c r="H1627" t="s">
        <v>37</v>
      </c>
      <c r="I1627" t="s">
        <v>25</v>
      </c>
      <c r="J1627" s="2">
        <v>45838.847372685188</v>
      </c>
      <c r="K1627">
        <v>30</v>
      </c>
      <c r="L1627">
        <v>6</v>
      </c>
      <c r="M1627">
        <v>2025</v>
      </c>
      <c r="N1627" t="s">
        <v>27</v>
      </c>
      <c r="O1627">
        <v>120</v>
      </c>
      <c r="P1627">
        <v>120</v>
      </c>
      <c r="R1627" s="3" t="str">
        <f>HYPERLINK("https://panda.att.com.mx/ODKServer/view/binaryData?blobKey=FSSuministroFluidosv3%5B%40version%3Dnull+and+%40uiVersion%3Dnull%5D%2Fdata%5B%40key%3Duuid%3Acbab30b9-ac33-4ad2-932a-161318ab391a%5D%2FgroupInfoFuel%5B%40ordinal%3D1%5D%2FpicFuelRecibeInterno","Descargar")</f>
        <v>Descargar</v>
      </c>
    </row>
    <row r="1628" spans="1:18" x14ac:dyDescent="0.3">
      <c r="A1628">
        <v>1568514</v>
      </c>
      <c r="B1628" t="s">
        <v>18</v>
      </c>
      <c r="C1628" t="s">
        <v>19</v>
      </c>
      <c r="D1628" t="s">
        <v>347</v>
      </c>
      <c r="E1628" t="s">
        <v>353</v>
      </c>
      <c r="F1628" t="s">
        <v>22</v>
      </c>
      <c r="G1628" t="s">
        <v>23</v>
      </c>
      <c r="H1628" t="s">
        <v>24</v>
      </c>
      <c r="I1628" t="s">
        <v>25</v>
      </c>
      <c r="J1628" s="2">
        <v>45838.823078703703</v>
      </c>
      <c r="K1628">
        <v>30</v>
      </c>
      <c r="L1628">
        <v>6</v>
      </c>
      <c r="M1628">
        <v>2025</v>
      </c>
      <c r="N1628" t="s">
        <v>27</v>
      </c>
      <c r="O1628">
        <v>300</v>
      </c>
      <c r="P1628">
        <v>300</v>
      </c>
      <c r="R1628" s="3" t="str">
        <f>HYPERLINK("https://panda.att.com.mx/ODKServer/view/binaryData?blobKey=FSSuministroFluidosv3%5B%40version%3Dnull+and+%40uiVersion%3Dnull%5D%2Fdata%5B%40key%3Duuid%3A468eae08-f218-4e65-a853-9a73e3176a5b%5D%2FgroupInfoFuel%5B%40ordinal%3D1%5D%2FpicFuelRecibeInterno","Descargar")</f>
        <v>Descargar</v>
      </c>
    </row>
    <row r="1629" spans="1:18" x14ac:dyDescent="0.3">
      <c r="A1629">
        <v>1568457</v>
      </c>
      <c r="B1629" t="s">
        <v>18</v>
      </c>
      <c r="C1629" t="s">
        <v>34</v>
      </c>
      <c r="D1629" t="s">
        <v>53</v>
      </c>
      <c r="E1629" t="s">
        <v>1771</v>
      </c>
      <c r="F1629" t="s">
        <v>22</v>
      </c>
      <c r="G1629" t="s">
        <v>23</v>
      </c>
      <c r="H1629" t="s">
        <v>37</v>
      </c>
      <c r="I1629" t="s">
        <v>25</v>
      </c>
      <c r="J1629" s="2">
        <v>45838.70890046296</v>
      </c>
      <c r="K1629">
        <v>30</v>
      </c>
      <c r="L1629">
        <v>6</v>
      </c>
      <c r="M1629">
        <v>2025</v>
      </c>
      <c r="N1629" t="s">
        <v>27</v>
      </c>
      <c r="O1629">
        <v>200</v>
      </c>
      <c r="P1629">
        <v>200</v>
      </c>
      <c r="R1629" s="3" t="str">
        <f>HYPERLINK("https://panda.att.com.mx/ODKServer/view/binaryData?blobKey=FSSuministroFluidosv3%5B%40version%3Dnull+and+%40uiVersion%3Dnull%5D%2Fdata%5B%40key%3Duuid%3A0d050350-b00b-4e4d-ae96-43d5cfb4de23%5D%2FgroupInfoFuel%5B%40ordinal%3D1%5D%2FpicFuelRecibeInterno","Descargar")</f>
        <v>Descargar</v>
      </c>
    </row>
    <row r="1630" spans="1:18" x14ac:dyDescent="0.3">
      <c r="A1630">
        <v>1568451</v>
      </c>
      <c r="B1630" t="s">
        <v>18</v>
      </c>
      <c r="C1630" t="s">
        <v>19</v>
      </c>
      <c r="D1630" t="s">
        <v>20</v>
      </c>
      <c r="E1630" t="s">
        <v>143</v>
      </c>
      <c r="F1630" t="s">
        <v>22</v>
      </c>
      <c r="G1630" t="s">
        <v>23</v>
      </c>
      <c r="H1630" t="s">
        <v>24</v>
      </c>
      <c r="I1630" t="s">
        <v>25</v>
      </c>
      <c r="J1630" s="2">
        <v>45838.758437500001</v>
      </c>
      <c r="K1630">
        <v>30</v>
      </c>
      <c r="L1630">
        <v>6</v>
      </c>
      <c r="M1630">
        <v>2025</v>
      </c>
      <c r="N1630" t="s">
        <v>27</v>
      </c>
      <c r="O1630">
        <v>150</v>
      </c>
      <c r="P1630">
        <v>150</v>
      </c>
      <c r="R1630" s="3" t="str">
        <f>HYPERLINK("https://panda.att.com.mx/ODKServer/view/binaryData?blobKey=FSSuministroFluidosv3%5B%40version%3Dnull+and+%40uiVersion%3Dnull%5D%2Fdata%5B%40key%3Duuid%3A0699f7e5-a30c-422a-9056-6d7c58fa0738%5D%2FgroupInfoFuel%5B%40ordinal%3D1%5D%2FpicFuelRecibeInterno","Descargar")</f>
        <v>Descargar</v>
      </c>
    </row>
    <row r="1631" spans="1:18" x14ac:dyDescent="0.3">
      <c r="A1631">
        <v>1568357</v>
      </c>
      <c r="B1631" t="s">
        <v>18</v>
      </c>
      <c r="C1631" t="s">
        <v>28</v>
      </c>
      <c r="D1631" t="s">
        <v>467</v>
      </c>
      <c r="E1631" t="s">
        <v>1772</v>
      </c>
      <c r="F1631" t="s">
        <v>22</v>
      </c>
      <c r="G1631" t="s">
        <v>23</v>
      </c>
      <c r="H1631" t="s">
        <v>24</v>
      </c>
      <c r="I1631" t="s">
        <v>25</v>
      </c>
      <c r="J1631" s="2">
        <v>45838.723217592589</v>
      </c>
      <c r="K1631">
        <v>30</v>
      </c>
      <c r="L1631">
        <v>6</v>
      </c>
      <c r="M1631">
        <v>2025</v>
      </c>
      <c r="N1631" t="s">
        <v>27</v>
      </c>
      <c r="O1631">
        <v>450</v>
      </c>
      <c r="P1631">
        <v>450</v>
      </c>
      <c r="R1631" s="3" t="str">
        <f>HYPERLINK("https://panda.att.com.mx/ODKServer/view/binaryData?blobKey=FSSuministroFluidosv3%5B%40version%3Dnull+and+%40uiVersion%3Dnull%5D%2Fdata%5B%40key%3Duuid%3Ab0d1f99c-c962-4ee2-a1ab-67abdbca26e7%5D%2FgroupInfoFuel%5B%40ordinal%3D1%5D%2FpicFuelRecibeInterno","Descargar")</f>
        <v>Descargar</v>
      </c>
    </row>
    <row r="1632" spans="1:18" x14ac:dyDescent="0.3">
      <c r="A1632">
        <v>1568294</v>
      </c>
      <c r="B1632" t="s">
        <v>18</v>
      </c>
      <c r="C1632" t="s">
        <v>59</v>
      </c>
      <c r="D1632" t="s">
        <v>233</v>
      </c>
      <c r="E1632" t="s">
        <v>495</v>
      </c>
      <c r="F1632" t="s">
        <v>22</v>
      </c>
      <c r="G1632" t="s">
        <v>47</v>
      </c>
      <c r="H1632" t="s">
        <v>37</v>
      </c>
      <c r="I1632" t="s">
        <v>25</v>
      </c>
      <c r="J1632" s="2">
        <v>45838.632210648153</v>
      </c>
      <c r="K1632">
        <v>30</v>
      </c>
      <c r="L1632">
        <v>6</v>
      </c>
      <c r="M1632">
        <v>2025</v>
      </c>
      <c r="N1632" t="s">
        <v>27</v>
      </c>
      <c r="O1632">
        <v>300</v>
      </c>
      <c r="P1632">
        <v>300</v>
      </c>
      <c r="R1632" s="3" t="str">
        <f>HYPERLINK("https://panda.att.com.mx/ODKServer/view/binaryData?blobKey=FSSuministroFluidosv3%5B%40version%3Dnull+and+%40uiVersion%3Dnull%5D%2Fdata%5B%40key%3Duuid%3A6e3eff88-c0b9-4d67-a607-ff4e13d77d25%5D%2FgroupInfoFuel%5B%40ordinal%3D1%5D%2FpicFuelRecibeInterno","Descargar")</f>
        <v>Descargar</v>
      </c>
    </row>
    <row r="1633" spans="1:18" x14ac:dyDescent="0.3">
      <c r="A1633">
        <v>1568293</v>
      </c>
      <c r="B1633" t="s">
        <v>18</v>
      </c>
      <c r="C1633" t="s">
        <v>19</v>
      </c>
      <c r="D1633" t="s">
        <v>20</v>
      </c>
      <c r="E1633" t="s">
        <v>1773</v>
      </c>
      <c r="F1633" t="s">
        <v>22</v>
      </c>
      <c r="G1633" t="s">
        <v>23</v>
      </c>
      <c r="H1633" t="s">
        <v>24</v>
      </c>
      <c r="I1633" t="s">
        <v>25</v>
      </c>
      <c r="J1633" s="2">
        <v>45838.744930555556</v>
      </c>
      <c r="K1633">
        <v>30</v>
      </c>
      <c r="L1633">
        <v>6</v>
      </c>
      <c r="M1633">
        <v>2025</v>
      </c>
      <c r="N1633" t="s">
        <v>27</v>
      </c>
      <c r="O1633">
        <v>150</v>
      </c>
      <c r="P1633">
        <v>150</v>
      </c>
      <c r="R1633" s="3" t="str">
        <f>HYPERLINK("https://panda.att.com.mx/ODKServer/view/binaryData?blobKey=FSSuministroFluidosv3%5B%40version%3Dnull+and+%40uiVersion%3Dnull%5D%2Fdata%5B%40key%3Duuid%3A379363c8-7f43-4471-bf87-f62cbe51da45%5D%2FgroupInfoFuel%5B%40ordinal%3D1%5D%2FpicFuelRecibeInterno","Descargar")</f>
        <v>Descargar</v>
      </c>
    </row>
    <row r="1634" spans="1:18" x14ac:dyDescent="0.3">
      <c r="A1634">
        <v>1568225</v>
      </c>
      <c r="B1634" t="s">
        <v>18</v>
      </c>
      <c r="C1634" t="s">
        <v>19</v>
      </c>
      <c r="D1634" t="s">
        <v>170</v>
      </c>
      <c r="E1634" t="s">
        <v>609</v>
      </c>
      <c r="F1634" t="s">
        <v>22</v>
      </c>
      <c r="G1634" t="s">
        <v>23</v>
      </c>
      <c r="H1634" t="s">
        <v>24</v>
      </c>
      <c r="I1634" t="s">
        <v>25</v>
      </c>
      <c r="J1634" s="2">
        <v>45834.564641203702</v>
      </c>
      <c r="K1634">
        <v>26</v>
      </c>
      <c r="L1634">
        <v>6</v>
      </c>
      <c r="M1634">
        <v>2025</v>
      </c>
      <c r="N1634" t="s">
        <v>27</v>
      </c>
      <c r="O1634">
        <v>250</v>
      </c>
      <c r="P1634">
        <v>250</v>
      </c>
      <c r="R1634" s="3" t="str">
        <f>HYPERLINK("https://panda.att.com.mx/ODKServer/view/binaryData?blobKey=FSSuministroFluidosv3%5B%40version%3Dnull+and+%40uiVersion%3Dnull%5D%2Fdata%5B%40key%3Duuid%3A01792181-3186-4e67-b633-7a3691f4a5d2%5D%2FgroupInfoFuel%5B%40ordinal%3D1%5D%2FpicFuelRecibeInterno","Descargar")</f>
        <v>Descargar</v>
      </c>
    </row>
    <row r="1635" spans="1:18" x14ac:dyDescent="0.3">
      <c r="A1635">
        <v>1568208</v>
      </c>
      <c r="B1635" t="s">
        <v>18</v>
      </c>
      <c r="C1635" t="s">
        <v>19</v>
      </c>
      <c r="D1635" t="s">
        <v>20</v>
      </c>
      <c r="E1635" t="s">
        <v>1697</v>
      </c>
      <c r="F1635" t="s">
        <v>22</v>
      </c>
      <c r="G1635" t="s">
        <v>23</v>
      </c>
      <c r="H1635" t="s">
        <v>24</v>
      </c>
      <c r="I1635" t="s">
        <v>25</v>
      </c>
      <c r="J1635" s="2">
        <v>45836.709537037037</v>
      </c>
      <c r="K1635">
        <v>28</v>
      </c>
      <c r="L1635">
        <v>6</v>
      </c>
      <c r="M1635">
        <v>2025</v>
      </c>
      <c r="N1635" t="s">
        <v>27</v>
      </c>
      <c r="O1635">
        <v>150</v>
      </c>
      <c r="P1635">
        <v>150</v>
      </c>
      <c r="R1635" s="3" t="str">
        <f>HYPERLINK("https://panda.att.com.mx/ODKServer/view/binaryData?blobKey=FSSuministroFluidosv3%5B%40version%3Dnull+and+%40uiVersion%3Dnull%5D%2Fdata%5B%40key%3Duuid%3Afb7e39b0-48c4-4168-8376-e627a4e7fda8%5D%2FgroupInfoFuel%5B%40ordinal%3D1%5D%2FpicFuelRecibeInterno","Descargar")</f>
        <v>Descargar</v>
      </c>
    </row>
    <row r="1636" spans="1:18" x14ac:dyDescent="0.3">
      <c r="A1636">
        <v>1568178</v>
      </c>
      <c r="B1636" t="s">
        <v>18</v>
      </c>
      <c r="C1636" t="s">
        <v>19</v>
      </c>
      <c r="D1636" t="s">
        <v>45</v>
      </c>
      <c r="E1636" t="s">
        <v>1774</v>
      </c>
      <c r="F1636" t="s">
        <v>22</v>
      </c>
      <c r="G1636" t="s">
        <v>23</v>
      </c>
      <c r="H1636" t="s">
        <v>24</v>
      </c>
      <c r="I1636" t="s">
        <v>25</v>
      </c>
      <c r="J1636" s="2">
        <v>45838.700462962966</v>
      </c>
      <c r="K1636">
        <v>30</v>
      </c>
      <c r="L1636">
        <v>6</v>
      </c>
      <c r="M1636">
        <v>2025</v>
      </c>
      <c r="N1636" t="s">
        <v>27</v>
      </c>
      <c r="O1636">
        <v>200</v>
      </c>
      <c r="P1636">
        <v>200</v>
      </c>
      <c r="R1636" s="3" t="str">
        <f>HYPERLINK("https://panda.att.com.mx/ODKServer/view/binaryData?blobKey=FSSuministroFluidosv3%5B%40version%3Dnull+and+%40uiVersion%3Dnull%5D%2Fdata%5B%40key%3Duuid%3Ae52d8e08-4752-419b-9d1c-f42edff549e1%5D%2FgroupInfoFuel%5B%40ordinal%3D1%5D%2FpicFuelRecibeInterno","Descargar")</f>
        <v>Descargar</v>
      </c>
    </row>
    <row r="1637" spans="1:18" x14ac:dyDescent="0.3">
      <c r="A1637">
        <v>1568102</v>
      </c>
      <c r="B1637" t="s">
        <v>18</v>
      </c>
      <c r="C1637" t="s">
        <v>100</v>
      </c>
      <c r="D1637" t="s">
        <v>854</v>
      </c>
      <c r="E1637" t="s">
        <v>993</v>
      </c>
      <c r="F1637" t="s">
        <v>22</v>
      </c>
      <c r="G1637" t="s">
        <v>83</v>
      </c>
      <c r="H1637" t="s">
        <v>58</v>
      </c>
      <c r="I1637" t="s">
        <v>25</v>
      </c>
      <c r="J1637" s="2">
        <v>45838.492256944453</v>
      </c>
      <c r="K1637">
        <v>30</v>
      </c>
      <c r="L1637">
        <v>6</v>
      </c>
      <c r="M1637">
        <v>2025</v>
      </c>
      <c r="N1637" t="s">
        <v>27</v>
      </c>
      <c r="O1637">
        <v>200</v>
      </c>
      <c r="P1637">
        <v>200</v>
      </c>
      <c r="R1637" s="3" t="str">
        <f>HYPERLINK("https://panda.att.com.mx/ODKServer/view/binaryData?blobKey=FSSuministroFluidosv3%5B%40version%3Dnull+and+%40uiVersion%3Dnull%5D%2Fdata%5B%40key%3Duuid%3A6ee09c00-022c-43ef-85f7-4ecc7a45e84a%5D%2FgroupInfoFuel%5B%40ordinal%3D1%5D%2FpicFuelRecibeInterno","Descargar")</f>
        <v>Descargar</v>
      </c>
    </row>
    <row r="1638" spans="1:18" x14ac:dyDescent="0.3">
      <c r="A1638">
        <v>1568101</v>
      </c>
      <c r="B1638" t="s">
        <v>18</v>
      </c>
      <c r="C1638" t="s">
        <v>68</v>
      </c>
      <c r="D1638" t="s">
        <v>518</v>
      </c>
      <c r="E1638" t="s">
        <v>1775</v>
      </c>
      <c r="F1638" t="s">
        <v>22</v>
      </c>
      <c r="G1638" t="s">
        <v>23</v>
      </c>
      <c r="H1638" t="s">
        <v>37</v>
      </c>
      <c r="I1638" t="s">
        <v>25</v>
      </c>
      <c r="J1638" s="2">
        <v>45836.652662037042</v>
      </c>
      <c r="K1638">
        <v>28</v>
      </c>
      <c r="L1638">
        <v>6</v>
      </c>
      <c r="M1638">
        <v>2025</v>
      </c>
      <c r="N1638" t="s">
        <v>27</v>
      </c>
      <c r="O1638">
        <v>200</v>
      </c>
      <c r="P1638">
        <v>200</v>
      </c>
      <c r="R1638" s="3" t="str">
        <f>HYPERLINK("https://panda.att.com.mx/ODKServer/view/binaryData?blobKey=FSSuministroFluidosv3%5B%40version%3Dnull+and+%40uiVersion%3Dnull%5D%2Fdata%5B%40key%3Duuid%3A38bc1c20-805e-45cf-8147-9993897b7015%5D%2FgroupInfoFuel%5B%40ordinal%3D1%5D%2FpicFuelRecibeInterno","Descargar")</f>
        <v>Descargar</v>
      </c>
    </row>
    <row r="1639" spans="1:18" x14ac:dyDescent="0.3">
      <c r="A1639">
        <v>1568089</v>
      </c>
      <c r="B1639" t="s">
        <v>18</v>
      </c>
      <c r="C1639" t="s">
        <v>19</v>
      </c>
      <c r="D1639" t="s">
        <v>45</v>
      </c>
      <c r="E1639" t="s">
        <v>1776</v>
      </c>
      <c r="F1639" t="s">
        <v>22</v>
      </c>
      <c r="G1639" t="s">
        <v>23</v>
      </c>
      <c r="H1639" t="s">
        <v>24</v>
      </c>
      <c r="I1639" t="s">
        <v>25</v>
      </c>
      <c r="J1639" s="2">
        <v>45838.663275462961</v>
      </c>
      <c r="K1639">
        <v>30</v>
      </c>
      <c r="L1639">
        <v>6</v>
      </c>
      <c r="M1639">
        <v>2025</v>
      </c>
      <c r="N1639" t="s">
        <v>27</v>
      </c>
      <c r="O1639">
        <v>200</v>
      </c>
      <c r="P1639">
        <v>200</v>
      </c>
      <c r="R1639" s="3" t="str">
        <f>HYPERLINK("https://panda.att.com.mx/ODKServer/view/binaryData?blobKey=FSSuministroFluidosv3%5B%40version%3Dnull+and+%40uiVersion%3Dnull%5D%2Fdata%5B%40key%3Duuid%3A943aed08-df3e-4f1e-929b-756879392085%5D%2FgroupInfoFuel%5B%40ordinal%3D1%5D%2FpicFuelRecibeInterno","Descargar")</f>
        <v>Descargar</v>
      </c>
    </row>
    <row r="1640" spans="1:18" x14ac:dyDescent="0.3">
      <c r="A1640">
        <v>1568071</v>
      </c>
      <c r="B1640" t="s">
        <v>18</v>
      </c>
      <c r="C1640" t="s">
        <v>68</v>
      </c>
      <c r="D1640" t="s">
        <v>518</v>
      </c>
      <c r="E1640" t="s">
        <v>1777</v>
      </c>
      <c r="F1640" t="s">
        <v>33</v>
      </c>
      <c r="G1640" t="s">
        <v>23</v>
      </c>
      <c r="H1640" t="s">
        <v>37</v>
      </c>
      <c r="I1640" t="s">
        <v>25</v>
      </c>
      <c r="J1640" s="2">
        <v>45836.337673611109</v>
      </c>
      <c r="K1640">
        <v>28</v>
      </c>
      <c r="L1640">
        <v>6</v>
      </c>
      <c r="M1640">
        <v>2025</v>
      </c>
      <c r="N1640" t="s">
        <v>27</v>
      </c>
      <c r="O1640">
        <v>200</v>
      </c>
      <c r="P1640">
        <v>200</v>
      </c>
      <c r="R1640" s="3" t="str">
        <f>HYPERLINK("https://panda.att.com.mx/ODKServer/view/binaryData?blobKey=FSSuministroFluidosv3%5B%40version%3Dnull+and+%40uiVersion%3Dnull%5D%2Fdata%5B%40key%3Duuid%3A9378ce8b-d047-4e7b-a85a-47799cf4ca51%5D%2FgroupInfoFuel%5B%40ordinal%3D1%5D%2FpicFuelRecibeInterno","Descargar")</f>
        <v>Descargar</v>
      </c>
    </row>
    <row r="1641" spans="1:18" x14ac:dyDescent="0.3">
      <c r="A1641">
        <v>1567985</v>
      </c>
      <c r="B1641" t="s">
        <v>18</v>
      </c>
      <c r="C1641" t="s">
        <v>19</v>
      </c>
      <c r="D1641" t="s">
        <v>170</v>
      </c>
      <c r="E1641" t="s">
        <v>171</v>
      </c>
      <c r="F1641" t="s">
        <v>22</v>
      </c>
      <c r="G1641" t="s">
        <v>23</v>
      </c>
      <c r="H1641" t="s">
        <v>24</v>
      </c>
      <c r="I1641" t="s">
        <v>25</v>
      </c>
      <c r="J1641" s="2">
        <v>45828.800335648149</v>
      </c>
      <c r="K1641">
        <v>20</v>
      </c>
      <c r="L1641">
        <v>6</v>
      </c>
      <c r="M1641">
        <v>2025</v>
      </c>
      <c r="N1641" t="s">
        <v>27</v>
      </c>
      <c r="O1641">
        <v>400</v>
      </c>
      <c r="P1641">
        <v>400</v>
      </c>
      <c r="R1641" s="3" t="str">
        <f>HYPERLINK("https://panda.att.com.mx/ODKServer/view/binaryData?blobKey=FSSuministroFluidosv3%5B%40version%3Dnull+and+%40uiVersion%3Dnull%5D%2Fdata%5B%40key%3Duuid%3A45675b12-bd42-4480-9b1b-1dac11da2723%5D%2FgroupInfoFuel%5B%40ordinal%3D1%5D%2FpicFuelRecibeInterno","Descargar")</f>
        <v>Descargar</v>
      </c>
    </row>
    <row r="1642" spans="1:18" x14ac:dyDescent="0.3">
      <c r="A1642">
        <v>1567939</v>
      </c>
      <c r="B1642" t="s">
        <v>18</v>
      </c>
      <c r="C1642" t="s">
        <v>19</v>
      </c>
      <c r="D1642" t="s">
        <v>170</v>
      </c>
      <c r="E1642" t="s">
        <v>171</v>
      </c>
      <c r="F1642" t="s">
        <v>22</v>
      </c>
      <c r="G1642" t="s">
        <v>23</v>
      </c>
      <c r="H1642" t="s">
        <v>24</v>
      </c>
      <c r="I1642" t="s">
        <v>25</v>
      </c>
      <c r="J1642" s="2">
        <v>45825.480995370373</v>
      </c>
      <c r="K1642">
        <v>17</v>
      </c>
      <c r="L1642">
        <v>6</v>
      </c>
      <c r="M1642">
        <v>2025</v>
      </c>
      <c r="N1642" t="s">
        <v>27</v>
      </c>
      <c r="O1642">
        <v>400</v>
      </c>
      <c r="P1642">
        <v>400</v>
      </c>
      <c r="R1642" s="3" t="str">
        <f>HYPERLINK("https://panda.att.com.mx/ODKServer/view/binaryData?blobKey=FSSuministroFluidosv3%5B%40version%3Dnull+and+%40uiVersion%3Dnull%5D%2Fdata%5B%40key%3Duuid%3Aa9e66149-11be-465a-b19e-f6a295cb05b4%5D%2FgroupInfoFuel%5B%40ordinal%3D1%5D%2FpicFuelRecibeInterno","Descargar")</f>
        <v>Descargar</v>
      </c>
    </row>
    <row r="1643" spans="1:18" x14ac:dyDescent="0.3">
      <c r="A1643">
        <v>1567910</v>
      </c>
      <c r="B1643" t="s">
        <v>18</v>
      </c>
      <c r="C1643" t="s">
        <v>59</v>
      </c>
      <c r="D1643" t="s">
        <v>1242</v>
      </c>
      <c r="E1643" t="s">
        <v>1513</v>
      </c>
      <c r="F1643" t="s">
        <v>22</v>
      </c>
      <c r="G1643" t="s">
        <v>47</v>
      </c>
      <c r="H1643" t="s">
        <v>37</v>
      </c>
      <c r="I1643" t="s">
        <v>25</v>
      </c>
      <c r="J1643" s="2">
        <v>45838.450150462973</v>
      </c>
      <c r="K1643">
        <v>30</v>
      </c>
      <c r="L1643">
        <v>6</v>
      </c>
      <c r="M1643">
        <v>2025</v>
      </c>
      <c r="N1643" t="s">
        <v>27</v>
      </c>
      <c r="O1643">
        <v>400</v>
      </c>
      <c r="P1643">
        <v>400</v>
      </c>
      <c r="R1643" s="3" t="str">
        <f>HYPERLINK("https://panda.att.com.mx/ODKServer/view/binaryData?blobKey=FSSuministroFluidosv3%5B%40version%3Dnull+and+%40uiVersion%3Dnull%5D%2Fdata%5B%40key%3Duuid%3Ae4863171-de92-4c7b-9e2a-4f616571daaf%5D%2FgroupInfoFuel%5B%40ordinal%3D1%5D%2FpicFuelRecibeInterno","Descargar")</f>
        <v>Descargar</v>
      </c>
    </row>
    <row r="1644" spans="1:18" x14ac:dyDescent="0.3">
      <c r="A1644">
        <v>1567903</v>
      </c>
      <c r="B1644" t="s">
        <v>18</v>
      </c>
      <c r="C1644" t="s">
        <v>68</v>
      </c>
      <c r="D1644" t="s">
        <v>69</v>
      </c>
      <c r="E1644" t="s">
        <v>70</v>
      </c>
      <c r="F1644" t="s">
        <v>22</v>
      </c>
      <c r="G1644" t="s">
        <v>23</v>
      </c>
      <c r="H1644" t="s">
        <v>37</v>
      </c>
      <c r="I1644" t="s">
        <v>25</v>
      </c>
      <c r="J1644" s="2">
        <v>45837.702546296299</v>
      </c>
      <c r="K1644">
        <v>29</v>
      </c>
      <c r="L1644">
        <v>6</v>
      </c>
      <c r="M1644">
        <v>2025</v>
      </c>
      <c r="N1644" t="s">
        <v>27</v>
      </c>
      <c r="O1644">
        <v>180</v>
      </c>
      <c r="P1644">
        <v>180</v>
      </c>
      <c r="R1644" s="3" t="str">
        <f>HYPERLINK("https://panda.att.com.mx/ODKServer/view/binaryData?blobKey=FSSuministroFluidosv3%5B%40version%3Dnull+and+%40uiVersion%3Dnull%5D%2Fdata%5B%40key%3Duuid%3A60b9d757-3d3e-4501-9289-63192c8fb7b5%5D%2FgroupInfoFuel%5B%40ordinal%3D1%5D%2FpicFuelRecibeInterno","Descargar")</f>
        <v>Descargar</v>
      </c>
    </row>
    <row r="1645" spans="1:18" x14ac:dyDescent="0.3">
      <c r="A1645">
        <v>1567830</v>
      </c>
      <c r="B1645" t="s">
        <v>18</v>
      </c>
      <c r="C1645" t="s">
        <v>150</v>
      </c>
      <c r="D1645" t="s">
        <v>154</v>
      </c>
      <c r="E1645" t="s">
        <v>954</v>
      </c>
      <c r="F1645" t="s">
        <v>22</v>
      </c>
      <c r="G1645" t="s">
        <v>23</v>
      </c>
      <c r="H1645" t="s">
        <v>58</v>
      </c>
      <c r="I1645" t="s">
        <v>25</v>
      </c>
      <c r="J1645" s="2">
        <v>45838.337523148148</v>
      </c>
      <c r="K1645">
        <v>30</v>
      </c>
      <c r="L1645">
        <v>6</v>
      </c>
      <c r="M1645">
        <v>2025</v>
      </c>
      <c r="N1645" t="s">
        <v>27</v>
      </c>
      <c r="O1645">
        <v>400</v>
      </c>
      <c r="P1645">
        <v>400</v>
      </c>
      <c r="R1645" s="3" t="str">
        <f>HYPERLINK("https://panda.att.com.mx/ODKServer/view/binaryData?blobKey=FSSuministroFluidosv3%5B%40version%3Dnull+and+%40uiVersion%3Dnull%5D%2Fdata%5B%40key%3Duuid%3A4fbf9540-d5b0-46f2-a69e-2ec94b330d8b%5D%2FgroupInfoFuel%5B%40ordinal%3D1%5D%2FpicFuelRecibeInterno","Descargar")</f>
        <v>Descargar</v>
      </c>
    </row>
    <row r="1646" spans="1:18" x14ac:dyDescent="0.3">
      <c r="A1646">
        <v>1567792</v>
      </c>
      <c r="B1646" t="s">
        <v>18</v>
      </c>
      <c r="C1646" t="s">
        <v>28</v>
      </c>
      <c r="D1646" t="s">
        <v>1036</v>
      </c>
      <c r="E1646" t="s">
        <v>1698</v>
      </c>
      <c r="F1646" t="s">
        <v>22</v>
      </c>
      <c r="G1646" t="s">
        <v>47</v>
      </c>
      <c r="H1646" t="s">
        <v>24</v>
      </c>
      <c r="I1646" t="s">
        <v>25</v>
      </c>
      <c r="J1646" s="2">
        <v>45827.031504629631</v>
      </c>
      <c r="K1646">
        <v>19</v>
      </c>
      <c r="L1646">
        <v>6</v>
      </c>
      <c r="M1646">
        <v>2025</v>
      </c>
      <c r="N1646" t="s">
        <v>27</v>
      </c>
      <c r="O1646">
        <v>100</v>
      </c>
      <c r="P1646">
        <v>100</v>
      </c>
      <c r="R1646" s="3" t="str">
        <f>HYPERLINK("https://panda.att.com.mx/ODKServer/view/binaryData?blobKey=FSSuministroFluidosv3%5B%40version%3Dnull+and+%40uiVersion%3Dnull%5D%2Fdata%5B%40key%3Duuid%3A06a10be9-d437-46e9-aecb-978e867e5dba%5D%2FgroupInfoFuel%5B%40ordinal%3D1%5D%2FpicFuelRecibeInterno","Descargar")</f>
        <v>Descargar</v>
      </c>
    </row>
    <row r="1647" spans="1:18" x14ac:dyDescent="0.3">
      <c r="A1647">
        <v>1567782</v>
      </c>
      <c r="B1647" t="s">
        <v>18</v>
      </c>
      <c r="C1647" t="s">
        <v>55</v>
      </c>
      <c r="D1647" t="s">
        <v>56</v>
      </c>
      <c r="E1647" t="s">
        <v>1778</v>
      </c>
      <c r="F1647" t="s">
        <v>22</v>
      </c>
      <c r="G1647" t="s">
        <v>23</v>
      </c>
      <c r="H1647" t="s">
        <v>58</v>
      </c>
      <c r="I1647" t="s">
        <v>25</v>
      </c>
      <c r="J1647" s="2">
        <v>45835.679699074077</v>
      </c>
      <c r="K1647">
        <v>27</v>
      </c>
      <c r="L1647">
        <v>6</v>
      </c>
      <c r="M1647">
        <v>2025</v>
      </c>
      <c r="N1647" t="s">
        <v>27</v>
      </c>
      <c r="O1647">
        <v>100</v>
      </c>
      <c r="P1647">
        <v>100</v>
      </c>
      <c r="R1647" s="3" t="str">
        <f>HYPERLINK("https://panda.att.com.mx/ODKServer/view/binaryData?blobKey=FSSuministroFluidosv3%5B%40version%3Dnull+and+%40uiVersion%3Dnull%5D%2Fdata%5B%40key%3Duuid%3Ad2f265de-d6b3-44a8-b735-28713c9f66f5%5D%2FgroupInfoFuel%5B%40ordinal%3D1%5D%2FpicFuelRecibeInterno","Descargar")</f>
        <v>Descargar</v>
      </c>
    </row>
    <row r="1648" spans="1:18" x14ac:dyDescent="0.3">
      <c r="A1648">
        <v>1567764</v>
      </c>
      <c r="B1648" t="s">
        <v>18</v>
      </c>
      <c r="C1648" t="s">
        <v>28</v>
      </c>
      <c r="D1648" t="s">
        <v>429</v>
      </c>
      <c r="E1648" t="s">
        <v>430</v>
      </c>
      <c r="F1648" t="s">
        <v>22</v>
      </c>
      <c r="G1648" t="s">
        <v>23</v>
      </c>
      <c r="H1648" t="s">
        <v>24</v>
      </c>
      <c r="I1648" t="s">
        <v>25</v>
      </c>
      <c r="J1648" s="2">
        <v>45838.398043981477</v>
      </c>
      <c r="K1648">
        <v>30</v>
      </c>
      <c r="L1648">
        <v>6</v>
      </c>
      <c r="M1648">
        <v>2025</v>
      </c>
      <c r="N1648" t="s">
        <v>44</v>
      </c>
      <c r="O1648">
        <v>20</v>
      </c>
      <c r="Q1648">
        <v>20</v>
      </c>
      <c r="R1648" s="3" t="str">
        <f>HYPERLINK("https://panda.att.com.mx/ODKServer/view/binaryData?blobKey=FSSuministroFluidosv3%5B%40version%3Dnull+and+%40uiVersion%3Dnull%5D%2Fdata%5B%40key%3Duuid%3A7e00d782-ab92-4b9b-b5df-00d15f6e8a82%5D%2FgroupInfoFuel%5B%40ordinal%3D1%5D%2FpicFuelRecibeInterno","Descargar")</f>
        <v>Descargar</v>
      </c>
    </row>
    <row r="1649" spans="1:18" x14ac:dyDescent="0.3">
      <c r="A1649">
        <v>1567757</v>
      </c>
      <c r="B1649" t="s">
        <v>18</v>
      </c>
      <c r="C1649" t="s">
        <v>28</v>
      </c>
      <c r="D1649" t="s">
        <v>429</v>
      </c>
      <c r="E1649" t="s">
        <v>430</v>
      </c>
      <c r="F1649" t="s">
        <v>22</v>
      </c>
      <c r="G1649" t="s">
        <v>23</v>
      </c>
      <c r="H1649" t="s">
        <v>24</v>
      </c>
      <c r="I1649" t="s">
        <v>25</v>
      </c>
      <c r="J1649" s="2">
        <v>45838.488055555557</v>
      </c>
      <c r="K1649">
        <v>30</v>
      </c>
      <c r="L1649">
        <v>6</v>
      </c>
      <c r="M1649">
        <v>2025</v>
      </c>
      <c r="N1649" t="s">
        <v>44</v>
      </c>
      <c r="O1649">
        <v>60</v>
      </c>
      <c r="Q1649">
        <v>60</v>
      </c>
      <c r="R1649" s="3" t="str">
        <f>HYPERLINK("https://panda.att.com.mx/ODKServer/view/binaryData?blobKey=FSSuministroFluidosv3%5B%40version%3Dnull+and+%40uiVersion%3Dnull%5D%2Fdata%5B%40key%3Duuid%3A1cb9c918-5223-4442-85aa-d0cdf72fbdd6%5D%2FgroupInfoFuel%5B%40ordinal%3D1%5D%2FpicFuelRecibeInterno","Descargar")</f>
        <v>Descargar</v>
      </c>
    </row>
    <row r="1650" spans="1:18" x14ac:dyDescent="0.3">
      <c r="A1650">
        <v>1567725</v>
      </c>
      <c r="B1650" t="s">
        <v>18</v>
      </c>
      <c r="C1650" t="s">
        <v>59</v>
      </c>
      <c r="D1650" t="s">
        <v>233</v>
      </c>
      <c r="E1650" t="s">
        <v>935</v>
      </c>
      <c r="F1650" t="s">
        <v>22</v>
      </c>
      <c r="G1650" t="s">
        <v>47</v>
      </c>
      <c r="H1650" t="s">
        <v>37</v>
      </c>
      <c r="I1650" t="s">
        <v>25</v>
      </c>
      <c r="J1650" s="2">
        <v>45835.527314814812</v>
      </c>
      <c r="K1650">
        <v>27</v>
      </c>
      <c r="L1650">
        <v>6</v>
      </c>
      <c r="M1650">
        <v>2025</v>
      </c>
      <c r="N1650" t="s">
        <v>27</v>
      </c>
      <c r="O1650">
        <v>50</v>
      </c>
      <c r="P1650">
        <v>50</v>
      </c>
      <c r="R1650" s="3" t="str">
        <f>HYPERLINK("https://panda.att.com.mx/ODKServer/view/binaryData?blobKey=FSSuministroFluidosv3%5B%40version%3Dnull+and+%40uiVersion%3Dnull%5D%2Fdata%5B%40key%3Duuid%3A5f0ba1ec-713a-4fca-a4b4-02333414bd16%5D%2FgroupInfoFuel%5B%40ordinal%3D1%5D%2FpicFuelRecibeInterno","Descargar")</f>
        <v>Descargar</v>
      </c>
    </row>
    <row r="1651" spans="1:18" x14ac:dyDescent="0.3">
      <c r="A1651">
        <v>1567642</v>
      </c>
      <c r="B1651" t="s">
        <v>18</v>
      </c>
      <c r="C1651" t="s">
        <v>19</v>
      </c>
      <c r="D1651" t="s">
        <v>45</v>
      </c>
      <c r="E1651" t="s">
        <v>1779</v>
      </c>
      <c r="F1651" t="s">
        <v>22</v>
      </c>
      <c r="G1651" t="s">
        <v>23</v>
      </c>
      <c r="H1651" t="s">
        <v>24</v>
      </c>
      <c r="I1651" t="s">
        <v>25</v>
      </c>
      <c r="J1651" s="2">
        <v>45832.753229166658</v>
      </c>
      <c r="K1651">
        <v>24</v>
      </c>
      <c r="L1651">
        <v>6</v>
      </c>
      <c r="M1651">
        <v>2025</v>
      </c>
      <c r="N1651" t="s">
        <v>27</v>
      </c>
      <c r="O1651">
        <v>300</v>
      </c>
      <c r="P1651">
        <v>300</v>
      </c>
      <c r="R1651" s="3" t="str">
        <f>HYPERLINK("https://panda.att.com.mx/ODKServer/view/binaryData?blobKey=FSSuministroFluidosv3%5B%40version%3Dnull+and+%40uiVersion%3Dnull%5D%2Fdata%5B%40key%3Duuid%3A1b45dae5-6cd8-4401-9b0e-28b9e4969323%5D%2FgroupInfoFuel%5B%40ordinal%3D1%5D%2FpicFuelRecibeInterno","Descargar")</f>
        <v>Descargar</v>
      </c>
    </row>
    <row r="1652" spans="1:18" x14ac:dyDescent="0.3">
      <c r="A1652">
        <v>1567585</v>
      </c>
      <c r="B1652" t="s">
        <v>18</v>
      </c>
      <c r="C1652" t="s">
        <v>68</v>
      </c>
      <c r="D1652" t="s">
        <v>132</v>
      </c>
      <c r="E1652" t="s">
        <v>1780</v>
      </c>
      <c r="F1652" t="s">
        <v>22</v>
      </c>
      <c r="G1652" t="s">
        <v>23</v>
      </c>
      <c r="H1652" t="s">
        <v>37</v>
      </c>
      <c r="I1652" t="s">
        <v>25</v>
      </c>
      <c r="J1652" s="2">
        <v>45838.411099537043</v>
      </c>
      <c r="K1652">
        <v>30</v>
      </c>
      <c r="L1652">
        <v>6</v>
      </c>
      <c r="M1652">
        <v>2025</v>
      </c>
      <c r="N1652" t="s">
        <v>27</v>
      </c>
      <c r="O1652">
        <v>200</v>
      </c>
      <c r="P1652">
        <v>200</v>
      </c>
      <c r="R1652" s="3" t="str">
        <f>HYPERLINK("https://panda.att.com.mx/ODKServer/view/binaryData?blobKey=FSSuministroFluidosv3%5B%40version%3Dnull+and+%40uiVersion%3Dnull%5D%2Fdata%5B%40key%3Duuid%3Aa475c095-e7e5-414b-b62f-964012a20ac7%5D%2FgroupInfoFuel%5B%40ordinal%3D1%5D%2FpicFuelRecibeInterno","Descargar")</f>
        <v>Descargar</v>
      </c>
    </row>
    <row r="1653" spans="1:18" x14ac:dyDescent="0.3">
      <c r="A1653">
        <v>1567560</v>
      </c>
      <c r="B1653" t="s">
        <v>18</v>
      </c>
      <c r="C1653" t="s">
        <v>55</v>
      </c>
      <c r="D1653" t="s">
        <v>56</v>
      </c>
      <c r="E1653" t="s">
        <v>1476</v>
      </c>
      <c r="F1653" t="s">
        <v>22</v>
      </c>
      <c r="G1653" t="s">
        <v>23</v>
      </c>
      <c r="H1653" t="s">
        <v>1781</v>
      </c>
      <c r="I1653" t="s">
        <v>25</v>
      </c>
      <c r="J1653" s="2">
        <v>45838.399594907409</v>
      </c>
      <c r="K1653">
        <v>30</v>
      </c>
      <c r="L1653">
        <v>6</v>
      </c>
      <c r="M1653">
        <v>2025</v>
      </c>
      <c r="N1653" t="s">
        <v>27</v>
      </c>
      <c r="O1653">
        <v>158</v>
      </c>
      <c r="P1653">
        <v>158</v>
      </c>
      <c r="R1653" s="3" t="str">
        <f>HYPERLINK("https://panda.att.com.mx/ODKServer/view/binaryData?blobKey=FSSuministroFluidosv3%5B%40version%3Dnull+and+%40uiVersion%3Dnull%5D%2Fdata%5B%40key%3Duuid%3A25a9a478-4411-422e-9e20-dd576882f97f%5D%2FgroupInfoFuel%5B%40ordinal%3D1%5D%2FpicFuelRecibeInterno","Descargar")</f>
        <v>Descargar</v>
      </c>
    </row>
    <row r="1654" spans="1:18" x14ac:dyDescent="0.3">
      <c r="A1654">
        <v>1567544</v>
      </c>
      <c r="B1654" t="s">
        <v>18</v>
      </c>
      <c r="C1654" t="s">
        <v>19</v>
      </c>
      <c r="D1654" t="s">
        <v>45</v>
      </c>
      <c r="E1654" t="s">
        <v>1782</v>
      </c>
      <c r="F1654" t="s">
        <v>22</v>
      </c>
      <c r="G1654" t="s">
        <v>23</v>
      </c>
      <c r="H1654" t="s">
        <v>24</v>
      </c>
      <c r="I1654" t="s">
        <v>25</v>
      </c>
      <c r="J1654" s="2">
        <v>45838.383043981477</v>
      </c>
      <c r="K1654">
        <v>30</v>
      </c>
      <c r="L1654">
        <v>6</v>
      </c>
      <c r="M1654">
        <v>2025</v>
      </c>
      <c r="N1654" t="s">
        <v>27</v>
      </c>
      <c r="O1654">
        <v>300</v>
      </c>
      <c r="P1654">
        <v>300</v>
      </c>
      <c r="R1654" s="3" t="str">
        <f>HYPERLINK("https://panda.att.com.mx/ODKServer/view/binaryData?blobKey=FSSuministroFluidosv3%5B%40version%3Dnull+and+%40uiVersion%3Dnull%5D%2Fdata%5B%40key%3Duuid%3A0310ab91-fc4b-4a56-a2b3-b07c55cd96d6%5D%2FgroupInfoFuel%5B%40ordinal%3D1%5D%2FpicFuelRecibeInterno","Descargar")</f>
        <v>Descargar</v>
      </c>
    </row>
    <row r="1655" spans="1:18" x14ac:dyDescent="0.3">
      <c r="A1655">
        <v>1567482</v>
      </c>
      <c r="B1655" t="s">
        <v>18</v>
      </c>
      <c r="C1655" t="s">
        <v>28</v>
      </c>
      <c r="D1655" t="s">
        <v>181</v>
      </c>
      <c r="E1655" t="s">
        <v>277</v>
      </c>
      <c r="F1655" t="s">
        <v>22</v>
      </c>
      <c r="G1655" t="s">
        <v>23</v>
      </c>
      <c r="H1655" t="s">
        <v>24</v>
      </c>
      <c r="I1655" t="s">
        <v>25</v>
      </c>
      <c r="J1655" s="2">
        <v>45837.59302083333</v>
      </c>
      <c r="K1655">
        <v>29</v>
      </c>
      <c r="L1655">
        <v>6</v>
      </c>
      <c r="M1655">
        <v>2025</v>
      </c>
      <c r="N1655" t="s">
        <v>44</v>
      </c>
      <c r="O1655">
        <v>20</v>
      </c>
      <c r="P1655">
        <v>20</v>
      </c>
      <c r="R1655" s="3" t="str">
        <f>HYPERLINK("https://panda.att.com.mx/ODKServer/view/binaryData?blobKey=FSSuministroFluidosv3%5B%40version%3Dnull+and+%40uiVersion%3Dnull%5D%2Fdata%5B%40key%3Duuid%3A16afe904-2290-4fde-98ef-ff0b639eba4d%5D%2FgroupInfoFuel%5B%40ordinal%3D1%5D%2FpicFuelRecibeInterno","Descargar")</f>
        <v>Descargar</v>
      </c>
    </row>
    <row r="1656" spans="1:18" x14ac:dyDescent="0.3">
      <c r="A1656">
        <v>1567480</v>
      </c>
      <c r="B1656" t="s">
        <v>18</v>
      </c>
      <c r="C1656" t="s">
        <v>28</v>
      </c>
      <c r="D1656" t="s">
        <v>181</v>
      </c>
      <c r="E1656" t="s">
        <v>1783</v>
      </c>
      <c r="F1656" t="s">
        <v>22</v>
      </c>
      <c r="G1656" t="s">
        <v>23</v>
      </c>
      <c r="H1656" t="s">
        <v>24</v>
      </c>
      <c r="I1656" t="s">
        <v>25</v>
      </c>
      <c r="J1656" s="2">
        <v>45823.63208333333</v>
      </c>
      <c r="K1656">
        <v>15</v>
      </c>
      <c r="L1656">
        <v>6</v>
      </c>
      <c r="M1656">
        <v>2025</v>
      </c>
      <c r="N1656" t="s">
        <v>44</v>
      </c>
      <c r="O1656">
        <v>30</v>
      </c>
      <c r="P1656">
        <v>30</v>
      </c>
      <c r="R1656" s="3" t="str">
        <f>HYPERLINK("https://panda.att.com.mx/ODKServer/view/binaryData?blobKey=FSSuministroFluidosv3%5B%40version%3Dnull+and+%40uiVersion%3Dnull%5D%2Fdata%5B%40key%3Duuid%3A49910058-e1f9-47b5-b269-3760d0779830%5D%2FgroupInfoFuel%5B%40ordinal%3D1%5D%2FpicFuelRecibeInterno","Descargar")</f>
        <v>Descargar</v>
      </c>
    </row>
    <row r="1657" spans="1:18" x14ac:dyDescent="0.3">
      <c r="A1657">
        <v>1567461</v>
      </c>
      <c r="B1657" t="s">
        <v>18</v>
      </c>
      <c r="C1657" t="s">
        <v>59</v>
      </c>
      <c r="D1657" t="s">
        <v>1242</v>
      </c>
      <c r="E1657" t="s">
        <v>1513</v>
      </c>
      <c r="F1657" t="s">
        <v>22</v>
      </c>
      <c r="G1657" t="s">
        <v>47</v>
      </c>
      <c r="H1657" t="s">
        <v>37</v>
      </c>
      <c r="I1657" t="s">
        <v>25</v>
      </c>
      <c r="J1657" s="2">
        <v>45835.525335648148</v>
      </c>
      <c r="K1657">
        <v>27</v>
      </c>
      <c r="L1657">
        <v>6</v>
      </c>
      <c r="M1657">
        <v>2025</v>
      </c>
      <c r="N1657" t="s">
        <v>27</v>
      </c>
      <c r="O1657">
        <v>300</v>
      </c>
      <c r="P1657">
        <v>300</v>
      </c>
      <c r="R1657" s="3" t="str">
        <f>HYPERLINK("https://panda.att.com.mx/ODKServer/view/binaryData?blobKey=FSSuministroFluidosv3%5B%40version%3Dnull+and+%40uiVersion%3Dnull%5D%2Fdata%5B%40key%3Duuid%3A0166a02f-5d73-4909-93bd-f82f62bb2da0%5D%2FgroupInfoFuel%5B%40ordinal%3D1%5D%2FpicFuelRecibeInterno","Descargar")</f>
        <v>Descargar</v>
      </c>
    </row>
    <row r="1658" spans="1:18" x14ac:dyDescent="0.3">
      <c r="A1658">
        <v>1567442</v>
      </c>
      <c r="B1658" t="s">
        <v>18</v>
      </c>
      <c r="C1658" t="s">
        <v>19</v>
      </c>
      <c r="D1658" t="s">
        <v>45</v>
      </c>
      <c r="E1658" t="s">
        <v>1478</v>
      </c>
      <c r="F1658" t="s">
        <v>22</v>
      </c>
      <c r="G1658" t="s">
        <v>23</v>
      </c>
      <c r="H1658" t="s">
        <v>24</v>
      </c>
      <c r="I1658" t="s">
        <v>25</v>
      </c>
      <c r="J1658" s="2">
        <v>45833.784768518519</v>
      </c>
      <c r="K1658">
        <v>25</v>
      </c>
      <c r="L1658">
        <v>6</v>
      </c>
      <c r="M1658">
        <v>2025</v>
      </c>
      <c r="N1658" t="s">
        <v>27</v>
      </c>
      <c r="O1658">
        <v>300</v>
      </c>
      <c r="P1658">
        <v>300</v>
      </c>
      <c r="R1658" s="3" t="str">
        <f>HYPERLINK("https://panda.att.com.mx/ODKServer/view/binaryData?blobKey=FSSuministroFluidosv3%5B%40version%3Dnull+and+%40uiVersion%3Dnull%5D%2Fdata%5B%40key%3Duuid%3A2ae6cada-511c-4001-bcf9-c086015a61bb%5D%2FgroupInfoFuel%5B%40ordinal%3D1%5D%2FpicFuelRecibeInterno","Descargar")</f>
        <v>Descargar</v>
      </c>
    </row>
    <row r="1659" spans="1:18" x14ac:dyDescent="0.3">
      <c r="A1659">
        <v>1567437</v>
      </c>
      <c r="B1659" t="s">
        <v>18</v>
      </c>
      <c r="C1659" t="s">
        <v>28</v>
      </c>
      <c r="D1659" t="s">
        <v>429</v>
      </c>
      <c r="E1659" t="s">
        <v>430</v>
      </c>
      <c r="F1659" t="s">
        <v>22</v>
      </c>
      <c r="G1659" t="s">
        <v>23</v>
      </c>
      <c r="H1659" t="s">
        <v>24</v>
      </c>
      <c r="I1659" t="s">
        <v>25</v>
      </c>
      <c r="J1659" s="2">
        <v>45837.921215277784</v>
      </c>
      <c r="K1659">
        <v>29</v>
      </c>
      <c r="L1659">
        <v>6</v>
      </c>
      <c r="M1659">
        <v>2025</v>
      </c>
      <c r="N1659" t="s">
        <v>44</v>
      </c>
      <c r="O1659">
        <v>60</v>
      </c>
      <c r="Q1659">
        <v>60</v>
      </c>
      <c r="R1659" s="3" t="str">
        <f>HYPERLINK("https://panda.att.com.mx/ODKServer/view/binaryData?blobKey=FSSuministroFluidosv3%5B%40version%3Dnull+and+%40uiVersion%3Dnull%5D%2Fdata%5B%40key%3Duuid%3A0c05ffe6-8962-4bc3-bc3e-b46475a0f10c%5D%2FgroupInfoFuel%5B%40ordinal%3D1%5D%2FpicFuelRecibeInterno","Descargar")</f>
        <v>Descargar</v>
      </c>
    </row>
    <row r="1660" spans="1:18" x14ac:dyDescent="0.3">
      <c r="A1660">
        <v>1567422</v>
      </c>
      <c r="B1660" t="s">
        <v>18</v>
      </c>
      <c r="C1660" t="s">
        <v>19</v>
      </c>
      <c r="D1660" t="s">
        <v>45</v>
      </c>
      <c r="E1660" t="s">
        <v>752</v>
      </c>
      <c r="F1660" t="s">
        <v>22</v>
      </c>
      <c r="G1660" t="s">
        <v>23</v>
      </c>
      <c r="H1660" t="s">
        <v>24</v>
      </c>
      <c r="I1660" t="s">
        <v>25</v>
      </c>
      <c r="J1660" s="2">
        <v>45836.732719907413</v>
      </c>
      <c r="K1660">
        <v>28</v>
      </c>
      <c r="L1660">
        <v>6</v>
      </c>
      <c r="M1660">
        <v>2025</v>
      </c>
      <c r="N1660" t="s">
        <v>27</v>
      </c>
      <c r="O1660">
        <v>300</v>
      </c>
      <c r="P1660">
        <v>300</v>
      </c>
      <c r="R1660" s="3" t="str">
        <f>HYPERLINK("https://panda.att.com.mx/ODKServer/view/binaryData?blobKey=FSSuministroFluidosv3%5B%40version%3Dnull+and+%40uiVersion%3Dnull%5D%2Fdata%5B%40key%3Duuid%3A80481f9e-90b1-4aed-9fa2-6e2f93a3644e%5D%2FgroupInfoFuel%5B%40ordinal%3D1%5D%2FpicFuelRecibeInterno","Descargar")</f>
        <v>Descargar</v>
      </c>
    </row>
    <row r="1661" spans="1:18" x14ac:dyDescent="0.3">
      <c r="A1661">
        <v>1567411</v>
      </c>
      <c r="B1661" t="s">
        <v>18</v>
      </c>
      <c r="C1661" t="s">
        <v>28</v>
      </c>
      <c r="D1661" t="s">
        <v>315</v>
      </c>
      <c r="E1661" t="s">
        <v>1784</v>
      </c>
      <c r="F1661" t="s">
        <v>22</v>
      </c>
      <c r="G1661" t="s">
        <v>23</v>
      </c>
      <c r="H1661" t="s">
        <v>24</v>
      </c>
      <c r="I1661" t="s">
        <v>25</v>
      </c>
      <c r="J1661" s="2">
        <v>45837.312685185178</v>
      </c>
      <c r="K1661">
        <v>29</v>
      </c>
      <c r="L1661">
        <v>6</v>
      </c>
      <c r="M1661">
        <v>2025</v>
      </c>
      <c r="N1661" t="s">
        <v>44</v>
      </c>
      <c r="O1661">
        <v>40</v>
      </c>
      <c r="P1661">
        <v>40</v>
      </c>
      <c r="R1661" s="3" t="str">
        <f>HYPERLINK("https://panda.att.com.mx/ODKServer/view/binaryData?blobKey=FSSuministroFluidosv3%5B%40version%3Dnull+and+%40uiVersion%3Dnull%5D%2Fdata%5B%40key%3Duuid%3A8b753943-a3ca-4e82-acb8-786f6de3bcaa%5D%2FgroupInfoFuel%5B%40ordinal%3D1%5D%2FpicFuelRecibeInterno","Descargar")</f>
        <v>Descargar</v>
      </c>
    </row>
    <row r="1662" spans="1:18" x14ac:dyDescent="0.3">
      <c r="A1662">
        <v>1567316</v>
      </c>
      <c r="B1662" t="s">
        <v>18</v>
      </c>
      <c r="C1662" t="s">
        <v>150</v>
      </c>
      <c r="D1662" t="s">
        <v>296</v>
      </c>
      <c r="E1662" t="s">
        <v>297</v>
      </c>
      <c r="F1662" t="s">
        <v>22</v>
      </c>
      <c r="G1662" t="s">
        <v>23</v>
      </c>
      <c r="H1662" t="s">
        <v>58</v>
      </c>
      <c r="I1662" t="s">
        <v>25</v>
      </c>
      <c r="J1662" s="2">
        <v>45837.470636574071</v>
      </c>
      <c r="K1662">
        <v>29</v>
      </c>
      <c r="L1662">
        <v>6</v>
      </c>
      <c r="M1662">
        <v>2025</v>
      </c>
      <c r="N1662" t="s">
        <v>27</v>
      </c>
      <c r="O1662">
        <v>200</v>
      </c>
      <c r="P1662">
        <v>200</v>
      </c>
      <c r="R1662" s="3" t="str">
        <f>HYPERLINK("https://panda.att.com.mx/ODKServer/view/binaryData?blobKey=FSSuministroFluidosv3%5B%40version%3Dnull+and+%40uiVersion%3Dnull%5D%2Fdata%5B%40key%3Duuid%3A5e8322db-a252-4bbd-9247-2f077c364a27%5D%2FgroupInfoFuel%5B%40ordinal%3D1%5D%2FpicFuelRecibeInterno","Descargar")</f>
        <v>Descargar</v>
      </c>
    </row>
    <row r="1663" spans="1:18" x14ac:dyDescent="0.3">
      <c r="A1663">
        <v>1567314</v>
      </c>
      <c r="B1663" t="s">
        <v>18</v>
      </c>
      <c r="C1663" t="s">
        <v>28</v>
      </c>
      <c r="D1663" t="s">
        <v>181</v>
      </c>
      <c r="E1663" t="s">
        <v>1609</v>
      </c>
      <c r="F1663" t="s">
        <v>22</v>
      </c>
      <c r="G1663" t="s">
        <v>23</v>
      </c>
      <c r="H1663" t="s">
        <v>24</v>
      </c>
      <c r="I1663" t="s">
        <v>25</v>
      </c>
      <c r="J1663" s="2">
        <v>45789.402002314811</v>
      </c>
      <c r="K1663">
        <v>12</v>
      </c>
      <c r="L1663">
        <v>5</v>
      </c>
      <c r="M1663">
        <v>2025</v>
      </c>
      <c r="N1663" t="s">
        <v>27</v>
      </c>
      <c r="O1663">
        <v>100</v>
      </c>
      <c r="P1663">
        <v>100</v>
      </c>
      <c r="R1663" s="3" t="str">
        <f>HYPERLINK("https://panda.att.com.mx/ODKServer/view/binaryData?blobKey=FSSuministroFluidosv3%5B%40version%3Dnull+and+%40uiVersion%3Dnull%5D%2Fdata%5B%40key%3Duuid%3A714025d6-604a-47a0-bf39-deb8fdc8da38%5D%2FgroupInfoFuel%5B%40ordinal%3D1%5D%2FpicFuelRecibeInterno","Descargar")</f>
        <v>Descargar</v>
      </c>
    </row>
    <row r="1664" spans="1:18" x14ac:dyDescent="0.3">
      <c r="A1664">
        <v>1567301</v>
      </c>
      <c r="B1664" t="s">
        <v>18</v>
      </c>
      <c r="C1664" t="s">
        <v>100</v>
      </c>
      <c r="D1664" t="s">
        <v>716</v>
      </c>
      <c r="E1664" t="s">
        <v>1785</v>
      </c>
      <c r="F1664" t="s">
        <v>22</v>
      </c>
      <c r="G1664" t="s">
        <v>83</v>
      </c>
      <c r="H1664" t="s">
        <v>58</v>
      </c>
      <c r="I1664" t="s">
        <v>25</v>
      </c>
      <c r="J1664" s="2">
        <v>45837.510277777779</v>
      </c>
      <c r="K1664">
        <v>29</v>
      </c>
      <c r="L1664">
        <v>6</v>
      </c>
      <c r="M1664">
        <v>2025</v>
      </c>
      <c r="N1664" t="s">
        <v>27</v>
      </c>
      <c r="O1664">
        <v>150</v>
      </c>
      <c r="P1664">
        <v>150</v>
      </c>
      <c r="R1664" s="3" t="str">
        <f>HYPERLINK("https://panda.att.com.mx/ODKServer/view/binaryData?blobKey=FSSuministroFluidosv3%5B%40version%3Dnull+and+%40uiVersion%3Dnull%5D%2Fdata%5B%40key%3Duuid%3Acad880b8-cdec-4b98-8075-69ca9bb88b9f%5D%2FgroupInfoFuel%5B%40ordinal%3D1%5D%2FpicFuelRecibeInterno","Descargar")</f>
        <v>Descargar</v>
      </c>
    </row>
    <row r="1665" spans="1:18" x14ac:dyDescent="0.3">
      <c r="A1665">
        <v>1567275</v>
      </c>
      <c r="B1665" t="s">
        <v>18</v>
      </c>
      <c r="C1665" t="s">
        <v>28</v>
      </c>
      <c r="D1665" t="s">
        <v>1093</v>
      </c>
      <c r="E1665" t="s">
        <v>1786</v>
      </c>
      <c r="F1665" t="s">
        <v>22</v>
      </c>
      <c r="G1665" t="s">
        <v>23</v>
      </c>
      <c r="H1665" t="s">
        <v>24</v>
      </c>
      <c r="I1665" t="s">
        <v>25</v>
      </c>
      <c r="J1665" s="2">
        <v>45835.505231481482</v>
      </c>
      <c r="K1665">
        <v>27</v>
      </c>
      <c r="L1665">
        <v>6</v>
      </c>
      <c r="M1665">
        <v>2025</v>
      </c>
      <c r="N1665" t="s">
        <v>27</v>
      </c>
      <c r="O1665">
        <v>350</v>
      </c>
      <c r="P1665">
        <v>350</v>
      </c>
      <c r="R1665" s="3" t="str">
        <f>HYPERLINK("https://panda.att.com.mx/ODKServer/view/binaryData?blobKey=FSSuministroFluidosv3%5B%40version%3Dnull+and+%40uiVersion%3Dnull%5D%2Fdata%5B%40key%3Duuid%3A5ca00490-d415-4c47-8e9b-d4e2f8b656a2%5D%2FgroupInfoFuel%5B%40ordinal%3D1%5D%2FpicFuelRecibeInterno","Descargar")</f>
        <v>Descargar</v>
      </c>
    </row>
    <row r="1666" spans="1:18" x14ac:dyDescent="0.3">
      <c r="A1666">
        <v>1567268</v>
      </c>
      <c r="B1666" t="s">
        <v>18</v>
      </c>
      <c r="C1666" t="s">
        <v>28</v>
      </c>
      <c r="D1666" t="s">
        <v>429</v>
      </c>
      <c r="E1666" t="s">
        <v>430</v>
      </c>
      <c r="F1666" t="s">
        <v>22</v>
      </c>
      <c r="G1666" t="s">
        <v>23</v>
      </c>
      <c r="H1666" t="s">
        <v>24</v>
      </c>
      <c r="I1666" t="s">
        <v>25</v>
      </c>
      <c r="J1666" s="2">
        <v>45836.588807870372</v>
      </c>
      <c r="K1666">
        <v>28</v>
      </c>
      <c r="L1666">
        <v>6</v>
      </c>
      <c r="M1666">
        <v>2025</v>
      </c>
      <c r="N1666" t="s">
        <v>44</v>
      </c>
      <c r="O1666">
        <v>60</v>
      </c>
      <c r="Q1666">
        <v>60</v>
      </c>
      <c r="R1666" s="3" t="str">
        <f>HYPERLINK("https://panda.att.com.mx/ODKServer/view/binaryData?blobKey=FSSuministroFluidosv3%5B%40version%3Dnull+and+%40uiVersion%3Dnull%5D%2Fdata%5B%40key%3Duuid%3A675225f8-6b12-4496-a1d7-8d33856e459b%5D%2FgroupInfoFuel%5B%40ordinal%3D1%5D%2FpicFuelRecibeInterno","Descargar")</f>
        <v>Descargar</v>
      </c>
    </row>
    <row r="1667" spans="1:18" x14ac:dyDescent="0.3">
      <c r="A1667">
        <v>1567267</v>
      </c>
      <c r="B1667" t="s">
        <v>18</v>
      </c>
      <c r="C1667" t="s">
        <v>28</v>
      </c>
      <c r="D1667" t="s">
        <v>429</v>
      </c>
      <c r="E1667" t="s">
        <v>430</v>
      </c>
      <c r="F1667" t="s">
        <v>22</v>
      </c>
      <c r="G1667" t="s">
        <v>23</v>
      </c>
      <c r="H1667" t="s">
        <v>24</v>
      </c>
      <c r="I1667" t="s">
        <v>25</v>
      </c>
      <c r="J1667" s="2">
        <v>45837.248819444438</v>
      </c>
      <c r="K1667">
        <v>29</v>
      </c>
      <c r="L1667">
        <v>6</v>
      </c>
      <c r="M1667">
        <v>2025</v>
      </c>
      <c r="N1667" t="s">
        <v>44</v>
      </c>
      <c r="O1667">
        <v>60</v>
      </c>
      <c r="Q1667">
        <v>60</v>
      </c>
      <c r="R1667" s="3" t="str">
        <f>HYPERLINK("https://panda.att.com.mx/ODKServer/view/binaryData?blobKey=FSSuministroFluidosv3%5B%40version%3Dnull+and+%40uiVersion%3Dnull%5D%2Fdata%5B%40key%3Duuid%3A1a5948ff-5f19-4148-825d-c1ce4152c980%5D%2FgroupInfoFuel%5B%40ordinal%3D1%5D%2FpicFuelRecibeInterno","Descargar")</f>
        <v>Descargar</v>
      </c>
    </row>
    <row r="1668" spans="1:18" x14ac:dyDescent="0.3">
      <c r="A1668">
        <v>1567266</v>
      </c>
      <c r="B1668" t="s">
        <v>18</v>
      </c>
      <c r="C1668" t="s">
        <v>19</v>
      </c>
      <c r="D1668" t="s">
        <v>347</v>
      </c>
      <c r="E1668" t="s">
        <v>1787</v>
      </c>
      <c r="F1668" t="s">
        <v>22</v>
      </c>
      <c r="G1668" t="s">
        <v>23</v>
      </c>
      <c r="H1668" t="s">
        <v>24</v>
      </c>
      <c r="I1668" t="s">
        <v>25</v>
      </c>
      <c r="J1668" s="2">
        <v>45834.365648148138</v>
      </c>
      <c r="K1668">
        <v>26</v>
      </c>
      <c r="L1668">
        <v>6</v>
      </c>
      <c r="M1668">
        <v>2025</v>
      </c>
      <c r="N1668" t="s">
        <v>27</v>
      </c>
      <c r="O1668">
        <v>100</v>
      </c>
      <c r="P1668">
        <v>100</v>
      </c>
      <c r="R1668" s="3" t="str">
        <f>HYPERLINK("https://panda.att.com.mx/ODKServer/view/binaryData?blobKey=FSSuministroFluidosv3%5B%40version%3Dnull+and+%40uiVersion%3Dnull%5D%2Fdata%5B%40key%3Duuid%3A58a92f75-1ff8-402f-a408-697283208f8e%5D%2FgroupInfoFuel%5B%40ordinal%3D1%5D%2FpicFuelRecibeInterno","Descargar")</f>
        <v>Descargar</v>
      </c>
    </row>
    <row r="1669" spans="1:18" x14ac:dyDescent="0.3">
      <c r="A1669">
        <v>1567265</v>
      </c>
      <c r="B1669" t="s">
        <v>18</v>
      </c>
      <c r="C1669" t="s">
        <v>19</v>
      </c>
      <c r="D1669" t="s">
        <v>347</v>
      </c>
      <c r="E1669" t="s">
        <v>1788</v>
      </c>
      <c r="F1669" t="s">
        <v>22</v>
      </c>
      <c r="G1669" t="s">
        <v>23</v>
      </c>
      <c r="H1669" t="s">
        <v>24</v>
      </c>
      <c r="I1669" t="s">
        <v>25</v>
      </c>
      <c r="J1669" s="2">
        <v>45834.391319444447</v>
      </c>
      <c r="K1669">
        <v>26</v>
      </c>
      <c r="L1669">
        <v>6</v>
      </c>
      <c r="M1669">
        <v>2025</v>
      </c>
      <c r="N1669" t="s">
        <v>44</v>
      </c>
      <c r="O1669">
        <v>40</v>
      </c>
      <c r="P1669">
        <v>40</v>
      </c>
      <c r="R1669" s="3" t="str">
        <f>HYPERLINK("https://panda.att.com.mx/ODKServer/view/binaryData?blobKey=FSSuministroFluidosv3%5B%40version%3Dnull+and+%40uiVersion%3Dnull%5D%2Fdata%5B%40key%3Duuid%3Af4e0a994-fb91-493e-9200-3fac030949a1%5D%2FgroupInfoFuel%5B%40ordinal%3D1%5D%2FpicFuelRecibeInterno","Descargar")</f>
        <v>Descargar</v>
      </c>
    </row>
    <row r="1670" spans="1:18" x14ac:dyDescent="0.3">
      <c r="A1670">
        <v>1567264</v>
      </c>
      <c r="B1670" t="s">
        <v>18</v>
      </c>
      <c r="C1670" t="s">
        <v>19</v>
      </c>
      <c r="D1670" t="s">
        <v>347</v>
      </c>
      <c r="E1670" t="s">
        <v>353</v>
      </c>
      <c r="F1670" t="s">
        <v>22</v>
      </c>
      <c r="G1670" t="s">
        <v>23</v>
      </c>
      <c r="H1670" t="s">
        <v>24</v>
      </c>
      <c r="I1670" t="s">
        <v>25</v>
      </c>
      <c r="J1670" s="2">
        <v>45834.503148148149</v>
      </c>
      <c r="K1670">
        <v>26</v>
      </c>
      <c r="L1670">
        <v>6</v>
      </c>
      <c r="M1670">
        <v>2025</v>
      </c>
      <c r="N1670" t="s">
        <v>27</v>
      </c>
      <c r="O1670">
        <v>100</v>
      </c>
      <c r="P1670">
        <v>100</v>
      </c>
      <c r="R1670" s="3" t="str">
        <f>HYPERLINK("https://panda.att.com.mx/ODKServer/view/binaryData?blobKey=FSSuministroFluidosv3%5B%40version%3Dnull+and+%40uiVersion%3Dnull%5D%2Fdata%5B%40key%3Duuid%3A17994d07-1c1a-425b-8c29-10920678e8d2%5D%2FgroupInfoFuel%5B%40ordinal%3D1%5D%2FpicFuelRecibeInterno","Descargar")</f>
        <v>Descargar</v>
      </c>
    </row>
    <row r="1671" spans="1:18" x14ac:dyDescent="0.3">
      <c r="A1671">
        <v>1567228</v>
      </c>
      <c r="B1671" t="s">
        <v>18</v>
      </c>
      <c r="C1671" t="s">
        <v>100</v>
      </c>
      <c r="D1671" t="s">
        <v>101</v>
      </c>
      <c r="E1671" t="s">
        <v>1789</v>
      </c>
      <c r="F1671" t="s">
        <v>22</v>
      </c>
      <c r="G1671" t="s">
        <v>23</v>
      </c>
      <c r="H1671" t="s">
        <v>58</v>
      </c>
      <c r="I1671" t="s">
        <v>25</v>
      </c>
      <c r="J1671" s="2">
        <v>45836.875509259262</v>
      </c>
      <c r="K1671">
        <v>28</v>
      </c>
      <c r="L1671">
        <v>6</v>
      </c>
      <c r="M1671">
        <v>2025</v>
      </c>
      <c r="N1671" t="s">
        <v>44</v>
      </c>
      <c r="O1671">
        <v>50</v>
      </c>
      <c r="P1671">
        <v>50</v>
      </c>
      <c r="R1671" s="3" t="str">
        <f>HYPERLINK("https://panda.att.com.mx/ODKServer/view/binaryData?blobKey=FSSuministroFluidosv3%5B%40version%3Dnull+and+%40uiVersion%3Dnull%5D%2Fdata%5B%40key%3Duuid%3A4d41f771-908a-48c0-9bd5-fa46201239e4%5D%2FgroupInfoFuel%5B%40ordinal%3D1%5D%2FpicFuelRecibeInterno","Descargar")</f>
        <v>Descargar</v>
      </c>
    </row>
    <row r="1672" spans="1:18" x14ac:dyDescent="0.3">
      <c r="A1672">
        <v>1567216</v>
      </c>
      <c r="B1672" t="s">
        <v>18</v>
      </c>
      <c r="C1672" t="s">
        <v>34</v>
      </c>
      <c r="D1672" t="s">
        <v>53</v>
      </c>
      <c r="E1672" t="s">
        <v>1790</v>
      </c>
      <c r="F1672" t="s">
        <v>22</v>
      </c>
      <c r="G1672" t="s">
        <v>23</v>
      </c>
      <c r="H1672" t="s">
        <v>390</v>
      </c>
      <c r="I1672" t="s">
        <v>25</v>
      </c>
      <c r="J1672" s="2">
        <v>45835.833564814813</v>
      </c>
      <c r="K1672">
        <v>27</v>
      </c>
      <c r="L1672">
        <v>6</v>
      </c>
      <c r="M1672">
        <v>2025</v>
      </c>
      <c r="N1672" t="s">
        <v>27</v>
      </c>
      <c r="O1672">
        <v>90</v>
      </c>
      <c r="P1672">
        <v>90</v>
      </c>
      <c r="R1672" s="3" t="str">
        <f>HYPERLINK("https://panda.att.com.mx/ODKServer/view/binaryData?blobKey=FSSuministroFluidosv3%5B%40version%3Dnull+and+%40uiVersion%3Dnull%5D%2Fdata%5B%40key%3Duuid%3Ad191e57c-e657-46ec-99ce-3e147f9aef14%5D%2FgroupInfoFuel%5B%40ordinal%3D1%5D%2FpicFuelRecibeInterno","Descargar")</f>
        <v>Descargar</v>
      </c>
    </row>
    <row r="1673" spans="1:18" x14ac:dyDescent="0.3">
      <c r="A1673">
        <v>1567205</v>
      </c>
      <c r="B1673" t="s">
        <v>18</v>
      </c>
      <c r="C1673" t="s">
        <v>34</v>
      </c>
      <c r="D1673" t="s">
        <v>53</v>
      </c>
      <c r="E1673" t="s">
        <v>1790</v>
      </c>
      <c r="F1673" t="s">
        <v>22</v>
      </c>
      <c r="G1673" t="s">
        <v>23</v>
      </c>
      <c r="H1673" t="s">
        <v>390</v>
      </c>
      <c r="I1673" t="s">
        <v>25</v>
      </c>
      <c r="J1673" s="2">
        <v>45836.557974537027</v>
      </c>
      <c r="K1673">
        <v>28</v>
      </c>
      <c r="L1673">
        <v>6</v>
      </c>
      <c r="M1673">
        <v>2025</v>
      </c>
      <c r="N1673" t="s">
        <v>27</v>
      </c>
      <c r="O1673">
        <v>100</v>
      </c>
      <c r="P1673">
        <v>100</v>
      </c>
      <c r="R1673" s="3" t="str">
        <f>HYPERLINK("https://panda.att.com.mx/ODKServer/view/binaryData?blobKey=FSSuministroFluidosv3%5B%40version%3Dnull+and+%40uiVersion%3Dnull%5D%2Fdata%5B%40key%3Duuid%3A0250b8b3-edaf-408d-9a43-01a943e73d5c%5D%2FgroupInfoFuel%5B%40ordinal%3D1%5D%2FpicFuelRecibeInterno","Descargar")</f>
        <v>Descargar</v>
      </c>
    </row>
    <row r="1674" spans="1:18" x14ac:dyDescent="0.3">
      <c r="A1674">
        <v>1567194</v>
      </c>
      <c r="B1674" t="s">
        <v>18</v>
      </c>
      <c r="C1674" t="s">
        <v>28</v>
      </c>
      <c r="D1674" t="s">
        <v>315</v>
      </c>
      <c r="E1674" t="s">
        <v>1784</v>
      </c>
      <c r="F1674" t="s">
        <v>22</v>
      </c>
      <c r="G1674" t="s">
        <v>23</v>
      </c>
      <c r="H1674" t="s">
        <v>24</v>
      </c>
      <c r="I1674" t="s">
        <v>25</v>
      </c>
      <c r="J1674" s="2">
        <v>45836.721087962957</v>
      </c>
      <c r="K1674">
        <v>28</v>
      </c>
      <c r="L1674">
        <v>6</v>
      </c>
      <c r="M1674">
        <v>2025</v>
      </c>
      <c r="N1674" t="s">
        <v>44</v>
      </c>
      <c r="O1674">
        <v>40</v>
      </c>
      <c r="P1674">
        <v>40</v>
      </c>
      <c r="R1674" s="3" t="str">
        <f>HYPERLINK("https://panda.att.com.mx/ODKServer/view/binaryData?blobKey=FSSuministroFluidosv3%5B%40version%3Dnull+and+%40uiVersion%3Dnull%5D%2Fdata%5B%40key%3Duuid%3Ac12fe592-0d55-4986-bfe5-18c1aa834656%5D%2FgroupInfoFuel%5B%40ordinal%3D1%5D%2FpicFuelRecibeInterno","Descargar")</f>
        <v>Descargar</v>
      </c>
    </row>
    <row r="1675" spans="1:18" x14ac:dyDescent="0.3">
      <c r="A1675">
        <v>1567183</v>
      </c>
      <c r="B1675" t="s">
        <v>18</v>
      </c>
      <c r="C1675" t="s">
        <v>100</v>
      </c>
      <c r="D1675" t="s">
        <v>651</v>
      </c>
      <c r="E1675" t="s">
        <v>1791</v>
      </c>
      <c r="F1675" t="s">
        <v>22</v>
      </c>
      <c r="G1675" t="s">
        <v>23</v>
      </c>
      <c r="H1675" t="s">
        <v>58</v>
      </c>
      <c r="I1675" t="s">
        <v>25</v>
      </c>
      <c r="J1675" s="2">
        <v>45836.735625000001</v>
      </c>
      <c r="K1675">
        <v>28</v>
      </c>
      <c r="L1675">
        <v>6</v>
      </c>
      <c r="M1675">
        <v>2025</v>
      </c>
      <c r="N1675" t="s">
        <v>27</v>
      </c>
      <c r="O1675">
        <v>250</v>
      </c>
      <c r="P1675">
        <v>250</v>
      </c>
      <c r="R1675" s="3" t="str">
        <f>HYPERLINK("https://panda.att.com.mx/ODKServer/view/binaryData?blobKey=FSSuministroFluidosv3%5B%40version%3Dnull+and+%40uiVersion%3Dnull%5D%2Fdata%5B%40key%3Duuid%3Aaebe1d18-29d2-4051-950e-4c40e57cf5c2%5D%2FgroupInfoFuel%5B%40ordinal%3D1%5D%2FpicFuelRecibeInterno","Descargar")</f>
        <v>Descargar</v>
      </c>
    </row>
    <row r="1676" spans="1:18" x14ac:dyDescent="0.3">
      <c r="A1676">
        <v>1567151</v>
      </c>
      <c r="B1676" t="s">
        <v>18</v>
      </c>
      <c r="C1676" t="s">
        <v>55</v>
      </c>
      <c r="D1676" t="s">
        <v>56</v>
      </c>
      <c r="E1676" t="s">
        <v>668</v>
      </c>
      <c r="F1676" t="s">
        <v>22</v>
      </c>
      <c r="G1676" t="s">
        <v>23</v>
      </c>
      <c r="H1676" t="s">
        <v>58</v>
      </c>
      <c r="I1676" t="s">
        <v>25</v>
      </c>
      <c r="J1676" s="2">
        <v>45835.517685185187</v>
      </c>
      <c r="K1676">
        <v>27</v>
      </c>
      <c r="L1676">
        <v>6</v>
      </c>
      <c r="M1676">
        <v>2025</v>
      </c>
      <c r="N1676" t="s">
        <v>27</v>
      </c>
      <c r="O1676">
        <v>300</v>
      </c>
      <c r="P1676">
        <v>300</v>
      </c>
      <c r="R1676" s="3" t="str">
        <f>HYPERLINK("https://panda.att.com.mx/ODKServer/view/binaryData?blobKey=FSSuministroFluidosv3%5B%40version%3Dnull+and+%40uiVersion%3Dnull%5D%2Fdata%5B%40key%3Duuid%3A88d3ac95-872f-4e5b-aa94-1bbb7df00276%5D%2FgroupInfoFuel%5B%40ordinal%3D1%5D%2FpicFuelRecibeInterno","Descargar")</f>
        <v>Descargar</v>
      </c>
    </row>
    <row r="1677" spans="1:18" x14ac:dyDescent="0.3">
      <c r="A1677">
        <v>1564883</v>
      </c>
      <c r="B1677" t="s">
        <v>18</v>
      </c>
      <c r="C1677" t="s">
        <v>150</v>
      </c>
      <c r="D1677" t="s">
        <v>296</v>
      </c>
      <c r="E1677" t="s">
        <v>1792</v>
      </c>
      <c r="F1677" t="s">
        <v>22</v>
      </c>
      <c r="G1677" t="s">
        <v>23</v>
      </c>
      <c r="H1677" t="s">
        <v>58</v>
      </c>
      <c r="I1677" t="s">
        <v>25</v>
      </c>
      <c r="J1677" s="2">
        <v>45833.747743055559</v>
      </c>
      <c r="K1677">
        <v>25</v>
      </c>
      <c r="L1677">
        <v>6</v>
      </c>
      <c r="M1677">
        <v>2025</v>
      </c>
      <c r="N1677" t="s">
        <v>27</v>
      </c>
      <c r="O1677">
        <v>100</v>
      </c>
      <c r="P1677">
        <v>100</v>
      </c>
      <c r="R1677" s="3" t="str">
        <f>HYPERLINK("https://panda.att.com.mx/ODKServer/view/binaryData?blobKey=FSSuministroFluidosv3%5B%40version%3Dnull+and+%40uiVersion%3Dnull%5D%2Fdata%5B%40key%3Duuid%3A6c018a0e-26de-4c5f-9ff7-c5267ea61e6d%5D%2FgroupInfoFuel%5B%40ordinal%3D1%5D%2FpicFuelRecibeInterno","Descargar")</f>
        <v>Descargar</v>
      </c>
    </row>
    <row r="1678" spans="1:18" x14ac:dyDescent="0.3">
      <c r="A1678">
        <v>1564830</v>
      </c>
      <c r="B1678" t="s">
        <v>18</v>
      </c>
      <c r="C1678" t="s">
        <v>19</v>
      </c>
      <c r="D1678" t="s">
        <v>347</v>
      </c>
      <c r="E1678" t="s">
        <v>364</v>
      </c>
      <c r="F1678" t="s">
        <v>22</v>
      </c>
      <c r="G1678" t="s">
        <v>23</v>
      </c>
      <c r="H1678" t="s">
        <v>24</v>
      </c>
      <c r="I1678" t="s">
        <v>25</v>
      </c>
      <c r="J1678" s="2">
        <v>45828.450428240743</v>
      </c>
      <c r="K1678">
        <v>20</v>
      </c>
      <c r="L1678">
        <v>6</v>
      </c>
      <c r="M1678">
        <v>2025</v>
      </c>
      <c r="N1678" t="s">
        <v>27</v>
      </c>
      <c r="O1678">
        <v>550</v>
      </c>
      <c r="P1678">
        <v>550</v>
      </c>
      <c r="R1678" s="3" t="str">
        <f>HYPERLINK("https://panda.att.com.mx/ODKServer/view/binaryData?blobKey=FSSuministroFluidosv3%5B%40version%3Dnull+and+%40uiVersion%3Dnull%5D%2Fdata%5B%40key%3Duuid%3A7c0a2bb3-bd3f-4952-bf31-e193792db0ef%5D%2FgroupInfoFuel%5B%40ordinal%3D1%5D%2FpicFuelRecibeInterno","Descargar")</f>
        <v>Descargar</v>
      </c>
    </row>
    <row r="1679" spans="1:18" x14ac:dyDescent="0.3">
      <c r="A1679">
        <v>1564823</v>
      </c>
      <c r="B1679" t="s">
        <v>18</v>
      </c>
      <c r="C1679" t="s">
        <v>19</v>
      </c>
      <c r="D1679" t="s">
        <v>189</v>
      </c>
      <c r="E1679" t="s">
        <v>1793</v>
      </c>
      <c r="F1679" t="s">
        <v>22</v>
      </c>
      <c r="G1679" t="s">
        <v>23</v>
      </c>
      <c r="H1679" t="s">
        <v>24</v>
      </c>
      <c r="I1679" t="s">
        <v>25</v>
      </c>
      <c r="J1679" s="2">
        <v>45826.39675925926</v>
      </c>
      <c r="K1679">
        <v>18</v>
      </c>
      <c r="L1679">
        <v>6</v>
      </c>
      <c r="M1679">
        <v>2025</v>
      </c>
      <c r="N1679" t="s">
        <v>27</v>
      </c>
      <c r="O1679">
        <v>150</v>
      </c>
      <c r="P1679">
        <v>150</v>
      </c>
      <c r="R1679" s="3" t="str">
        <f>HYPERLINK("https://panda.att.com.mx/ODKServer/view/binaryData?blobKey=FSSuministroFluidosv3%5B%40version%3Dnull+and+%40uiVersion%3Dnull%5D%2Fdata%5B%40key%3Duuid%3A30a6f272-6947-48ed-a2f5-4624b020c39b%5D%2FgroupInfoFuel%5B%40ordinal%3D1%5D%2FpicFuelRecibeInterno","Descargar")</f>
        <v>Descargar</v>
      </c>
    </row>
    <row r="1680" spans="1:18" x14ac:dyDescent="0.3">
      <c r="A1680">
        <v>1564781</v>
      </c>
      <c r="B1680" t="s">
        <v>18</v>
      </c>
      <c r="C1680" t="s">
        <v>59</v>
      </c>
      <c r="D1680" t="s">
        <v>233</v>
      </c>
      <c r="E1680" t="s">
        <v>935</v>
      </c>
      <c r="F1680" t="s">
        <v>22</v>
      </c>
      <c r="G1680" t="s">
        <v>23</v>
      </c>
      <c r="H1680" t="s">
        <v>37</v>
      </c>
      <c r="I1680" t="s">
        <v>25</v>
      </c>
      <c r="J1680" s="2">
        <v>45821.695057870369</v>
      </c>
      <c r="K1680">
        <v>13</v>
      </c>
      <c r="L1680">
        <v>6</v>
      </c>
      <c r="M1680">
        <v>2025</v>
      </c>
      <c r="N1680" t="s">
        <v>44</v>
      </c>
      <c r="O1680">
        <v>50</v>
      </c>
      <c r="P1680">
        <v>50</v>
      </c>
      <c r="R1680" s="3" t="str">
        <f>HYPERLINK("https://panda.att.com.mx/ODKServer/view/binaryData?blobKey=FSSuministroFluidosv3%5B%40version%3Dnull+and+%40uiVersion%3Dnull%5D%2Fdata%5B%40key%3Duuid%3A01a49133-dbfe-4589-898d-eda3819179dc%5D%2FgroupInfoFuel%5B%40ordinal%3D1%5D%2FpicFuelRecibeInterno","Descargar")</f>
        <v>Descargar</v>
      </c>
    </row>
    <row r="1681" spans="1:18" x14ac:dyDescent="0.3">
      <c r="A1681">
        <v>1564727</v>
      </c>
      <c r="B1681" t="s">
        <v>18</v>
      </c>
      <c r="C1681" t="s">
        <v>59</v>
      </c>
      <c r="D1681" t="s">
        <v>60</v>
      </c>
      <c r="E1681" t="s">
        <v>1597</v>
      </c>
      <c r="F1681" t="s">
        <v>22</v>
      </c>
      <c r="G1681" t="s">
        <v>23</v>
      </c>
      <c r="H1681" t="s">
        <v>37</v>
      </c>
      <c r="I1681" t="s">
        <v>25</v>
      </c>
      <c r="J1681" s="2">
        <v>45826.727152777778</v>
      </c>
      <c r="K1681">
        <v>18</v>
      </c>
      <c r="L1681">
        <v>6</v>
      </c>
      <c r="M1681">
        <v>2025</v>
      </c>
      <c r="N1681" t="s">
        <v>27</v>
      </c>
      <c r="O1681">
        <v>85</v>
      </c>
      <c r="P1681">
        <v>85</v>
      </c>
      <c r="R1681" s="3" t="str">
        <f>HYPERLINK("https://panda.att.com.mx/ODKServer/view/binaryData?blobKey=FSSuministroFluidosv3%5B%40version%3Dnull+and+%40uiVersion%3Dnull%5D%2Fdata%5B%40key%3Duuid%3A78c130c3-e4a7-447b-9275-119e84a81ad4%5D%2FgroupInfoFuel%5B%40ordinal%3D1%5D%2FpicFuelRecibeInterno","Descargar")</f>
        <v>Descargar</v>
      </c>
    </row>
    <row r="1682" spans="1:18" x14ac:dyDescent="0.3">
      <c r="A1682">
        <v>1564662</v>
      </c>
      <c r="B1682" t="s">
        <v>18</v>
      </c>
      <c r="C1682" t="s">
        <v>68</v>
      </c>
      <c r="D1682" t="s">
        <v>461</v>
      </c>
      <c r="E1682" t="s">
        <v>975</v>
      </c>
      <c r="F1682" t="s">
        <v>22</v>
      </c>
      <c r="G1682" t="s">
        <v>23</v>
      </c>
      <c r="H1682" t="s">
        <v>37</v>
      </c>
      <c r="I1682" t="s">
        <v>25</v>
      </c>
      <c r="J1682" s="2">
        <v>45833.546550925923</v>
      </c>
      <c r="K1682">
        <v>25</v>
      </c>
      <c r="L1682">
        <v>6</v>
      </c>
      <c r="M1682">
        <v>2025</v>
      </c>
      <c r="N1682" t="s">
        <v>27</v>
      </c>
      <c r="O1682">
        <v>100</v>
      </c>
      <c r="Q1682">
        <v>100</v>
      </c>
      <c r="R1682" s="3" t="str">
        <f>HYPERLINK("https://panda.att.com.mx/ODKServer/view/binaryData?blobKey=FSSuministroFluidosv3%5B%40version%3Dnull+and+%40uiVersion%3Dnull%5D%2Fdata%5B%40key%3Duuid%3Af8131ecb-3829-4438-a7aa-d2cc3feaa998%5D%2FgroupInfoFuel%5B%40ordinal%3D1%5D%2FpicFuelRecibeInterno","Descargar")</f>
        <v>Descargar</v>
      </c>
    </row>
    <row r="1683" spans="1:18" x14ac:dyDescent="0.3">
      <c r="A1683">
        <v>1564596</v>
      </c>
      <c r="B1683" t="s">
        <v>18</v>
      </c>
      <c r="C1683" t="s">
        <v>55</v>
      </c>
      <c r="D1683" t="s">
        <v>56</v>
      </c>
      <c r="E1683" t="s">
        <v>1714</v>
      </c>
      <c r="F1683" t="s">
        <v>22</v>
      </c>
      <c r="G1683" t="s">
        <v>23</v>
      </c>
      <c r="H1683" t="s">
        <v>58</v>
      </c>
      <c r="I1683" t="s">
        <v>25</v>
      </c>
      <c r="J1683" s="2">
        <v>45829.315092592587</v>
      </c>
      <c r="K1683">
        <v>21</v>
      </c>
      <c r="L1683">
        <v>6</v>
      </c>
      <c r="M1683">
        <v>2025</v>
      </c>
      <c r="N1683" t="s">
        <v>27</v>
      </c>
      <c r="O1683">
        <v>150</v>
      </c>
      <c r="P1683">
        <v>150</v>
      </c>
      <c r="R1683" s="3" t="str">
        <f>HYPERLINK("https://panda.att.com.mx/ODKServer/view/binaryData?blobKey=FSSuministroFluidosv3%5B%40version%3Dnull+and+%40uiVersion%3Dnull%5D%2Fdata%5B%40key%3Duuid%3A115269a5-fb71-4e57-aea9-966fbec03ae4%5D%2FgroupInfoFuel%5B%40ordinal%3D1%5D%2FpicFuelRecibeInterno","Descargar")</f>
        <v>Descargar</v>
      </c>
    </row>
    <row r="1684" spans="1:18" x14ac:dyDescent="0.3">
      <c r="A1684">
        <v>1564588</v>
      </c>
      <c r="B1684" t="s">
        <v>18</v>
      </c>
      <c r="C1684" t="s">
        <v>55</v>
      </c>
      <c r="D1684" t="s">
        <v>56</v>
      </c>
      <c r="E1684" t="s">
        <v>1714</v>
      </c>
      <c r="F1684" t="s">
        <v>22</v>
      </c>
      <c r="G1684" t="s">
        <v>23</v>
      </c>
      <c r="H1684" t="s">
        <v>58</v>
      </c>
      <c r="I1684" t="s">
        <v>25</v>
      </c>
      <c r="J1684" s="2">
        <v>45827.873969907407</v>
      </c>
      <c r="K1684">
        <v>19</v>
      </c>
      <c r="L1684">
        <v>6</v>
      </c>
      <c r="M1684">
        <v>2025</v>
      </c>
      <c r="N1684" t="s">
        <v>27</v>
      </c>
      <c r="O1684">
        <v>60</v>
      </c>
      <c r="P1684">
        <v>60</v>
      </c>
      <c r="R1684" s="3" t="str">
        <f>HYPERLINK("https://panda.att.com.mx/ODKServer/view/binaryData?blobKey=FSSuministroFluidosv3%5B%40version%3Dnull+and+%40uiVersion%3Dnull%5D%2Fdata%5B%40key%3Duuid%3A6aea28b2-4c0d-466f-a019-e998e72921f5%5D%2FgroupInfoFuel%5B%40ordinal%3D1%5D%2FpicFuelRecibeInterno","Descargar")</f>
        <v>Descargar</v>
      </c>
    </row>
    <row r="1685" spans="1:18" x14ac:dyDescent="0.3">
      <c r="A1685">
        <v>1564562</v>
      </c>
      <c r="B1685" t="s">
        <v>18</v>
      </c>
      <c r="C1685" t="s">
        <v>55</v>
      </c>
      <c r="D1685" t="s">
        <v>917</v>
      </c>
      <c r="E1685" t="s">
        <v>1794</v>
      </c>
      <c r="F1685" t="s">
        <v>22</v>
      </c>
      <c r="G1685" t="s">
        <v>23</v>
      </c>
      <c r="H1685" t="s">
        <v>58</v>
      </c>
      <c r="I1685" t="s">
        <v>25</v>
      </c>
      <c r="J1685" s="2">
        <v>45832.775104166663</v>
      </c>
      <c r="K1685">
        <v>24</v>
      </c>
      <c r="L1685">
        <v>6</v>
      </c>
      <c r="M1685">
        <v>2025</v>
      </c>
      <c r="N1685" t="s">
        <v>27</v>
      </c>
      <c r="O1685">
        <v>120</v>
      </c>
      <c r="P1685">
        <v>120</v>
      </c>
      <c r="R1685" s="3" t="str">
        <f>HYPERLINK("https://panda.att.com.mx/ODKServer/view/binaryData?blobKey=FSSuministroFluidosv3%5B%40version%3Dnull+and+%40uiVersion%3Dnull%5D%2Fdata%5B%40key%3Duuid%3Ad40409e9-0c2e-4ba9-9adf-401011dafb5c%5D%2FgroupInfoFuel%5B%40ordinal%3D1%5D%2FpicFuelRecibeInterno","Descargar")</f>
        <v>Descargar</v>
      </c>
    </row>
    <row r="1686" spans="1:18" x14ac:dyDescent="0.3">
      <c r="A1686">
        <v>1564390</v>
      </c>
      <c r="B1686" t="s">
        <v>18</v>
      </c>
      <c r="C1686" t="s">
        <v>59</v>
      </c>
      <c r="D1686" t="s">
        <v>233</v>
      </c>
      <c r="E1686" t="s">
        <v>935</v>
      </c>
      <c r="F1686" t="s">
        <v>22</v>
      </c>
      <c r="G1686" t="s">
        <v>23</v>
      </c>
      <c r="H1686" t="s">
        <v>37</v>
      </c>
      <c r="I1686" t="s">
        <v>25</v>
      </c>
      <c r="J1686" s="2">
        <v>45821.780960648153</v>
      </c>
      <c r="K1686">
        <v>13</v>
      </c>
      <c r="L1686">
        <v>6</v>
      </c>
      <c r="M1686">
        <v>2025</v>
      </c>
      <c r="N1686" t="s">
        <v>44</v>
      </c>
      <c r="O1686">
        <v>50</v>
      </c>
      <c r="P1686">
        <v>50</v>
      </c>
      <c r="R1686" s="3" t="str">
        <f>HYPERLINK("https://panda.att.com.mx/ODKServer/view/binaryData?blobKey=FSSuministroFluidosv3%5B%40version%3Dnull+and+%40uiVersion%3Dnull%5D%2Fdata%5B%40key%3Duuid%3A7b142b1a-88e7-4db7-9dc1-d3d43d537176%5D%2FgroupInfoFuel%5B%40ordinal%3D1%5D%2FpicFuelRecibeInterno","Descargar")</f>
        <v>Descargar</v>
      </c>
    </row>
    <row r="1687" spans="1:18" x14ac:dyDescent="0.3">
      <c r="A1687">
        <v>1564338</v>
      </c>
      <c r="B1687" t="s">
        <v>18</v>
      </c>
      <c r="C1687" t="s">
        <v>34</v>
      </c>
      <c r="D1687" t="s">
        <v>53</v>
      </c>
      <c r="E1687" t="s">
        <v>1795</v>
      </c>
      <c r="F1687" t="s">
        <v>22</v>
      </c>
      <c r="G1687" t="s">
        <v>23</v>
      </c>
      <c r="H1687" t="s">
        <v>37</v>
      </c>
      <c r="I1687" t="s">
        <v>25</v>
      </c>
      <c r="J1687" s="2">
        <v>45833.431481481479</v>
      </c>
      <c r="K1687">
        <v>25</v>
      </c>
      <c r="L1687">
        <v>6</v>
      </c>
      <c r="M1687">
        <v>2025</v>
      </c>
      <c r="N1687" t="s">
        <v>27</v>
      </c>
      <c r="O1687">
        <v>849.09</v>
      </c>
      <c r="Q1687">
        <v>849.09</v>
      </c>
      <c r="R1687" s="3" t="str">
        <f>HYPERLINK("https://panda.att.com.mx/ODKServer/view/binaryData?blobKey=FSSuministroFluidosv3%5B%40version%3Dnull+and+%40uiVersion%3Dnull%5D%2Fdata%5B%40key%3Duuid%3A8f90c600-db76-4052-8f8b-c2ca78d2cdfe%5D%2FgroupInfoFuel%5B%40ordinal%3D1%5D%2FpicFuelRecibeInterno","Descargar")</f>
        <v>Descargar</v>
      </c>
    </row>
    <row r="1688" spans="1:18" x14ac:dyDescent="0.3">
      <c r="A1688">
        <v>1564307</v>
      </c>
      <c r="B1688" t="s">
        <v>18</v>
      </c>
      <c r="C1688" t="s">
        <v>55</v>
      </c>
      <c r="D1688" t="s">
        <v>56</v>
      </c>
      <c r="E1688" t="s">
        <v>1714</v>
      </c>
      <c r="F1688" t="s">
        <v>22</v>
      </c>
      <c r="G1688" t="s">
        <v>23</v>
      </c>
      <c r="H1688" t="s">
        <v>58</v>
      </c>
      <c r="I1688" t="s">
        <v>25</v>
      </c>
      <c r="J1688" s="2">
        <v>45826.749085648153</v>
      </c>
      <c r="K1688">
        <v>18</v>
      </c>
      <c r="L1688">
        <v>6</v>
      </c>
      <c r="M1688">
        <v>2025</v>
      </c>
      <c r="N1688" t="s">
        <v>27</v>
      </c>
      <c r="O1688">
        <v>150</v>
      </c>
      <c r="P1688">
        <v>150</v>
      </c>
      <c r="R1688" s="3" t="str">
        <f>HYPERLINK("https://panda.att.com.mx/ODKServer/view/binaryData?blobKey=FSSuministroFluidosv3%5B%40version%3Dnull+and+%40uiVersion%3Dnull%5D%2Fdata%5B%40key%3Duuid%3A7ce84a58-e040-4046-af44-74d7aa144d61%5D%2FgroupInfoFuel%5B%40ordinal%3D1%5D%2FpicFuelRecibeInterno","Descargar")</f>
        <v>Descargar</v>
      </c>
    </row>
    <row r="1689" spans="1:18" x14ac:dyDescent="0.3">
      <c r="A1689">
        <v>1564231</v>
      </c>
      <c r="B1689" t="s">
        <v>18</v>
      </c>
      <c r="C1689" t="s">
        <v>68</v>
      </c>
      <c r="D1689" t="s">
        <v>258</v>
      </c>
      <c r="E1689" t="s">
        <v>1796</v>
      </c>
      <c r="F1689" t="s">
        <v>22</v>
      </c>
      <c r="G1689" t="s">
        <v>23</v>
      </c>
      <c r="H1689" t="s">
        <v>37</v>
      </c>
      <c r="I1689" t="s">
        <v>25</v>
      </c>
      <c r="J1689" s="2">
        <v>45831.482164351852</v>
      </c>
      <c r="K1689">
        <v>23</v>
      </c>
      <c r="L1689">
        <v>6</v>
      </c>
      <c r="M1689">
        <v>2025</v>
      </c>
      <c r="N1689" t="s">
        <v>27</v>
      </c>
      <c r="O1689">
        <v>300</v>
      </c>
      <c r="P1689">
        <v>300</v>
      </c>
      <c r="R1689" s="3" t="str">
        <f>HYPERLINK("https://panda.att.com.mx/ODKServer/view/binaryData?blobKey=FSSuministroFluidosv3%5B%40version%3Dnull+and+%40uiVersion%3Dnull%5D%2Fdata%5B%40key%3Duuid%3A3a2db0e8-7bf0-4a76-8900-6f3311ab4ce6%5D%2FgroupInfoFuel%5B%40ordinal%3D1%5D%2FpicFuelRecibeInterno","Descargar")</f>
        <v>Descargar</v>
      </c>
    </row>
    <row r="1690" spans="1:18" x14ac:dyDescent="0.3">
      <c r="A1690">
        <v>1564227</v>
      </c>
      <c r="B1690" t="s">
        <v>18</v>
      </c>
      <c r="C1690" t="s">
        <v>59</v>
      </c>
      <c r="D1690" t="s">
        <v>1242</v>
      </c>
      <c r="E1690" t="s">
        <v>1513</v>
      </c>
      <c r="F1690" t="s">
        <v>22</v>
      </c>
      <c r="G1690" t="s">
        <v>83</v>
      </c>
      <c r="H1690" t="s">
        <v>37</v>
      </c>
      <c r="I1690" t="s">
        <v>25</v>
      </c>
      <c r="J1690" s="2">
        <v>45832.58630787037</v>
      </c>
      <c r="K1690">
        <v>24</v>
      </c>
      <c r="L1690">
        <v>6</v>
      </c>
      <c r="M1690">
        <v>2025</v>
      </c>
      <c r="N1690" t="s">
        <v>27</v>
      </c>
      <c r="O1690">
        <v>300</v>
      </c>
      <c r="P1690">
        <v>300</v>
      </c>
      <c r="R1690" s="3" t="str">
        <f>HYPERLINK("https://panda.att.com.mx/ODKServer/view/binaryData?blobKey=FSSuministroFluidosv3%5B%40version%3Dnull+and+%40uiVersion%3Dnull%5D%2Fdata%5B%40key%3Duuid%3A14d6667a-6227-42eb-bff3-7da200cdd36f%5D%2FgroupInfoFuel%5B%40ordinal%3D1%5D%2FpicFuelRecibeInterno","Descargar")</f>
        <v>Descargar</v>
      </c>
    </row>
    <row r="1691" spans="1:18" x14ac:dyDescent="0.3">
      <c r="A1691">
        <v>1564125</v>
      </c>
      <c r="B1691" t="s">
        <v>18</v>
      </c>
      <c r="C1691" t="s">
        <v>150</v>
      </c>
      <c r="D1691" t="s">
        <v>164</v>
      </c>
      <c r="E1691" t="s">
        <v>165</v>
      </c>
      <c r="F1691" t="s">
        <v>22</v>
      </c>
      <c r="G1691" t="s">
        <v>23</v>
      </c>
      <c r="H1691" t="s">
        <v>58</v>
      </c>
      <c r="I1691" t="s">
        <v>25</v>
      </c>
      <c r="J1691" s="2">
        <v>45832.881111111114</v>
      </c>
      <c r="K1691">
        <v>24</v>
      </c>
      <c r="L1691">
        <v>6</v>
      </c>
      <c r="M1691">
        <v>2025</v>
      </c>
      <c r="N1691" t="s">
        <v>27</v>
      </c>
      <c r="O1691">
        <v>400</v>
      </c>
      <c r="P1691">
        <v>400</v>
      </c>
      <c r="R1691" s="3" t="str">
        <f>HYPERLINK("https://panda.att.com.mx/ODKServer/view/binaryData?blobKey=FSSuministroFluidosv3%5B%40version%3Dnull+and+%40uiVersion%3Dnull%5D%2Fdata%5B%40key%3Duuid%3Ac86645b2-2d64-4c56-8598-a75cdcc3b190%5D%2FgroupInfoFuel%5B%40ordinal%3D1%5D%2FpicFuelRecibeInterno","Descargar")</f>
        <v>Descargar</v>
      </c>
    </row>
    <row r="1692" spans="1:18" x14ac:dyDescent="0.3">
      <c r="A1692">
        <v>1564109</v>
      </c>
      <c r="B1692" t="s">
        <v>18</v>
      </c>
      <c r="C1692" t="s">
        <v>28</v>
      </c>
      <c r="D1692" t="s">
        <v>513</v>
      </c>
      <c r="E1692" t="s">
        <v>1797</v>
      </c>
      <c r="F1692" t="s">
        <v>22</v>
      </c>
      <c r="G1692" t="s">
        <v>23</v>
      </c>
      <c r="H1692" t="s">
        <v>24</v>
      </c>
      <c r="I1692" t="s">
        <v>25</v>
      </c>
      <c r="J1692" s="2">
        <v>45831.640439814822</v>
      </c>
      <c r="K1692">
        <v>23</v>
      </c>
      <c r="L1692">
        <v>6</v>
      </c>
      <c r="M1692">
        <v>2025</v>
      </c>
      <c r="N1692" t="s">
        <v>44</v>
      </c>
      <c r="O1692">
        <v>45</v>
      </c>
      <c r="P1692">
        <v>45</v>
      </c>
      <c r="R1692" s="3" t="str">
        <f>HYPERLINK("https://panda.att.com.mx/ODKServer/view/binaryData?blobKey=FSSuministroFluidosv3%5B%40version%3Dnull+and+%40uiVersion%3Dnull%5D%2Fdata%5B%40key%3Duuid%3A4205bea8-a765-4a8a-ad25-69b92ad9de9b%5D%2FgroupInfoFuel%5B%40ordinal%3D1%5D%2FpicFuelRecibeInterno","Descargar")</f>
        <v>Descargar</v>
      </c>
    </row>
    <row r="1693" spans="1:18" x14ac:dyDescent="0.3">
      <c r="A1693">
        <v>1564082</v>
      </c>
      <c r="B1693" t="s">
        <v>18</v>
      </c>
      <c r="C1693" t="s">
        <v>34</v>
      </c>
      <c r="D1693" t="s">
        <v>53</v>
      </c>
      <c r="E1693" t="s">
        <v>1798</v>
      </c>
      <c r="F1693" t="s">
        <v>22</v>
      </c>
      <c r="G1693" t="s">
        <v>23</v>
      </c>
      <c r="H1693" t="s">
        <v>390</v>
      </c>
      <c r="I1693" t="s">
        <v>25</v>
      </c>
      <c r="J1693" s="2">
        <v>45831.571620370371</v>
      </c>
      <c r="K1693">
        <v>23</v>
      </c>
      <c r="L1693">
        <v>6</v>
      </c>
      <c r="M1693">
        <v>2025</v>
      </c>
      <c r="N1693" t="s">
        <v>27</v>
      </c>
      <c r="O1693">
        <v>200</v>
      </c>
      <c r="P1693">
        <v>200</v>
      </c>
      <c r="R1693" s="3" t="str">
        <f>HYPERLINK("https://panda.att.com.mx/ODKServer/view/binaryData?blobKey=FSSuministroFluidosv3%5B%40version%3Dnull+and+%40uiVersion%3Dnull%5D%2Fdata%5B%40key%3Duuid%3A887e1182-b7e2-4cf3-bb5a-b8cc0c9ea950%5D%2FgroupInfoFuel%5B%40ordinal%3D1%5D%2FpicFuelRecibeInterno","Descargar")</f>
        <v>Descargar</v>
      </c>
    </row>
    <row r="1694" spans="1:18" x14ac:dyDescent="0.3">
      <c r="A1694">
        <v>1564081</v>
      </c>
      <c r="B1694" t="s">
        <v>18</v>
      </c>
      <c r="C1694" t="s">
        <v>34</v>
      </c>
      <c r="D1694" t="s">
        <v>53</v>
      </c>
      <c r="E1694" t="s">
        <v>1799</v>
      </c>
      <c r="F1694" t="s">
        <v>22</v>
      </c>
      <c r="G1694" t="s">
        <v>95</v>
      </c>
      <c r="H1694" t="s">
        <v>390</v>
      </c>
      <c r="I1694" t="s">
        <v>25</v>
      </c>
      <c r="J1694" s="2">
        <v>45831.668009259258</v>
      </c>
      <c r="K1694">
        <v>23</v>
      </c>
      <c r="L1694">
        <v>6</v>
      </c>
      <c r="M1694">
        <v>2025</v>
      </c>
      <c r="N1694" t="s">
        <v>27</v>
      </c>
      <c r="O1694">
        <v>200</v>
      </c>
      <c r="P1694">
        <v>200</v>
      </c>
      <c r="R1694" s="3" t="str">
        <f>HYPERLINK("https://panda.att.com.mx/ODKServer/view/binaryData?blobKey=FSSuministroFluidosv3%5B%40version%3Dnull+and+%40uiVersion%3Dnull%5D%2Fdata%5B%40key%3Duuid%3Aadd087d3-a0da-4004-988c-74ee3bbb5736%5D%2FgroupInfoFuel%5B%40ordinal%3D1%5D%2FpicFuelRecibeInterno","Descargar")</f>
        <v>Descargar</v>
      </c>
    </row>
    <row r="1695" spans="1:18" x14ac:dyDescent="0.3">
      <c r="A1695">
        <v>1564056</v>
      </c>
      <c r="B1695" t="s">
        <v>18</v>
      </c>
      <c r="C1695" t="s">
        <v>150</v>
      </c>
      <c r="D1695" t="s">
        <v>296</v>
      </c>
      <c r="E1695" t="s">
        <v>1800</v>
      </c>
      <c r="F1695" t="s">
        <v>22</v>
      </c>
      <c r="G1695" t="s">
        <v>23</v>
      </c>
      <c r="H1695" t="s">
        <v>58</v>
      </c>
      <c r="I1695" t="s">
        <v>25</v>
      </c>
      <c r="J1695" s="2">
        <v>45832.423750000002</v>
      </c>
      <c r="K1695">
        <v>24</v>
      </c>
      <c r="L1695">
        <v>6</v>
      </c>
      <c r="M1695">
        <v>2025</v>
      </c>
      <c r="N1695" t="s">
        <v>27</v>
      </c>
      <c r="O1695">
        <v>400</v>
      </c>
      <c r="P1695">
        <v>400</v>
      </c>
      <c r="R1695" s="3" t="str">
        <f>HYPERLINK("https://panda.att.com.mx/ODKServer/view/binaryData?blobKey=FSSuministroFluidosv3%5B%40version%3Dnull+and+%40uiVersion%3Dnull%5D%2Fdata%5B%40key%3Duuid%3A92007847-eeab-491d-bffb-e7489fcf5c40%5D%2FgroupInfoFuel%5B%40ordinal%3D1%5D%2FpicFuelRecibeInterno","Descargar")</f>
        <v>Descargar</v>
      </c>
    </row>
    <row r="1696" spans="1:18" x14ac:dyDescent="0.3">
      <c r="A1696">
        <v>1564039</v>
      </c>
      <c r="B1696" t="s">
        <v>18</v>
      </c>
      <c r="C1696" t="s">
        <v>19</v>
      </c>
      <c r="D1696" t="s">
        <v>45</v>
      </c>
      <c r="E1696" t="s">
        <v>1801</v>
      </c>
      <c r="F1696" t="s">
        <v>22</v>
      </c>
      <c r="G1696" t="s">
        <v>23</v>
      </c>
      <c r="H1696" t="s">
        <v>24</v>
      </c>
      <c r="I1696" t="s">
        <v>25</v>
      </c>
      <c r="J1696" s="2">
        <v>45827.92591435185</v>
      </c>
      <c r="K1696">
        <v>19</v>
      </c>
      <c r="L1696">
        <v>6</v>
      </c>
      <c r="M1696">
        <v>2025</v>
      </c>
      <c r="N1696" t="s">
        <v>27</v>
      </c>
      <c r="O1696">
        <v>400</v>
      </c>
      <c r="Q1696">
        <v>400</v>
      </c>
      <c r="R1696" s="3" t="str">
        <f>HYPERLINK("https://panda.att.com.mx/ODKServer/view/binaryData?blobKey=FSSuministroFluidosv3%5B%40version%3Dnull+and+%40uiVersion%3Dnull%5D%2Fdata%5B%40key%3Duuid%3A62f893eb-c102-4183-a0b7-214a5ac4fd5f%5D%2FgroupInfoFuel%5B%40ordinal%3D1%5D%2FpicFuelRecibeInterno","Descargar")</f>
        <v>Descargar</v>
      </c>
    </row>
    <row r="1697" spans="1:18" x14ac:dyDescent="0.3">
      <c r="A1697">
        <v>1564038</v>
      </c>
      <c r="B1697" t="s">
        <v>18</v>
      </c>
      <c r="C1697" t="s">
        <v>19</v>
      </c>
      <c r="D1697" t="s">
        <v>45</v>
      </c>
      <c r="E1697" t="s">
        <v>48</v>
      </c>
      <c r="F1697" t="s">
        <v>22</v>
      </c>
      <c r="G1697" t="s">
        <v>23</v>
      </c>
      <c r="H1697" t="s">
        <v>24</v>
      </c>
      <c r="I1697" t="s">
        <v>25</v>
      </c>
      <c r="J1697" s="2">
        <v>45828.514444444438</v>
      </c>
      <c r="K1697">
        <v>20</v>
      </c>
      <c r="L1697">
        <v>6</v>
      </c>
      <c r="M1697">
        <v>2025</v>
      </c>
      <c r="N1697" t="s">
        <v>27</v>
      </c>
      <c r="O1697">
        <v>200</v>
      </c>
      <c r="P1697">
        <v>200</v>
      </c>
      <c r="R1697" s="3" t="str">
        <f>HYPERLINK("https://panda.att.com.mx/ODKServer/view/binaryData?blobKey=FSSuministroFluidosv3%5B%40version%3Dnull+and+%40uiVersion%3Dnull%5D%2Fdata%5B%40key%3Duuid%3A35bc48ad-9093-4dda-b338-60d2c4a5ecc5%5D%2FgroupInfoFuel%5B%40ordinal%3D1%5D%2FpicFuelRecibeInterno","Descargar")</f>
        <v>Descargar</v>
      </c>
    </row>
    <row r="1698" spans="1:18" x14ac:dyDescent="0.3">
      <c r="A1698">
        <v>1564014</v>
      </c>
      <c r="B1698" t="s">
        <v>18</v>
      </c>
      <c r="C1698" t="s">
        <v>100</v>
      </c>
      <c r="D1698" t="s">
        <v>101</v>
      </c>
      <c r="E1698" t="s">
        <v>102</v>
      </c>
      <c r="F1698" t="s">
        <v>22</v>
      </c>
      <c r="G1698" t="s">
        <v>83</v>
      </c>
      <c r="H1698" t="s">
        <v>58</v>
      </c>
      <c r="I1698" t="s">
        <v>25</v>
      </c>
      <c r="J1698" s="2">
        <v>45831.425856481481</v>
      </c>
      <c r="K1698">
        <v>23</v>
      </c>
      <c r="L1698">
        <v>6</v>
      </c>
      <c r="M1698">
        <v>2025</v>
      </c>
      <c r="N1698" t="s">
        <v>27</v>
      </c>
      <c r="O1698">
        <v>250</v>
      </c>
      <c r="P1698">
        <v>250</v>
      </c>
      <c r="R1698" s="3" t="str">
        <f>HYPERLINK("https://panda.att.com.mx/ODKServer/view/binaryData?blobKey=FSSuministroFluidosv3%5B%40version%3Dnull+and+%40uiVersion%3Dnull%5D%2Fdata%5B%40key%3Duuid%3A7d3da5ca-07f4-45b7-89f6-24d0b6e1cdf5%5D%2FgroupInfoFuel%5B%40ordinal%3D1%5D%2FpicFuelRecibeInterno","Descargar")</f>
        <v>Descargar</v>
      </c>
    </row>
    <row r="1699" spans="1:18" x14ac:dyDescent="0.3">
      <c r="A1699">
        <v>1564013</v>
      </c>
      <c r="B1699" t="s">
        <v>18</v>
      </c>
      <c r="C1699" t="s">
        <v>100</v>
      </c>
      <c r="D1699" t="s">
        <v>101</v>
      </c>
      <c r="E1699" t="s">
        <v>102</v>
      </c>
      <c r="F1699" t="s">
        <v>22</v>
      </c>
      <c r="G1699" t="s">
        <v>83</v>
      </c>
      <c r="H1699" t="s">
        <v>58</v>
      </c>
      <c r="I1699" t="s">
        <v>25</v>
      </c>
      <c r="J1699" s="2">
        <v>45827.637870370367</v>
      </c>
      <c r="K1699">
        <v>19</v>
      </c>
      <c r="L1699">
        <v>6</v>
      </c>
      <c r="M1699">
        <v>2025</v>
      </c>
      <c r="N1699" t="s">
        <v>27</v>
      </c>
      <c r="O1699">
        <v>221</v>
      </c>
      <c r="P1699">
        <v>221</v>
      </c>
      <c r="R1699" s="3" t="str">
        <f>HYPERLINK("https://panda.att.com.mx/ODKServer/view/binaryData?blobKey=FSSuministroFluidosv3%5B%40version%3Dnull+and+%40uiVersion%3Dnull%5D%2Fdata%5B%40key%3Duuid%3A13a5af3c-59d2-4f33-8641-b7f7771afdb3%5D%2FgroupInfoFuel%5B%40ordinal%3D1%5D%2FpicFuelRecibeInterno","Descargar")</f>
        <v>Descargar</v>
      </c>
    </row>
    <row r="1700" spans="1:18" x14ac:dyDescent="0.3">
      <c r="A1700">
        <v>1563991</v>
      </c>
      <c r="B1700" t="s">
        <v>18</v>
      </c>
      <c r="C1700" t="s">
        <v>100</v>
      </c>
      <c r="D1700" t="s">
        <v>101</v>
      </c>
      <c r="E1700" t="s">
        <v>102</v>
      </c>
      <c r="F1700" t="s">
        <v>22</v>
      </c>
      <c r="G1700" t="s">
        <v>83</v>
      </c>
      <c r="H1700" t="s">
        <v>58</v>
      </c>
      <c r="I1700" t="s">
        <v>25</v>
      </c>
      <c r="J1700" s="2">
        <v>45824.977210648147</v>
      </c>
      <c r="K1700">
        <v>16</v>
      </c>
      <c r="L1700">
        <v>6</v>
      </c>
      <c r="M1700">
        <v>2025</v>
      </c>
      <c r="N1700" t="s">
        <v>44</v>
      </c>
      <c r="O1700">
        <v>50</v>
      </c>
      <c r="P1700">
        <v>50</v>
      </c>
      <c r="R1700" s="3" t="str">
        <f>HYPERLINK("https://panda.att.com.mx/ODKServer/view/binaryData?blobKey=FSSuministroFluidosv3%5B%40version%3Dnull+and+%40uiVersion%3Dnull%5D%2Fdata%5B%40key%3Duuid%3A6d86295b-b23c-4a4f-b84d-bf817c6d7ad3%5D%2FgroupInfoFuel%5B%40ordinal%3D1%5D%2FpicFuelRecibeInterno","Descargar")</f>
        <v>Descargar</v>
      </c>
    </row>
    <row r="1701" spans="1:18" x14ac:dyDescent="0.3">
      <c r="A1701">
        <v>1563984</v>
      </c>
      <c r="B1701" t="s">
        <v>18</v>
      </c>
      <c r="C1701" t="s">
        <v>28</v>
      </c>
      <c r="D1701" t="s">
        <v>111</v>
      </c>
      <c r="E1701" t="s">
        <v>321</v>
      </c>
      <c r="F1701" t="s">
        <v>22</v>
      </c>
      <c r="G1701" t="s">
        <v>23</v>
      </c>
      <c r="H1701" t="s">
        <v>24</v>
      </c>
      <c r="I1701" t="s">
        <v>25</v>
      </c>
      <c r="J1701" s="2">
        <v>45831.324965277781</v>
      </c>
      <c r="K1701">
        <v>23</v>
      </c>
      <c r="L1701">
        <v>6</v>
      </c>
      <c r="M1701">
        <v>2025</v>
      </c>
      <c r="N1701" t="s">
        <v>27</v>
      </c>
      <c r="O1701">
        <v>300</v>
      </c>
      <c r="P1701">
        <v>300</v>
      </c>
      <c r="R1701" s="3" t="str">
        <f>HYPERLINK("https://panda.att.com.mx/ODKServer/view/binaryData?blobKey=FSSuministroFluidosv3%5B%40version%3Dnull+and+%40uiVersion%3Dnull%5D%2Fdata%5B%40key%3Duuid%3A354757c2-7d0a-4e8e-a0e8-4a7dd5acb00c%5D%2FgroupInfoFuel%5B%40ordinal%3D1%5D%2FpicFuelRecibeInterno","Descargar")</f>
        <v>Descargar</v>
      </c>
    </row>
    <row r="1702" spans="1:18" x14ac:dyDescent="0.3">
      <c r="A1702">
        <v>1567146</v>
      </c>
      <c r="B1702" t="s">
        <v>18</v>
      </c>
      <c r="C1702" t="s">
        <v>28</v>
      </c>
      <c r="D1702" t="s">
        <v>181</v>
      </c>
      <c r="E1702" t="s">
        <v>218</v>
      </c>
      <c r="F1702" t="s">
        <v>22</v>
      </c>
      <c r="G1702" t="s">
        <v>23</v>
      </c>
      <c r="H1702" t="s">
        <v>24</v>
      </c>
      <c r="I1702" t="s">
        <v>25</v>
      </c>
      <c r="J1702" s="2">
        <v>45836.613692129627</v>
      </c>
      <c r="K1702">
        <v>28</v>
      </c>
      <c r="L1702">
        <v>6</v>
      </c>
      <c r="M1702">
        <v>2025</v>
      </c>
      <c r="N1702" t="s">
        <v>44</v>
      </c>
      <c r="O1702">
        <v>50</v>
      </c>
      <c r="Q1702">
        <v>50</v>
      </c>
      <c r="R1702" s="3" t="str">
        <f>HYPERLINK("https://panda.att.com.mx/ODKServer/view/binaryData?blobKey=FSSuministroFluidosv3%5B%40version%3Dnull+and+%40uiVersion%3Dnull%5D%2Fdata%5B%40key%3Duuid%3A669d1b7e-75db-42ff-9f29-13bbfe12cd72%5D%2FgroupInfoFuel%5B%40ordinal%3D1%5D%2FpicFuelRecibeInterno","Descargar")</f>
        <v>Descargar</v>
      </c>
    </row>
    <row r="1703" spans="1:18" x14ac:dyDescent="0.3">
      <c r="A1703">
        <v>1567144</v>
      </c>
      <c r="B1703" t="s">
        <v>18</v>
      </c>
      <c r="C1703" t="s">
        <v>100</v>
      </c>
      <c r="D1703" t="s">
        <v>651</v>
      </c>
      <c r="E1703" t="s">
        <v>1802</v>
      </c>
      <c r="F1703" t="s">
        <v>22</v>
      </c>
      <c r="G1703" t="s">
        <v>23</v>
      </c>
      <c r="H1703" t="s">
        <v>58</v>
      </c>
      <c r="I1703" t="s">
        <v>25</v>
      </c>
      <c r="J1703" s="2">
        <v>45836.70417824074</v>
      </c>
      <c r="K1703">
        <v>28</v>
      </c>
      <c r="L1703">
        <v>6</v>
      </c>
      <c r="M1703">
        <v>2025</v>
      </c>
      <c r="N1703" t="s">
        <v>27</v>
      </c>
      <c r="O1703">
        <v>150</v>
      </c>
      <c r="P1703">
        <v>150</v>
      </c>
      <c r="R1703" s="3" t="str">
        <f>HYPERLINK("https://panda.att.com.mx/ODKServer/view/binaryData?blobKey=FSSuministroFluidosv3%5B%40version%3Dnull+and+%40uiVersion%3Dnull%5D%2Fdata%5B%40key%3Duuid%3Aa281488f-1bac-4e77-a4e8-f55fe5f2295e%5D%2FgroupInfoFuel%5B%40ordinal%3D1%5D%2FpicFuelRecibeInterno","Descargar")</f>
        <v>Descargar</v>
      </c>
    </row>
    <row r="1704" spans="1:18" x14ac:dyDescent="0.3">
      <c r="A1704">
        <v>1567128</v>
      </c>
      <c r="B1704" t="s">
        <v>18</v>
      </c>
      <c r="C1704" t="s">
        <v>19</v>
      </c>
      <c r="D1704" t="s">
        <v>20</v>
      </c>
      <c r="E1704" t="s">
        <v>1697</v>
      </c>
      <c r="F1704" t="s">
        <v>22</v>
      </c>
      <c r="G1704" t="s">
        <v>23</v>
      </c>
      <c r="H1704" t="s">
        <v>24</v>
      </c>
      <c r="I1704" t="s">
        <v>25</v>
      </c>
      <c r="J1704" s="2">
        <v>45835.492361111108</v>
      </c>
      <c r="K1704">
        <v>27</v>
      </c>
      <c r="L1704">
        <v>6</v>
      </c>
      <c r="M1704">
        <v>2025</v>
      </c>
      <c r="N1704" t="s">
        <v>27</v>
      </c>
      <c r="O1704">
        <v>150</v>
      </c>
      <c r="P1704">
        <v>150</v>
      </c>
      <c r="R1704" s="3" t="str">
        <f>HYPERLINK("https://panda.att.com.mx/ODKServer/view/binaryData?blobKey=FSSuministroFluidosv3%5B%40version%3Dnull+and+%40uiVersion%3Dnull%5D%2Fdata%5B%40key%3Duuid%3A99824edc-02e5-4b29-a870-1be79b66bc8d%5D%2FgroupInfoFuel%5B%40ordinal%3D1%5D%2FpicFuelRecibeInterno","Descargar")</f>
        <v>Descargar</v>
      </c>
    </row>
    <row r="1705" spans="1:18" x14ac:dyDescent="0.3">
      <c r="A1705">
        <v>1567115</v>
      </c>
      <c r="B1705" t="s">
        <v>18</v>
      </c>
      <c r="C1705" t="s">
        <v>59</v>
      </c>
      <c r="D1705" t="s">
        <v>574</v>
      </c>
      <c r="E1705" t="s">
        <v>1016</v>
      </c>
      <c r="F1705" t="s">
        <v>22</v>
      </c>
      <c r="G1705" t="s">
        <v>23</v>
      </c>
      <c r="H1705" t="s">
        <v>37</v>
      </c>
      <c r="I1705" t="s">
        <v>25</v>
      </c>
      <c r="J1705" s="2">
        <v>45832.696863425917</v>
      </c>
      <c r="K1705">
        <v>24</v>
      </c>
      <c r="L1705">
        <v>6</v>
      </c>
      <c r="M1705">
        <v>2025</v>
      </c>
      <c r="N1705" t="s">
        <v>44</v>
      </c>
      <c r="O1705">
        <v>40</v>
      </c>
      <c r="P1705">
        <v>40</v>
      </c>
      <c r="R1705" s="3" t="str">
        <f>HYPERLINK("https://panda.att.com.mx/ODKServer/view/binaryData?blobKey=FSSuministroFluidosv3%5B%40version%3Dnull+and+%40uiVersion%3Dnull%5D%2Fdata%5B%40key%3Duuid%3A3d3a39c6-eb80-4053-87df-6b3319ac9305%5D%2FgroupInfoFuel%5B%40ordinal%3D1%5D%2FpicFuelRecibeInterno","Descargar")</f>
        <v>Descargar</v>
      </c>
    </row>
    <row r="1706" spans="1:18" x14ac:dyDescent="0.3">
      <c r="A1706">
        <v>1567110</v>
      </c>
      <c r="B1706" t="s">
        <v>18</v>
      </c>
      <c r="C1706" t="s">
        <v>34</v>
      </c>
      <c r="D1706" t="s">
        <v>53</v>
      </c>
      <c r="E1706" t="s">
        <v>144</v>
      </c>
      <c r="F1706" t="s">
        <v>22</v>
      </c>
      <c r="G1706" t="s">
        <v>23</v>
      </c>
      <c r="H1706" t="s">
        <v>37</v>
      </c>
      <c r="I1706" t="s">
        <v>25</v>
      </c>
      <c r="J1706" s="2">
        <v>45836.6090625</v>
      </c>
      <c r="K1706">
        <v>28</v>
      </c>
      <c r="L1706">
        <v>6</v>
      </c>
      <c r="M1706">
        <v>2025</v>
      </c>
      <c r="N1706" t="s">
        <v>27</v>
      </c>
      <c r="O1706">
        <v>350</v>
      </c>
      <c r="P1706">
        <v>350</v>
      </c>
      <c r="R1706" s="3" t="str">
        <f>HYPERLINK("https://panda.att.com.mx/ODKServer/view/binaryData?blobKey=FSSuministroFluidosv3%5B%40version%3Dnull+and+%40uiVersion%3Dnull%5D%2Fdata%5B%40key%3Duuid%3A2cc7032a-2981-4fe0-abb4-d421f9a1719a%5D%2FgroupInfoFuel%5B%40ordinal%3D1%5D%2FpicFuelRecibeInterno","Descargar")</f>
        <v>Descargar</v>
      </c>
    </row>
    <row r="1707" spans="1:18" x14ac:dyDescent="0.3">
      <c r="A1707">
        <v>1567107</v>
      </c>
      <c r="B1707" t="s">
        <v>18</v>
      </c>
      <c r="C1707" t="s">
        <v>59</v>
      </c>
      <c r="D1707" t="s">
        <v>574</v>
      </c>
      <c r="E1707" t="s">
        <v>1803</v>
      </c>
      <c r="F1707" t="s">
        <v>22</v>
      </c>
      <c r="G1707" t="s">
        <v>23</v>
      </c>
      <c r="H1707" t="s">
        <v>37</v>
      </c>
      <c r="I1707" t="s">
        <v>25</v>
      </c>
      <c r="J1707" s="2">
        <v>45832.569085648152</v>
      </c>
      <c r="K1707">
        <v>24</v>
      </c>
      <c r="L1707">
        <v>6</v>
      </c>
      <c r="M1707">
        <v>2025</v>
      </c>
      <c r="N1707" t="s">
        <v>44</v>
      </c>
      <c r="O1707">
        <v>60</v>
      </c>
      <c r="P1707">
        <v>60</v>
      </c>
      <c r="R1707" s="3" t="str">
        <f>HYPERLINK("https://panda.att.com.mx/ODKServer/view/binaryData?blobKey=FSSuministroFluidosv3%5B%40version%3Dnull+and+%40uiVersion%3Dnull%5D%2Fdata%5B%40key%3Duuid%3Ad60ecf8e-af93-467c-ad6e-d6ee2fdf155d%5D%2FgroupInfoFuel%5B%40ordinal%3D1%5D%2FpicFuelRecibeInterno","Descargar")</f>
        <v>Descargar</v>
      </c>
    </row>
    <row r="1708" spans="1:18" x14ac:dyDescent="0.3">
      <c r="A1708">
        <v>1567059</v>
      </c>
      <c r="B1708" t="s">
        <v>18</v>
      </c>
      <c r="C1708" t="s">
        <v>100</v>
      </c>
      <c r="D1708" t="s">
        <v>101</v>
      </c>
      <c r="E1708" t="s">
        <v>102</v>
      </c>
      <c r="F1708" t="s">
        <v>22</v>
      </c>
      <c r="G1708" t="s">
        <v>83</v>
      </c>
      <c r="H1708" t="s">
        <v>58</v>
      </c>
      <c r="I1708" t="s">
        <v>25</v>
      </c>
      <c r="J1708" s="2">
        <v>45836.596319444441</v>
      </c>
      <c r="K1708">
        <v>28</v>
      </c>
      <c r="L1708">
        <v>6</v>
      </c>
      <c r="M1708">
        <v>2025</v>
      </c>
      <c r="N1708" t="s">
        <v>27</v>
      </c>
      <c r="O1708">
        <v>215</v>
      </c>
      <c r="P1708">
        <v>215</v>
      </c>
      <c r="R1708" s="3" t="str">
        <f>HYPERLINK("https://panda.att.com.mx/ODKServer/view/binaryData?blobKey=FSSuministroFluidosv3%5B%40version%3Dnull+and+%40uiVersion%3Dnull%5D%2Fdata%5B%40key%3Duuid%3Ad1648924-4f1d-492c-8233-98c074b691e2%5D%2FgroupInfoFuel%5B%40ordinal%3D1%5D%2FpicFuelRecibeInterno","Descargar")</f>
        <v>Descargar</v>
      </c>
    </row>
    <row r="1709" spans="1:18" x14ac:dyDescent="0.3">
      <c r="A1709">
        <v>1566967</v>
      </c>
      <c r="B1709" t="s">
        <v>18</v>
      </c>
      <c r="C1709" t="s">
        <v>150</v>
      </c>
      <c r="D1709" t="s">
        <v>164</v>
      </c>
      <c r="E1709" t="s">
        <v>165</v>
      </c>
      <c r="F1709" t="s">
        <v>22</v>
      </c>
      <c r="G1709" t="s">
        <v>23</v>
      </c>
      <c r="H1709" t="s">
        <v>58</v>
      </c>
      <c r="I1709" t="s">
        <v>25</v>
      </c>
      <c r="J1709" s="2">
        <v>45836.468657407408</v>
      </c>
      <c r="K1709">
        <v>28</v>
      </c>
      <c r="L1709">
        <v>6</v>
      </c>
      <c r="M1709">
        <v>2025</v>
      </c>
      <c r="N1709" t="s">
        <v>27</v>
      </c>
      <c r="O1709">
        <v>400</v>
      </c>
      <c r="P1709">
        <v>400</v>
      </c>
      <c r="R1709" s="3" t="str">
        <f>HYPERLINK("https://panda.att.com.mx/ODKServer/view/binaryData?blobKey=FSSuministroFluidosv3%5B%40version%3Dnull+and+%40uiVersion%3Dnull%5D%2Fdata%5B%40key%3Duuid%3A9bb4a6c6-7118-4f87-af79-245d5c5b3fd4%5D%2FgroupInfoFuel%5B%40ordinal%3D1%5D%2FpicFuelRecibeInterno","Descargar")</f>
        <v>Descargar</v>
      </c>
    </row>
    <row r="1710" spans="1:18" x14ac:dyDescent="0.3">
      <c r="A1710">
        <v>1566954</v>
      </c>
      <c r="B1710" t="s">
        <v>18</v>
      </c>
      <c r="C1710" t="s">
        <v>19</v>
      </c>
      <c r="D1710" t="s">
        <v>140</v>
      </c>
      <c r="E1710" t="s">
        <v>607</v>
      </c>
      <c r="F1710" t="s">
        <v>22</v>
      </c>
      <c r="G1710" t="s">
        <v>23</v>
      </c>
      <c r="H1710" t="s">
        <v>24</v>
      </c>
      <c r="I1710" t="s">
        <v>25</v>
      </c>
      <c r="J1710" s="2">
        <v>45836.483796296299</v>
      </c>
      <c r="K1710">
        <v>28</v>
      </c>
      <c r="L1710">
        <v>6</v>
      </c>
      <c r="M1710">
        <v>2025</v>
      </c>
      <c r="N1710" t="s">
        <v>27</v>
      </c>
      <c r="O1710">
        <v>350</v>
      </c>
      <c r="Q1710">
        <v>350</v>
      </c>
      <c r="R1710" s="3" t="str">
        <f>HYPERLINK("https://panda.att.com.mx/ODKServer/view/binaryData?blobKey=FSSuministroFluidosv3%5B%40version%3Dnull+and+%40uiVersion%3Dnull%5D%2Fdata%5B%40key%3Duuid%3A980852db-d6b3-4d08-bb68-6909304ad757%5D%2FgroupInfoFuel%5B%40ordinal%3D1%5D%2FpicFuelRecibeInterno","Descargar")</f>
        <v>Descargar</v>
      </c>
    </row>
    <row r="1711" spans="1:18" x14ac:dyDescent="0.3">
      <c r="A1711">
        <v>1566935</v>
      </c>
      <c r="B1711" t="s">
        <v>18</v>
      </c>
      <c r="C1711" t="s">
        <v>150</v>
      </c>
      <c r="D1711" t="s">
        <v>230</v>
      </c>
      <c r="E1711" t="s">
        <v>1510</v>
      </c>
      <c r="F1711" t="s">
        <v>22</v>
      </c>
      <c r="G1711" t="s">
        <v>23</v>
      </c>
      <c r="H1711" t="s">
        <v>58</v>
      </c>
      <c r="I1711" t="s">
        <v>25</v>
      </c>
      <c r="J1711" s="2">
        <v>45835.767708333333</v>
      </c>
      <c r="K1711">
        <v>27</v>
      </c>
      <c r="L1711">
        <v>6</v>
      </c>
      <c r="M1711">
        <v>2025</v>
      </c>
      <c r="N1711" t="s">
        <v>27</v>
      </c>
      <c r="O1711">
        <v>350</v>
      </c>
      <c r="P1711">
        <v>350</v>
      </c>
      <c r="R1711" s="3" t="str">
        <f>HYPERLINK("https://panda.att.com.mx/ODKServer/view/binaryData?blobKey=FSSuministroFluidosv3%5B%40version%3Dnull+and+%40uiVersion%3Dnull%5D%2Fdata%5B%40key%3Duuid%3Ae93298fa-f868-4100-ac71-37ecb02e4be5%5D%2FgroupInfoFuel%5B%40ordinal%3D1%5D%2FpicFuelRecibeInterno","Descargar")</f>
        <v>Descargar</v>
      </c>
    </row>
    <row r="1712" spans="1:18" x14ac:dyDescent="0.3">
      <c r="A1712">
        <v>1566932</v>
      </c>
      <c r="B1712" t="s">
        <v>18</v>
      </c>
      <c r="C1712" t="s">
        <v>167</v>
      </c>
      <c r="D1712" t="s">
        <v>168</v>
      </c>
      <c r="E1712" t="s">
        <v>266</v>
      </c>
      <c r="F1712" t="s">
        <v>22</v>
      </c>
      <c r="G1712" t="s">
        <v>83</v>
      </c>
      <c r="H1712" t="s">
        <v>58</v>
      </c>
      <c r="I1712" t="s">
        <v>25</v>
      </c>
      <c r="J1712" s="2">
        <v>45835.555277777778</v>
      </c>
      <c r="K1712">
        <v>27</v>
      </c>
      <c r="L1712">
        <v>6</v>
      </c>
      <c r="M1712">
        <v>2025</v>
      </c>
      <c r="N1712" t="s">
        <v>27</v>
      </c>
      <c r="O1712">
        <v>450</v>
      </c>
      <c r="P1712">
        <v>450</v>
      </c>
      <c r="R1712" s="3" t="str">
        <f>HYPERLINK("https://panda.att.com.mx/ODKServer/view/binaryData?blobKey=FSSuministroFluidosv3%5B%40version%3Dnull+and+%40uiVersion%3Dnull%5D%2Fdata%5B%40key%3Duuid%3A5d98661d-16e8-43d5-b780-3900b8c3a664%5D%2FgroupInfoFuel%5B%40ordinal%3D1%5D%2FpicFuelRecibeInterno","Descargar")</f>
        <v>Descargar</v>
      </c>
    </row>
    <row r="1713" spans="1:18" x14ac:dyDescent="0.3">
      <c r="A1713">
        <v>1566920</v>
      </c>
      <c r="B1713" t="s">
        <v>18</v>
      </c>
      <c r="C1713" t="s">
        <v>68</v>
      </c>
      <c r="D1713" t="s">
        <v>116</v>
      </c>
      <c r="E1713" t="s">
        <v>1804</v>
      </c>
      <c r="F1713" t="s">
        <v>22</v>
      </c>
      <c r="G1713" t="s">
        <v>23</v>
      </c>
      <c r="H1713" t="s">
        <v>37</v>
      </c>
      <c r="I1713" t="s">
        <v>25</v>
      </c>
      <c r="J1713" s="2">
        <v>45835.441979166673</v>
      </c>
      <c r="K1713">
        <v>27</v>
      </c>
      <c r="L1713">
        <v>6</v>
      </c>
      <c r="M1713">
        <v>2025</v>
      </c>
      <c r="N1713" t="s">
        <v>27</v>
      </c>
      <c r="O1713">
        <v>100</v>
      </c>
      <c r="P1713">
        <v>100</v>
      </c>
      <c r="R1713" s="3" t="str">
        <f>HYPERLINK("https://panda.att.com.mx/ODKServer/view/binaryData?blobKey=FSSuministroFluidosv3%5B%40version%3Dnull+and+%40uiVersion%3Dnull%5D%2Fdata%5B%40key%3Duuid%3A6fea4430-2dd4-4564-8d03-ba2fce5dd0f7%5D%2FgroupInfoFuel%5B%40ordinal%3D1%5D%2FpicFuelRecibeInterno","Descargar")</f>
        <v>Descargar</v>
      </c>
    </row>
    <row r="1714" spans="1:18" x14ac:dyDescent="0.3">
      <c r="A1714">
        <v>1566917</v>
      </c>
      <c r="B1714" t="s">
        <v>18</v>
      </c>
      <c r="C1714" t="s">
        <v>100</v>
      </c>
      <c r="D1714" t="s">
        <v>651</v>
      </c>
      <c r="E1714" t="s">
        <v>1805</v>
      </c>
      <c r="F1714" t="s">
        <v>22</v>
      </c>
      <c r="G1714" t="s">
        <v>23</v>
      </c>
      <c r="H1714" t="s">
        <v>58</v>
      </c>
      <c r="I1714" t="s">
        <v>25</v>
      </c>
      <c r="J1714" s="2">
        <v>45833.794189814813</v>
      </c>
      <c r="K1714">
        <v>25</v>
      </c>
      <c r="L1714">
        <v>6</v>
      </c>
      <c r="M1714">
        <v>2025</v>
      </c>
      <c r="N1714" t="s">
        <v>27</v>
      </c>
      <c r="O1714">
        <v>100</v>
      </c>
      <c r="P1714">
        <v>100</v>
      </c>
      <c r="R1714" s="3" t="str">
        <f>HYPERLINK("https://panda.att.com.mx/ODKServer/view/binaryData?blobKey=FSSuministroFluidosv3%5B%40version%3Dnull+and+%40uiVersion%3Dnull%5D%2Fdata%5B%40key%3Duuid%3Aab89bb72-13c6-4ae8-b484-d0b8539d9a6f%5D%2FgroupInfoFuel%5B%40ordinal%3D1%5D%2FpicFuelRecibeInterno","Descargar")</f>
        <v>Descargar</v>
      </c>
    </row>
    <row r="1715" spans="1:18" x14ac:dyDescent="0.3">
      <c r="A1715">
        <v>1566912</v>
      </c>
      <c r="B1715" t="s">
        <v>18</v>
      </c>
      <c r="C1715" t="s">
        <v>19</v>
      </c>
      <c r="D1715" t="s">
        <v>140</v>
      </c>
      <c r="E1715" t="s">
        <v>1599</v>
      </c>
      <c r="F1715" t="s">
        <v>22</v>
      </c>
      <c r="G1715" t="s">
        <v>23</v>
      </c>
      <c r="H1715" t="s">
        <v>24</v>
      </c>
      <c r="I1715" t="s">
        <v>25</v>
      </c>
      <c r="J1715" s="2">
        <v>45828.83934027778</v>
      </c>
      <c r="K1715">
        <v>20</v>
      </c>
      <c r="L1715">
        <v>6</v>
      </c>
      <c r="M1715">
        <v>2025</v>
      </c>
      <c r="N1715" t="s">
        <v>27</v>
      </c>
      <c r="O1715">
        <v>350</v>
      </c>
      <c r="P1715">
        <v>350</v>
      </c>
      <c r="R1715" s="3" t="str">
        <f>HYPERLINK("https://panda.att.com.mx/ODKServer/view/binaryData?blobKey=FSSuministroFluidosv3%5B%40version%3Dnull+and+%40uiVersion%3Dnull%5D%2Fdata%5B%40key%3Duuid%3Af48ee95e-062d-4a68-8be3-21052e960a20%5D%2FgroupInfoFuel%5B%40ordinal%3D1%5D%2FpicFuelRecibeInterno","Descargar")</f>
        <v>Descargar</v>
      </c>
    </row>
    <row r="1716" spans="1:18" x14ac:dyDescent="0.3">
      <c r="A1716">
        <v>1566877</v>
      </c>
      <c r="B1716" t="s">
        <v>18</v>
      </c>
      <c r="C1716" t="s">
        <v>28</v>
      </c>
      <c r="D1716" t="s">
        <v>66</v>
      </c>
      <c r="E1716" t="s">
        <v>1507</v>
      </c>
      <c r="F1716" t="s">
        <v>22</v>
      </c>
      <c r="G1716" t="s">
        <v>23</v>
      </c>
      <c r="H1716" t="s">
        <v>24</v>
      </c>
      <c r="I1716" t="s">
        <v>25</v>
      </c>
      <c r="J1716" s="2">
        <v>45836.252766203703</v>
      </c>
      <c r="K1716">
        <v>28</v>
      </c>
      <c r="L1716">
        <v>6</v>
      </c>
      <c r="M1716">
        <v>2025</v>
      </c>
      <c r="N1716" t="s">
        <v>27</v>
      </c>
      <c r="O1716">
        <v>600</v>
      </c>
      <c r="P1716">
        <v>600</v>
      </c>
      <c r="R1716" s="3" t="str">
        <f>HYPERLINK("https://panda.att.com.mx/ODKServer/view/binaryData?blobKey=FSSuministroFluidosv3%5B%40version%3Dnull+and+%40uiVersion%3Dnull%5D%2Fdata%5B%40key%3Duuid%3A60cf85ee-e936-4277-a037-c9dfd9f8c116%5D%2FgroupInfoFuel%5B%40ordinal%3D1%5D%2FpicFuelRecibeInterno","Descargar")</f>
        <v>Descargar</v>
      </c>
    </row>
    <row r="1717" spans="1:18" x14ac:dyDescent="0.3">
      <c r="A1717">
        <v>1566846</v>
      </c>
      <c r="B1717" t="s">
        <v>18</v>
      </c>
      <c r="C1717" t="s">
        <v>19</v>
      </c>
      <c r="D1717" t="s">
        <v>1524</v>
      </c>
      <c r="E1717" t="s">
        <v>1525</v>
      </c>
      <c r="F1717" t="s">
        <v>22</v>
      </c>
      <c r="G1717" t="s">
        <v>47</v>
      </c>
      <c r="H1717" t="s">
        <v>24</v>
      </c>
      <c r="I1717" t="s">
        <v>25</v>
      </c>
      <c r="J1717" s="2">
        <v>45835.976886574077</v>
      </c>
      <c r="K1717">
        <v>27</v>
      </c>
      <c r="L1717">
        <v>6</v>
      </c>
      <c r="M1717">
        <v>2025</v>
      </c>
      <c r="N1717" t="s">
        <v>27</v>
      </c>
      <c r="O1717">
        <v>400</v>
      </c>
      <c r="P1717">
        <v>400</v>
      </c>
      <c r="R1717" s="3" t="str">
        <f>HYPERLINK("https://panda.att.com.mx/ODKServer/view/binaryData?blobKey=FSSuministroFluidosv3%5B%40version%3Dnull+and+%40uiVersion%3Dnull%5D%2Fdata%5B%40key%3Duuid%3Ac19edb06-e6be-4834-8238-55c88598a7b7%5D%2FgroupInfoFuel%5B%40ordinal%3D1%5D%2FpicFuelRecibeInterno","Descargar")</f>
        <v>Descargar</v>
      </c>
    </row>
    <row r="1718" spans="1:18" x14ac:dyDescent="0.3">
      <c r="A1718">
        <v>1566811</v>
      </c>
      <c r="B1718" t="s">
        <v>18</v>
      </c>
      <c r="C1718" t="s">
        <v>28</v>
      </c>
      <c r="D1718" t="s">
        <v>1806</v>
      </c>
      <c r="E1718" t="s">
        <v>1807</v>
      </c>
      <c r="F1718" t="s">
        <v>22</v>
      </c>
      <c r="G1718" t="s">
        <v>47</v>
      </c>
      <c r="H1718" t="s">
        <v>24</v>
      </c>
      <c r="I1718" t="s">
        <v>25</v>
      </c>
      <c r="J1718" s="2">
        <v>45835.636134259257</v>
      </c>
      <c r="K1718">
        <v>27</v>
      </c>
      <c r="L1718">
        <v>6</v>
      </c>
      <c r="M1718">
        <v>2025</v>
      </c>
      <c r="N1718" t="s">
        <v>27</v>
      </c>
      <c r="O1718">
        <v>400</v>
      </c>
      <c r="P1718">
        <v>400</v>
      </c>
      <c r="R1718" s="3" t="str">
        <f>HYPERLINK("https://panda.att.com.mx/ODKServer/view/binaryData?blobKey=FSSuministroFluidosv3%5B%40version%3Dnull+and+%40uiVersion%3Dnull%5D%2Fdata%5B%40key%3Duuid%3A6aed0e98-078d-4662-aace-c023d081ff06%5D%2FgroupInfoFuel%5B%40ordinal%3D1%5D%2FpicFuelRecibeInterno","Descargar")</f>
        <v>Descargar</v>
      </c>
    </row>
    <row r="1719" spans="1:18" x14ac:dyDescent="0.3">
      <c r="A1719">
        <v>1566755</v>
      </c>
      <c r="B1719" t="s">
        <v>18</v>
      </c>
      <c r="C1719" t="s">
        <v>34</v>
      </c>
      <c r="D1719" t="s">
        <v>53</v>
      </c>
      <c r="E1719" t="s">
        <v>1743</v>
      </c>
      <c r="F1719" t="s">
        <v>22</v>
      </c>
      <c r="G1719" t="s">
        <v>23</v>
      </c>
      <c r="H1719" t="s">
        <v>37</v>
      </c>
      <c r="I1719" t="s">
        <v>25</v>
      </c>
      <c r="J1719" s="2">
        <v>45835.78365740741</v>
      </c>
      <c r="K1719">
        <v>27</v>
      </c>
      <c r="L1719">
        <v>6</v>
      </c>
      <c r="M1719">
        <v>2025</v>
      </c>
      <c r="N1719" t="s">
        <v>27</v>
      </c>
      <c r="O1719">
        <v>900</v>
      </c>
      <c r="P1719">
        <v>900</v>
      </c>
      <c r="R1719" s="3" t="str">
        <f>HYPERLINK("https://panda.att.com.mx/ODKServer/view/binaryData?blobKey=FSSuministroFluidosv3%5B%40version%3Dnull+and+%40uiVersion%3Dnull%5D%2Fdata%5B%40key%3Duuid%3Ace530a66-dce2-4609-a866-8c03d0df3db5%5D%2FgroupInfoFuel%5B%40ordinal%3D1%5D%2FpicFuelRecibeInterno","Descargar")</f>
        <v>Descargar</v>
      </c>
    </row>
    <row r="1720" spans="1:18" x14ac:dyDescent="0.3">
      <c r="A1720">
        <v>1566673</v>
      </c>
      <c r="B1720" t="s">
        <v>18</v>
      </c>
      <c r="C1720" t="s">
        <v>68</v>
      </c>
      <c r="D1720" t="s">
        <v>91</v>
      </c>
      <c r="E1720" t="s">
        <v>1549</v>
      </c>
      <c r="F1720" t="s">
        <v>22</v>
      </c>
      <c r="G1720" t="s">
        <v>83</v>
      </c>
      <c r="H1720" t="s">
        <v>37</v>
      </c>
      <c r="I1720" t="s">
        <v>25</v>
      </c>
      <c r="J1720" s="2">
        <v>45835.62054398148</v>
      </c>
      <c r="K1720">
        <v>27</v>
      </c>
      <c r="L1720">
        <v>6</v>
      </c>
      <c r="M1720">
        <v>2025</v>
      </c>
      <c r="N1720" t="s">
        <v>27</v>
      </c>
      <c r="O1720">
        <v>400</v>
      </c>
      <c r="P1720">
        <v>400</v>
      </c>
      <c r="R1720" s="3" t="str">
        <f>HYPERLINK("https://panda.att.com.mx/ODKServer/view/binaryData?blobKey=FSSuministroFluidosv3%5B%40version%3Dnull+and+%40uiVersion%3Dnull%5D%2Fdata%5B%40key%3Duuid%3A28dbbe99-a906-40b5-84d9-e37576760ec8%5D%2FgroupInfoFuel%5B%40ordinal%3D1%5D%2FpicFuelRecibeInterno","Descargar")</f>
        <v>Descargar</v>
      </c>
    </row>
    <row r="1721" spans="1:18" x14ac:dyDescent="0.3">
      <c r="A1721">
        <v>1566642</v>
      </c>
      <c r="B1721" t="s">
        <v>18</v>
      </c>
      <c r="C1721" t="s">
        <v>68</v>
      </c>
      <c r="D1721" t="s">
        <v>69</v>
      </c>
      <c r="E1721" t="s">
        <v>1808</v>
      </c>
      <c r="F1721" t="s">
        <v>22</v>
      </c>
      <c r="G1721" t="s">
        <v>23</v>
      </c>
      <c r="H1721" t="s">
        <v>37</v>
      </c>
      <c r="I1721" t="s">
        <v>25</v>
      </c>
      <c r="J1721" s="2">
        <v>45834.485648148147</v>
      </c>
      <c r="K1721">
        <v>26</v>
      </c>
      <c r="L1721">
        <v>6</v>
      </c>
      <c r="M1721">
        <v>2025</v>
      </c>
      <c r="N1721" t="s">
        <v>44</v>
      </c>
      <c r="O1721">
        <v>50</v>
      </c>
      <c r="P1721">
        <v>50</v>
      </c>
      <c r="R1721" s="3" t="str">
        <f>HYPERLINK("https://panda.att.com.mx/ODKServer/view/binaryData?blobKey=FSSuministroFluidosv3%5B%40version%3Dnull+and+%40uiVersion%3Dnull%5D%2Fdata%5B%40key%3Duuid%3A68055e3b-07bd-4284-97d1-68850b743dd4%5D%2FgroupInfoFuel%5B%40ordinal%3D1%5D%2FpicFuelRecibeInterno","Descargar")</f>
        <v>Descargar</v>
      </c>
    </row>
    <row r="1722" spans="1:18" x14ac:dyDescent="0.3">
      <c r="A1722">
        <v>1566553</v>
      </c>
      <c r="B1722" t="s">
        <v>18</v>
      </c>
      <c r="C1722" t="s">
        <v>55</v>
      </c>
      <c r="D1722" t="s">
        <v>128</v>
      </c>
      <c r="E1722" t="s">
        <v>129</v>
      </c>
      <c r="F1722" t="s">
        <v>22</v>
      </c>
      <c r="G1722" t="s">
        <v>23</v>
      </c>
      <c r="H1722" t="s">
        <v>58</v>
      </c>
      <c r="I1722" t="s">
        <v>25</v>
      </c>
      <c r="J1722" s="2">
        <v>45835.674733796302</v>
      </c>
      <c r="K1722">
        <v>27</v>
      </c>
      <c r="L1722">
        <v>6</v>
      </c>
      <c r="M1722">
        <v>2025</v>
      </c>
      <c r="N1722" t="s">
        <v>27</v>
      </c>
      <c r="O1722">
        <v>300</v>
      </c>
      <c r="P1722">
        <v>300</v>
      </c>
      <c r="R1722" s="3" t="str">
        <f>HYPERLINK("https://panda.att.com.mx/ODKServer/view/binaryData?blobKey=FSSuministroFluidosv3%5B%40version%3Dnull+and+%40uiVersion%3Dnull%5D%2Fdata%5B%40key%3Duuid%3Ad1de420d-6a25-43a6-91ba-d1afda9d4161%5D%2FgroupInfoFuel%5B%40ordinal%3D1%5D%2FpicFuelRecibeInterno","Descargar")</f>
        <v>Descargar</v>
      </c>
    </row>
    <row r="1723" spans="1:18" x14ac:dyDescent="0.3">
      <c r="A1723">
        <v>1566476</v>
      </c>
      <c r="B1723" t="s">
        <v>18</v>
      </c>
      <c r="C1723" t="s">
        <v>28</v>
      </c>
      <c r="D1723" t="s">
        <v>429</v>
      </c>
      <c r="E1723" t="s">
        <v>1809</v>
      </c>
      <c r="F1723" t="s">
        <v>22</v>
      </c>
      <c r="G1723" t="s">
        <v>23</v>
      </c>
      <c r="H1723" t="s">
        <v>24</v>
      </c>
      <c r="I1723" t="s">
        <v>25</v>
      </c>
      <c r="J1723" s="2">
        <v>45831.867858796293</v>
      </c>
      <c r="K1723">
        <v>23</v>
      </c>
      <c r="L1723">
        <v>6</v>
      </c>
      <c r="M1723">
        <v>2025</v>
      </c>
      <c r="N1723" t="s">
        <v>44</v>
      </c>
      <c r="O1723">
        <v>60</v>
      </c>
      <c r="P1723">
        <v>60</v>
      </c>
      <c r="R1723" s="3" t="str">
        <f>HYPERLINK("https://panda.att.com.mx/ODKServer/view/binaryData?blobKey=FSSuministroFluidosv3%5B%40version%3Dnull+and+%40uiVersion%3Dnull%5D%2Fdata%5B%40key%3Duuid%3Ae8bd2883-39aa-44a1-9541-dff5f2cae87c%5D%2FgroupInfoFuel%5B%40ordinal%3D1%5D%2FpicFuelRecibeInterno","Descargar")</f>
        <v>Descargar</v>
      </c>
    </row>
    <row r="1724" spans="1:18" x14ac:dyDescent="0.3">
      <c r="A1724">
        <v>1566416</v>
      </c>
      <c r="B1724" t="s">
        <v>18</v>
      </c>
      <c r="C1724" t="s">
        <v>19</v>
      </c>
      <c r="D1724" t="s">
        <v>200</v>
      </c>
      <c r="E1724" t="s">
        <v>1810</v>
      </c>
      <c r="F1724" t="s">
        <v>22</v>
      </c>
      <c r="G1724" t="s">
        <v>23</v>
      </c>
      <c r="H1724" t="s">
        <v>24</v>
      </c>
      <c r="I1724" t="s">
        <v>25</v>
      </c>
      <c r="J1724" s="2">
        <v>45834.93990740741</v>
      </c>
      <c r="K1724">
        <v>26</v>
      </c>
      <c r="L1724">
        <v>6</v>
      </c>
      <c r="M1724">
        <v>2025</v>
      </c>
      <c r="N1724" t="s">
        <v>44</v>
      </c>
      <c r="O1724">
        <v>40</v>
      </c>
      <c r="P1724">
        <v>40</v>
      </c>
      <c r="R1724" s="3" t="str">
        <f>HYPERLINK("https://panda.att.com.mx/ODKServer/view/binaryData?blobKey=FSSuministroFluidosv3%5B%40version%3Dnull+and+%40uiVersion%3Dnull%5D%2Fdata%5B%40key%3Duuid%3A17333e37-770b-4ac0-99b5-6968c23f2e44%5D%2FgroupInfoFuel%5B%40ordinal%3D1%5D%2FpicFuelRecibeInterno","Descargar")</f>
        <v>Descargar</v>
      </c>
    </row>
    <row r="1725" spans="1:18" x14ac:dyDescent="0.3">
      <c r="A1725">
        <v>1566393</v>
      </c>
      <c r="B1725" t="s">
        <v>18</v>
      </c>
      <c r="C1725" t="s">
        <v>55</v>
      </c>
      <c r="D1725" t="s">
        <v>887</v>
      </c>
      <c r="E1725" t="s">
        <v>888</v>
      </c>
      <c r="F1725" t="s">
        <v>22</v>
      </c>
      <c r="G1725" t="s">
        <v>23</v>
      </c>
      <c r="H1725" t="s">
        <v>58</v>
      </c>
      <c r="I1725" t="s">
        <v>25</v>
      </c>
      <c r="J1725" s="2">
        <v>45835.574872685182</v>
      </c>
      <c r="K1725">
        <v>27</v>
      </c>
      <c r="L1725">
        <v>6</v>
      </c>
      <c r="M1725">
        <v>2025</v>
      </c>
      <c r="N1725" t="s">
        <v>27</v>
      </c>
      <c r="O1725">
        <v>350</v>
      </c>
      <c r="P1725">
        <v>350</v>
      </c>
      <c r="R1725" s="3" t="str">
        <f>HYPERLINK("https://panda.att.com.mx/ODKServer/view/binaryData?blobKey=FSSuministroFluidosv3%5B%40version%3Dnull+and+%40uiVersion%3Dnull%5D%2Fdata%5B%40key%3Duuid%3A9d267d19-3df1-437d-8d57-f652932a808e%5D%2FgroupInfoFuel%5B%40ordinal%3D1%5D%2FpicFuelRecibeInterno","Descargar")</f>
        <v>Descargar</v>
      </c>
    </row>
    <row r="1726" spans="1:18" x14ac:dyDescent="0.3">
      <c r="A1726">
        <v>1566152</v>
      </c>
      <c r="B1726" t="s">
        <v>18</v>
      </c>
      <c r="C1726" t="s">
        <v>183</v>
      </c>
      <c r="D1726" t="s">
        <v>1582</v>
      </c>
      <c r="E1726" t="s">
        <v>1583</v>
      </c>
      <c r="F1726" t="s">
        <v>22</v>
      </c>
      <c r="G1726" t="s">
        <v>23</v>
      </c>
      <c r="H1726" t="s">
        <v>24</v>
      </c>
      <c r="I1726" t="s">
        <v>25</v>
      </c>
      <c r="J1726" s="2">
        <v>45835.434363425928</v>
      </c>
      <c r="K1726">
        <v>27</v>
      </c>
      <c r="L1726">
        <v>6</v>
      </c>
      <c r="M1726">
        <v>2025</v>
      </c>
      <c r="N1726" t="s">
        <v>27</v>
      </c>
      <c r="O1726">
        <v>200</v>
      </c>
      <c r="P1726">
        <v>200</v>
      </c>
      <c r="R1726" s="3" t="str">
        <f>HYPERLINK("https://panda.att.com.mx/ODKServer/view/binaryData?blobKey=FSSuministroFluidosv3%5B%40version%3Dnull+and+%40uiVersion%3Dnull%5D%2Fdata%5B%40key%3Duuid%3A411161d3-f201-4dcf-b0e4-f613a11e6375%5D%2FgroupInfoFuel%5B%40ordinal%3D1%5D%2FpicFuelRecibeInterno","Descargar")</f>
        <v>Descargar</v>
      </c>
    </row>
    <row r="1727" spans="1:18" x14ac:dyDescent="0.3">
      <c r="A1727">
        <v>1566119</v>
      </c>
      <c r="B1727" t="s">
        <v>18</v>
      </c>
      <c r="C1727" t="s">
        <v>59</v>
      </c>
      <c r="D1727" t="s">
        <v>233</v>
      </c>
      <c r="E1727" t="s">
        <v>1511</v>
      </c>
      <c r="F1727" t="s">
        <v>22</v>
      </c>
      <c r="G1727" t="s">
        <v>47</v>
      </c>
      <c r="H1727" t="s">
        <v>37</v>
      </c>
      <c r="I1727" t="s">
        <v>25</v>
      </c>
      <c r="J1727" s="2">
        <v>45834.630567129629</v>
      </c>
      <c r="K1727">
        <v>26</v>
      </c>
      <c r="L1727">
        <v>6</v>
      </c>
      <c r="M1727">
        <v>2025</v>
      </c>
      <c r="N1727" t="s">
        <v>27</v>
      </c>
      <c r="O1727">
        <v>350</v>
      </c>
      <c r="P1727">
        <v>350</v>
      </c>
      <c r="R1727" s="3" t="str">
        <f>HYPERLINK("https://panda.att.com.mx/ODKServer/view/binaryData?blobKey=FSSuministroFluidosv3%5B%40version%3Dnull+and+%40uiVersion%3Dnull%5D%2Fdata%5B%40key%3Duuid%3A65ea169e-9be9-4562-8172-a411d543ecf1%5D%2FgroupInfoFuel%5B%40ordinal%3D1%5D%2FpicFuelRecibeInterno","Descargar")</f>
        <v>Descargar</v>
      </c>
    </row>
    <row r="1728" spans="1:18" x14ac:dyDescent="0.3">
      <c r="A1728">
        <v>1566103</v>
      </c>
      <c r="B1728" t="s">
        <v>18</v>
      </c>
      <c r="C1728" t="s">
        <v>34</v>
      </c>
      <c r="D1728" t="s">
        <v>121</v>
      </c>
      <c r="E1728" t="s">
        <v>1811</v>
      </c>
      <c r="F1728" t="s">
        <v>22</v>
      </c>
      <c r="G1728" t="s">
        <v>23</v>
      </c>
      <c r="H1728" t="s">
        <v>37</v>
      </c>
      <c r="I1728" t="s">
        <v>25</v>
      </c>
      <c r="J1728" s="2">
        <v>45835.422407407408</v>
      </c>
      <c r="K1728">
        <v>27</v>
      </c>
      <c r="L1728">
        <v>6</v>
      </c>
      <c r="M1728">
        <v>2025</v>
      </c>
      <c r="N1728" t="s">
        <v>44</v>
      </c>
      <c r="O1728">
        <v>39.880000000000003</v>
      </c>
      <c r="P1728">
        <v>39.880000000000003</v>
      </c>
      <c r="R1728" s="3" t="str">
        <f>HYPERLINK("https://panda.att.com.mx/ODKServer/view/binaryData?blobKey=FSSuministroFluidosv3%5B%40version%3Dnull+and+%40uiVersion%3Dnull%5D%2Fdata%5B%40key%3Duuid%3A5d94687c-992b-47a6-919b-5f5d2b4f9ae1%5D%2FgroupInfoFuel%5B%40ordinal%3D1%5D%2FpicFuelRecibeInterno","Descargar")</f>
        <v>Descargar</v>
      </c>
    </row>
    <row r="1729" spans="1:18" x14ac:dyDescent="0.3">
      <c r="A1729">
        <v>1566015</v>
      </c>
      <c r="B1729" t="s">
        <v>18</v>
      </c>
      <c r="C1729" t="s">
        <v>28</v>
      </c>
      <c r="D1729" t="s">
        <v>181</v>
      </c>
      <c r="E1729" t="s">
        <v>1812</v>
      </c>
      <c r="F1729" t="s">
        <v>22</v>
      </c>
      <c r="G1729" t="s">
        <v>23</v>
      </c>
      <c r="H1729" t="s">
        <v>24</v>
      </c>
      <c r="I1729" t="s">
        <v>25</v>
      </c>
      <c r="J1729" s="2">
        <v>45824.504120370373</v>
      </c>
      <c r="K1729">
        <v>16</v>
      </c>
      <c r="L1729">
        <v>6</v>
      </c>
      <c r="M1729">
        <v>2025</v>
      </c>
      <c r="N1729" t="s">
        <v>27</v>
      </c>
      <c r="O1729">
        <v>50</v>
      </c>
      <c r="P1729">
        <v>50</v>
      </c>
      <c r="R1729" s="3" t="str">
        <f>HYPERLINK("https://panda.att.com.mx/ODKServer/view/binaryData?blobKey=FSSuministroFluidosv3%5B%40version%3Dnull+and+%40uiVersion%3Dnull%5D%2Fdata%5B%40key%3Duuid%3A61c9ec11-c9ff-4c16-b918-b43a3b33909c%5D%2FgroupInfoFuel%5B%40ordinal%3D1%5D%2FpicFuelRecibeInterno","Descargar")</f>
        <v>Descargar</v>
      </c>
    </row>
    <row r="1730" spans="1:18" x14ac:dyDescent="0.3">
      <c r="A1730">
        <v>1565919</v>
      </c>
      <c r="B1730" t="s">
        <v>18</v>
      </c>
      <c r="C1730" t="s">
        <v>100</v>
      </c>
      <c r="D1730" t="s">
        <v>854</v>
      </c>
      <c r="E1730" t="s">
        <v>993</v>
      </c>
      <c r="F1730" t="s">
        <v>22</v>
      </c>
      <c r="G1730" t="s">
        <v>83</v>
      </c>
      <c r="H1730" t="s">
        <v>58</v>
      </c>
      <c r="I1730" t="s">
        <v>25</v>
      </c>
      <c r="J1730" s="2">
        <v>45834.638020833343</v>
      </c>
      <c r="K1730">
        <v>26</v>
      </c>
      <c r="L1730">
        <v>6</v>
      </c>
      <c r="M1730">
        <v>2025</v>
      </c>
      <c r="N1730" t="s">
        <v>27</v>
      </c>
      <c r="O1730">
        <v>200</v>
      </c>
      <c r="P1730">
        <v>200</v>
      </c>
      <c r="R1730" s="3" t="str">
        <f>HYPERLINK("https://panda.att.com.mx/ODKServer/view/binaryData?blobKey=FSSuministroFluidosv3%5B%40version%3Dnull+and+%40uiVersion%3Dnull%5D%2Fdata%5B%40key%3Duuid%3A44788545-bbd6-4511-9d22-77eded95a360%5D%2FgroupInfoFuel%5B%40ordinal%3D1%5D%2FpicFuelRecibeInterno","Descargar")</f>
        <v>Descargar</v>
      </c>
    </row>
    <row r="1731" spans="1:18" x14ac:dyDescent="0.3">
      <c r="A1731">
        <v>1565915</v>
      </c>
      <c r="B1731" t="s">
        <v>18</v>
      </c>
      <c r="C1731" t="s">
        <v>19</v>
      </c>
      <c r="D1731" t="s">
        <v>62</v>
      </c>
      <c r="E1731" t="s">
        <v>1813</v>
      </c>
      <c r="F1731" t="s">
        <v>22</v>
      </c>
      <c r="G1731" t="s">
        <v>23</v>
      </c>
      <c r="H1731" t="s">
        <v>24</v>
      </c>
      <c r="I1731" t="s">
        <v>25</v>
      </c>
      <c r="J1731" s="2">
        <v>45834.912164351852</v>
      </c>
      <c r="K1731">
        <v>26</v>
      </c>
      <c r="L1731">
        <v>6</v>
      </c>
      <c r="M1731">
        <v>2025</v>
      </c>
      <c r="N1731" t="s">
        <v>44</v>
      </c>
      <c r="O1731">
        <v>40</v>
      </c>
      <c r="P1731">
        <v>40</v>
      </c>
      <c r="R1731" s="3" t="str">
        <f>HYPERLINK("https://panda.att.com.mx/ODKServer/view/binaryData?blobKey=FSSuministroFluidosv3%5B%40version%3Dnull+and+%40uiVersion%3Dnull%5D%2Fdata%5B%40key%3Duuid%3A1be8a210-fd00-4f80-9ee5-4517d5f57af9%5D%2FgroupInfoFuel%5B%40ordinal%3D1%5D%2FpicFuelRecibeInterno","Descargar")</f>
        <v>Descargar</v>
      </c>
    </row>
    <row r="1732" spans="1:18" x14ac:dyDescent="0.3">
      <c r="A1732">
        <v>1565896</v>
      </c>
      <c r="B1732" t="s">
        <v>18</v>
      </c>
      <c r="C1732" t="s">
        <v>34</v>
      </c>
      <c r="D1732" t="s">
        <v>53</v>
      </c>
      <c r="E1732" t="s">
        <v>1814</v>
      </c>
      <c r="F1732" t="s">
        <v>22</v>
      </c>
      <c r="G1732" t="s">
        <v>23</v>
      </c>
      <c r="H1732" t="s">
        <v>37</v>
      </c>
      <c r="I1732" t="s">
        <v>25</v>
      </c>
      <c r="J1732" s="2">
        <v>45834.483564814807</v>
      </c>
      <c r="K1732">
        <v>26</v>
      </c>
      <c r="L1732">
        <v>6</v>
      </c>
      <c r="M1732">
        <v>2025</v>
      </c>
      <c r="N1732" t="s">
        <v>27</v>
      </c>
      <c r="O1732">
        <v>649.24</v>
      </c>
      <c r="Q1732">
        <v>649.24</v>
      </c>
      <c r="R1732" s="3" t="str">
        <f>HYPERLINK("https://panda.att.com.mx/ODKServer/view/binaryData?blobKey=FSSuministroFluidosv3%5B%40version%3Dnull+and+%40uiVersion%3Dnull%5D%2Fdata%5B%40key%3Duuid%3Ae25fff25-1c93-4458-bced-69e8518a7ccc%5D%2FgroupInfoFuel%5B%40ordinal%3D1%5D%2FpicFuelRecibeInterno","Descargar")</f>
        <v>Descargar</v>
      </c>
    </row>
    <row r="1733" spans="1:18" x14ac:dyDescent="0.3">
      <c r="A1733">
        <v>1565855</v>
      </c>
      <c r="B1733" t="s">
        <v>18</v>
      </c>
      <c r="C1733" t="s">
        <v>34</v>
      </c>
      <c r="D1733" t="s">
        <v>53</v>
      </c>
      <c r="E1733" t="s">
        <v>1790</v>
      </c>
      <c r="F1733" t="s">
        <v>22</v>
      </c>
      <c r="G1733" t="s">
        <v>23</v>
      </c>
      <c r="H1733" t="s">
        <v>390</v>
      </c>
      <c r="I1733" t="s">
        <v>25</v>
      </c>
      <c r="J1733" s="2">
        <v>45834.824548611112</v>
      </c>
      <c r="K1733">
        <v>26</v>
      </c>
      <c r="L1733">
        <v>6</v>
      </c>
      <c r="M1733">
        <v>2025</v>
      </c>
      <c r="N1733" t="s">
        <v>27</v>
      </c>
      <c r="O1733">
        <v>60</v>
      </c>
      <c r="P1733">
        <v>60</v>
      </c>
      <c r="R1733" s="3" t="str">
        <f>HYPERLINK("https://panda.att.com.mx/ODKServer/view/binaryData?blobKey=FSSuministroFluidosv3%5B%40version%3Dnull+and+%40uiVersion%3Dnull%5D%2Fdata%5B%40key%3Duuid%3A4a54bbf2-e949-4a5d-98df-e0a78a849562%5D%2FgroupInfoFuel%5B%40ordinal%3D1%5D%2FpicFuelRecibeInterno","Descargar")</f>
        <v>Descargar</v>
      </c>
    </row>
    <row r="1734" spans="1:18" x14ac:dyDescent="0.3">
      <c r="A1734">
        <v>1565813</v>
      </c>
      <c r="B1734" t="s">
        <v>18</v>
      </c>
      <c r="C1734" t="s">
        <v>59</v>
      </c>
      <c r="D1734" t="s">
        <v>1242</v>
      </c>
      <c r="E1734" t="s">
        <v>1815</v>
      </c>
      <c r="F1734" t="s">
        <v>22</v>
      </c>
      <c r="G1734" t="s">
        <v>23</v>
      </c>
      <c r="H1734" t="s">
        <v>1816</v>
      </c>
      <c r="I1734" t="s">
        <v>84</v>
      </c>
      <c r="J1734" s="2">
        <v>45833.418969907398</v>
      </c>
      <c r="K1734">
        <v>25</v>
      </c>
      <c r="L1734">
        <v>6</v>
      </c>
      <c r="M1734">
        <v>2025</v>
      </c>
      <c r="N1734" t="s">
        <v>27</v>
      </c>
      <c r="O1734">
        <v>350</v>
      </c>
      <c r="P1734">
        <v>350</v>
      </c>
      <c r="R1734" s="3" t="str">
        <f>HYPERLINK("https://panda.att.com.mx/ODKServer/view/binaryData?blobKey=FSSuministroFluidosv3%5B%40version%3Dnull+and+%40uiVersion%3Dnull%5D%2Fdata%5B%40key%3Duuid%3A358e3844-31be-4a53-aac0-9282aa9d84ec%5D%2FgroupInfoFuel%5B%40ordinal%3D1%5D%2FpicFuelRecibeInterno","Descargar")</f>
        <v>Descargar</v>
      </c>
    </row>
    <row r="1735" spans="1:18" x14ac:dyDescent="0.3">
      <c r="A1735">
        <v>1565806</v>
      </c>
      <c r="B1735" t="s">
        <v>18</v>
      </c>
      <c r="C1735" t="s">
        <v>100</v>
      </c>
      <c r="D1735" t="s">
        <v>101</v>
      </c>
      <c r="E1735" t="s">
        <v>126</v>
      </c>
      <c r="F1735" t="s">
        <v>22</v>
      </c>
      <c r="G1735" t="s">
        <v>83</v>
      </c>
      <c r="H1735" t="s">
        <v>58</v>
      </c>
      <c r="I1735" t="s">
        <v>25</v>
      </c>
      <c r="J1735" s="2">
        <v>45834.751817129632</v>
      </c>
      <c r="K1735">
        <v>26</v>
      </c>
      <c r="L1735">
        <v>6</v>
      </c>
      <c r="M1735">
        <v>2025</v>
      </c>
      <c r="N1735" t="s">
        <v>27</v>
      </c>
      <c r="O1735">
        <v>300</v>
      </c>
      <c r="P1735">
        <v>300</v>
      </c>
      <c r="R1735" s="3" t="str">
        <f>HYPERLINK("https://panda.att.com.mx/ODKServer/view/binaryData?blobKey=FSSuministroFluidosv3%5B%40version%3Dnull+and+%40uiVersion%3Dnull%5D%2Fdata%5B%40key%3Duuid%3A8c7f9f14-bd1b-4e81-bf43-9675db4de951%5D%2FgroupInfoFuel%5B%40ordinal%3D1%5D%2FpicFuelRecibeInterno","Descargar")</f>
        <v>Descargar</v>
      </c>
    </row>
    <row r="1736" spans="1:18" x14ac:dyDescent="0.3">
      <c r="A1736">
        <v>1565736</v>
      </c>
      <c r="B1736" t="s">
        <v>18</v>
      </c>
      <c r="C1736" t="s">
        <v>28</v>
      </c>
      <c r="D1736" t="s">
        <v>513</v>
      </c>
      <c r="E1736" t="s">
        <v>1817</v>
      </c>
      <c r="F1736" t="s">
        <v>22</v>
      </c>
      <c r="G1736" t="s">
        <v>23</v>
      </c>
      <c r="H1736" t="s">
        <v>24</v>
      </c>
      <c r="I1736" t="s">
        <v>25</v>
      </c>
      <c r="J1736" s="2">
        <v>45832.929097222222</v>
      </c>
      <c r="K1736">
        <v>24</v>
      </c>
      <c r="L1736">
        <v>6</v>
      </c>
      <c r="M1736">
        <v>2025</v>
      </c>
      <c r="N1736" t="s">
        <v>44</v>
      </c>
      <c r="O1736">
        <v>30</v>
      </c>
      <c r="P1736">
        <v>30</v>
      </c>
      <c r="R1736" s="3" t="str">
        <f>HYPERLINK("https://panda.att.com.mx/ODKServer/view/binaryData?blobKey=FSSuministroFluidosv3%5B%40version%3Dnull+and+%40uiVersion%3Dnull%5D%2Fdata%5B%40key%3Duuid%3Ae713f2d4-655f-4e9f-879b-90aaa823149f%5D%2FgroupInfoFuel%5B%40ordinal%3D1%5D%2FpicFuelRecibeInterno","Descargar")</f>
        <v>Descargar</v>
      </c>
    </row>
    <row r="1737" spans="1:18" x14ac:dyDescent="0.3">
      <c r="A1737">
        <v>1565663</v>
      </c>
      <c r="B1737" t="s">
        <v>18</v>
      </c>
      <c r="C1737" t="s">
        <v>19</v>
      </c>
      <c r="D1737" t="s">
        <v>189</v>
      </c>
      <c r="E1737" t="s">
        <v>1818</v>
      </c>
      <c r="F1737" t="s">
        <v>22</v>
      </c>
      <c r="G1737" t="s">
        <v>23</v>
      </c>
      <c r="H1737" t="s">
        <v>24</v>
      </c>
      <c r="I1737" t="s">
        <v>25</v>
      </c>
      <c r="J1737" s="2">
        <v>45822.445196759261</v>
      </c>
      <c r="K1737">
        <v>14</v>
      </c>
      <c r="L1737">
        <v>6</v>
      </c>
      <c r="M1737">
        <v>2025</v>
      </c>
      <c r="N1737" t="s">
        <v>27</v>
      </c>
      <c r="O1737">
        <v>299</v>
      </c>
      <c r="P1737">
        <v>299</v>
      </c>
      <c r="R1737" s="3" t="str">
        <f>HYPERLINK("https://panda.att.com.mx/ODKServer/view/binaryData?blobKey=FSSuministroFluidosv3%5B%40version%3Dnull+and+%40uiVersion%3Dnull%5D%2Fdata%5B%40key%3Duuid%3A9074542c-2fb2-454e-aca5-7772d76d10a9%5D%2FgroupInfoFuel%5B%40ordinal%3D1%5D%2FpicFuelRecibeInterno","Descargar")</f>
        <v>Descargar</v>
      </c>
    </row>
    <row r="1738" spans="1:18" x14ac:dyDescent="0.3">
      <c r="A1738">
        <v>1565636</v>
      </c>
      <c r="B1738" t="s">
        <v>18</v>
      </c>
      <c r="C1738" t="s">
        <v>19</v>
      </c>
      <c r="D1738" t="s">
        <v>189</v>
      </c>
      <c r="E1738" t="s">
        <v>1819</v>
      </c>
      <c r="F1738" t="s">
        <v>22</v>
      </c>
      <c r="G1738" t="s">
        <v>23</v>
      </c>
      <c r="H1738" t="s">
        <v>24</v>
      </c>
      <c r="I1738" t="s">
        <v>25</v>
      </c>
      <c r="J1738" s="2">
        <v>45815.796041666668</v>
      </c>
      <c r="K1738">
        <v>7</v>
      </c>
      <c r="L1738">
        <v>6</v>
      </c>
      <c r="M1738">
        <v>2025</v>
      </c>
      <c r="N1738" t="s">
        <v>27</v>
      </c>
      <c r="O1738">
        <v>399</v>
      </c>
      <c r="P1738">
        <v>399</v>
      </c>
      <c r="R1738" s="3" t="str">
        <f>HYPERLINK("https://panda.att.com.mx/ODKServer/view/binaryData?blobKey=FSSuministroFluidosv3%5B%40version%3Dnull+and+%40uiVersion%3Dnull%5D%2Fdata%5B%40key%3Duuid%3A61c5dd9f-ef26-4e1a-bf10-1d6f08c36549%5D%2FgroupInfoFuel%5B%40ordinal%3D1%5D%2FpicFuelRecibeInterno","Descargar")</f>
        <v>Descargar</v>
      </c>
    </row>
    <row r="1739" spans="1:18" x14ac:dyDescent="0.3">
      <c r="A1739">
        <v>1565615</v>
      </c>
      <c r="B1739" t="s">
        <v>18</v>
      </c>
      <c r="C1739" t="s">
        <v>59</v>
      </c>
      <c r="D1739" t="s">
        <v>446</v>
      </c>
      <c r="E1739" t="s">
        <v>922</v>
      </c>
      <c r="F1739" t="s">
        <v>33</v>
      </c>
      <c r="G1739" t="s">
        <v>23</v>
      </c>
      <c r="H1739" t="s">
        <v>37</v>
      </c>
      <c r="I1739" t="s">
        <v>25</v>
      </c>
      <c r="J1739" s="2">
        <v>45834.431400462963</v>
      </c>
      <c r="K1739">
        <v>26</v>
      </c>
      <c r="L1739">
        <v>6</v>
      </c>
      <c r="M1739">
        <v>2025</v>
      </c>
      <c r="N1739" t="s">
        <v>27</v>
      </c>
      <c r="O1739">
        <v>300</v>
      </c>
      <c r="Q1739">
        <v>300</v>
      </c>
      <c r="R1739" s="3" t="str">
        <f>HYPERLINK("https://panda.att.com.mx/ODKServer/view/binaryData?blobKey=FSSuministroFluidosv3%5B%40version%3Dnull+and+%40uiVersion%3Dnull%5D%2Fdata%5B%40key%3Duuid%3Ad8830d86-b672-4690-bb7f-191f7fe12f50%5D%2FgroupInfoFuel%5B%40ordinal%3D1%5D%2FpicFuelRecibeInterno","Descargar")</f>
        <v>Descargar</v>
      </c>
    </row>
    <row r="1740" spans="1:18" x14ac:dyDescent="0.3">
      <c r="A1740">
        <v>1565577</v>
      </c>
      <c r="B1740" t="s">
        <v>18</v>
      </c>
      <c r="C1740" t="s">
        <v>19</v>
      </c>
      <c r="D1740" t="s">
        <v>45</v>
      </c>
      <c r="E1740" t="s">
        <v>1820</v>
      </c>
      <c r="F1740" t="s">
        <v>22</v>
      </c>
      <c r="G1740" t="s">
        <v>23</v>
      </c>
      <c r="H1740" t="s">
        <v>24</v>
      </c>
      <c r="I1740" t="s">
        <v>25</v>
      </c>
      <c r="J1740" s="2">
        <v>45832.950509259259</v>
      </c>
      <c r="K1740">
        <v>24</v>
      </c>
      <c r="L1740">
        <v>6</v>
      </c>
      <c r="M1740">
        <v>2025</v>
      </c>
      <c r="N1740" t="s">
        <v>27</v>
      </c>
      <c r="O1740">
        <v>300</v>
      </c>
      <c r="P1740">
        <v>300</v>
      </c>
      <c r="R1740" s="3" t="str">
        <f>HYPERLINK("https://panda.att.com.mx/ODKServer/view/binaryData?blobKey=FSSuministroFluidosv3%5B%40version%3Dnull+and+%40uiVersion%3Dnull%5D%2Fdata%5B%40key%3Duuid%3A7e916265-2e4b-4a03-a335-cb2273e9298f%5D%2FgroupInfoFuel%5B%40ordinal%3D1%5D%2FpicFuelRecibeInterno","Descargar")</f>
        <v>Descargar</v>
      </c>
    </row>
    <row r="1741" spans="1:18" x14ac:dyDescent="0.3">
      <c r="A1741">
        <v>1565567</v>
      </c>
      <c r="B1741" t="s">
        <v>18</v>
      </c>
      <c r="C1741" t="s">
        <v>59</v>
      </c>
      <c r="D1741" t="s">
        <v>487</v>
      </c>
      <c r="E1741" t="s">
        <v>488</v>
      </c>
      <c r="F1741" t="s">
        <v>22</v>
      </c>
      <c r="G1741" t="s">
        <v>23</v>
      </c>
      <c r="H1741" t="s">
        <v>37</v>
      </c>
      <c r="I1741" t="s">
        <v>25</v>
      </c>
      <c r="J1741" s="2">
        <v>45827.61855324074</v>
      </c>
      <c r="K1741">
        <v>19</v>
      </c>
      <c r="L1741">
        <v>6</v>
      </c>
      <c r="M1741">
        <v>2025</v>
      </c>
      <c r="N1741" t="s">
        <v>27</v>
      </c>
      <c r="O1741">
        <v>299</v>
      </c>
      <c r="Q1741">
        <v>299</v>
      </c>
      <c r="R1741" s="3" t="str">
        <f>HYPERLINK("https://panda.att.com.mx/ODKServer/view/binaryData?blobKey=FSSuministroFluidosv3%5B%40version%3Dnull+and+%40uiVersion%3Dnull%5D%2Fdata%5B%40key%3Duuid%3A46a5102d-f9f3-494c-b5c5-afe5d75dc1d6%5D%2FgroupInfoFuel%5B%40ordinal%3D1%5D%2FpicFuelRecibeInterno","Descargar")</f>
        <v>Descargar</v>
      </c>
    </row>
    <row r="1742" spans="1:18" x14ac:dyDescent="0.3">
      <c r="A1742">
        <v>1565509</v>
      </c>
      <c r="B1742" t="s">
        <v>18</v>
      </c>
      <c r="C1742" t="s">
        <v>55</v>
      </c>
      <c r="D1742" t="s">
        <v>288</v>
      </c>
      <c r="E1742" t="s">
        <v>1821</v>
      </c>
      <c r="F1742" t="s">
        <v>22</v>
      </c>
      <c r="G1742" t="s">
        <v>23</v>
      </c>
      <c r="H1742" t="s">
        <v>1763</v>
      </c>
      <c r="I1742" t="s">
        <v>25</v>
      </c>
      <c r="J1742" s="2">
        <v>45834.622800925928</v>
      </c>
      <c r="K1742">
        <v>26</v>
      </c>
      <c r="L1742">
        <v>6</v>
      </c>
      <c r="M1742">
        <v>2025</v>
      </c>
      <c r="N1742" t="s">
        <v>27</v>
      </c>
      <c r="O1742">
        <v>300</v>
      </c>
      <c r="P1742">
        <v>300</v>
      </c>
      <c r="R1742" s="3" t="str">
        <f>HYPERLINK("https://panda.att.com.mx/ODKServer/view/binaryData?blobKey=FSSuministroFluidosv3%5B%40version%3Dnull+and+%40uiVersion%3Dnull%5D%2Fdata%5B%40key%3Duuid%3A2e5e4d60-5559-4ee3-8734-fe015090c6d3%5D%2FgroupInfoFuel%5B%40ordinal%3D1%5D%2FpicFuelRecibeInterno","Descargar")</f>
        <v>Descargar</v>
      </c>
    </row>
    <row r="1743" spans="1:18" x14ac:dyDescent="0.3">
      <c r="A1743">
        <v>1565459</v>
      </c>
      <c r="B1743" t="s">
        <v>18</v>
      </c>
      <c r="C1743" t="s">
        <v>19</v>
      </c>
      <c r="D1743" t="s">
        <v>170</v>
      </c>
      <c r="E1743" t="s">
        <v>1741</v>
      </c>
      <c r="F1743" t="s">
        <v>22</v>
      </c>
      <c r="G1743" t="s">
        <v>23</v>
      </c>
      <c r="H1743" t="s">
        <v>24</v>
      </c>
      <c r="I1743" t="s">
        <v>25</v>
      </c>
      <c r="J1743" s="2">
        <v>45831.670810185176</v>
      </c>
      <c r="K1743">
        <v>23</v>
      </c>
      <c r="L1743">
        <v>6</v>
      </c>
      <c r="M1743">
        <v>2025</v>
      </c>
      <c r="N1743" t="s">
        <v>27</v>
      </c>
      <c r="O1743">
        <v>400</v>
      </c>
      <c r="Q1743">
        <v>400</v>
      </c>
      <c r="R1743" s="3" t="str">
        <f>HYPERLINK("https://panda.att.com.mx/ODKServer/view/binaryData?blobKey=FSSuministroFluidosv3%5B%40version%3Dnull+and+%40uiVersion%3Dnull%5D%2Fdata%5B%40key%3Duuid%3A467f9538-dc95-4841-93f6-ea6a872f2aa5%5D%2FgroupInfoFuel%5B%40ordinal%3D1%5D%2FpicFuelRecibeInterno","Descargar")</f>
        <v>Descargar</v>
      </c>
    </row>
    <row r="1744" spans="1:18" x14ac:dyDescent="0.3">
      <c r="A1744">
        <v>1565352</v>
      </c>
      <c r="B1744" t="s">
        <v>18</v>
      </c>
      <c r="C1744" t="s">
        <v>150</v>
      </c>
      <c r="D1744" t="s">
        <v>296</v>
      </c>
      <c r="E1744" t="s">
        <v>1800</v>
      </c>
      <c r="F1744" t="s">
        <v>22</v>
      </c>
      <c r="G1744" t="s">
        <v>23</v>
      </c>
      <c r="H1744" t="s">
        <v>58</v>
      </c>
      <c r="I1744" t="s">
        <v>25</v>
      </c>
      <c r="J1744" s="2">
        <v>45834.339849537027</v>
      </c>
      <c r="K1744">
        <v>26</v>
      </c>
      <c r="L1744">
        <v>6</v>
      </c>
      <c r="M1744">
        <v>2025</v>
      </c>
      <c r="N1744" t="s">
        <v>27</v>
      </c>
      <c r="O1744">
        <v>100</v>
      </c>
      <c r="P1744">
        <v>100</v>
      </c>
      <c r="R1744" s="3" t="str">
        <f>HYPERLINK("https://panda.att.com.mx/ODKServer/view/binaryData?blobKey=FSSuministroFluidosv3%5B%40version%3Dnull+and+%40uiVersion%3Dnull%5D%2Fdata%5B%40key%3Duuid%3A9031761d-738e-4d9e-8af5-c44727e10afe%5D%2FgroupInfoFuel%5B%40ordinal%3D1%5D%2FpicFuelRecibeInterno","Descargar")</f>
        <v>Descargar</v>
      </c>
    </row>
    <row r="1745" spans="1:18" x14ac:dyDescent="0.3">
      <c r="A1745">
        <v>1565207</v>
      </c>
      <c r="B1745" t="s">
        <v>18</v>
      </c>
      <c r="C1745" t="s">
        <v>19</v>
      </c>
      <c r="D1745" t="s">
        <v>45</v>
      </c>
      <c r="E1745" t="s">
        <v>1801</v>
      </c>
      <c r="F1745" t="s">
        <v>22</v>
      </c>
      <c r="G1745" t="s">
        <v>23</v>
      </c>
      <c r="H1745" t="s">
        <v>24</v>
      </c>
      <c r="I1745" t="s">
        <v>25</v>
      </c>
      <c r="J1745" s="2">
        <v>45790.497893518521</v>
      </c>
      <c r="K1745">
        <v>13</v>
      </c>
      <c r="L1745">
        <v>5</v>
      </c>
      <c r="M1745">
        <v>2025</v>
      </c>
      <c r="N1745" t="s">
        <v>27</v>
      </c>
      <c r="O1745">
        <v>300</v>
      </c>
      <c r="Q1745">
        <v>300</v>
      </c>
      <c r="R1745" s="3" t="str">
        <f>HYPERLINK("https://panda.att.com.mx/ODKServer/view/binaryData?blobKey=FSSuministroFluidosv3%5B%40version%3Dnull+and+%40uiVersion%3Dnull%5D%2Fdata%5B%40key%3Duuid%3A1047ac01-ffbc-4c1c-8b53-1fa094c96d99%5D%2FgroupInfoFuel%5B%40ordinal%3D1%5D%2FpicFuelRecibeInterno","Descargar")</f>
        <v>Descargar</v>
      </c>
    </row>
    <row r="1746" spans="1:18" x14ac:dyDescent="0.3">
      <c r="A1746">
        <v>1565195</v>
      </c>
      <c r="B1746" t="s">
        <v>18</v>
      </c>
      <c r="C1746" t="s">
        <v>59</v>
      </c>
      <c r="D1746" t="s">
        <v>233</v>
      </c>
      <c r="E1746" t="s">
        <v>1822</v>
      </c>
      <c r="F1746" t="s">
        <v>22</v>
      </c>
      <c r="G1746" t="s">
        <v>23</v>
      </c>
      <c r="H1746" t="s">
        <v>37</v>
      </c>
      <c r="I1746" t="s">
        <v>25</v>
      </c>
      <c r="J1746" s="2">
        <v>45833.528854166667</v>
      </c>
      <c r="K1746">
        <v>25</v>
      </c>
      <c r="L1746">
        <v>6</v>
      </c>
      <c r="M1746">
        <v>2025</v>
      </c>
      <c r="N1746" t="s">
        <v>27</v>
      </c>
      <c r="O1746">
        <v>400</v>
      </c>
      <c r="P1746">
        <v>400</v>
      </c>
      <c r="R1746" s="3" t="str">
        <f>HYPERLINK("https://panda.att.com.mx/ODKServer/view/binaryData?blobKey=FSSuministroFluidosv3%5B%40version%3Dnull+and+%40uiVersion%3Dnull%5D%2Fdata%5B%40key%3Duuid%3A0c02fa37-e678-4029-a5c3-acfb00af3852%5D%2FgroupInfoFuel%5B%40ordinal%3D1%5D%2FpicFuelRecibeInterno","Descargar")</f>
        <v>Descargar</v>
      </c>
    </row>
    <row r="1747" spans="1:18" x14ac:dyDescent="0.3">
      <c r="A1747">
        <v>1565011</v>
      </c>
      <c r="B1747" t="s">
        <v>18</v>
      </c>
      <c r="C1747" t="s">
        <v>19</v>
      </c>
      <c r="D1747" t="s">
        <v>45</v>
      </c>
      <c r="E1747" t="s">
        <v>752</v>
      </c>
      <c r="F1747" t="s">
        <v>22</v>
      </c>
      <c r="G1747" t="s">
        <v>23</v>
      </c>
      <c r="H1747" t="s">
        <v>24</v>
      </c>
      <c r="I1747" t="s">
        <v>25</v>
      </c>
      <c r="J1747" s="2">
        <v>45833.468298611107</v>
      </c>
      <c r="K1747">
        <v>25</v>
      </c>
      <c r="L1747">
        <v>6</v>
      </c>
      <c r="M1747">
        <v>2025</v>
      </c>
      <c r="N1747" t="s">
        <v>27</v>
      </c>
      <c r="O1747">
        <v>300</v>
      </c>
      <c r="P1747">
        <v>300</v>
      </c>
      <c r="R1747" s="3" t="str">
        <f>HYPERLINK("https://panda.att.com.mx/ODKServer/view/binaryData?blobKey=FSSuministroFluidosv3%5B%40version%3Dnull+and+%40uiVersion%3Dnull%5D%2Fdata%5B%40key%3Duuid%3Ab6727f5f-1d56-4ca4-8393-6a61098a3d73%5D%2FgroupInfoFuel%5B%40ordinal%3D1%5D%2FpicFuelRecibeInterno","Descargar")</f>
        <v>Descargar</v>
      </c>
    </row>
    <row r="1748" spans="1:18" x14ac:dyDescent="0.3">
      <c r="A1748">
        <v>1564939</v>
      </c>
      <c r="B1748" t="s">
        <v>18</v>
      </c>
      <c r="C1748" t="s">
        <v>55</v>
      </c>
      <c r="D1748" t="s">
        <v>366</v>
      </c>
      <c r="E1748" t="s">
        <v>367</v>
      </c>
      <c r="F1748" t="s">
        <v>22</v>
      </c>
      <c r="G1748" t="s">
        <v>23</v>
      </c>
      <c r="H1748" t="s">
        <v>1781</v>
      </c>
      <c r="I1748" t="s">
        <v>25</v>
      </c>
      <c r="J1748" s="2">
        <v>45833.813321759262</v>
      </c>
      <c r="K1748">
        <v>25</v>
      </c>
      <c r="L1748">
        <v>6</v>
      </c>
      <c r="M1748">
        <v>2025</v>
      </c>
      <c r="N1748" t="s">
        <v>27</v>
      </c>
      <c r="O1748">
        <v>98.7</v>
      </c>
      <c r="P1748">
        <v>98.7</v>
      </c>
      <c r="R1748" s="3" t="str">
        <f>HYPERLINK("https://panda.att.com.mx/ODKServer/view/binaryData?blobKey=FSSuministroFluidosv3%5B%40version%3Dnull+and+%40uiVersion%3Dnull%5D%2Fdata%5B%40key%3Duuid%3Afb2ff27c-fcc2-4edc-b845-ddb41be51329%5D%2FgroupInfoFuel%5B%40ordinal%3D1%5D%2FpicFuelRecibeInterno","Descargar")</f>
        <v>Descargar</v>
      </c>
    </row>
    <row r="1749" spans="1:18" x14ac:dyDescent="0.3">
      <c r="A1749">
        <v>1564923</v>
      </c>
      <c r="B1749" t="s">
        <v>18</v>
      </c>
      <c r="C1749" t="s">
        <v>167</v>
      </c>
      <c r="D1749" t="s">
        <v>768</v>
      </c>
      <c r="E1749" t="s">
        <v>998</v>
      </c>
      <c r="F1749" t="s">
        <v>22</v>
      </c>
      <c r="G1749" t="s">
        <v>23</v>
      </c>
      <c r="H1749" t="s">
        <v>58</v>
      </c>
      <c r="I1749" t="s">
        <v>25</v>
      </c>
      <c r="J1749" s="2">
        <v>45833.778252314813</v>
      </c>
      <c r="K1749">
        <v>25</v>
      </c>
      <c r="L1749">
        <v>6</v>
      </c>
      <c r="M1749">
        <v>2025</v>
      </c>
      <c r="N1749" t="s">
        <v>27</v>
      </c>
      <c r="O1749">
        <v>300</v>
      </c>
      <c r="P1749">
        <v>300</v>
      </c>
      <c r="R1749" s="3" t="str">
        <f>HYPERLINK("https://panda.att.com.mx/ODKServer/view/binaryData?blobKey=FSSuministroFluidosv3%5B%40version%3Dnull+and+%40uiVersion%3Dnull%5D%2Fdata%5B%40key%3Duuid%3A87dd789d-ef70-47a2-942a-f6094bc14697%5D%2FgroupInfoFuel%5B%40ordinal%3D1%5D%2FpicFuelRecibeInterno","Descargar")</f>
        <v>Descargar</v>
      </c>
    </row>
    <row r="1750" spans="1:18" x14ac:dyDescent="0.3">
      <c r="A1750">
        <v>1564909</v>
      </c>
      <c r="B1750" t="s">
        <v>18</v>
      </c>
      <c r="C1750" t="s">
        <v>19</v>
      </c>
      <c r="D1750" t="s">
        <v>45</v>
      </c>
      <c r="E1750" t="s">
        <v>1823</v>
      </c>
      <c r="F1750" t="s">
        <v>22</v>
      </c>
      <c r="G1750" t="s">
        <v>23</v>
      </c>
      <c r="H1750" t="s">
        <v>24</v>
      </c>
      <c r="I1750" t="s">
        <v>25</v>
      </c>
      <c r="J1750" s="2">
        <v>45832.670208333337</v>
      </c>
      <c r="K1750">
        <v>24</v>
      </c>
      <c r="L1750">
        <v>6</v>
      </c>
      <c r="M1750">
        <v>2025</v>
      </c>
      <c r="N1750" t="s">
        <v>27</v>
      </c>
      <c r="O1750">
        <v>300</v>
      </c>
      <c r="P1750">
        <v>300</v>
      </c>
      <c r="R1750" s="3" t="str">
        <f>HYPERLINK("https://panda.att.com.mx/ODKServer/view/binaryData?blobKey=FSSuministroFluidosv3%5B%40version%3Dnull+and+%40uiVersion%3Dnull%5D%2Fdata%5B%40key%3Duuid%3A4b6e545b-b6b7-45bc-ba92-67d23ce28141%5D%2FgroupInfoFuel%5B%40ordinal%3D1%5D%2FpicFuelRecibeInterno","Descargar")</f>
        <v>Descargar</v>
      </c>
    </row>
    <row r="1751" spans="1:18" x14ac:dyDescent="0.3">
      <c r="A1751">
        <v>1564902</v>
      </c>
      <c r="B1751" t="s">
        <v>18</v>
      </c>
      <c r="C1751" t="s">
        <v>34</v>
      </c>
      <c r="D1751" t="s">
        <v>51</v>
      </c>
      <c r="E1751" t="s">
        <v>631</v>
      </c>
      <c r="F1751" t="s">
        <v>22</v>
      </c>
      <c r="G1751" t="s">
        <v>23</v>
      </c>
      <c r="H1751" t="s">
        <v>24</v>
      </c>
      <c r="I1751" t="s">
        <v>25</v>
      </c>
      <c r="J1751" s="2">
        <v>45833.758842592593</v>
      </c>
      <c r="K1751">
        <v>25</v>
      </c>
      <c r="L1751">
        <v>6</v>
      </c>
      <c r="M1751">
        <v>2025</v>
      </c>
      <c r="N1751" t="s">
        <v>27</v>
      </c>
      <c r="O1751">
        <v>300</v>
      </c>
      <c r="P1751">
        <v>300</v>
      </c>
      <c r="R1751" s="3" t="str">
        <f>HYPERLINK("https://panda.att.com.mx/ODKServer/view/binaryData?blobKey=FSSuministroFluidosv3%5B%40version%3Dnull+and+%40uiVersion%3Dnull%5D%2Fdata%5B%40key%3Duuid%3Aa6f7d05a-94af-45f4-8774-955f01e0594a%5D%2FgroupInfoFuel%5B%40ordinal%3D1%5D%2FpicFuelRecibeInterno","Descargar")</f>
        <v>Descargar</v>
      </c>
    </row>
    <row r="1752" spans="1:18" x14ac:dyDescent="0.3">
      <c r="A1752">
        <v>1563978</v>
      </c>
      <c r="B1752" t="s">
        <v>18</v>
      </c>
      <c r="C1752" t="s">
        <v>19</v>
      </c>
      <c r="D1752" t="s">
        <v>20</v>
      </c>
      <c r="E1752" t="s">
        <v>143</v>
      </c>
      <c r="F1752" t="s">
        <v>22</v>
      </c>
      <c r="G1752" t="s">
        <v>23</v>
      </c>
      <c r="H1752" t="s">
        <v>24</v>
      </c>
      <c r="I1752" t="s">
        <v>25</v>
      </c>
      <c r="J1752" s="2">
        <v>45831.367280092592</v>
      </c>
      <c r="K1752">
        <v>23</v>
      </c>
      <c r="L1752">
        <v>6</v>
      </c>
      <c r="M1752">
        <v>2025</v>
      </c>
      <c r="N1752" t="s">
        <v>27</v>
      </c>
      <c r="O1752">
        <v>400</v>
      </c>
      <c r="P1752">
        <v>400</v>
      </c>
      <c r="R1752" s="3" t="str">
        <f>HYPERLINK("https://panda.att.com.mx/ODKServer/view/binaryData?blobKey=FSSuministroFluidosv3%5B%40version%3Dnull+and+%40uiVersion%3Dnull%5D%2Fdata%5B%40key%3Duuid%3A18011a3a-5699-4d2f-9416-288e9f8be1e9%5D%2FgroupInfoFuel%5B%40ordinal%3D1%5D%2FpicFuelRecibeInterno","Descargar")</f>
        <v>Descargar</v>
      </c>
    </row>
    <row r="1753" spans="1:18" x14ac:dyDescent="0.3">
      <c r="A1753">
        <v>1563881</v>
      </c>
      <c r="B1753" t="s">
        <v>18</v>
      </c>
      <c r="C1753" t="s">
        <v>28</v>
      </c>
      <c r="D1753" t="s">
        <v>1689</v>
      </c>
      <c r="E1753" t="s">
        <v>1690</v>
      </c>
      <c r="F1753" t="s">
        <v>22</v>
      </c>
      <c r="G1753" t="s">
        <v>47</v>
      </c>
      <c r="H1753" t="s">
        <v>24</v>
      </c>
      <c r="I1753" t="s">
        <v>25</v>
      </c>
      <c r="J1753" s="2">
        <v>45832.291342592587</v>
      </c>
      <c r="K1753">
        <v>24</v>
      </c>
      <c r="L1753">
        <v>6</v>
      </c>
      <c r="M1753">
        <v>2025</v>
      </c>
      <c r="N1753" t="s">
        <v>44</v>
      </c>
      <c r="O1753">
        <v>40</v>
      </c>
      <c r="P1753">
        <v>40</v>
      </c>
      <c r="R1753" s="3" t="str">
        <f>HYPERLINK("https://panda.att.com.mx/ODKServer/view/binaryData?blobKey=FSSuministroFluidosv3%5B%40version%3Dnull+and+%40uiVersion%3Dnull%5D%2Fdata%5B%40key%3Duuid%3Aeceedb08-c253-4930-ba8e-f5531ff7ee5c%5D%2FgroupInfoFuel%5B%40ordinal%3D1%5D%2FpicFuelRecibeInterno","Descargar")</f>
        <v>Descargar</v>
      </c>
    </row>
    <row r="1754" spans="1:18" x14ac:dyDescent="0.3">
      <c r="A1754">
        <v>1563870</v>
      </c>
      <c r="B1754" t="s">
        <v>18</v>
      </c>
      <c r="C1754" t="s">
        <v>100</v>
      </c>
      <c r="D1754" t="s">
        <v>651</v>
      </c>
      <c r="E1754" t="s">
        <v>1791</v>
      </c>
      <c r="F1754" t="s">
        <v>22</v>
      </c>
      <c r="G1754" t="s">
        <v>23</v>
      </c>
      <c r="H1754" t="s">
        <v>58</v>
      </c>
      <c r="I1754" t="s">
        <v>25</v>
      </c>
      <c r="J1754" s="2">
        <v>45832.596909722219</v>
      </c>
      <c r="K1754">
        <v>24</v>
      </c>
      <c r="L1754">
        <v>6</v>
      </c>
      <c r="M1754">
        <v>2025</v>
      </c>
      <c r="N1754" t="s">
        <v>27</v>
      </c>
      <c r="O1754">
        <v>250</v>
      </c>
      <c r="P1754">
        <v>250</v>
      </c>
      <c r="R1754" s="3" t="str">
        <f>HYPERLINK("https://panda.att.com.mx/ODKServer/view/binaryData?blobKey=FSSuministroFluidosv3%5B%40version%3Dnull+and+%40uiVersion%3Dnull%5D%2Fdata%5B%40key%3Duuid%3A850d6f01-4b8c-4029-a8a7-e2ab7190f634%5D%2FgroupInfoFuel%5B%40ordinal%3D1%5D%2FpicFuelRecibeInterno","Descargar")</f>
        <v>Descargar</v>
      </c>
    </row>
    <row r="1755" spans="1:18" x14ac:dyDescent="0.3">
      <c r="A1755">
        <v>1563869</v>
      </c>
      <c r="B1755" t="s">
        <v>18</v>
      </c>
      <c r="C1755" t="s">
        <v>100</v>
      </c>
      <c r="D1755" t="s">
        <v>651</v>
      </c>
      <c r="E1755" t="s">
        <v>1824</v>
      </c>
      <c r="F1755" t="s">
        <v>22</v>
      </c>
      <c r="G1755" t="s">
        <v>23</v>
      </c>
      <c r="H1755" t="s">
        <v>58</v>
      </c>
      <c r="I1755" t="s">
        <v>25</v>
      </c>
      <c r="J1755" s="2">
        <v>45832.665127314824</v>
      </c>
      <c r="K1755">
        <v>24</v>
      </c>
      <c r="L1755">
        <v>6</v>
      </c>
      <c r="M1755">
        <v>2025</v>
      </c>
      <c r="N1755" t="s">
        <v>27</v>
      </c>
      <c r="O1755">
        <v>104</v>
      </c>
      <c r="P1755">
        <v>104</v>
      </c>
      <c r="R1755" s="3" t="str">
        <f>HYPERLINK("https://panda.att.com.mx/ODKServer/view/binaryData?blobKey=FSSuministroFluidosv3%5B%40version%3Dnull+and+%40uiVersion%3Dnull%5D%2Fdata%5B%40key%3Duuid%3Aa12be83f-6c83-4c04-952f-2b71a5109e40%5D%2FgroupInfoFuel%5B%40ordinal%3D1%5D%2FpicFuelRecibeInterno","Descargar")</f>
        <v>Descargar</v>
      </c>
    </row>
    <row r="1756" spans="1:18" x14ac:dyDescent="0.3">
      <c r="A1756">
        <v>1563823</v>
      </c>
      <c r="B1756" t="s">
        <v>18</v>
      </c>
      <c r="C1756" t="s">
        <v>19</v>
      </c>
      <c r="D1756" t="s">
        <v>170</v>
      </c>
      <c r="E1756" t="s">
        <v>171</v>
      </c>
      <c r="F1756" t="s">
        <v>22</v>
      </c>
      <c r="G1756" t="s">
        <v>23</v>
      </c>
      <c r="H1756" t="s">
        <v>24</v>
      </c>
      <c r="I1756" t="s">
        <v>25</v>
      </c>
      <c r="J1756" s="2">
        <v>45822.535810185182</v>
      </c>
      <c r="K1756">
        <v>14</v>
      </c>
      <c r="L1756">
        <v>6</v>
      </c>
      <c r="M1756">
        <v>2025</v>
      </c>
      <c r="N1756" t="s">
        <v>27</v>
      </c>
      <c r="O1756">
        <v>400</v>
      </c>
      <c r="P1756">
        <v>400</v>
      </c>
      <c r="R1756" s="3" t="str">
        <f>HYPERLINK("https://panda.att.com.mx/ODKServer/view/binaryData?blobKey=FSSuministroFluidosv3%5B%40version%3Dnull+and+%40uiVersion%3Dnull%5D%2Fdata%5B%40key%3Duuid%3Ab3afe026-ecaa-45b5-8034-090d1f71b4b8%5D%2FgroupInfoFuel%5B%40ordinal%3D1%5D%2FpicFuelRecibeInterno","Descargar")</f>
        <v>Descargar</v>
      </c>
    </row>
    <row r="1757" spans="1:18" x14ac:dyDescent="0.3">
      <c r="A1757">
        <v>1563752</v>
      </c>
      <c r="B1757" t="s">
        <v>18</v>
      </c>
      <c r="C1757" t="s">
        <v>167</v>
      </c>
      <c r="D1757" t="s">
        <v>168</v>
      </c>
      <c r="E1757" t="s">
        <v>169</v>
      </c>
      <c r="F1757" t="s">
        <v>22</v>
      </c>
      <c r="G1757" t="s">
        <v>83</v>
      </c>
      <c r="H1757" t="s">
        <v>58</v>
      </c>
      <c r="I1757" t="s">
        <v>25</v>
      </c>
      <c r="J1757" s="2">
        <v>45832.570474537039</v>
      </c>
      <c r="K1757">
        <v>24</v>
      </c>
      <c r="L1757">
        <v>6</v>
      </c>
      <c r="M1757">
        <v>2025</v>
      </c>
      <c r="N1757" t="s">
        <v>27</v>
      </c>
      <c r="O1757">
        <v>450</v>
      </c>
      <c r="P1757">
        <v>450</v>
      </c>
      <c r="R1757" s="3" t="str">
        <f>HYPERLINK("https://panda.att.com.mx/ODKServer/view/binaryData?blobKey=FSSuministroFluidosv3%5B%40version%3Dnull+and+%40uiVersion%3Dnull%5D%2Fdata%5B%40key%3Duuid%3A026642ad-fc6f-48bc-9efb-4373247beefd%5D%2FgroupInfoFuel%5B%40ordinal%3D1%5D%2FpicFuelRecibeInterno","Descargar")</f>
        <v>Descargar</v>
      </c>
    </row>
    <row r="1758" spans="1:18" x14ac:dyDescent="0.3">
      <c r="A1758">
        <v>1563608</v>
      </c>
      <c r="B1758" t="s">
        <v>18</v>
      </c>
      <c r="C1758" t="s">
        <v>34</v>
      </c>
      <c r="D1758" t="s">
        <v>53</v>
      </c>
      <c r="E1758" t="s">
        <v>1771</v>
      </c>
      <c r="F1758" t="s">
        <v>22</v>
      </c>
      <c r="G1758" t="s">
        <v>23</v>
      </c>
      <c r="H1758" t="s">
        <v>37</v>
      </c>
      <c r="I1758" t="s">
        <v>25</v>
      </c>
      <c r="J1758" s="2">
        <v>45832.477708333332</v>
      </c>
      <c r="K1758">
        <v>24</v>
      </c>
      <c r="L1758">
        <v>6</v>
      </c>
      <c r="M1758">
        <v>2025</v>
      </c>
      <c r="N1758" t="s">
        <v>27</v>
      </c>
      <c r="O1758">
        <v>600</v>
      </c>
      <c r="P1758">
        <v>600</v>
      </c>
      <c r="R1758" s="3" t="str">
        <f>HYPERLINK("https://panda.att.com.mx/ODKServer/view/binaryData?blobKey=FSSuministroFluidosv3%5B%40version%3Dnull+and+%40uiVersion%3Dnull%5D%2Fdata%5B%40key%3Duuid%3A0d5d2f1e-2049-48e7-bb34-34738e00ff70%5D%2FgroupInfoFuel%5B%40ordinal%3D1%5D%2FpicFuelRecibeInterno","Descargar")</f>
        <v>Descargar</v>
      </c>
    </row>
    <row r="1759" spans="1:18" x14ac:dyDescent="0.3">
      <c r="A1759">
        <v>1563584</v>
      </c>
      <c r="B1759" t="s">
        <v>18</v>
      </c>
      <c r="C1759" t="s">
        <v>150</v>
      </c>
      <c r="D1759" t="s">
        <v>230</v>
      </c>
      <c r="E1759" t="s">
        <v>1510</v>
      </c>
      <c r="F1759" t="s">
        <v>22</v>
      </c>
      <c r="G1759" t="s">
        <v>23</v>
      </c>
      <c r="H1759" t="s">
        <v>58</v>
      </c>
      <c r="I1759" t="s">
        <v>25</v>
      </c>
      <c r="J1759" s="2">
        <v>45832.493437500001</v>
      </c>
      <c r="K1759">
        <v>24</v>
      </c>
      <c r="L1759">
        <v>6</v>
      </c>
      <c r="M1759">
        <v>2025</v>
      </c>
      <c r="N1759" t="s">
        <v>27</v>
      </c>
      <c r="O1759">
        <v>350</v>
      </c>
      <c r="P1759">
        <v>350</v>
      </c>
      <c r="R1759" s="3" t="str">
        <f>HYPERLINK("https://panda.att.com.mx/ODKServer/view/binaryData?blobKey=FSSuministroFluidosv3%5B%40version%3Dnull+and+%40uiVersion%3Dnull%5D%2Fdata%5B%40key%3Duuid%3A58ce7baa-9f68-461b-8e5c-1bbc654e8ea3%5D%2FgroupInfoFuel%5B%40ordinal%3D1%5D%2FpicFuelRecibeInterno","Descargar")</f>
        <v>Descargar</v>
      </c>
    </row>
    <row r="1760" spans="1:18" x14ac:dyDescent="0.3">
      <c r="A1760">
        <v>1563575</v>
      </c>
      <c r="B1760" t="s">
        <v>18</v>
      </c>
      <c r="C1760" t="s">
        <v>150</v>
      </c>
      <c r="D1760" t="s">
        <v>230</v>
      </c>
      <c r="E1760" t="s">
        <v>1510</v>
      </c>
      <c r="F1760" t="s">
        <v>22</v>
      </c>
      <c r="G1760" t="s">
        <v>23</v>
      </c>
      <c r="H1760" t="s">
        <v>58</v>
      </c>
      <c r="I1760" t="s">
        <v>25</v>
      </c>
      <c r="J1760" s="2">
        <v>45829.365763888891</v>
      </c>
      <c r="K1760">
        <v>21</v>
      </c>
      <c r="L1760">
        <v>6</v>
      </c>
      <c r="M1760">
        <v>2025</v>
      </c>
      <c r="N1760" t="s">
        <v>27</v>
      </c>
      <c r="O1760">
        <v>300</v>
      </c>
      <c r="P1760">
        <v>300</v>
      </c>
      <c r="R1760" s="3" t="str">
        <f>HYPERLINK("https://panda.att.com.mx/ODKServer/view/binaryData?blobKey=FSSuministroFluidosv3%5B%40version%3Dnull+and+%40uiVersion%3Dnull%5D%2Fdata%5B%40key%3Duuid%3A9aa121e5-795e-4bfe-a9cb-1872d895d59c%5D%2FgroupInfoFuel%5B%40ordinal%3D1%5D%2FpicFuelRecibeInterno","Descargar")</f>
        <v>Descargar</v>
      </c>
    </row>
    <row r="1761" spans="1:18" x14ac:dyDescent="0.3">
      <c r="A1761">
        <v>1563493</v>
      </c>
      <c r="B1761" t="s">
        <v>18</v>
      </c>
      <c r="C1761" t="s">
        <v>55</v>
      </c>
      <c r="D1761" t="s">
        <v>288</v>
      </c>
      <c r="E1761" t="s">
        <v>1825</v>
      </c>
      <c r="F1761" t="s">
        <v>22</v>
      </c>
      <c r="G1761" t="s">
        <v>23</v>
      </c>
      <c r="H1761" t="s">
        <v>58</v>
      </c>
      <c r="I1761" t="s">
        <v>25</v>
      </c>
      <c r="J1761" s="2">
        <v>45832.447465277779</v>
      </c>
      <c r="K1761">
        <v>24</v>
      </c>
      <c r="L1761">
        <v>6</v>
      </c>
      <c r="M1761">
        <v>2025</v>
      </c>
      <c r="N1761" t="s">
        <v>27</v>
      </c>
      <c r="O1761">
        <v>100</v>
      </c>
      <c r="P1761">
        <v>100</v>
      </c>
      <c r="R1761" s="3" t="str">
        <f>HYPERLINK("https://panda.att.com.mx/ODKServer/view/binaryData?blobKey=FSSuministroFluidosv3%5B%40version%3Dnull+and+%40uiVersion%3Dnull%5D%2Fdata%5B%40key%3Duuid%3Ad12f153d-8756-4071-bd23-c4374270c1aa%5D%2FgroupInfoFuel%5B%40ordinal%3D1%5D%2FpicFuelRecibeInterno","Descargar")</f>
        <v>Descargar</v>
      </c>
    </row>
    <row r="1762" spans="1:18" x14ac:dyDescent="0.3">
      <c r="A1762">
        <v>1563454</v>
      </c>
      <c r="B1762" t="s">
        <v>18</v>
      </c>
      <c r="C1762" t="s">
        <v>55</v>
      </c>
      <c r="D1762" t="s">
        <v>288</v>
      </c>
      <c r="E1762" t="s">
        <v>1826</v>
      </c>
      <c r="F1762" t="s">
        <v>22</v>
      </c>
      <c r="G1762" t="s">
        <v>23</v>
      </c>
      <c r="H1762" t="s">
        <v>58</v>
      </c>
      <c r="I1762" t="s">
        <v>25</v>
      </c>
      <c r="J1762" s="2">
        <v>45832.424375000002</v>
      </c>
      <c r="K1762">
        <v>24</v>
      </c>
      <c r="L1762">
        <v>6</v>
      </c>
      <c r="M1762">
        <v>2025</v>
      </c>
      <c r="N1762" t="s">
        <v>27</v>
      </c>
      <c r="O1762">
        <v>150</v>
      </c>
      <c r="P1762">
        <v>150</v>
      </c>
      <c r="R1762" s="3" t="str">
        <f>HYPERLINK("https://panda.att.com.mx/ODKServer/view/binaryData?blobKey=FSSuministroFluidosv3%5B%40version%3Dnull+and+%40uiVersion%3Dnull%5D%2Fdata%5B%40key%3Duuid%3Acaaeb72f-2a18-4aae-9ca4-75539a565058%5D%2FgroupInfoFuel%5B%40ordinal%3D1%5D%2FpicFuelRecibeInterno","Descargar")</f>
        <v>Descargar</v>
      </c>
    </row>
    <row r="1763" spans="1:18" x14ac:dyDescent="0.3">
      <c r="A1763">
        <v>1563409</v>
      </c>
      <c r="B1763" t="s">
        <v>18</v>
      </c>
      <c r="C1763" t="s">
        <v>55</v>
      </c>
      <c r="D1763" t="s">
        <v>288</v>
      </c>
      <c r="E1763" t="s">
        <v>1827</v>
      </c>
      <c r="F1763" t="s">
        <v>22</v>
      </c>
      <c r="G1763" t="s">
        <v>23</v>
      </c>
      <c r="H1763" t="s">
        <v>58</v>
      </c>
      <c r="I1763" t="s">
        <v>25</v>
      </c>
      <c r="J1763" s="2">
        <v>45832.36478009259</v>
      </c>
      <c r="K1763">
        <v>24</v>
      </c>
      <c r="L1763">
        <v>6</v>
      </c>
      <c r="M1763">
        <v>2025</v>
      </c>
      <c r="N1763" t="s">
        <v>27</v>
      </c>
      <c r="O1763">
        <v>150</v>
      </c>
      <c r="P1763">
        <v>150</v>
      </c>
      <c r="R1763" s="3" t="str">
        <f>HYPERLINK("https://panda.att.com.mx/ODKServer/view/binaryData?blobKey=FSSuministroFluidosv3%5B%40version%3Dnull+and+%40uiVersion%3Dnull%5D%2Fdata%5B%40key%3Duuid%3Aad6d2c02-59e0-422e-a262-f816f181675c%5D%2FgroupInfoFuel%5B%40ordinal%3D1%5D%2FpicFuelRecibeInterno","Descargar")</f>
        <v>Descargar</v>
      </c>
    </row>
    <row r="1764" spans="1:18" x14ac:dyDescent="0.3">
      <c r="A1764">
        <v>1563368</v>
      </c>
      <c r="B1764" t="s">
        <v>18</v>
      </c>
      <c r="C1764" t="s">
        <v>55</v>
      </c>
      <c r="D1764" t="s">
        <v>288</v>
      </c>
      <c r="E1764" t="s">
        <v>1828</v>
      </c>
      <c r="F1764" t="s">
        <v>22</v>
      </c>
      <c r="G1764" t="s">
        <v>23</v>
      </c>
      <c r="H1764" t="s">
        <v>58</v>
      </c>
      <c r="I1764" t="s">
        <v>25</v>
      </c>
      <c r="J1764" s="2">
        <v>45832.334791666668</v>
      </c>
      <c r="K1764">
        <v>24</v>
      </c>
      <c r="L1764">
        <v>6</v>
      </c>
      <c r="M1764">
        <v>2025</v>
      </c>
      <c r="N1764" t="s">
        <v>27</v>
      </c>
      <c r="O1764">
        <v>100</v>
      </c>
      <c r="P1764">
        <v>100</v>
      </c>
      <c r="R1764" s="3" t="str">
        <f>HYPERLINK("https://panda.att.com.mx/ODKServer/view/binaryData?blobKey=FSSuministroFluidosv3%5B%40version%3Dnull+and+%40uiVersion%3Dnull%5D%2Fdata%5B%40key%3Duuid%3A113a94a6-01bf-4adb-9fdb-f1ece376a37b%5D%2FgroupInfoFuel%5B%40ordinal%3D1%5D%2FpicFuelRecibeInterno","Descargar")</f>
        <v>Descargar</v>
      </c>
    </row>
    <row r="1765" spans="1:18" x14ac:dyDescent="0.3">
      <c r="A1765">
        <v>1563358</v>
      </c>
      <c r="B1765" t="s">
        <v>18</v>
      </c>
      <c r="C1765" t="s">
        <v>59</v>
      </c>
      <c r="D1765" t="s">
        <v>60</v>
      </c>
      <c r="E1765" t="s">
        <v>1829</v>
      </c>
      <c r="F1765" t="s">
        <v>22</v>
      </c>
      <c r="G1765" t="s">
        <v>23</v>
      </c>
      <c r="H1765" t="s">
        <v>1816</v>
      </c>
      <c r="I1765" t="s">
        <v>25</v>
      </c>
      <c r="J1765" s="2">
        <v>45828.874918981477</v>
      </c>
      <c r="K1765">
        <v>20</v>
      </c>
      <c r="L1765">
        <v>6</v>
      </c>
      <c r="M1765">
        <v>2025</v>
      </c>
      <c r="N1765" t="s">
        <v>27</v>
      </c>
      <c r="O1765">
        <v>50.6</v>
      </c>
      <c r="P1765">
        <v>50.6</v>
      </c>
      <c r="R1765" s="3" t="str">
        <f>HYPERLINK("https://panda.att.com.mx/ODKServer/view/binaryData?blobKey=FSSuministroFluidosv3%5B%40version%3Dnull+and+%40uiVersion%3Dnull%5D%2Fdata%5B%40key%3Duuid%3A8e99b2aa-5f95-4c8a-86b9-ab3ea0a03720%5D%2FgroupInfoFuel%5B%40ordinal%3D1%5D%2FpicFuelRecibeInterno","Descargar")</f>
        <v>Descargar</v>
      </c>
    </row>
    <row r="1766" spans="1:18" x14ac:dyDescent="0.3">
      <c r="A1766">
        <v>1563355</v>
      </c>
      <c r="B1766" t="s">
        <v>18</v>
      </c>
      <c r="C1766" t="s">
        <v>55</v>
      </c>
      <c r="D1766" t="s">
        <v>56</v>
      </c>
      <c r="E1766" t="s">
        <v>1555</v>
      </c>
      <c r="F1766" t="s">
        <v>22</v>
      </c>
      <c r="G1766" t="s">
        <v>23</v>
      </c>
      <c r="H1766" t="s">
        <v>58</v>
      </c>
      <c r="I1766" t="s">
        <v>25</v>
      </c>
      <c r="J1766" s="2">
        <v>45831.634027777778</v>
      </c>
      <c r="K1766">
        <v>23</v>
      </c>
      <c r="L1766">
        <v>6</v>
      </c>
      <c r="M1766">
        <v>2025</v>
      </c>
      <c r="N1766" t="s">
        <v>27</v>
      </c>
      <c r="O1766">
        <v>300</v>
      </c>
      <c r="P1766">
        <v>300</v>
      </c>
      <c r="R1766" s="3" t="str">
        <f>HYPERLINK("https://panda.att.com.mx/ODKServer/view/binaryData?blobKey=FSSuministroFluidosv3%5B%40version%3Dnull+and+%40uiVersion%3Dnull%5D%2Fdata%5B%40key%3Duuid%3Aa1da1c80-6977-4d10-b6b6-016a5e6e4f98%5D%2FgroupInfoFuel%5B%40ordinal%3D1%5D%2FpicFuelRecibeInterno","Descargar")</f>
        <v>Descargar</v>
      </c>
    </row>
    <row r="1767" spans="1:18" x14ac:dyDescent="0.3">
      <c r="A1767">
        <v>1563354</v>
      </c>
      <c r="B1767" t="s">
        <v>18</v>
      </c>
      <c r="C1767" t="s">
        <v>34</v>
      </c>
      <c r="D1767" t="s">
        <v>53</v>
      </c>
      <c r="E1767" t="s">
        <v>1830</v>
      </c>
      <c r="F1767" t="s">
        <v>22</v>
      </c>
      <c r="G1767" t="s">
        <v>23</v>
      </c>
      <c r="H1767" t="s">
        <v>37</v>
      </c>
      <c r="I1767" t="s">
        <v>25</v>
      </c>
      <c r="J1767" s="2">
        <v>45832.290219907409</v>
      </c>
      <c r="K1767">
        <v>24</v>
      </c>
      <c r="L1767">
        <v>6</v>
      </c>
      <c r="M1767">
        <v>2025</v>
      </c>
      <c r="N1767" t="s">
        <v>27</v>
      </c>
      <c r="O1767">
        <v>250</v>
      </c>
      <c r="P1767">
        <v>250</v>
      </c>
      <c r="R1767" s="3" t="str">
        <f>HYPERLINK("https://panda.att.com.mx/ODKServer/view/binaryData?blobKey=FSSuministroFluidosv3%5B%40version%3Dnull+and+%40uiVersion%3Dnull%5D%2Fdata%5B%40key%3Duuid%3A65ad0d16-4362-4d44-a96d-3946c9bad31d%5D%2FgroupInfoFuel%5B%40ordinal%3D1%5D%2FpicFuelRecibeInterno","Descargar")</f>
        <v>Descargar</v>
      </c>
    </row>
    <row r="1768" spans="1:18" x14ac:dyDescent="0.3">
      <c r="A1768">
        <v>1563348</v>
      </c>
      <c r="B1768" t="s">
        <v>18</v>
      </c>
      <c r="C1768" t="s">
        <v>55</v>
      </c>
      <c r="D1768" t="s">
        <v>56</v>
      </c>
      <c r="E1768" t="s">
        <v>668</v>
      </c>
      <c r="F1768" t="s">
        <v>22</v>
      </c>
      <c r="G1768" t="s">
        <v>23</v>
      </c>
      <c r="H1768" t="s">
        <v>58</v>
      </c>
      <c r="I1768" t="s">
        <v>25</v>
      </c>
      <c r="J1768" s="2">
        <v>45831.772002314807</v>
      </c>
      <c r="K1768">
        <v>23</v>
      </c>
      <c r="L1768">
        <v>6</v>
      </c>
      <c r="M1768">
        <v>2025</v>
      </c>
      <c r="N1768" t="s">
        <v>27</v>
      </c>
      <c r="O1768">
        <v>270</v>
      </c>
      <c r="P1768">
        <v>270</v>
      </c>
      <c r="R1768" s="3" t="str">
        <f>HYPERLINK("https://panda.att.com.mx/ODKServer/view/binaryData?blobKey=FSSuministroFluidosv3%5B%40version%3Dnull+and+%40uiVersion%3Dnull%5D%2Fdata%5B%40key%3Duuid%3Ac0c30f4d-c4b2-4ef9-a1f2-107cd6c8c6e9%5D%2FgroupInfoFuel%5B%40ordinal%3D1%5D%2FpicFuelRecibeInterno","Descargar")</f>
        <v>Descargar</v>
      </c>
    </row>
    <row r="1769" spans="1:18" x14ac:dyDescent="0.3">
      <c r="A1769">
        <v>1563341</v>
      </c>
      <c r="B1769" t="s">
        <v>18</v>
      </c>
      <c r="C1769" t="s">
        <v>19</v>
      </c>
      <c r="D1769" t="s">
        <v>170</v>
      </c>
      <c r="E1769" t="s">
        <v>1831</v>
      </c>
      <c r="F1769" t="s">
        <v>22</v>
      </c>
      <c r="G1769" t="s">
        <v>23</v>
      </c>
      <c r="H1769" t="s">
        <v>24</v>
      </c>
      <c r="I1769" t="s">
        <v>25</v>
      </c>
      <c r="J1769" s="2">
        <v>45819.713368055563</v>
      </c>
      <c r="K1769">
        <v>11</v>
      </c>
      <c r="L1769">
        <v>6</v>
      </c>
      <c r="M1769">
        <v>2025</v>
      </c>
      <c r="N1769" t="s">
        <v>27</v>
      </c>
      <c r="O1769">
        <v>300</v>
      </c>
      <c r="P1769">
        <v>300</v>
      </c>
      <c r="R1769" s="3" t="str">
        <f>HYPERLINK("https://panda.att.com.mx/ODKServer/view/binaryData?blobKey=FSSuministroFluidosv3%5B%40version%3Dnull+and+%40uiVersion%3Dnull%5D%2Fdata%5B%40key%3Duuid%3A0eb907fa-3863-4378-8116-51209920b05f%5D%2FgroupInfoFuel%5B%40ordinal%3D1%5D%2FpicFuelRecibeInterno","Descargar")</f>
        <v>Descargar</v>
      </c>
    </row>
    <row r="1770" spans="1:18" x14ac:dyDescent="0.3">
      <c r="A1770">
        <v>1563340</v>
      </c>
      <c r="B1770" t="s">
        <v>18</v>
      </c>
      <c r="C1770" t="s">
        <v>19</v>
      </c>
      <c r="D1770" t="s">
        <v>170</v>
      </c>
      <c r="E1770" t="s">
        <v>171</v>
      </c>
      <c r="F1770" t="s">
        <v>22</v>
      </c>
      <c r="G1770" t="s">
        <v>23</v>
      </c>
      <c r="H1770" t="s">
        <v>24</v>
      </c>
      <c r="I1770" t="s">
        <v>25</v>
      </c>
      <c r="J1770" s="2">
        <v>45819.479733796303</v>
      </c>
      <c r="K1770">
        <v>11</v>
      </c>
      <c r="L1770">
        <v>6</v>
      </c>
      <c r="M1770">
        <v>2025</v>
      </c>
      <c r="N1770" t="s">
        <v>27</v>
      </c>
      <c r="O1770">
        <v>400</v>
      </c>
      <c r="P1770">
        <v>400</v>
      </c>
      <c r="R1770" s="3" t="str">
        <f>HYPERLINK("https://panda.att.com.mx/ODKServer/view/binaryData?blobKey=FSSuministroFluidosv3%5B%40version%3Dnull+and+%40uiVersion%3Dnull%5D%2Fdata%5B%40key%3Duuid%3A1eac9cc2-1041-4d13-9912-9670b98be783%5D%2FgroupInfoFuel%5B%40ordinal%3D1%5D%2FpicFuelRecibeInterno","Descargar")</f>
        <v>Descargar</v>
      </c>
    </row>
    <row r="1771" spans="1:18" x14ac:dyDescent="0.3">
      <c r="A1771">
        <v>1563241</v>
      </c>
      <c r="B1771" t="s">
        <v>18</v>
      </c>
      <c r="C1771" t="s">
        <v>19</v>
      </c>
      <c r="D1771" t="s">
        <v>347</v>
      </c>
      <c r="E1771" t="s">
        <v>364</v>
      </c>
      <c r="F1771" t="s">
        <v>22</v>
      </c>
      <c r="G1771" t="s">
        <v>23</v>
      </c>
      <c r="H1771" t="s">
        <v>24</v>
      </c>
      <c r="I1771" t="s">
        <v>25</v>
      </c>
      <c r="J1771" s="2">
        <v>45824.539594907408</v>
      </c>
      <c r="K1771">
        <v>16</v>
      </c>
      <c r="L1771">
        <v>6</v>
      </c>
      <c r="M1771">
        <v>2025</v>
      </c>
      <c r="N1771" t="s">
        <v>27</v>
      </c>
      <c r="O1771">
        <v>350</v>
      </c>
      <c r="P1771">
        <v>350</v>
      </c>
      <c r="R1771" s="3" t="str">
        <f>HYPERLINK("https://panda.att.com.mx/ODKServer/view/binaryData?blobKey=FSSuministroFluidosv3%5B%40version%3Dnull+and+%40uiVersion%3Dnull%5D%2Fdata%5B%40key%3Duuid%3A0c410691-3d95-4700-9999-8d119656583f%5D%2FgroupInfoFuel%5B%40ordinal%3D1%5D%2FpicFuelRecibeInterno","Descargar")</f>
        <v>Descargar</v>
      </c>
    </row>
    <row r="1772" spans="1:18" x14ac:dyDescent="0.3">
      <c r="A1772">
        <v>1563202</v>
      </c>
      <c r="B1772" t="s">
        <v>18</v>
      </c>
      <c r="C1772" t="s">
        <v>19</v>
      </c>
      <c r="D1772" t="s">
        <v>156</v>
      </c>
      <c r="E1772" t="s">
        <v>1579</v>
      </c>
      <c r="F1772" t="s">
        <v>22</v>
      </c>
      <c r="G1772" t="s">
        <v>23</v>
      </c>
      <c r="H1772" t="s">
        <v>24</v>
      </c>
      <c r="I1772" t="s">
        <v>25</v>
      </c>
      <c r="J1772" s="2">
        <v>45830.651030092587</v>
      </c>
      <c r="K1772">
        <v>22</v>
      </c>
      <c r="L1772">
        <v>6</v>
      </c>
      <c r="M1772">
        <v>2025</v>
      </c>
      <c r="N1772" t="s">
        <v>44</v>
      </c>
      <c r="O1772">
        <v>40</v>
      </c>
      <c r="P1772">
        <v>40</v>
      </c>
      <c r="R1772" s="3" t="str">
        <f>HYPERLINK("https://panda.att.com.mx/ODKServer/view/binaryData?blobKey=FSSuministroFluidosv3%5B%40version%3Dnull+and+%40uiVersion%3Dnull%5D%2Fdata%5B%40key%3Duuid%3Ad199c3c2-0be8-469d-9360-be32cec2ba80%5D%2FgroupInfoFuel%5B%40ordinal%3D1%5D%2FpicFuelRecibeInterno","Descargar")</f>
        <v>Descargar</v>
      </c>
    </row>
    <row r="1773" spans="1:18" x14ac:dyDescent="0.3">
      <c r="A1773">
        <v>1563191</v>
      </c>
      <c r="B1773" t="s">
        <v>18</v>
      </c>
      <c r="C1773" t="s">
        <v>19</v>
      </c>
      <c r="D1773" t="s">
        <v>156</v>
      </c>
      <c r="E1773" t="s">
        <v>157</v>
      </c>
      <c r="F1773" t="s">
        <v>22</v>
      </c>
      <c r="G1773" t="s">
        <v>23</v>
      </c>
      <c r="H1773" t="s">
        <v>24</v>
      </c>
      <c r="I1773" t="s">
        <v>25</v>
      </c>
      <c r="J1773" s="2">
        <v>45829.79451388889</v>
      </c>
      <c r="K1773">
        <v>21</v>
      </c>
      <c r="L1773">
        <v>6</v>
      </c>
      <c r="M1773">
        <v>2025</v>
      </c>
      <c r="N1773" t="s">
        <v>44</v>
      </c>
      <c r="O1773">
        <v>53</v>
      </c>
      <c r="P1773">
        <v>53</v>
      </c>
      <c r="R1773" s="3" t="str">
        <f>HYPERLINK("https://panda.att.com.mx/ODKServer/view/binaryData?blobKey=FSSuministroFluidosv3%5B%40version%3Dnull+and+%40uiVersion%3Dnull%5D%2Fdata%5B%40key%3Duuid%3A9aa36a82-e990-4c43-8954-7d707e43154c%5D%2FgroupInfoFuel%5B%40ordinal%3D1%5D%2FpicFuelRecibeInterno","Descargar")</f>
        <v>Descargar</v>
      </c>
    </row>
    <row r="1774" spans="1:18" x14ac:dyDescent="0.3">
      <c r="A1774">
        <v>1563188</v>
      </c>
      <c r="B1774" t="s">
        <v>18</v>
      </c>
      <c r="C1774" t="s">
        <v>19</v>
      </c>
      <c r="D1774" t="s">
        <v>156</v>
      </c>
      <c r="E1774" t="s">
        <v>157</v>
      </c>
      <c r="F1774" t="s">
        <v>22</v>
      </c>
      <c r="G1774" t="s">
        <v>23</v>
      </c>
      <c r="H1774" t="s">
        <v>24</v>
      </c>
      <c r="I1774" t="s">
        <v>25</v>
      </c>
      <c r="J1774" s="2">
        <v>45829.258090277777</v>
      </c>
      <c r="K1774">
        <v>21</v>
      </c>
      <c r="L1774">
        <v>6</v>
      </c>
      <c r="M1774">
        <v>2025</v>
      </c>
      <c r="N1774" t="s">
        <v>44</v>
      </c>
      <c r="O1774">
        <v>54</v>
      </c>
      <c r="P1774">
        <v>54</v>
      </c>
      <c r="R1774" s="3" t="str">
        <f>HYPERLINK("https://panda.att.com.mx/ODKServer/view/binaryData?blobKey=FSSuministroFluidosv3%5B%40version%3Dnull+and+%40uiVersion%3Dnull%5D%2Fdata%5B%40key%3Duuid%3Af5f72981-8091-4ad8-b0d0-f3ecf4145a78%5D%2FgroupInfoFuel%5B%40ordinal%3D1%5D%2FpicFuelRecibeInterno","Descargar")</f>
        <v>Descargar</v>
      </c>
    </row>
    <row r="1775" spans="1:18" x14ac:dyDescent="0.3">
      <c r="A1775">
        <v>1563144</v>
      </c>
      <c r="B1775" t="s">
        <v>18</v>
      </c>
      <c r="C1775" t="s">
        <v>59</v>
      </c>
      <c r="D1775" t="s">
        <v>233</v>
      </c>
      <c r="E1775" t="s">
        <v>1511</v>
      </c>
      <c r="F1775" t="s">
        <v>22</v>
      </c>
      <c r="G1775" t="s">
        <v>83</v>
      </c>
      <c r="H1775" t="s">
        <v>37</v>
      </c>
      <c r="I1775" t="s">
        <v>25</v>
      </c>
      <c r="J1775" s="2">
        <v>45831.504849537043</v>
      </c>
      <c r="K1775">
        <v>23</v>
      </c>
      <c r="L1775">
        <v>6</v>
      </c>
      <c r="M1775">
        <v>2025</v>
      </c>
      <c r="N1775" t="s">
        <v>27</v>
      </c>
      <c r="O1775">
        <v>300</v>
      </c>
      <c r="P1775">
        <v>300</v>
      </c>
      <c r="R1775" s="3" t="str">
        <f>HYPERLINK("https://panda.att.com.mx/ODKServer/view/binaryData?blobKey=FSSuministroFluidosv3%5B%40version%3Dnull+and+%40uiVersion%3Dnull%5D%2Fdata%5B%40key%3Duuid%3A1208c3f1-82ee-4354-bb64-6d26c6d38689%5D%2FgroupInfoFuel%5B%40ordinal%3D1%5D%2FpicFuelRecibeInterno","Descargar")</f>
        <v>Descargar</v>
      </c>
    </row>
    <row r="1776" spans="1:18" x14ac:dyDescent="0.3">
      <c r="A1776">
        <v>1563109</v>
      </c>
      <c r="B1776" t="s">
        <v>18</v>
      </c>
      <c r="C1776" t="s">
        <v>100</v>
      </c>
      <c r="D1776" t="s">
        <v>651</v>
      </c>
      <c r="E1776" t="s">
        <v>1832</v>
      </c>
      <c r="F1776" t="s">
        <v>22</v>
      </c>
      <c r="G1776" t="s">
        <v>23</v>
      </c>
      <c r="H1776" t="s">
        <v>58</v>
      </c>
      <c r="I1776" t="s">
        <v>25</v>
      </c>
      <c r="J1776" s="2">
        <v>45831.77516203704</v>
      </c>
      <c r="K1776">
        <v>23</v>
      </c>
      <c r="L1776">
        <v>6</v>
      </c>
      <c r="M1776">
        <v>2025</v>
      </c>
      <c r="N1776" t="s">
        <v>27</v>
      </c>
      <c r="O1776">
        <v>350</v>
      </c>
      <c r="P1776">
        <v>350</v>
      </c>
      <c r="R1776" s="3" t="str">
        <f>HYPERLINK("https://panda.att.com.mx/ODKServer/view/binaryData?blobKey=FSSuministroFluidosv3%5B%40version%3Dnull+and+%40uiVersion%3Dnull%5D%2Fdata%5B%40key%3Duuid%3A6ca4f6cc-8471-4f20-8d95-e12fa8264d09%5D%2FgroupInfoFuel%5B%40ordinal%3D1%5D%2FpicFuelRecibeInterno","Descargar")</f>
        <v>Descargar</v>
      </c>
    </row>
    <row r="1777" spans="1:18" x14ac:dyDescent="0.3">
      <c r="A1777">
        <v>1563095</v>
      </c>
      <c r="B1777" t="s">
        <v>18</v>
      </c>
      <c r="C1777" t="s">
        <v>55</v>
      </c>
      <c r="D1777" t="s">
        <v>128</v>
      </c>
      <c r="E1777" t="s">
        <v>129</v>
      </c>
      <c r="F1777" t="s">
        <v>22</v>
      </c>
      <c r="G1777" t="s">
        <v>23</v>
      </c>
      <c r="H1777" t="s">
        <v>58</v>
      </c>
      <c r="I1777" t="s">
        <v>1635</v>
      </c>
      <c r="J1777" s="2">
        <v>45831.66679398148</v>
      </c>
      <c r="K1777">
        <v>23</v>
      </c>
      <c r="L1777">
        <v>6</v>
      </c>
      <c r="M1777">
        <v>2025</v>
      </c>
      <c r="N1777" t="s">
        <v>27</v>
      </c>
      <c r="O1777">
        <v>300</v>
      </c>
      <c r="P1777">
        <v>300</v>
      </c>
      <c r="R1777" s="3" t="str">
        <f>HYPERLINK("https://panda.att.com.mx/ODKServer/view/binaryData?blobKey=FSSuministroFluidosv3%5B%40version%3Dnull+and+%40uiVersion%3Dnull%5D%2Fdata%5B%40key%3Duuid%3A9ec6cb43-5590-481b-b350-06174fc42624%5D%2FgroupInfoFuel%5B%40ordinal%3D1%5D%2FpicFuelRecibeInterno","Descargar")</f>
        <v>Descargar</v>
      </c>
    </row>
    <row r="1778" spans="1:18" x14ac:dyDescent="0.3">
      <c r="A1778">
        <v>1563091</v>
      </c>
      <c r="B1778" t="s">
        <v>18</v>
      </c>
      <c r="C1778" t="s">
        <v>55</v>
      </c>
      <c r="D1778" t="s">
        <v>887</v>
      </c>
      <c r="E1778" t="s">
        <v>888</v>
      </c>
      <c r="F1778" t="s">
        <v>22</v>
      </c>
      <c r="G1778" t="s">
        <v>23</v>
      </c>
      <c r="H1778" t="s">
        <v>58</v>
      </c>
      <c r="I1778" t="s">
        <v>25</v>
      </c>
      <c r="J1778" s="2">
        <v>45831.558807870373</v>
      </c>
      <c r="K1778">
        <v>23</v>
      </c>
      <c r="L1778">
        <v>6</v>
      </c>
      <c r="M1778">
        <v>2025</v>
      </c>
      <c r="N1778" t="s">
        <v>27</v>
      </c>
      <c r="O1778">
        <v>150</v>
      </c>
      <c r="P1778">
        <v>150</v>
      </c>
      <c r="R1778" s="3" t="str">
        <f>HYPERLINK("https://panda.att.com.mx/ODKServer/view/binaryData?blobKey=FSSuministroFluidosv3%5B%40version%3Dnull+and+%40uiVersion%3Dnull%5D%2Fdata%5B%40key%3Duuid%3A5fb1ca87-e332-4271-93fe-3912abfc2825%5D%2FgroupInfoFuel%5B%40ordinal%3D1%5D%2FpicFuelRecibeInterno","Descargar")</f>
        <v>Descargar</v>
      </c>
    </row>
    <row r="1779" spans="1:18" x14ac:dyDescent="0.3">
      <c r="A1779">
        <v>1563084</v>
      </c>
      <c r="B1779" t="s">
        <v>18</v>
      </c>
      <c r="C1779" t="s">
        <v>55</v>
      </c>
      <c r="D1779" t="s">
        <v>64</v>
      </c>
      <c r="E1779" t="s">
        <v>634</v>
      </c>
      <c r="F1779" t="s">
        <v>22</v>
      </c>
      <c r="G1779" t="s">
        <v>23</v>
      </c>
      <c r="H1779" t="s">
        <v>58</v>
      </c>
      <c r="I1779" t="s">
        <v>25</v>
      </c>
      <c r="J1779" s="2">
        <v>45831.67392361111</v>
      </c>
      <c r="K1779">
        <v>23</v>
      </c>
      <c r="L1779">
        <v>6</v>
      </c>
      <c r="M1779">
        <v>2025</v>
      </c>
      <c r="N1779" t="s">
        <v>27</v>
      </c>
      <c r="O1779">
        <v>200</v>
      </c>
      <c r="P1779">
        <v>200</v>
      </c>
      <c r="R1779" s="3" t="str">
        <f>HYPERLINK("https://panda.att.com.mx/ODKServer/view/binaryData?blobKey=FSSuministroFluidosv3%5B%40version%3Dnull+and+%40uiVersion%3Dnull%5D%2Fdata%5B%40key%3Duuid%3A477d0334-ed84-4cca-82d4-5d4cd5a445ae%5D%2FgroupInfoFuel%5B%40ordinal%3D1%5D%2FpicFuelRecibeInterno","Descargar")</f>
        <v>Descargar</v>
      </c>
    </row>
    <row r="1780" spans="1:18" x14ac:dyDescent="0.3">
      <c r="A1780">
        <v>1562956</v>
      </c>
      <c r="B1780" t="s">
        <v>18</v>
      </c>
      <c r="C1780" t="s">
        <v>28</v>
      </c>
      <c r="D1780" t="s">
        <v>181</v>
      </c>
      <c r="E1780" t="s">
        <v>1651</v>
      </c>
      <c r="F1780" t="s">
        <v>22</v>
      </c>
      <c r="G1780" t="s">
        <v>23</v>
      </c>
      <c r="H1780" t="s">
        <v>24</v>
      </c>
      <c r="I1780" t="s">
        <v>25</v>
      </c>
      <c r="J1780" s="2">
        <v>45801.787199074082</v>
      </c>
      <c r="K1780">
        <v>24</v>
      </c>
      <c r="L1780">
        <v>5</v>
      </c>
      <c r="M1780">
        <v>2025</v>
      </c>
      <c r="N1780" t="s">
        <v>44</v>
      </c>
      <c r="O1780">
        <v>50</v>
      </c>
      <c r="P1780">
        <v>50</v>
      </c>
      <c r="R1780" s="3" t="str">
        <f>HYPERLINK("https://panda.att.com.mx/ODKServer/view/binaryData?blobKey=FSSuministroFluidosv3%5B%40version%3Dnull+and+%40uiVersion%3Dnull%5D%2Fdata%5B%40key%3Duuid%3A9d97c261-2f6b-4dad-a7d0-d55f809d5494%5D%2FgroupInfoFuel%5B%40ordinal%3D1%5D%2FpicFuelRecibeInterno","Descargar")</f>
        <v>Descargar</v>
      </c>
    </row>
    <row r="1781" spans="1:18" x14ac:dyDescent="0.3">
      <c r="A1781">
        <v>1562879</v>
      </c>
      <c r="B1781" t="s">
        <v>18</v>
      </c>
      <c r="C1781" t="s">
        <v>28</v>
      </c>
      <c r="D1781" t="s">
        <v>315</v>
      </c>
      <c r="E1781" t="s">
        <v>703</v>
      </c>
      <c r="F1781" t="s">
        <v>22</v>
      </c>
      <c r="G1781" t="s">
        <v>23</v>
      </c>
      <c r="H1781" t="s">
        <v>24</v>
      </c>
      <c r="I1781" t="s">
        <v>25</v>
      </c>
      <c r="J1781" s="2">
        <v>45831.457291666673</v>
      </c>
      <c r="K1781">
        <v>23</v>
      </c>
      <c r="L1781">
        <v>6</v>
      </c>
      <c r="M1781">
        <v>2025</v>
      </c>
      <c r="N1781" t="s">
        <v>27</v>
      </c>
      <c r="O1781">
        <v>300</v>
      </c>
      <c r="P1781">
        <v>300</v>
      </c>
      <c r="R1781" s="3" t="str">
        <f>HYPERLINK("https://panda.att.com.mx/ODKServer/view/binaryData?blobKey=FSSuministroFluidosv3%5B%40version%3Dnull+and+%40uiVersion%3Dnull%5D%2Fdata%5B%40key%3Duuid%3Ae6b3d0bc-f792-406d-ae42-50fa9863d911%5D%2FgroupInfoFuel%5B%40ordinal%3D1%5D%2FpicFuelRecibeInterno","Descargar")</f>
        <v>Descargar</v>
      </c>
    </row>
    <row r="1782" spans="1:18" x14ac:dyDescent="0.3">
      <c r="A1782">
        <v>1562697</v>
      </c>
      <c r="B1782" t="s">
        <v>18</v>
      </c>
      <c r="C1782" t="s">
        <v>100</v>
      </c>
      <c r="D1782" t="s">
        <v>854</v>
      </c>
      <c r="E1782" t="s">
        <v>993</v>
      </c>
      <c r="F1782" t="s">
        <v>22</v>
      </c>
      <c r="G1782" t="s">
        <v>83</v>
      </c>
      <c r="H1782" t="s">
        <v>58</v>
      </c>
      <c r="I1782" t="s">
        <v>25</v>
      </c>
      <c r="J1782" s="2">
        <v>45831.501620370371</v>
      </c>
      <c r="K1782">
        <v>23</v>
      </c>
      <c r="L1782">
        <v>6</v>
      </c>
      <c r="M1782">
        <v>2025</v>
      </c>
      <c r="N1782" t="s">
        <v>27</v>
      </c>
      <c r="O1782">
        <v>200</v>
      </c>
      <c r="P1782">
        <v>200</v>
      </c>
      <c r="R1782" s="3" t="str">
        <f>HYPERLINK("https://panda.att.com.mx/ODKServer/view/binaryData?blobKey=FSSuministroFluidosv3%5B%40version%3Dnull+and+%40uiVersion%3Dnull%5D%2Fdata%5B%40key%3Duuid%3Ac9f36615-bad3-463f-9ed8-5b005dfad4d1%5D%2FgroupInfoFuel%5B%40ordinal%3D1%5D%2FpicFuelRecibeInterno","Descargar")</f>
        <v>Descargar</v>
      </c>
    </row>
    <row r="1783" spans="1:18" x14ac:dyDescent="0.3">
      <c r="A1783">
        <v>1562611</v>
      </c>
      <c r="B1783" t="s">
        <v>18</v>
      </c>
      <c r="C1783" t="s">
        <v>100</v>
      </c>
      <c r="D1783" t="s">
        <v>651</v>
      </c>
      <c r="E1783" t="s">
        <v>1833</v>
      </c>
      <c r="F1783" t="s">
        <v>22</v>
      </c>
      <c r="G1783" t="s">
        <v>83</v>
      </c>
      <c r="H1783" t="s">
        <v>1781</v>
      </c>
      <c r="I1783" t="s">
        <v>25</v>
      </c>
      <c r="J1783" s="2">
        <v>45831.55091435185</v>
      </c>
      <c r="K1783">
        <v>23</v>
      </c>
      <c r="L1783">
        <v>6</v>
      </c>
      <c r="M1783">
        <v>2025</v>
      </c>
      <c r="N1783" t="s">
        <v>27</v>
      </c>
      <c r="O1783">
        <v>100</v>
      </c>
      <c r="P1783">
        <v>100</v>
      </c>
      <c r="R1783" s="3" t="str">
        <f>HYPERLINK("https://panda.att.com.mx/ODKServer/view/binaryData?blobKey=FSSuministroFluidosv3%5B%40version%3Dnull+and+%40uiVersion%3Dnull%5D%2Fdata%5B%40key%3Duuid%3A5ae7511c-1812-46ae-82dc-15a9da403139%5D%2FgroupInfoFuel%5B%40ordinal%3D1%5D%2FpicFuelRecibeInterno","Descargar")</f>
        <v>Descargar</v>
      </c>
    </row>
    <row r="1784" spans="1:18" x14ac:dyDescent="0.3">
      <c r="A1784">
        <v>1562610</v>
      </c>
      <c r="B1784" t="s">
        <v>18</v>
      </c>
      <c r="C1784" t="s">
        <v>55</v>
      </c>
      <c r="D1784" t="s">
        <v>89</v>
      </c>
      <c r="E1784" t="s">
        <v>1834</v>
      </c>
      <c r="F1784" t="s">
        <v>22</v>
      </c>
      <c r="G1784" t="s">
        <v>23</v>
      </c>
      <c r="H1784" t="s">
        <v>58</v>
      </c>
      <c r="I1784" t="s">
        <v>25</v>
      </c>
      <c r="J1784" s="2">
        <v>45826.568842592591</v>
      </c>
      <c r="K1784">
        <v>18</v>
      </c>
      <c r="L1784">
        <v>6</v>
      </c>
      <c r="M1784">
        <v>2025</v>
      </c>
      <c r="N1784" t="s">
        <v>27</v>
      </c>
      <c r="O1784">
        <v>100</v>
      </c>
      <c r="P1784">
        <v>100</v>
      </c>
      <c r="R1784" s="3" t="str">
        <f>HYPERLINK("https://panda.att.com.mx/ODKServer/view/binaryData?blobKey=FSSuministroFluidosv3%5B%40version%3Dnull+and+%40uiVersion%3Dnull%5D%2Fdata%5B%40key%3Duuid%3A8bba4012-d0a7-48d9-a4a0-a87883953c2a%5D%2FgroupInfoFuel%5B%40ordinal%3D1%5D%2FpicFuelRecibeInterno","Descargar")</f>
        <v>Descargar</v>
      </c>
    </row>
    <row r="1785" spans="1:18" x14ac:dyDescent="0.3">
      <c r="A1785">
        <v>1562560</v>
      </c>
      <c r="B1785" t="s">
        <v>18</v>
      </c>
      <c r="C1785" t="s">
        <v>59</v>
      </c>
      <c r="D1785" t="s">
        <v>60</v>
      </c>
      <c r="E1785" t="s">
        <v>1835</v>
      </c>
      <c r="F1785" t="s">
        <v>22</v>
      </c>
      <c r="G1785" t="s">
        <v>23</v>
      </c>
      <c r="H1785" t="s">
        <v>1816</v>
      </c>
      <c r="I1785" t="s">
        <v>84</v>
      </c>
      <c r="J1785" s="2">
        <v>45828.53396990741</v>
      </c>
      <c r="K1785">
        <v>20</v>
      </c>
      <c r="L1785">
        <v>6</v>
      </c>
      <c r="M1785">
        <v>2025</v>
      </c>
      <c r="N1785" t="s">
        <v>27</v>
      </c>
      <c r="O1785">
        <v>48.16</v>
      </c>
      <c r="P1785">
        <v>48.16</v>
      </c>
      <c r="R1785" s="3" t="str">
        <f>HYPERLINK("https://panda.att.com.mx/ODKServer/view/binaryData?blobKey=FSSuministroFluidosv3%5B%40version%3Dnull+and+%40uiVersion%3Dnull%5D%2Fdata%5B%40key%3Duuid%3Ac2fb7aec-d66c-4cee-a407-319bca737a65%5D%2FgroupInfoFuel%5B%40ordinal%3D1%5D%2FpicFuelRecibeInterno","Descargar")</f>
        <v>Descargar</v>
      </c>
    </row>
    <row r="1786" spans="1:18" x14ac:dyDescent="0.3">
      <c r="A1786">
        <v>1562432</v>
      </c>
      <c r="B1786" t="s">
        <v>18</v>
      </c>
      <c r="C1786" t="s">
        <v>55</v>
      </c>
      <c r="D1786" t="s">
        <v>1836</v>
      </c>
      <c r="E1786" t="s">
        <v>1837</v>
      </c>
      <c r="F1786" t="s">
        <v>22</v>
      </c>
      <c r="G1786" t="s">
        <v>23</v>
      </c>
      <c r="H1786" t="s">
        <v>58</v>
      </c>
      <c r="I1786" t="s">
        <v>25</v>
      </c>
      <c r="J1786" s="2">
        <v>45830.49659722222</v>
      </c>
      <c r="K1786">
        <v>22</v>
      </c>
      <c r="L1786">
        <v>6</v>
      </c>
      <c r="M1786">
        <v>2025</v>
      </c>
      <c r="N1786" t="s">
        <v>27</v>
      </c>
      <c r="O1786">
        <v>80</v>
      </c>
      <c r="P1786">
        <v>80</v>
      </c>
      <c r="R1786" s="3" t="str">
        <f>HYPERLINK("https://panda.att.com.mx/ODKServer/view/binaryData?blobKey=FSSuministroFluidosv3%5B%40version%3Dnull+and+%40uiVersion%3Dnull%5D%2Fdata%5B%40key%3Duuid%3A4af6cc51-4a10-43cb-a0b7-df4facf60336%5D%2FgroupInfoFuel%5B%40ordinal%3D1%5D%2FpicFuelRecibeInterno","Descargar")</f>
        <v>Descargar</v>
      </c>
    </row>
    <row r="1787" spans="1:18" x14ac:dyDescent="0.3">
      <c r="A1787">
        <v>1562399</v>
      </c>
      <c r="B1787" t="s">
        <v>18</v>
      </c>
      <c r="C1787" t="s">
        <v>19</v>
      </c>
      <c r="D1787" t="s">
        <v>62</v>
      </c>
      <c r="E1787" t="s">
        <v>1838</v>
      </c>
      <c r="F1787" t="s">
        <v>22</v>
      </c>
      <c r="G1787" t="s">
        <v>23</v>
      </c>
      <c r="H1787" t="s">
        <v>24</v>
      </c>
      <c r="I1787" t="s">
        <v>25</v>
      </c>
      <c r="J1787" s="2">
        <v>45812.596377314818</v>
      </c>
      <c r="K1787">
        <v>4</v>
      </c>
      <c r="L1787">
        <v>6</v>
      </c>
      <c r="M1787">
        <v>2025</v>
      </c>
      <c r="N1787" t="s">
        <v>27</v>
      </c>
      <c r="O1787">
        <v>110</v>
      </c>
      <c r="P1787">
        <v>110</v>
      </c>
      <c r="R1787" s="3" t="str">
        <f>HYPERLINK("https://panda.att.com.mx/ODKServer/view/binaryData?blobKey=FSSuministroFluidosv3%5B%40version%3Dnull+and+%40uiVersion%3Dnull%5D%2Fdata%5B%40key%3Duuid%3Ade8e4c7e-efe2-4e27-9f4e-bf01231b2cb5%5D%2FgroupInfoFuel%5B%40ordinal%3D1%5D%2FpicFuelRecibeInterno","Descargar")</f>
        <v>Descargar</v>
      </c>
    </row>
    <row r="1788" spans="1:18" x14ac:dyDescent="0.3">
      <c r="A1788">
        <v>1562396</v>
      </c>
      <c r="B1788" t="s">
        <v>18</v>
      </c>
      <c r="C1788" t="s">
        <v>28</v>
      </c>
      <c r="D1788" t="s">
        <v>118</v>
      </c>
      <c r="E1788" t="s">
        <v>195</v>
      </c>
      <c r="F1788" t="s">
        <v>22</v>
      </c>
      <c r="G1788" t="s">
        <v>23</v>
      </c>
      <c r="H1788" t="s">
        <v>24</v>
      </c>
      <c r="I1788" t="s">
        <v>25</v>
      </c>
      <c r="J1788" s="2">
        <v>45825.546203703707</v>
      </c>
      <c r="K1788">
        <v>17</v>
      </c>
      <c r="L1788">
        <v>6</v>
      </c>
      <c r="M1788">
        <v>2025</v>
      </c>
      <c r="N1788" t="s">
        <v>27</v>
      </c>
      <c r="O1788">
        <v>300</v>
      </c>
      <c r="P1788">
        <v>300</v>
      </c>
      <c r="R1788" s="3" t="str">
        <f>HYPERLINK("https://panda.att.com.mx/ODKServer/view/binaryData?blobKey=FSSuministroFluidosv3%5B%40version%3Dnull+and+%40uiVersion%3Dnull%5D%2Fdata%5B%40key%3Duuid%3Ab44e4d85-69cd-40a4-a111-8637afe3b207%5D%2FgroupInfoFuel%5B%40ordinal%3D1%5D%2FpicFuelRecibeInterno","Descargar")</f>
        <v>Descargar</v>
      </c>
    </row>
    <row r="1789" spans="1:18" x14ac:dyDescent="0.3">
      <c r="A1789">
        <v>1562347</v>
      </c>
      <c r="B1789" t="s">
        <v>18</v>
      </c>
      <c r="C1789" t="s">
        <v>19</v>
      </c>
      <c r="D1789" t="s">
        <v>45</v>
      </c>
      <c r="E1789" t="s">
        <v>1779</v>
      </c>
      <c r="F1789" t="s">
        <v>22</v>
      </c>
      <c r="G1789" t="s">
        <v>23</v>
      </c>
      <c r="H1789" t="s">
        <v>24</v>
      </c>
      <c r="I1789" t="s">
        <v>25</v>
      </c>
      <c r="J1789" s="2">
        <v>45830.554861111108</v>
      </c>
      <c r="K1789">
        <v>22</v>
      </c>
      <c r="L1789">
        <v>6</v>
      </c>
      <c r="M1789">
        <v>2025</v>
      </c>
      <c r="N1789" t="s">
        <v>27</v>
      </c>
      <c r="O1789">
        <v>200</v>
      </c>
      <c r="P1789">
        <v>200</v>
      </c>
      <c r="R1789" s="3" t="str">
        <f>HYPERLINK("https://panda.att.com.mx/ODKServer/view/binaryData?blobKey=FSSuministroFluidosv3%5B%40version%3Dnull+and+%40uiVersion%3Dnull%5D%2Fdata%5B%40key%3Duuid%3Ae2b3e426-2521-45c8-92e8-71d2937d4c35%5D%2FgroupInfoFuel%5B%40ordinal%3D1%5D%2FpicFuelRecibeInterno","Descargar")</f>
        <v>Descargar</v>
      </c>
    </row>
    <row r="1790" spans="1:18" x14ac:dyDescent="0.3">
      <c r="A1790">
        <v>1562280</v>
      </c>
      <c r="B1790" t="s">
        <v>18</v>
      </c>
      <c r="C1790" t="s">
        <v>19</v>
      </c>
      <c r="D1790" t="s">
        <v>62</v>
      </c>
      <c r="E1790" t="s">
        <v>1839</v>
      </c>
      <c r="F1790" t="s">
        <v>22</v>
      </c>
      <c r="G1790" t="s">
        <v>23</v>
      </c>
      <c r="H1790" t="s">
        <v>24</v>
      </c>
      <c r="I1790" t="s">
        <v>25</v>
      </c>
      <c r="J1790" s="2">
        <v>45823.643333333333</v>
      </c>
      <c r="K1790">
        <v>15</v>
      </c>
      <c r="L1790">
        <v>6</v>
      </c>
      <c r="M1790">
        <v>2025</v>
      </c>
      <c r="N1790" t="s">
        <v>44</v>
      </c>
      <c r="O1790">
        <v>40</v>
      </c>
      <c r="P1790">
        <v>40</v>
      </c>
      <c r="R1790" s="3" t="str">
        <f>HYPERLINK("https://panda.att.com.mx/ODKServer/view/binaryData?blobKey=FSSuministroFluidosv3%5B%40version%3Dnull+and+%40uiVersion%3Dnull%5D%2Fdata%5B%40key%3Duuid%3Aa07d51c0-af70-4e8c-ace6-e6ccb7c52133%5D%2FgroupInfoFuel%5B%40ordinal%3D1%5D%2FpicFuelRecibeInterno","Descargar")</f>
        <v>Descargar</v>
      </c>
    </row>
    <row r="1791" spans="1:18" x14ac:dyDescent="0.3">
      <c r="A1791">
        <v>1562269</v>
      </c>
      <c r="B1791" t="s">
        <v>18</v>
      </c>
      <c r="C1791" t="s">
        <v>59</v>
      </c>
      <c r="D1791" t="s">
        <v>1242</v>
      </c>
      <c r="E1791" t="s">
        <v>1513</v>
      </c>
      <c r="F1791" t="s">
        <v>22</v>
      </c>
      <c r="G1791" t="s">
        <v>83</v>
      </c>
      <c r="H1791" t="s">
        <v>37</v>
      </c>
      <c r="I1791" t="s">
        <v>25</v>
      </c>
      <c r="J1791" s="2">
        <v>45830.590381944443</v>
      </c>
      <c r="K1791">
        <v>22</v>
      </c>
      <c r="L1791">
        <v>6</v>
      </c>
      <c r="M1791">
        <v>2025</v>
      </c>
      <c r="N1791" t="s">
        <v>27</v>
      </c>
      <c r="O1791">
        <v>300</v>
      </c>
      <c r="P1791">
        <v>300</v>
      </c>
      <c r="R1791" s="3" t="str">
        <f>HYPERLINK("https://panda.att.com.mx/ODKServer/view/binaryData?blobKey=FSSuministroFluidosv3%5B%40version%3Dnull+and+%40uiVersion%3Dnull%5D%2Fdata%5B%40key%3Duuid%3A74a6a6e8-b3aa-4411-801e-4faabe3a24c9%5D%2FgroupInfoFuel%5B%40ordinal%3D1%5D%2FpicFuelRecibeInterno","Descargar")</f>
        <v>Descargar</v>
      </c>
    </row>
    <row r="1792" spans="1:18" x14ac:dyDescent="0.3">
      <c r="A1792">
        <v>1562267</v>
      </c>
      <c r="B1792" t="s">
        <v>18</v>
      </c>
      <c r="C1792" t="s">
        <v>55</v>
      </c>
      <c r="D1792" t="s">
        <v>56</v>
      </c>
      <c r="E1792" t="s">
        <v>1840</v>
      </c>
      <c r="F1792" t="s">
        <v>22</v>
      </c>
      <c r="G1792" t="s">
        <v>23</v>
      </c>
      <c r="H1792" t="s">
        <v>58</v>
      </c>
      <c r="I1792" t="s">
        <v>25</v>
      </c>
      <c r="J1792" s="2">
        <v>45827.522094907406</v>
      </c>
      <c r="K1792">
        <v>19</v>
      </c>
      <c r="L1792">
        <v>6</v>
      </c>
      <c r="M1792">
        <v>2025</v>
      </c>
      <c r="N1792" t="s">
        <v>27</v>
      </c>
      <c r="O1792">
        <v>130</v>
      </c>
      <c r="P1792">
        <v>130</v>
      </c>
      <c r="R1792" s="3" t="str">
        <f>HYPERLINK("https://panda.att.com.mx/ODKServer/view/binaryData?blobKey=FSSuministroFluidosv3%5B%40version%3Dnull+and+%40uiVersion%3Dnull%5D%2Fdata%5B%40key%3Duuid%3A807ee5a2-688c-41ea-a4aa-beea2cf65a19%5D%2FgroupInfoFuel%5B%40ordinal%3D1%5D%2FpicFuelRecibeInterno","Descargar")</f>
        <v>Descargar</v>
      </c>
    </row>
    <row r="1793" spans="1:18" x14ac:dyDescent="0.3">
      <c r="A1793">
        <v>1562266</v>
      </c>
      <c r="B1793" t="s">
        <v>18</v>
      </c>
      <c r="C1793" t="s">
        <v>55</v>
      </c>
      <c r="D1793" t="s">
        <v>56</v>
      </c>
      <c r="E1793" t="s">
        <v>1841</v>
      </c>
      <c r="F1793" t="s">
        <v>22</v>
      </c>
      <c r="G1793" t="s">
        <v>23</v>
      </c>
      <c r="H1793" t="s">
        <v>58</v>
      </c>
      <c r="I1793" t="s">
        <v>25</v>
      </c>
      <c r="J1793" s="2">
        <v>45828.361631944441</v>
      </c>
      <c r="K1793">
        <v>20</v>
      </c>
      <c r="L1793">
        <v>6</v>
      </c>
      <c r="M1793">
        <v>2025</v>
      </c>
      <c r="N1793" t="s">
        <v>27</v>
      </c>
      <c r="O1793">
        <v>200</v>
      </c>
      <c r="P1793">
        <v>200</v>
      </c>
      <c r="R1793" s="3" t="str">
        <f>HYPERLINK("https://panda.att.com.mx/ODKServer/view/binaryData?blobKey=FSSuministroFluidosv3%5B%40version%3Dnull+and+%40uiVersion%3Dnull%5D%2Fdata%5B%40key%3Duuid%3Aba8e1d4e-7d77-4644-a65c-8a3df82abc62%5D%2FgroupInfoFuel%5B%40ordinal%3D1%5D%2FpicFuelRecibeInterno","Descargar")</f>
        <v>Descargar</v>
      </c>
    </row>
    <row r="1794" spans="1:18" x14ac:dyDescent="0.3">
      <c r="A1794">
        <v>1562262</v>
      </c>
      <c r="B1794" t="s">
        <v>18</v>
      </c>
      <c r="C1794" t="s">
        <v>55</v>
      </c>
      <c r="D1794" t="s">
        <v>56</v>
      </c>
      <c r="E1794" t="s">
        <v>1842</v>
      </c>
      <c r="F1794" t="s">
        <v>22</v>
      </c>
      <c r="G1794" t="s">
        <v>23</v>
      </c>
      <c r="H1794" t="s">
        <v>58</v>
      </c>
      <c r="I1794" t="s">
        <v>25</v>
      </c>
      <c r="J1794" s="2">
        <v>45828.631342592591</v>
      </c>
      <c r="K1794">
        <v>20</v>
      </c>
      <c r="L1794">
        <v>6</v>
      </c>
      <c r="M1794">
        <v>2025</v>
      </c>
      <c r="N1794" t="s">
        <v>27</v>
      </c>
      <c r="O1794">
        <v>100</v>
      </c>
      <c r="P1794">
        <v>100</v>
      </c>
      <c r="R1794" s="3" t="str">
        <f>HYPERLINK("https://panda.att.com.mx/ODKServer/view/binaryData?blobKey=FSSuministroFluidosv3%5B%40version%3Dnull+and+%40uiVersion%3Dnull%5D%2Fdata%5B%40key%3Duuid%3Aa4b58a81-4dc4-4de6-9edd-c64784fc6e00%5D%2FgroupInfoFuel%5B%40ordinal%3D1%5D%2FpicFuelRecibeInterno","Descargar")</f>
        <v>Descargar</v>
      </c>
    </row>
    <row r="1795" spans="1:18" x14ac:dyDescent="0.3">
      <c r="A1795">
        <v>1562250</v>
      </c>
      <c r="B1795" t="s">
        <v>18</v>
      </c>
      <c r="C1795" t="s">
        <v>68</v>
      </c>
      <c r="D1795" t="s">
        <v>258</v>
      </c>
      <c r="E1795" t="s">
        <v>1843</v>
      </c>
      <c r="F1795" t="s">
        <v>22</v>
      </c>
      <c r="G1795" t="s">
        <v>23</v>
      </c>
      <c r="H1795" t="s">
        <v>37</v>
      </c>
      <c r="I1795" t="s">
        <v>25</v>
      </c>
      <c r="J1795" s="2">
        <v>45829.630752314813</v>
      </c>
      <c r="K1795">
        <v>21</v>
      </c>
      <c r="L1795">
        <v>6</v>
      </c>
      <c r="M1795">
        <v>2025</v>
      </c>
      <c r="N1795" t="s">
        <v>27</v>
      </c>
      <c r="O1795">
        <v>300</v>
      </c>
      <c r="P1795">
        <v>300</v>
      </c>
      <c r="R1795" s="3" t="str">
        <f>HYPERLINK("https://panda.att.com.mx/ODKServer/view/binaryData?blobKey=FSSuministroFluidosv3%5B%40version%3Dnull+and+%40uiVersion%3Dnull%5D%2Fdata%5B%40key%3Duuid%3Ace7e6f7c-5bf9-4575-9745-5aeb7321b834%5D%2FgroupInfoFuel%5B%40ordinal%3D1%5D%2FpicFuelRecibeInterno","Descargar")</f>
        <v>Descargar</v>
      </c>
    </row>
    <row r="1796" spans="1:18" x14ac:dyDescent="0.3">
      <c r="A1796">
        <v>1562249</v>
      </c>
      <c r="B1796" t="s">
        <v>18</v>
      </c>
      <c r="C1796" t="s">
        <v>68</v>
      </c>
      <c r="D1796" t="s">
        <v>258</v>
      </c>
      <c r="E1796" t="s">
        <v>1844</v>
      </c>
      <c r="F1796" t="s">
        <v>22</v>
      </c>
      <c r="G1796" t="s">
        <v>23</v>
      </c>
      <c r="H1796" t="s">
        <v>37</v>
      </c>
      <c r="I1796" t="s">
        <v>25</v>
      </c>
      <c r="J1796" s="2">
        <v>45830.546400462961</v>
      </c>
      <c r="K1796">
        <v>22</v>
      </c>
      <c r="L1796">
        <v>6</v>
      </c>
      <c r="M1796">
        <v>2025</v>
      </c>
      <c r="N1796" t="s">
        <v>27</v>
      </c>
      <c r="O1796">
        <v>300</v>
      </c>
      <c r="P1796">
        <v>300</v>
      </c>
      <c r="R1796" s="3" t="str">
        <f>HYPERLINK("https://panda.att.com.mx/ODKServer/view/binaryData?blobKey=FSSuministroFluidosv3%5B%40version%3Dnull+and+%40uiVersion%3Dnull%5D%2Fdata%5B%40key%3Duuid%3Ae849aa5b-4503-429e-9107-6a29a194d6d3%5D%2FgroupInfoFuel%5B%40ordinal%3D1%5D%2FpicFuelRecibeInterno","Descargar")</f>
        <v>Descargar</v>
      </c>
    </row>
    <row r="1797" spans="1:18" x14ac:dyDescent="0.3">
      <c r="A1797">
        <v>1562196</v>
      </c>
      <c r="B1797" t="s">
        <v>18</v>
      </c>
      <c r="C1797" t="s">
        <v>34</v>
      </c>
      <c r="D1797" t="s">
        <v>53</v>
      </c>
      <c r="E1797" t="s">
        <v>300</v>
      </c>
      <c r="F1797" t="s">
        <v>22</v>
      </c>
      <c r="G1797" t="s">
        <v>23</v>
      </c>
      <c r="H1797" t="s">
        <v>24</v>
      </c>
      <c r="I1797" t="s">
        <v>25</v>
      </c>
      <c r="J1797" s="2">
        <v>45829.788506944453</v>
      </c>
      <c r="K1797">
        <v>21</v>
      </c>
      <c r="L1797">
        <v>6</v>
      </c>
      <c r="M1797">
        <v>2025</v>
      </c>
      <c r="N1797" t="s">
        <v>27</v>
      </c>
      <c r="O1797">
        <v>100</v>
      </c>
      <c r="P1797">
        <v>100</v>
      </c>
      <c r="R1797" s="3" t="str">
        <f>HYPERLINK("https://panda.att.com.mx/ODKServer/view/binaryData?blobKey=FSSuministroFluidosv3%5B%40version%3Dnull+and+%40uiVersion%3Dnull%5D%2Fdata%5B%40key%3Duuid%3A2ef24cc9-e254-477b-a493-3bf927fc4a74%5D%2FgroupInfoFuel%5B%40ordinal%3D1%5D%2FpicFuelRecibeInterno","Descargar")</f>
        <v>Descargar</v>
      </c>
    </row>
    <row r="1798" spans="1:18" x14ac:dyDescent="0.3">
      <c r="A1798">
        <v>1562194</v>
      </c>
      <c r="B1798" t="s">
        <v>18</v>
      </c>
      <c r="C1798" t="s">
        <v>183</v>
      </c>
      <c r="D1798" t="s">
        <v>956</v>
      </c>
      <c r="E1798" t="s">
        <v>1845</v>
      </c>
      <c r="F1798" t="s">
        <v>22</v>
      </c>
      <c r="G1798" t="s">
        <v>23</v>
      </c>
      <c r="H1798" t="s">
        <v>24</v>
      </c>
      <c r="I1798" t="s">
        <v>25</v>
      </c>
      <c r="J1798" s="2">
        <v>45829.95784722222</v>
      </c>
      <c r="K1798">
        <v>21</v>
      </c>
      <c r="L1798">
        <v>6</v>
      </c>
      <c r="M1798">
        <v>2025</v>
      </c>
      <c r="N1798" t="s">
        <v>44</v>
      </c>
      <c r="O1798">
        <v>40</v>
      </c>
      <c r="P1798">
        <v>40</v>
      </c>
      <c r="R1798" s="3" t="str">
        <f>HYPERLINK("https://panda.att.com.mx/ODKServer/view/binaryData?blobKey=FSSuministroFluidosv3%5B%40version%3Dnull+and+%40uiVersion%3Dnull%5D%2Fdata%5B%40key%3Duuid%3A69c6caef-f826-4187-9a85-ed09c3f5cf82%5D%2FgroupInfoFuel%5B%40ordinal%3D1%5D%2FpicFuelRecibeInterno","Descargar")</f>
        <v>Descargar</v>
      </c>
    </row>
    <row r="1799" spans="1:18" x14ac:dyDescent="0.3">
      <c r="A1799">
        <v>1562149</v>
      </c>
      <c r="B1799" t="s">
        <v>18</v>
      </c>
      <c r="C1799" t="s">
        <v>28</v>
      </c>
      <c r="D1799" t="s">
        <v>895</v>
      </c>
      <c r="E1799" t="s">
        <v>896</v>
      </c>
      <c r="F1799" t="s">
        <v>22</v>
      </c>
      <c r="G1799" t="s">
        <v>23</v>
      </c>
      <c r="H1799" t="s">
        <v>24</v>
      </c>
      <c r="I1799" t="s">
        <v>25</v>
      </c>
      <c r="J1799" s="2">
        <v>45829.623680555553</v>
      </c>
      <c r="K1799">
        <v>21</v>
      </c>
      <c r="L1799">
        <v>6</v>
      </c>
      <c r="M1799">
        <v>2025</v>
      </c>
      <c r="N1799" t="s">
        <v>27</v>
      </c>
      <c r="O1799">
        <v>400</v>
      </c>
      <c r="Q1799">
        <v>400</v>
      </c>
      <c r="R1799" s="3" t="str">
        <f>HYPERLINK("https://panda.att.com.mx/ODKServer/view/binaryData?blobKey=FSSuministroFluidosv3%5B%40version%3Dnull+and+%40uiVersion%3Dnull%5D%2Fdata%5B%40key%3Duuid%3A8ea9bd72-485b-4d9a-8c2d-b12f2cd4e4b6%5D%2FgroupInfoFuel%5B%40ordinal%3D1%5D%2FpicFuelRecibeInterno","Descargar")</f>
        <v>Descargar</v>
      </c>
    </row>
    <row r="1800" spans="1:18" x14ac:dyDescent="0.3">
      <c r="A1800">
        <v>1562138</v>
      </c>
      <c r="B1800" t="s">
        <v>18</v>
      </c>
      <c r="C1800" t="s">
        <v>28</v>
      </c>
      <c r="D1800" t="s">
        <v>1036</v>
      </c>
      <c r="E1800" t="s">
        <v>1846</v>
      </c>
      <c r="F1800" t="s">
        <v>22</v>
      </c>
      <c r="G1800" t="s">
        <v>23</v>
      </c>
      <c r="H1800" t="s">
        <v>24</v>
      </c>
      <c r="I1800" t="s">
        <v>25</v>
      </c>
      <c r="J1800" s="2">
        <v>45829.613738425927</v>
      </c>
      <c r="K1800">
        <v>21</v>
      </c>
      <c r="L1800">
        <v>6</v>
      </c>
      <c r="M1800">
        <v>2025</v>
      </c>
      <c r="N1800" t="s">
        <v>27</v>
      </c>
      <c r="O1800">
        <v>250</v>
      </c>
      <c r="P1800">
        <v>250</v>
      </c>
      <c r="R1800" s="3" t="str">
        <f>HYPERLINK("https://panda.att.com.mx/ODKServer/view/binaryData?blobKey=FSSuministroFluidosv3%5B%40version%3Dnull+and+%40uiVersion%3Dnull%5D%2Fdata%5B%40key%3Duuid%3Aa968b438-1004-4612-a716-d5d51101ab04%5D%2FgroupInfoFuel%5B%40ordinal%3D1%5D%2FpicFuelRecibeInterno","Descargar")</f>
        <v>Descargar</v>
      </c>
    </row>
    <row r="1801" spans="1:18" x14ac:dyDescent="0.3">
      <c r="A1801">
        <v>1562133</v>
      </c>
      <c r="B1801" t="s">
        <v>18</v>
      </c>
      <c r="C1801" t="s">
        <v>59</v>
      </c>
      <c r="D1801" t="s">
        <v>233</v>
      </c>
      <c r="E1801" t="s">
        <v>1847</v>
      </c>
      <c r="F1801" t="s">
        <v>22</v>
      </c>
      <c r="G1801" t="s">
        <v>83</v>
      </c>
      <c r="H1801" t="s">
        <v>37</v>
      </c>
      <c r="I1801" t="s">
        <v>25</v>
      </c>
      <c r="J1801" s="2">
        <v>45829.549432870372</v>
      </c>
      <c r="K1801">
        <v>21</v>
      </c>
      <c r="L1801">
        <v>6</v>
      </c>
      <c r="M1801">
        <v>2025</v>
      </c>
      <c r="N1801" t="s">
        <v>27</v>
      </c>
      <c r="O1801">
        <v>600</v>
      </c>
      <c r="Q1801">
        <v>600</v>
      </c>
      <c r="R1801" s="3" t="str">
        <f>HYPERLINK("https://panda.att.com.mx/ODKServer/view/binaryData?blobKey=FSSuministroFluidosv3%5B%40version%3Dnull+and+%40uiVersion%3Dnull%5D%2Fdata%5B%40key%3Duuid%3Ad2568e27-7a2e-48a5-b7f7-b0d57c545fbc%5D%2FgroupInfoFuel%5B%40ordinal%3D1%5D%2FpicFuelRecibeInterno","Descargar")</f>
        <v>Descargar</v>
      </c>
    </row>
    <row r="1802" spans="1:18" x14ac:dyDescent="0.3">
      <c r="A1802">
        <v>1562127</v>
      </c>
      <c r="B1802" t="s">
        <v>18</v>
      </c>
      <c r="C1802" t="s">
        <v>59</v>
      </c>
      <c r="D1802" t="s">
        <v>60</v>
      </c>
      <c r="E1802" t="s">
        <v>1848</v>
      </c>
      <c r="F1802" t="s">
        <v>22</v>
      </c>
      <c r="G1802" t="s">
        <v>23</v>
      </c>
      <c r="H1802" t="s">
        <v>1816</v>
      </c>
      <c r="I1802" t="s">
        <v>25</v>
      </c>
      <c r="J1802" s="2">
        <v>45827.482430555552</v>
      </c>
      <c r="K1802">
        <v>19</v>
      </c>
      <c r="L1802">
        <v>6</v>
      </c>
      <c r="M1802">
        <v>2025</v>
      </c>
      <c r="N1802" t="s">
        <v>27</v>
      </c>
      <c r="O1802">
        <v>52</v>
      </c>
      <c r="P1802">
        <v>52</v>
      </c>
      <c r="R1802" s="3" t="str">
        <f>HYPERLINK("https://panda.att.com.mx/ODKServer/view/binaryData?blobKey=FSSuministroFluidosv3%5B%40version%3Dnull+and+%40uiVersion%3Dnull%5D%2Fdata%5B%40key%3Duuid%3A1a581e7f-794f-48a6-9325-6a42d77b1220%5D%2FgroupInfoFuel%5B%40ordinal%3D1%5D%2FpicFuelRecibeInterno","Descargar")</f>
        <v>Descargar</v>
      </c>
    </row>
    <row r="1803" spans="1:18" x14ac:dyDescent="0.3">
      <c r="A1803">
        <v>1562119</v>
      </c>
      <c r="B1803" t="s">
        <v>18</v>
      </c>
      <c r="C1803" t="s">
        <v>34</v>
      </c>
      <c r="D1803" t="s">
        <v>187</v>
      </c>
      <c r="E1803" t="s">
        <v>1849</v>
      </c>
      <c r="F1803" t="s">
        <v>22</v>
      </c>
      <c r="G1803" t="s">
        <v>23</v>
      </c>
      <c r="H1803" t="s">
        <v>24</v>
      </c>
      <c r="I1803" t="s">
        <v>25</v>
      </c>
      <c r="J1803" s="2">
        <v>45827.562638888892</v>
      </c>
      <c r="K1803">
        <v>19</v>
      </c>
      <c r="L1803">
        <v>6</v>
      </c>
      <c r="M1803">
        <v>2025</v>
      </c>
      <c r="N1803" t="s">
        <v>27</v>
      </c>
      <c r="O1803">
        <v>200</v>
      </c>
      <c r="P1803">
        <v>200</v>
      </c>
      <c r="R1803" s="3" t="str">
        <f>HYPERLINK("https://panda.att.com.mx/ODKServer/view/binaryData?blobKey=FSSuministroFluidosv3%5B%40version%3Dnull+and+%40uiVersion%3Dnull%5D%2Fdata%5B%40key%3Duuid%3A3c97197b-8622-49b8-9f0a-a660c9d7650b%5D%2FgroupInfoFuel%5B%40ordinal%3D1%5D%2FpicFuelRecibeInterno","Descargar")</f>
        <v>Descargar</v>
      </c>
    </row>
    <row r="1804" spans="1:18" x14ac:dyDescent="0.3">
      <c r="A1804">
        <v>1562118</v>
      </c>
      <c r="B1804" t="s">
        <v>18</v>
      </c>
      <c r="C1804" t="s">
        <v>59</v>
      </c>
      <c r="D1804" t="s">
        <v>60</v>
      </c>
      <c r="E1804" t="s">
        <v>1850</v>
      </c>
      <c r="F1804" t="s">
        <v>22</v>
      </c>
      <c r="G1804" t="s">
        <v>23</v>
      </c>
      <c r="H1804" t="s">
        <v>37</v>
      </c>
      <c r="I1804" t="s">
        <v>25</v>
      </c>
      <c r="J1804" s="2">
        <v>45829.730057870373</v>
      </c>
      <c r="K1804">
        <v>21</v>
      </c>
      <c r="L1804">
        <v>6</v>
      </c>
      <c r="M1804">
        <v>2025</v>
      </c>
      <c r="N1804" t="s">
        <v>27</v>
      </c>
      <c r="O1804">
        <v>117.01</v>
      </c>
      <c r="P1804">
        <v>117.01</v>
      </c>
      <c r="R1804" s="3" t="str">
        <f>HYPERLINK("https://panda.att.com.mx/ODKServer/view/binaryData?blobKey=FSSuministroFluidosv3%5B%40version%3Dnull+and+%40uiVersion%3Dnull%5D%2Fdata%5B%40key%3Duuid%3Aacd03f83-4c4e-4d2a-82d8-8c4aa07ea7df%5D%2FgroupInfoFuel%5B%40ordinal%3D1%5D%2FpicFuelRecibeInterno","Descargar")</f>
        <v>Descargar</v>
      </c>
    </row>
    <row r="1805" spans="1:18" x14ac:dyDescent="0.3">
      <c r="A1805">
        <v>1562117</v>
      </c>
      <c r="B1805" t="s">
        <v>18</v>
      </c>
      <c r="C1805" t="s">
        <v>34</v>
      </c>
      <c r="D1805" t="s">
        <v>1851</v>
      </c>
      <c r="E1805" t="s">
        <v>1852</v>
      </c>
      <c r="F1805" t="s">
        <v>22</v>
      </c>
      <c r="G1805" t="s">
        <v>23</v>
      </c>
      <c r="H1805" t="s">
        <v>37</v>
      </c>
      <c r="I1805" t="s">
        <v>25</v>
      </c>
      <c r="J1805" s="2">
        <v>45829.762488425928</v>
      </c>
      <c r="K1805">
        <v>21</v>
      </c>
      <c r="L1805">
        <v>6</v>
      </c>
      <c r="M1805">
        <v>2025</v>
      </c>
      <c r="N1805" t="s">
        <v>27</v>
      </c>
      <c r="O1805">
        <v>250</v>
      </c>
      <c r="P1805">
        <v>250</v>
      </c>
      <c r="R1805" s="3" t="str">
        <f>HYPERLINK("https://panda.att.com.mx/ODKServer/view/binaryData?blobKey=FSSuministroFluidosv3%5B%40version%3Dnull+and+%40uiVersion%3Dnull%5D%2Fdata%5B%40key%3Duuid%3A97d82c61-fc8b-4fa8-8df3-926fe34685d1%5D%2FgroupInfoFuel%5B%40ordinal%3D1%5D%2FpicFuelRecibeInterno","Descargar")</f>
        <v>Descargar</v>
      </c>
    </row>
    <row r="1806" spans="1:18" x14ac:dyDescent="0.3">
      <c r="A1806">
        <v>1562091</v>
      </c>
      <c r="B1806" t="s">
        <v>18</v>
      </c>
      <c r="C1806" t="s">
        <v>34</v>
      </c>
      <c r="D1806" t="s">
        <v>53</v>
      </c>
      <c r="E1806" t="s">
        <v>1743</v>
      </c>
      <c r="F1806" t="s">
        <v>22</v>
      </c>
      <c r="G1806" t="s">
        <v>23</v>
      </c>
      <c r="H1806" t="s">
        <v>37</v>
      </c>
      <c r="I1806" t="s">
        <v>25</v>
      </c>
      <c r="J1806" s="2">
        <v>45829.572696759264</v>
      </c>
      <c r="K1806">
        <v>21</v>
      </c>
      <c r="L1806">
        <v>6</v>
      </c>
      <c r="M1806">
        <v>2025</v>
      </c>
      <c r="N1806" t="s">
        <v>27</v>
      </c>
      <c r="O1806">
        <v>650</v>
      </c>
      <c r="Q1806">
        <v>650</v>
      </c>
      <c r="R1806" s="3" t="str">
        <f>HYPERLINK("https://panda.att.com.mx/ODKServer/view/binaryData?blobKey=FSSuministroFluidosv3%5B%40version%3Dnull+and+%40uiVersion%3Dnull%5D%2Fdata%5B%40key%3Duuid%3A9219da67-7ee0-4f15-bd9c-689a21b23e12%5D%2FgroupInfoFuel%5B%40ordinal%3D1%5D%2FpicFuelRecibeInterno","Descargar")</f>
        <v>Descargar</v>
      </c>
    </row>
    <row r="1807" spans="1:18" x14ac:dyDescent="0.3">
      <c r="A1807">
        <v>1562090</v>
      </c>
      <c r="B1807" t="s">
        <v>18</v>
      </c>
      <c r="C1807" t="s">
        <v>19</v>
      </c>
      <c r="D1807" t="s">
        <v>45</v>
      </c>
      <c r="E1807" t="s">
        <v>752</v>
      </c>
      <c r="F1807" t="s">
        <v>22</v>
      </c>
      <c r="G1807" t="s">
        <v>23</v>
      </c>
      <c r="H1807" t="s">
        <v>24</v>
      </c>
      <c r="I1807" t="s">
        <v>25</v>
      </c>
      <c r="J1807" s="2">
        <v>45826.483773148153</v>
      </c>
      <c r="K1807">
        <v>18</v>
      </c>
      <c r="L1807">
        <v>6</v>
      </c>
      <c r="M1807">
        <v>2025</v>
      </c>
      <c r="N1807" t="s">
        <v>27</v>
      </c>
      <c r="O1807">
        <v>300</v>
      </c>
      <c r="P1807">
        <v>300</v>
      </c>
      <c r="R1807" s="3" t="str">
        <f>HYPERLINK("https://panda.att.com.mx/ODKServer/view/binaryData?blobKey=FSSuministroFluidosv3%5B%40version%3Dnull+and+%40uiVersion%3Dnull%5D%2Fdata%5B%40key%3Duuid%3A712c8668-f8cb-4f41-882c-4ee824eef1e8%5D%2FgroupInfoFuel%5B%40ordinal%3D1%5D%2FpicFuelRecibeInterno","Descargar")</f>
        <v>Descargar</v>
      </c>
    </row>
    <row r="1808" spans="1:18" x14ac:dyDescent="0.3">
      <c r="A1808">
        <v>1562089</v>
      </c>
      <c r="B1808" t="s">
        <v>18</v>
      </c>
      <c r="C1808" t="s">
        <v>34</v>
      </c>
      <c r="D1808" t="s">
        <v>292</v>
      </c>
      <c r="E1808" t="s">
        <v>1853</v>
      </c>
      <c r="F1808" t="s">
        <v>22</v>
      </c>
      <c r="G1808" t="s">
        <v>23</v>
      </c>
      <c r="H1808" t="s">
        <v>37</v>
      </c>
      <c r="I1808" t="s">
        <v>25</v>
      </c>
      <c r="J1808" s="2">
        <v>45829.687974537039</v>
      </c>
      <c r="K1808">
        <v>21</v>
      </c>
      <c r="L1808">
        <v>6</v>
      </c>
      <c r="M1808">
        <v>2025</v>
      </c>
      <c r="N1808" t="s">
        <v>27</v>
      </c>
      <c r="O1808">
        <v>250</v>
      </c>
      <c r="P1808">
        <v>250</v>
      </c>
      <c r="R1808" s="3" t="str">
        <f>HYPERLINK("https://panda.att.com.mx/ODKServer/view/binaryData?blobKey=FSSuministroFluidosv3%5B%40version%3Dnull+and+%40uiVersion%3Dnull%5D%2Fdata%5B%40key%3Duuid%3Ab2dd34eb-05e2-452c-b9c9-1a7fa86127d9%5D%2FgroupInfoFuel%5B%40ordinal%3D1%5D%2FpicFuelRecibeInterno","Descargar")</f>
        <v>Descargar</v>
      </c>
    </row>
    <row r="1809" spans="1:18" x14ac:dyDescent="0.3">
      <c r="A1809">
        <v>1562067</v>
      </c>
      <c r="B1809" t="s">
        <v>18</v>
      </c>
      <c r="C1809" t="s">
        <v>55</v>
      </c>
      <c r="D1809" t="s">
        <v>366</v>
      </c>
      <c r="E1809" t="s">
        <v>1854</v>
      </c>
      <c r="F1809" t="s">
        <v>22</v>
      </c>
      <c r="G1809" t="s">
        <v>83</v>
      </c>
      <c r="H1809" t="s">
        <v>1781</v>
      </c>
      <c r="I1809" t="s">
        <v>25</v>
      </c>
      <c r="J1809" s="2">
        <v>45829.619375000002</v>
      </c>
      <c r="K1809">
        <v>21</v>
      </c>
      <c r="L1809">
        <v>6</v>
      </c>
      <c r="M1809">
        <v>2025</v>
      </c>
      <c r="N1809" t="s">
        <v>27</v>
      </c>
      <c r="O1809">
        <v>101.5</v>
      </c>
      <c r="P1809">
        <v>101.5</v>
      </c>
      <c r="R1809" s="3" t="str">
        <f>HYPERLINK("https://panda.att.com.mx/ODKServer/view/binaryData?blobKey=FSSuministroFluidosv3%5B%40version%3Dnull+and+%40uiVersion%3Dnull%5D%2Fdata%5B%40key%3Duuid%3Ab7a95295-58e7-47d6-aed6-3f3ca2ce9fa4%5D%2FgroupInfoFuel%5B%40ordinal%3D1%5D%2FpicFuelRecibeInterno","Descargar")</f>
        <v>Descargar</v>
      </c>
    </row>
    <row r="1810" spans="1:18" x14ac:dyDescent="0.3">
      <c r="A1810">
        <v>1562061</v>
      </c>
      <c r="B1810" t="s">
        <v>18</v>
      </c>
      <c r="C1810" t="s">
        <v>68</v>
      </c>
      <c r="D1810" t="s">
        <v>762</v>
      </c>
      <c r="E1810" t="s">
        <v>1855</v>
      </c>
      <c r="F1810" t="s">
        <v>22</v>
      </c>
      <c r="G1810" t="s">
        <v>23</v>
      </c>
      <c r="H1810" t="s">
        <v>37</v>
      </c>
      <c r="I1810" t="s">
        <v>25</v>
      </c>
      <c r="J1810" s="2">
        <v>45829.591168981482</v>
      </c>
      <c r="K1810">
        <v>21</v>
      </c>
      <c r="L1810">
        <v>6</v>
      </c>
      <c r="M1810">
        <v>2025</v>
      </c>
      <c r="N1810" t="s">
        <v>27</v>
      </c>
      <c r="O1810">
        <v>300</v>
      </c>
      <c r="Q1810">
        <v>300</v>
      </c>
      <c r="R1810" s="3" t="str">
        <f>HYPERLINK("https://panda.att.com.mx/ODKServer/view/binaryData?blobKey=FSSuministroFluidosv3%5B%40version%3Dnull+and+%40uiVersion%3Dnull%5D%2Fdata%5B%40key%3Duuid%3A69c829f8-1804-45db-a517-d27b24af0b07%5D%2FgroupInfoFuel%5B%40ordinal%3D1%5D%2FpicFuelRecibeInterno","Descargar")</f>
        <v>Descargar</v>
      </c>
    </row>
    <row r="1811" spans="1:18" x14ac:dyDescent="0.3">
      <c r="A1811">
        <v>1562027</v>
      </c>
      <c r="B1811" t="s">
        <v>18</v>
      </c>
      <c r="C1811" t="s">
        <v>55</v>
      </c>
      <c r="D1811" t="s">
        <v>56</v>
      </c>
      <c r="E1811" t="s">
        <v>1555</v>
      </c>
      <c r="F1811" t="s">
        <v>22</v>
      </c>
      <c r="G1811" t="s">
        <v>23</v>
      </c>
      <c r="H1811" t="s">
        <v>58</v>
      </c>
      <c r="I1811" t="s">
        <v>25</v>
      </c>
      <c r="J1811" s="2">
        <v>45826.676840277767</v>
      </c>
      <c r="K1811">
        <v>18</v>
      </c>
      <c r="L1811">
        <v>6</v>
      </c>
      <c r="M1811">
        <v>2025</v>
      </c>
      <c r="N1811" t="s">
        <v>27</v>
      </c>
      <c r="O1811">
        <v>80</v>
      </c>
      <c r="P1811">
        <v>80</v>
      </c>
      <c r="R1811" s="3" t="str">
        <f>HYPERLINK("https://panda.att.com.mx/ODKServer/view/binaryData?blobKey=FSSuministroFluidosv3%5B%40version%3Dnull+and+%40uiVersion%3Dnull%5D%2Fdata%5B%40key%3Duuid%3Ac5786777-e9a7-4b79-a280-8bd73eb9e240%5D%2FgroupInfoFuel%5B%40ordinal%3D1%5D%2FpicFuelRecibeInterno","Descargar")</f>
        <v>Descargar</v>
      </c>
    </row>
    <row r="1812" spans="1:18" x14ac:dyDescent="0.3">
      <c r="A1812">
        <v>1562022</v>
      </c>
      <c r="B1812" t="s">
        <v>18</v>
      </c>
      <c r="C1812" t="s">
        <v>55</v>
      </c>
      <c r="D1812" t="s">
        <v>56</v>
      </c>
      <c r="E1812" t="s">
        <v>1555</v>
      </c>
      <c r="F1812" t="s">
        <v>22</v>
      </c>
      <c r="G1812" t="s">
        <v>23</v>
      </c>
      <c r="H1812" t="s">
        <v>58</v>
      </c>
      <c r="I1812" t="s">
        <v>25</v>
      </c>
      <c r="J1812" s="2">
        <v>45827.669374999998</v>
      </c>
      <c r="K1812">
        <v>19</v>
      </c>
      <c r="L1812">
        <v>6</v>
      </c>
      <c r="M1812">
        <v>2025</v>
      </c>
      <c r="N1812" t="s">
        <v>27</v>
      </c>
      <c r="O1812">
        <v>200</v>
      </c>
      <c r="P1812">
        <v>200</v>
      </c>
      <c r="R1812" s="3" t="str">
        <f>HYPERLINK("https://panda.att.com.mx/ODKServer/view/binaryData?blobKey=FSSuministroFluidosv3%5B%40version%3Dnull+and+%40uiVersion%3Dnull%5D%2Fdata%5B%40key%3Duuid%3A5203029c-2300-45bf-849f-84a326d4b739%5D%2FgroupInfoFuel%5B%40ordinal%3D1%5D%2FpicFuelRecibeInterno","Descargar")</f>
        <v>Descargar</v>
      </c>
    </row>
    <row r="1813" spans="1:18" x14ac:dyDescent="0.3">
      <c r="A1813">
        <v>1562020</v>
      </c>
      <c r="B1813" t="s">
        <v>18</v>
      </c>
      <c r="C1813" t="s">
        <v>34</v>
      </c>
      <c r="D1813" t="s">
        <v>53</v>
      </c>
      <c r="E1813" t="s">
        <v>1856</v>
      </c>
      <c r="F1813" t="s">
        <v>22</v>
      </c>
      <c r="G1813" t="s">
        <v>23</v>
      </c>
      <c r="H1813" t="s">
        <v>37</v>
      </c>
      <c r="I1813" t="s">
        <v>25</v>
      </c>
      <c r="J1813" s="2">
        <v>45829.379583333342</v>
      </c>
      <c r="K1813">
        <v>21</v>
      </c>
      <c r="L1813">
        <v>6</v>
      </c>
      <c r="M1813">
        <v>2025</v>
      </c>
      <c r="N1813" t="s">
        <v>27</v>
      </c>
      <c r="O1813">
        <v>488.97</v>
      </c>
      <c r="Q1813">
        <v>488.97</v>
      </c>
      <c r="R1813" s="3" t="str">
        <f>HYPERLINK("https://panda.att.com.mx/ODKServer/view/binaryData?blobKey=FSSuministroFluidosv3%5B%40version%3Dnull+and+%40uiVersion%3Dnull%5D%2Fdata%5B%40key%3Duuid%3A8f9bd2d7-fc74-45b8-bd5f-8ff05e9c65cb%5D%2FgroupInfoFuel%5B%40ordinal%3D1%5D%2FpicFuelRecibeInterno","Descargar")</f>
        <v>Descargar</v>
      </c>
    </row>
    <row r="1814" spans="1:18" x14ac:dyDescent="0.3">
      <c r="A1814">
        <v>1562019</v>
      </c>
      <c r="B1814" t="s">
        <v>18</v>
      </c>
      <c r="C1814" t="s">
        <v>55</v>
      </c>
      <c r="D1814" t="s">
        <v>56</v>
      </c>
      <c r="E1814" t="s">
        <v>1842</v>
      </c>
      <c r="F1814" t="s">
        <v>22</v>
      </c>
      <c r="G1814" t="s">
        <v>23</v>
      </c>
      <c r="H1814" t="s">
        <v>58</v>
      </c>
      <c r="I1814" t="s">
        <v>25</v>
      </c>
      <c r="J1814" s="2">
        <v>45828.555613425917</v>
      </c>
      <c r="K1814">
        <v>20</v>
      </c>
      <c r="L1814">
        <v>6</v>
      </c>
      <c r="M1814">
        <v>2025</v>
      </c>
      <c r="N1814" t="s">
        <v>27</v>
      </c>
      <c r="O1814">
        <v>80</v>
      </c>
      <c r="P1814">
        <v>80</v>
      </c>
      <c r="R1814" s="3" t="str">
        <f>HYPERLINK("https://panda.att.com.mx/ODKServer/view/binaryData?blobKey=FSSuministroFluidosv3%5B%40version%3Dnull+and+%40uiVersion%3Dnull%5D%2Fdata%5B%40key%3Duuid%3Ad3eab980-8876-40af-8667-7c87e48a4995%5D%2FgroupInfoFuel%5B%40ordinal%3D1%5D%2FpicFuelRecibeInterno","Descargar")</f>
        <v>Descargar</v>
      </c>
    </row>
    <row r="1815" spans="1:18" x14ac:dyDescent="0.3">
      <c r="A1815">
        <v>1562017</v>
      </c>
      <c r="B1815" t="s">
        <v>18</v>
      </c>
      <c r="C1815" t="s">
        <v>55</v>
      </c>
      <c r="D1815" t="s">
        <v>56</v>
      </c>
      <c r="E1815" t="s">
        <v>1555</v>
      </c>
      <c r="F1815" t="s">
        <v>22</v>
      </c>
      <c r="G1815" t="s">
        <v>23</v>
      </c>
      <c r="H1815" t="s">
        <v>58</v>
      </c>
      <c r="I1815" t="s">
        <v>25</v>
      </c>
      <c r="J1815" s="2">
        <v>45827.619733796288</v>
      </c>
      <c r="K1815">
        <v>19</v>
      </c>
      <c r="L1815">
        <v>6</v>
      </c>
      <c r="M1815">
        <v>2025</v>
      </c>
      <c r="N1815" t="s">
        <v>27</v>
      </c>
      <c r="O1815">
        <v>60</v>
      </c>
      <c r="P1815">
        <v>60</v>
      </c>
      <c r="R1815" s="3" t="str">
        <f>HYPERLINK("https://panda.att.com.mx/ODKServer/view/binaryData?blobKey=FSSuministroFluidosv3%5B%40version%3Dnull+and+%40uiVersion%3Dnull%5D%2Fdata%5B%40key%3Duuid%3Af184a965-45ed-4cae-b503-0bb12e6086d3%5D%2FgroupInfoFuel%5B%40ordinal%3D1%5D%2FpicFuelRecibeInterno","Descargar")</f>
        <v>Descargar</v>
      </c>
    </row>
    <row r="1816" spans="1:18" x14ac:dyDescent="0.3">
      <c r="A1816">
        <v>1562012</v>
      </c>
      <c r="B1816" t="s">
        <v>18</v>
      </c>
      <c r="C1816" t="s">
        <v>55</v>
      </c>
      <c r="D1816" t="s">
        <v>56</v>
      </c>
      <c r="E1816" t="s">
        <v>668</v>
      </c>
      <c r="F1816" t="s">
        <v>22</v>
      </c>
      <c r="G1816" t="s">
        <v>23</v>
      </c>
      <c r="H1816" t="s">
        <v>58</v>
      </c>
      <c r="I1816" t="s">
        <v>25</v>
      </c>
      <c r="J1816" s="2">
        <v>45828.694178240738</v>
      </c>
      <c r="K1816">
        <v>20</v>
      </c>
      <c r="L1816">
        <v>6</v>
      </c>
      <c r="M1816">
        <v>2025</v>
      </c>
      <c r="N1816" t="s">
        <v>27</v>
      </c>
      <c r="O1816">
        <v>100</v>
      </c>
      <c r="P1816">
        <v>100</v>
      </c>
      <c r="R1816" s="3" t="str">
        <f>HYPERLINK("https://panda.att.com.mx/ODKServer/view/binaryData?blobKey=FSSuministroFluidosv3%5B%40version%3Dnull+and+%40uiVersion%3Dnull%5D%2Fdata%5B%40key%3Duuid%3A2cbb0b1d-3e84-44d1-8f5a-7cd703dead6d%5D%2FgroupInfoFuel%5B%40ordinal%3D1%5D%2FpicFuelRecibeInterno","Descargar")</f>
        <v>Descargar</v>
      </c>
    </row>
    <row r="1817" spans="1:18" x14ac:dyDescent="0.3">
      <c r="A1817">
        <v>1562009</v>
      </c>
      <c r="B1817" t="s">
        <v>18</v>
      </c>
      <c r="C1817" t="s">
        <v>55</v>
      </c>
      <c r="D1817" t="s">
        <v>56</v>
      </c>
      <c r="E1817" t="s">
        <v>668</v>
      </c>
      <c r="F1817" t="s">
        <v>22</v>
      </c>
      <c r="G1817" t="s">
        <v>23</v>
      </c>
      <c r="H1817" t="s">
        <v>58</v>
      </c>
      <c r="I1817" t="s">
        <v>25</v>
      </c>
      <c r="J1817" s="2">
        <v>45827.551030092603</v>
      </c>
      <c r="K1817">
        <v>19</v>
      </c>
      <c r="L1817">
        <v>6</v>
      </c>
      <c r="M1817">
        <v>2025</v>
      </c>
      <c r="N1817" t="s">
        <v>27</v>
      </c>
      <c r="O1817">
        <v>200</v>
      </c>
      <c r="P1817">
        <v>200</v>
      </c>
      <c r="R1817" s="3" t="str">
        <f>HYPERLINK("https://panda.att.com.mx/ODKServer/view/binaryData?blobKey=FSSuministroFluidosv3%5B%40version%3Dnull+and+%40uiVersion%3Dnull%5D%2Fdata%5B%40key%3Duuid%3A1fc54977-439c-4d2e-b3b2-92eac8a6b543%5D%2FgroupInfoFuel%5B%40ordinal%3D1%5D%2FpicFuelRecibeInterno","Descargar")</f>
        <v>Descargar</v>
      </c>
    </row>
    <row r="1818" spans="1:18" x14ac:dyDescent="0.3">
      <c r="A1818">
        <v>1562000</v>
      </c>
      <c r="B1818" t="s">
        <v>18</v>
      </c>
      <c r="C1818" t="s">
        <v>34</v>
      </c>
      <c r="D1818" t="s">
        <v>53</v>
      </c>
      <c r="E1818" t="s">
        <v>1856</v>
      </c>
      <c r="F1818" t="s">
        <v>22</v>
      </c>
      <c r="G1818" t="s">
        <v>23</v>
      </c>
      <c r="H1818" t="s">
        <v>37</v>
      </c>
      <c r="I1818" t="s">
        <v>25</v>
      </c>
      <c r="J1818" s="2">
        <v>45826.575590277767</v>
      </c>
      <c r="K1818">
        <v>18</v>
      </c>
      <c r="L1818">
        <v>6</v>
      </c>
      <c r="M1818">
        <v>2025</v>
      </c>
      <c r="N1818" t="s">
        <v>27</v>
      </c>
      <c r="O1818">
        <v>148.72</v>
      </c>
      <c r="Q1818">
        <v>148.72</v>
      </c>
      <c r="R1818" s="3" t="str">
        <f>HYPERLINK("https://panda.att.com.mx/ODKServer/view/binaryData?blobKey=FSSuministroFluidosv3%5B%40version%3Dnull+and+%40uiVersion%3Dnull%5D%2Fdata%5B%40key%3Duuid%3Afaf462be-705b-4315-bfce-092339c4ca16%5D%2FgroupInfoFuel%5B%40ordinal%3D1%5D%2FpicFuelRecibeInterno","Descargar")</f>
        <v>Descargar</v>
      </c>
    </row>
    <row r="1819" spans="1:18" x14ac:dyDescent="0.3">
      <c r="A1819">
        <v>1561985</v>
      </c>
      <c r="B1819" t="s">
        <v>18</v>
      </c>
      <c r="C1819" t="s">
        <v>28</v>
      </c>
      <c r="D1819" t="s">
        <v>138</v>
      </c>
      <c r="E1819" t="s">
        <v>1857</v>
      </c>
      <c r="F1819" t="s">
        <v>22</v>
      </c>
      <c r="G1819" t="s">
        <v>23</v>
      </c>
      <c r="H1819" t="s">
        <v>24</v>
      </c>
      <c r="I1819" t="s">
        <v>25</v>
      </c>
      <c r="J1819" s="2">
        <v>45826.526643518519</v>
      </c>
      <c r="K1819">
        <v>18</v>
      </c>
      <c r="L1819">
        <v>6</v>
      </c>
      <c r="M1819">
        <v>2025</v>
      </c>
      <c r="N1819" t="s">
        <v>27</v>
      </c>
      <c r="O1819">
        <v>450</v>
      </c>
      <c r="P1819">
        <v>450</v>
      </c>
      <c r="R1819" s="3" t="str">
        <f>HYPERLINK("https://panda.att.com.mx/ODKServer/view/binaryData?blobKey=FSSuministroFluidosv3%5B%40version%3Dnull+and+%40uiVersion%3Dnull%5D%2Fdata%5B%40key%3Duuid%3A387967d6-b72a-4034-95bb-8ba6d11acc91%5D%2FgroupInfoFuel%5B%40ordinal%3D1%5D%2FpicFuelRecibeInterno","Descargar")</f>
        <v>Descargar</v>
      </c>
    </row>
    <row r="1820" spans="1:18" x14ac:dyDescent="0.3">
      <c r="A1820">
        <v>1561971</v>
      </c>
      <c r="B1820" t="s">
        <v>18</v>
      </c>
      <c r="C1820" t="s">
        <v>19</v>
      </c>
      <c r="D1820" t="s">
        <v>347</v>
      </c>
      <c r="E1820" t="s">
        <v>364</v>
      </c>
      <c r="F1820" t="s">
        <v>22</v>
      </c>
      <c r="G1820" t="s">
        <v>23</v>
      </c>
      <c r="H1820" t="s">
        <v>24</v>
      </c>
      <c r="I1820" t="s">
        <v>25</v>
      </c>
      <c r="J1820" s="2">
        <v>45827.478425925918</v>
      </c>
      <c r="K1820">
        <v>19</v>
      </c>
      <c r="L1820">
        <v>6</v>
      </c>
      <c r="M1820">
        <v>2025</v>
      </c>
      <c r="N1820" t="s">
        <v>27</v>
      </c>
      <c r="O1820">
        <v>300</v>
      </c>
      <c r="P1820">
        <v>300</v>
      </c>
      <c r="R1820" s="3" t="str">
        <f>HYPERLINK("https://panda.att.com.mx/ODKServer/view/binaryData?blobKey=FSSuministroFluidosv3%5B%40version%3Dnull+and+%40uiVersion%3Dnull%5D%2Fdata%5B%40key%3Duuid%3Aba5681f9-1428-4a80-a1b8-ceb659c961e2%5D%2FgroupInfoFuel%5B%40ordinal%3D1%5D%2FpicFuelRecibeInterno","Descargar")</f>
        <v>Descargar</v>
      </c>
    </row>
    <row r="1821" spans="1:18" x14ac:dyDescent="0.3">
      <c r="A1821">
        <v>1561960</v>
      </c>
      <c r="B1821" t="s">
        <v>18</v>
      </c>
      <c r="C1821" t="s">
        <v>19</v>
      </c>
      <c r="D1821" t="s">
        <v>189</v>
      </c>
      <c r="E1821" t="s">
        <v>1818</v>
      </c>
      <c r="F1821" t="s">
        <v>22</v>
      </c>
      <c r="G1821" t="s">
        <v>23</v>
      </c>
      <c r="H1821" t="s">
        <v>24</v>
      </c>
      <c r="I1821" t="s">
        <v>25</v>
      </c>
      <c r="J1821" s="2">
        <v>45818.416898148149</v>
      </c>
      <c r="K1821">
        <v>10</v>
      </c>
      <c r="L1821">
        <v>6</v>
      </c>
      <c r="M1821">
        <v>2025</v>
      </c>
      <c r="N1821" t="s">
        <v>44</v>
      </c>
      <c r="O1821">
        <v>40</v>
      </c>
      <c r="P1821">
        <v>40</v>
      </c>
      <c r="R1821" s="3" t="str">
        <f>HYPERLINK("https://panda.att.com.mx/ODKServer/view/binaryData?blobKey=FSSuministroFluidosv3%5B%40version%3Dnull+and+%40uiVersion%3Dnull%5D%2Fdata%5B%40key%3Duuid%3A4eff8c00-c38b-4064-a2c6-cc06e18a65f5%5D%2FgroupInfoFuel%5B%40ordinal%3D1%5D%2FpicFuelRecibeInterno","Descargar")</f>
        <v>Descargar</v>
      </c>
    </row>
    <row r="1822" spans="1:18" x14ac:dyDescent="0.3">
      <c r="A1822">
        <v>1561954</v>
      </c>
      <c r="B1822" t="s">
        <v>18</v>
      </c>
      <c r="C1822" t="s">
        <v>55</v>
      </c>
      <c r="D1822" t="s">
        <v>89</v>
      </c>
      <c r="E1822" t="s">
        <v>1194</v>
      </c>
      <c r="F1822" t="s">
        <v>22</v>
      </c>
      <c r="G1822" t="s">
        <v>23</v>
      </c>
      <c r="H1822" t="s">
        <v>58</v>
      </c>
      <c r="I1822" t="s">
        <v>25</v>
      </c>
      <c r="J1822" s="2">
        <v>45828.741180555553</v>
      </c>
      <c r="K1822">
        <v>20</v>
      </c>
      <c r="L1822">
        <v>6</v>
      </c>
      <c r="M1822">
        <v>2025</v>
      </c>
      <c r="N1822" t="s">
        <v>27</v>
      </c>
      <c r="O1822">
        <v>40</v>
      </c>
      <c r="P1822">
        <v>40</v>
      </c>
      <c r="R1822" s="3" t="str">
        <f>HYPERLINK("https://panda.att.com.mx/ODKServer/view/binaryData?blobKey=FSSuministroFluidosv3%5B%40version%3Dnull+and+%40uiVersion%3Dnull%5D%2Fdata%5B%40key%3Duuid%3Ab2aa873f-3629-4460-a869-cb779d3e1d7c%5D%2FgroupInfoFuel%5B%40ordinal%3D1%5D%2FpicFuelRecibeInterno","Descargar")</f>
        <v>Descargar</v>
      </c>
    </row>
    <row r="1823" spans="1:18" x14ac:dyDescent="0.3">
      <c r="A1823">
        <v>1561933</v>
      </c>
      <c r="B1823" t="s">
        <v>18</v>
      </c>
      <c r="C1823" t="s">
        <v>34</v>
      </c>
      <c r="D1823" t="s">
        <v>53</v>
      </c>
      <c r="E1823" t="s">
        <v>1858</v>
      </c>
      <c r="F1823" t="s">
        <v>22</v>
      </c>
      <c r="G1823" t="s">
        <v>23</v>
      </c>
      <c r="H1823" t="s">
        <v>37</v>
      </c>
      <c r="I1823" t="s">
        <v>25</v>
      </c>
      <c r="J1823" s="2">
        <v>45828.309583333343</v>
      </c>
      <c r="K1823">
        <v>20</v>
      </c>
      <c r="L1823">
        <v>6</v>
      </c>
      <c r="M1823">
        <v>2025</v>
      </c>
      <c r="N1823" t="s">
        <v>27</v>
      </c>
      <c r="O1823">
        <v>296.36</v>
      </c>
      <c r="Q1823">
        <v>296.36</v>
      </c>
      <c r="R1823" s="3" t="str">
        <f>HYPERLINK("https://panda.att.com.mx/ODKServer/view/binaryData?blobKey=FSSuministroFluidosv3%5B%40version%3Dnull+and+%40uiVersion%3Dnull%5D%2Fdata%5B%40key%3Duuid%3A4ed18ea9-beb3-48b1-9a20-37dc839fca4d%5D%2FgroupInfoFuel%5B%40ordinal%3D1%5D%2FpicFuelRecibeInterno","Descargar")</f>
        <v>Descargar</v>
      </c>
    </row>
    <row r="1824" spans="1:18" x14ac:dyDescent="0.3">
      <c r="A1824">
        <v>1561931</v>
      </c>
      <c r="B1824" t="s">
        <v>18</v>
      </c>
      <c r="C1824" t="s">
        <v>55</v>
      </c>
      <c r="D1824" t="s">
        <v>56</v>
      </c>
      <c r="E1824" t="s">
        <v>862</v>
      </c>
      <c r="F1824" t="s">
        <v>22</v>
      </c>
      <c r="G1824" t="s">
        <v>83</v>
      </c>
      <c r="H1824" t="s">
        <v>58</v>
      </c>
      <c r="I1824" t="s">
        <v>25</v>
      </c>
      <c r="J1824" s="2">
        <v>45825.581863425927</v>
      </c>
      <c r="K1824">
        <v>17</v>
      </c>
      <c r="L1824">
        <v>6</v>
      </c>
      <c r="M1824">
        <v>2025</v>
      </c>
      <c r="N1824" t="s">
        <v>27</v>
      </c>
      <c r="O1824">
        <v>400</v>
      </c>
      <c r="P1824">
        <v>400</v>
      </c>
      <c r="R1824" s="3" t="str">
        <f>HYPERLINK("https://panda.att.com.mx/ODKServer/view/binaryData?blobKey=FSSuministroFluidosv3%5B%40version%3Dnull+and+%40uiVersion%3Dnull%5D%2Fdata%5B%40key%3Duuid%3Aa59d0a40-a2ea-460c-98ee-b19656332cda%5D%2FgroupInfoFuel%5B%40ordinal%3D1%5D%2FpicFuelRecibeInterno","Descargar")</f>
        <v>Descargar</v>
      </c>
    </row>
    <row r="1825" spans="1:18" x14ac:dyDescent="0.3">
      <c r="A1825">
        <v>1561920</v>
      </c>
      <c r="B1825" t="s">
        <v>18</v>
      </c>
      <c r="C1825" t="s">
        <v>59</v>
      </c>
      <c r="D1825" t="s">
        <v>233</v>
      </c>
      <c r="E1825" t="s">
        <v>1511</v>
      </c>
      <c r="F1825" t="s">
        <v>22</v>
      </c>
      <c r="G1825" t="s">
        <v>83</v>
      </c>
      <c r="H1825" t="s">
        <v>37</v>
      </c>
      <c r="I1825" t="s">
        <v>25</v>
      </c>
      <c r="J1825" s="2">
        <v>45828.829930555563</v>
      </c>
      <c r="K1825">
        <v>20</v>
      </c>
      <c r="L1825">
        <v>6</v>
      </c>
      <c r="M1825">
        <v>2025</v>
      </c>
      <c r="N1825" t="s">
        <v>27</v>
      </c>
      <c r="O1825">
        <v>500</v>
      </c>
      <c r="P1825">
        <v>500</v>
      </c>
      <c r="R1825" s="3" t="str">
        <f>HYPERLINK("https://panda.att.com.mx/ODKServer/view/binaryData?blobKey=FSSuministroFluidosv3%5B%40version%3Dnull+and+%40uiVersion%3Dnull%5D%2Fdata%5B%40key%3Duuid%3A7d88fa50-2775-4a75-90bf-6ca5e3eb4f15%5D%2FgroupInfoFuel%5B%40ordinal%3D1%5D%2FpicFuelRecibeInterno","Descargar")</f>
        <v>Descargar</v>
      </c>
    </row>
    <row r="1826" spans="1:18" x14ac:dyDescent="0.3">
      <c r="A1826">
        <v>1561919</v>
      </c>
      <c r="B1826" t="s">
        <v>18</v>
      </c>
      <c r="C1826" t="s">
        <v>59</v>
      </c>
      <c r="D1826" t="s">
        <v>233</v>
      </c>
      <c r="E1826" t="s">
        <v>1859</v>
      </c>
      <c r="F1826" t="s">
        <v>22</v>
      </c>
      <c r="G1826" t="s">
        <v>23</v>
      </c>
      <c r="H1826" t="s">
        <v>37</v>
      </c>
      <c r="I1826" t="s">
        <v>25</v>
      </c>
      <c r="J1826" s="2">
        <v>45828.558877314812</v>
      </c>
      <c r="K1826">
        <v>20</v>
      </c>
      <c r="L1826">
        <v>6</v>
      </c>
      <c r="M1826">
        <v>2025</v>
      </c>
      <c r="N1826" t="s">
        <v>27</v>
      </c>
      <c r="O1826">
        <v>300</v>
      </c>
      <c r="P1826">
        <v>300</v>
      </c>
      <c r="R1826" s="3" t="str">
        <f>HYPERLINK("https://panda.att.com.mx/ODKServer/view/binaryData?blobKey=FSSuministroFluidosv3%5B%40version%3Dnull+and+%40uiVersion%3Dnull%5D%2Fdata%5B%40key%3Duuid%3A2427fa47-6ef3-41ae-921e-6a75542f1760%5D%2FgroupInfoFuel%5B%40ordinal%3D1%5D%2FpicFuelRecibeInterno","Descargar")</f>
        <v>Descargar</v>
      </c>
    </row>
    <row r="1827" spans="1:18" x14ac:dyDescent="0.3">
      <c r="A1827">
        <v>1561292</v>
      </c>
      <c r="B1827" t="s">
        <v>18</v>
      </c>
      <c r="C1827" t="s">
        <v>28</v>
      </c>
      <c r="D1827" t="s">
        <v>280</v>
      </c>
      <c r="E1827" t="s">
        <v>281</v>
      </c>
      <c r="F1827" t="s">
        <v>22</v>
      </c>
      <c r="G1827" t="s">
        <v>23</v>
      </c>
      <c r="H1827" t="s">
        <v>24</v>
      </c>
      <c r="I1827" t="s">
        <v>25</v>
      </c>
      <c r="J1827" s="2">
        <v>45827.612187500003</v>
      </c>
      <c r="K1827">
        <v>19</v>
      </c>
      <c r="L1827">
        <v>6</v>
      </c>
      <c r="M1827">
        <v>2025</v>
      </c>
      <c r="N1827" t="s">
        <v>27</v>
      </c>
      <c r="O1827">
        <v>100</v>
      </c>
      <c r="P1827">
        <v>100</v>
      </c>
      <c r="R1827" s="3" t="str">
        <f>HYPERLINK("https://panda.att.com.mx/ODKServer/view/binaryData?blobKey=FSSuministroFluidosv3%5B%40version%3Dnull+and+%40uiVersion%3Dnull%5D%2Fdata%5B%40key%3Duuid%3Afb1bdaeb-ed9c-4d86-b177-77443c21a366%5D%2FgroupInfoFuel%5B%40ordinal%3D1%5D%2FpicFuelRecibeInterno","Descargar")</f>
        <v>Descargar</v>
      </c>
    </row>
    <row r="1828" spans="1:18" x14ac:dyDescent="0.3">
      <c r="A1828">
        <v>1561291</v>
      </c>
      <c r="B1828" t="s">
        <v>18</v>
      </c>
      <c r="C1828" t="s">
        <v>28</v>
      </c>
      <c r="D1828" t="s">
        <v>242</v>
      </c>
      <c r="E1828" t="s">
        <v>1860</v>
      </c>
      <c r="F1828" t="s">
        <v>22</v>
      </c>
      <c r="G1828" t="s">
        <v>23</v>
      </c>
      <c r="H1828" t="s">
        <v>24</v>
      </c>
      <c r="I1828" t="s">
        <v>25</v>
      </c>
      <c r="J1828" s="2">
        <v>45827.529722222222</v>
      </c>
      <c r="K1828">
        <v>19</v>
      </c>
      <c r="L1828">
        <v>6</v>
      </c>
      <c r="M1828">
        <v>2025</v>
      </c>
      <c r="N1828" t="s">
        <v>27</v>
      </c>
      <c r="O1828">
        <v>200</v>
      </c>
      <c r="P1828">
        <v>200</v>
      </c>
      <c r="R1828" s="3" t="str">
        <f>HYPERLINK("https://panda.att.com.mx/ODKServer/view/binaryData?blobKey=FSSuministroFluidosv3%5B%40version%3Dnull+and+%40uiVersion%3Dnull%5D%2Fdata%5B%40key%3Duuid%3A267b3f2d-9f74-4582-8034-7a3088733fb7%5D%2FgroupInfoFuel%5B%40ordinal%3D1%5D%2FpicFuelRecibeInterno","Descargar")</f>
        <v>Descargar</v>
      </c>
    </row>
    <row r="1829" spans="1:18" x14ac:dyDescent="0.3">
      <c r="A1829">
        <v>1561176</v>
      </c>
      <c r="B1829" t="s">
        <v>18</v>
      </c>
      <c r="C1829" t="s">
        <v>34</v>
      </c>
      <c r="D1829" t="s">
        <v>53</v>
      </c>
      <c r="E1829" t="s">
        <v>1861</v>
      </c>
      <c r="F1829" t="s">
        <v>22</v>
      </c>
      <c r="G1829" t="s">
        <v>23</v>
      </c>
      <c r="H1829" t="s">
        <v>37</v>
      </c>
      <c r="I1829" t="s">
        <v>25</v>
      </c>
      <c r="J1829" s="2">
        <v>45827.719097222223</v>
      </c>
      <c r="K1829">
        <v>19</v>
      </c>
      <c r="L1829">
        <v>6</v>
      </c>
      <c r="M1829">
        <v>2025</v>
      </c>
      <c r="N1829" t="s">
        <v>27</v>
      </c>
      <c r="O1829">
        <v>247.25</v>
      </c>
      <c r="P1829">
        <v>247.25</v>
      </c>
      <c r="R1829" s="3" t="str">
        <f>HYPERLINK("https://panda.att.com.mx/ODKServer/view/binaryData?blobKey=FSSuministroFluidosv3%5B%40version%3Dnull+and+%40uiVersion%3Dnull%5D%2Fdata%5B%40key%3Duuid%3Ad6ca0df3-e46c-4f01-9029-520646145b64%5D%2FgroupInfoFuel%5B%40ordinal%3D1%5D%2FpicFuelRecibeInterno","Descargar")</f>
        <v>Descargar</v>
      </c>
    </row>
    <row r="1830" spans="1:18" x14ac:dyDescent="0.3">
      <c r="A1830">
        <v>1561154</v>
      </c>
      <c r="B1830" t="s">
        <v>18</v>
      </c>
      <c r="C1830" t="s">
        <v>34</v>
      </c>
      <c r="D1830" t="s">
        <v>53</v>
      </c>
      <c r="E1830" t="s">
        <v>1862</v>
      </c>
      <c r="F1830" t="s">
        <v>22</v>
      </c>
      <c r="G1830" t="s">
        <v>23</v>
      </c>
      <c r="H1830" t="s">
        <v>37</v>
      </c>
      <c r="I1830" t="s">
        <v>25</v>
      </c>
      <c r="J1830" s="2">
        <v>45827.59238425926</v>
      </c>
      <c r="K1830">
        <v>19</v>
      </c>
      <c r="L1830">
        <v>6</v>
      </c>
      <c r="M1830">
        <v>2025</v>
      </c>
      <c r="N1830" t="s">
        <v>27</v>
      </c>
      <c r="O1830">
        <v>129.76</v>
      </c>
      <c r="P1830">
        <v>129.76</v>
      </c>
      <c r="R1830" s="3" t="str">
        <f>HYPERLINK("https://panda.att.com.mx/ODKServer/view/binaryData?blobKey=FSSuministroFluidosv3%5B%40version%3Dnull+and+%40uiVersion%3Dnull%5D%2Fdata%5B%40key%3Duuid%3Ae7a14854-d33d-4dce-bfc7-2fb7d08b1c76%5D%2FgroupInfoFuel%5B%40ordinal%3D1%5D%2FpicFuelRecibeInterno","Descargar")</f>
        <v>Descargar</v>
      </c>
    </row>
    <row r="1831" spans="1:18" x14ac:dyDescent="0.3">
      <c r="A1831">
        <v>1561151</v>
      </c>
      <c r="B1831" t="s">
        <v>18</v>
      </c>
      <c r="C1831" t="s">
        <v>34</v>
      </c>
      <c r="D1831" t="s">
        <v>53</v>
      </c>
      <c r="E1831" t="s">
        <v>1863</v>
      </c>
      <c r="F1831" t="s">
        <v>22</v>
      </c>
      <c r="G1831" t="s">
        <v>23</v>
      </c>
      <c r="H1831" t="s">
        <v>37</v>
      </c>
      <c r="I1831" t="s">
        <v>25</v>
      </c>
      <c r="J1831" s="2">
        <v>45827.505555555559</v>
      </c>
      <c r="K1831">
        <v>19</v>
      </c>
      <c r="L1831">
        <v>6</v>
      </c>
      <c r="M1831">
        <v>2025</v>
      </c>
      <c r="N1831" t="s">
        <v>27</v>
      </c>
      <c r="O1831">
        <v>150.59</v>
      </c>
      <c r="P1831">
        <v>150.59</v>
      </c>
      <c r="R1831" s="3" t="str">
        <f>HYPERLINK("https://panda.att.com.mx/ODKServer/view/binaryData?blobKey=FSSuministroFluidosv3%5B%40version%3Dnull+and+%40uiVersion%3Dnull%5D%2Fdata%5B%40key%3Duuid%3Ab6ecb3ce-1496-4ea8-acd6-01b19992d7d3%5D%2FgroupInfoFuel%5B%40ordinal%3D1%5D%2FpicFuelRecibeInterno","Descargar")</f>
        <v>Descargar</v>
      </c>
    </row>
    <row r="1832" spans="1:18" x14ac:dyDescent="0.3">
      <c r="A1832">
        <v>1561136</v>
      </c>
      <c r="B1832" t="s">
        <v>18</v>
      </c>
      <c r="C1832" t="s">
        <v>19</v>
      </c>
      <c r="D1832" t="s">
        <v>347</v>
      </c>
      <c r="E1832" t="s">
        <v>364</v>
      </c>
      <c r="F1832" t="s">
        <v>22</v>
      </c>
      <c r="G1832" t="s">
        <v>23</v>
      </c>
      <c r="H1832" t="s">
        <v>24</v>
      </c>
      <c r="I1832" t="s">
        <v>25</v>
      </c>
      <c r="J1832" s="2">
        <v>45820.548252314817</v>
      </c>
      <c r="K1832">
        <v>12</v>
      </c>
      <c r="L1832">
        <v>6</v>
      </c>
      <c r="M1832">
        <v>2025</v>
      </c>
      <c r="N1832" t="s">
        <v>27</v>
      </c>
      <c r="O1832">
        <v>300</v>
      </c>
      <c r="P1832">
        <v>300</v>
      </c>
      <c r="R1832" s="3" t="str">
        <f>HYPERLINK("https://panda.att.com.mx/ODKServer/view/binaryData?blobKey=FSSuministroFluidosv3%5B%40version%3Dnull+and+%40uiVersion%3Dnull%5D%2Fdata%5B%40key%3Duuid%3A977f7164-5ab9-4876-abfd-4c66a1d96280%5D%2FgroupInfoFuel%5B%40ordinal%3D1%5D%2FpicFuelRecibeInterno","Descargar")</f>
        <v>Descargar</v>
      </c>
    </row>
    <row r="1833" spans="1:18" x14ac:dyDescent="0.3">
      <c r="A1833">
        <v>1561104</v>
      </c>
      <c r="B1833" t="s">
        <v>18</v>
      </c>
      <c r="C1833" t="s">
        <v>68</v>
      </c>
      <c r="D1833" t="s">
        <v>116</v>
      </c>
      <c r="E1833" t="s">
        <v>1864</v>
      </c>
      <c r="F1833" t="s">
        <v>22</v>
      </c>
      <c r="G1833" t="s">
        <v>23</v>
      </c>
      <c r="H1833" t="s">
        <v>37</v>
      </c>
      <c r="I1833" t="s">
        <v>25</v>
      </c>
      <c r="J1833" s="2">
        <v>45826.627314814818</v>
      </c>
      <c r="K1833">
        <v>18</v>
      </c>
      <c r="L1833">
        <v>6</v>
      </c>
      <c r="M1833">
        <v>2025</v>
      </c>
      <c r="N1833" t="s">
        <v>27</v>
      </c>
      <c r="O1833">
        <v>350</v>
      </c>
      <c r="Q1833">
        <v>350</v>
      </c>
      <c r="R1833" s="3" t="str">
        <f>HYPERLINK("https://panda.att.com.mx/ODKServer/view/binaryData?blobKey=FSSuministroFluidosv3%5B%40version%3Dnull+and+%40uiVersion%3Dnull%5D%2Fdata%5B%40key%3Duuid%3A5e931fa5-ea3d-4de0-b4bc-60a6e70e966c%5D%2FgroupInfoFuel%5B%40ordinal%3D1%5D%2FpicFuelRecibeInterno","Descargar")</f>
        <v>Descargar</v>
      </c>
    </row>
    <row r="1834" spans="1:18" x14ac:dyDescent="0.3">
      <c r="A1834">
        <v>1561088</v>
      </c>
      <c r="B1834" t="s">
        <v>18</v>
      </c>
      <c r="C1834" t="s">
        <v>19</v>
      </c>
      <c r="D1834" t="s">
        <v>347</v>
      </c>
      <c r="E1834" t="s">
        <v>1679</v>
      </c>
      <c r="F1834" t="s">
        <v>22</v>
      </c>
      <c r="G1834" t="s">
        <v>23</v>
      </c>
      <c r="H1834" t="s">
        <v>24</v>
      </c>
      <c r="I1834" t="s">
        <v>25</v>
      </c>
      <c r="J1834" s="2">
        <v>45819.772905092592</v>
      </c>
      <c r="K1834">
        <v>11</v>
      </c>
      <c r="L1834">
        <v>6</v>
      </c>
      <c r="M1834">
        <v>2025</v>
      </c>
      <c r="N1834" t="s">
        <v>44</v>
      </c>
      <c r="O1834">
        <v>50</v>
      </c>
      <c r="P1834">
        <v>50</v>
      </c>
      <c r="R1834" s="3" t="str">
        <f>HYPERLINK("https://panda.att.com.mx/ODKServer/view/binaryData?blobKey=FSSuministroFluidosv3%5B%40version%3Dnull+and+%40uiVersion%3Dnull%5D%2Fdata%5B%40key%3Duuid%3A6ef5b050-09bb-4034-bc53-22e7de541125%5D%2FgroupInfoFuel%5B%40ordinal%3D1%5D%2FpicFuelRecibeInterno","Descargar")</f>
        <v>Descargar</v>
      </c>
    </row>
    <row r="1835" spans="1:18" x14ac:dyDescent="0.3">
      <c r="A1835">
        <v>1561080</v>
      </c>
      <c r="B1835" t="s">
        <v>18</v>
      </c>
      <c r="C1835" t="s">
        <v>34</v>
      </c>
      <c r="D1835" t="s">
        <v>53</v>
      </c>
      <c r="E1835" t="s">
        <v>1865</v>
      </c>
      <c r="F1835" t="s">
        <v>22</v>
      </c>
      <c r="G1835" t="s">
        <v>23</v>
      </c>
      <c r="H1835" t="s">
        <v>37</v>
      </c>
      <c r="I1835" t="s">
        <v>25</v>
      </c>
      <c r="J1835" s="2">
        <v>45827.635694444441</v>
      </c>
      <c r="K1835">
        <v>19</v>
      </c>
      <c r="L1835">
        <v>6</v>
      </c>
      <c r="M1835">
        <v>2025</v>
      </c>
      <c r="N1835" t="s">
        <v>27</v>
      </c>
      <c r="O1835">
        <v>199.88</v>
      </c>
      <c r="P1835">
        <v>199.88</v>
      </c>
      <c r="R1835" s="3" t="str">
        <f>HYPERLINK("https://panda.att.com.mx/ODKServer/view/binaryData?blobKey=FSSuministroFluidosv3%5B%40version%3Dnull+and+%40uiVersion%3Dnull%5D%2Fdata%5B%40key%3Duuid%3Aa7d81a3c-d0c1-4d04-bd98-eaa9bbc840dc%5D%2FgroupInfoFuel%5B%40ordinal%3D1%5D%2FpicFuelRecibeInterno","Descargar")</f>
        <v>Descargar</v>
      </c>
    </row>
    <row r="1836" spans="1:18" x14ac:dyDescent="0.3">
      <c r="A1836">
        <v>1561054</v>
      </c>
      <c r="B1836" t="s">
        <v>18</v>
      </c>
      <c r="C1836" t="s">
        <v>34</v>
      </c>
      <c r="D1836" t="s">
        <v>53</v>
      </c>
      <c r="E1836" t="s">
        <v>144</v>
      </c>
      <c r="F1836" t="s">
        <v>22</v>
      </c>
      <c r="G1836" t="s">
        <v>23</v>
      </c>
      <c r="H1836" t="s">
        <v>37</v>
      </c>
      <c r="I1836" t="s">
        <v>25</v>
      </c>
      <c r="J1836" s="2">
        <v>45827.660682870373</v>
      </c>
      <c r="K1836">
        <v>19</v>
      </c>
      <c r="L1836">
        <v>6</v>
      </c>
      <c r="M1836">
        <v>2025</v>
      </c>
      <c r="N1836" t="s">
        <v>27</v>
      </c>
      <c r="O1836">
        <v>350</v>
      </c>
      <c r="P1836">
        <v>350</v>
      </c>
      <c r="R1836" s="3" t="str">
        <f>HYPERLINK("https://panda.att.com.mx/ODKServer/view/binaryData?blobKey=FSSuministroFluidosv3%5B%40version%3Dnull+and+%40uiVersion%3Dnull%5D%2Fdata%5B%40key%3Duuid%3A833bfdf8-d182-4758-bf6c-986d84ccf14d%5D%2FgroupInfoFuel%5B%40ordinal%3D1%5D%2FpicFuelRecibeInterno","Descargar")</f>
        <v>Descargar</v>
      </c>
    </row>
    <row r="1837" spans="1:18" x14ac:dyDescent="0.3">
      <c r="A1837">
        <v>1561044</v>
      </c>
      <c r="B1837" t="s">
        <v>18</v>
      </c>
      <c r="C1837" t="s">
        <v>59</v>
      </c>
      <c r="D1837" t="s">
        <v>1242</v>
      </c>
      <c r="E1837" t="s">
        <v>1866</v>
      </c>
      <c r="F1837" t="s">
        <v>22</v>
      </c>
      <c r="G1837" t="s">
        <v>23</v>
      </c>
      <c r="H1837" t="s">
        <v>1816</v>
      </c>
      <c r="I1837" t="s">
        <v>25</v>
      </c>
      <c r="J1837" s="2">
        <v>45827.527777777781</v>
      </c>
      <c r="K1837">
        <v>19</v>
      </c>
      <c r="L1837">
        <v>6</v>
      </c>
      <c r="M1837">
        <v>2025</v>
      </c>
      <c r="N1837" t="s">
        <v>27</v>
      </c>
      <c r="O1837">
        <v>150</v>
      </c>
      <c r="P1837">
        <v>150</v>
      </c>
      <c r="R1837" s="3" t="str">
        <f>HYPERLINK("https://panda.att.com.mx/ODKServer/view/binaryData?blobKey=FSSuministroFluidosv3%5B%40version%3Dnull+and+%40uiVersion%3Dnull%5D%2Fdata%5B%40key%3Duuid%3A17591e06-ebec-44bb-b199-73e0423bc9a9%5D%2FgroupInfoFuel%5B%40ordinal%3D1%5D%2FpicFuelRecibeInterno","Descargar")</f>
        <v>Descargar</v>
      </c>
    </row>
    <row r="1838" spans="1:18" x14ac:dyDescent="0.3">
      <c r="A1838">
        <v>1561043</v>
      </c>
      <c r="B1838" t="s">
        <v>18</v>
      </c>
      <c r="C1838" t="s">
        <v>59</v>
      </c>
      <c r="D1838" t="s">
        <v>1242</v>
      </c>
      <c r="E1838" t="s">
        <v>1867</v>
      </c>
      <c r="F1838" t="s">
        <v>22</v>
      </c>
      <c r="G1838" t="s">
        <v>23</v>
      </c>
      <c r="H1838" t="s">
        <v>1816</v>
      </c>
      <c r="I1838" t="s">
        <v>25</v>
      </c>
      <c r="J1838" s="2">
        <v>45826.392928240741</v>
      </c>
      <c r="K1838">
        <v>18</v>
      </c>
      <c r="L1838">
        <v>6</v>
      </c>
      <c r="M1838">
        <v>2025</v>
      </c>
      <c r="N1838" t="s">
        <v>27</v>
      </c>
      <c r="O1838">
        <v>100</v>
      </c>
      <c r="Q1838">
        <v>100</v>
      </c>
      <c r="R1838" s="3" t="str">
        <f>HYPERLINK("https://panda.att.com.mx/ODKServer/view/binaryData?blobKey=FSSuministroFluidosv3%5B%40version%3Dnull+and+%40uiVersion%3Dnull%5D%2Fdata%5B%40key%3Duuid%3A8a72c7a1-16d0-401a-a23f-ba63ad86a4ee%5D%2FgroupInfoFuel%5B%40ordinal%3D1%5D%2FpicFuelRecibeInterno","Descargar")</f>
        <v>Descargar</v>
      </c>
    </row>
    <row r="1839" spans="1:18" x14ac:dyDescent="0.3">
      <c r="A1839">
        <v>1561042</v>
      </c>
      <c r="B1839" t="s">
        <v>18</v>
      </c>
      <c r="C1839" t="s">
        <v>59</v>
      </c>
      <c r="D1839" t="s">
        <v>1242</v>
      </c>
      <c r="E1839" t="s">
        <v>1868</v>
      </c>
      <c r="F1839" t="s">
        <v>22</v>
      </c>
      <c r="G1839" t="s">
        <v>23</v>
      </c>
      <c r="H1839" t="s">
        <v>1816</v>
      </c>
      <c r="I1839" t="s">
        <v>25</v>
      </c>
      <c r="J1839" s="2">
        <v>45826.308356481481</v>
      </c>
      <c r="K1839">
        <v>18</v>
      </c>
      <c r="L1839">
        <v>6</v>
      </c>
      <c r="M1839">
        <v>2025</v>
      </c>
      <c r="N1839" t="s">
        <v>27</v>
      </c>
      <c r="O1839">
        <v>250</v>
      </c>
      <c r="P1839">
        <v>250</v>
      </c>
      <c r="R1839" s="3" t="str">
        <f>HYPERLINK("https://panda.att.com.mx/ODKServer/view/binaryData?blobKey=FSSuministroFluidosv3%5B%40version%3Dnull+and+%40uiVersion%3Dnull%5D%2Fdata%5B%40key%3Duuid%3A987a86f8-3d64-4245-bb12-c7e2938ec78d%5D%2FgroupInfoFuel%5B%40ordinal%3D1%5D%2FpicFuelRecibeInterno","Descargar")</f>
        <v>Descargar</v>
      </c>
    </row>
    <row r="1840" spans="1:18" x14ac:dyDescent="0.3">
      <c r="A1840">
        <v>1561024</v>
      </c>
      <c r="B1840" t="s">
        <v>18</v>
      </c>
      <c r="C1840" t="s">
        <v>100</v>
      </c>
      <c r="D1840" t="s">
        <v>854</v>
      </c>
      <c r="E1840" t="s">
        <v>993</v>
      </c>
      <c r="F1840" t="s">
        <v>22</v>
      </c>
      <c r="G1840" t="s">
        <v>83</v>
      </c>
      <c r="H1840" t="s">
        <v>58</v>
      </c>
      <c r="I1840" t="s">
        <v>25</v>
      </c>
      <c r="J1840" s="2">
        <v>45827.519293981481</v>
      </c>
      <c r="K1840">
        <v>19</v>
      </c>
      <c r="L1840">
        <v>6</v>
      </c>
      <c r="M1840">
        <v>2025</v>
      </c>
      <c r="N1840" t="s">
        <v>27</v>
      </c>
      <c r="O1840">
        <v>200</v>
      </c>
      <c r="P1840">
        <v>200</v>
      </c>
      <c r="R1840" s="3" t="str">
        <f>HYPERLINK("https://panda.att.com.mx/ODKServer/view/binaryData?blobKey=FSSuministroFluidosv3%5B%40version%3Dnull+and+%40uiVersion%3Dnull%5D%2Fdata%5B%40key%3Duuid%3A1fbf9d4d-987b-4705-ab08-2a13e3402d80%5D%2FgroupInfoFuel%5B%40ordinal%3D1%5D%2FpicFuelRecibeInterno","Descargar")</f>
        <v>Descargar</v>
      </c>
    </row>
    <row r="1841" spans="1:18" x14ac:dyDescent="0.3">
      <c r="A1841">
        <v>1560867</v>
      </c>
      <c r="B1841" t="s">
        <v>18</v>
      </c>
      <c r="C1841" t="s">
        <v>28</v>
      </c>
      <c r="D1841" t="s">
        <v>66</v>
      </c>
      <c r="E1841" t="s">
        <v>1024</v>
      </c>
      <c r="F1841" t="s">
        <v>22</v>
      </c>
      <c r="G1841" t="s">
        <v>23</v>
      </c>
      <c r="H1841" t="s">
        <v>24</v>
      </c>
      <c r="I1841" t="s">
        <v>25</v>
      </c>
      <c r="J1841" s="2">
        <v>45827.359270833331</v>
      </c>
      <c r="K1841">
        <v>19</v>
      </c>
      <c r="L1841">
        <v>6</v>
      </c>
      <c r="M1841">
        <v>2025</v>
      </c>
      <c r="N1841" t="s">
        <v>27</v>
      </c>
      <c r="O1841">
        <v>100</v>
      </c>
      <c r="P1841">
        <v>100</v>
      </c>
      <c r="R1841" s="3" t="str">
        <f>HYPERLINK("https://panda.att.com.mx/ODKServer/view/binaryData?blobKey=FSSuministroFluidosv3%5B%40version%3Dnull+and+%40uiVersion%3Dnull%5D%2Fdata%5B%40key%3Duuid%3Ab1361011-76c3-4012-a41b-746e82ad96ad%5D%2FgroupInfoFuel%5B%40ordinal%3D1%5D%2FpicFuelRecibeInterno","Descargar")</f>
        <v>Descargar</v>
      </c>
    </row>
    <row r="1842" spans="1:18" x14ac:dyDescent="0.3">
      <c r="A1842">
        <v>1560849</v>
      </c>
      <c r="B1842" t="s">
        <v>18</v>
      </c>
      <c r="C1842" t="s">
        <v>34</v>
      </c>
      <c r="D1842" t="s">
        <v>292</v>
      </c>
      <c r="E1842" t="s">
        <v>1869</v>
      </c>
      <c r="G1842" t="s">
        <v>23</v>
      </c>
      <c r="H1842" t="s">
        <v>37</v>
      </c>
      <c r="I1842" t="s">
        <v>25</v>
      </c>
      <c r="J1842" s="2">
        <v>45827.519074074073</v>
      </c>
      <c r="K1842">
        <v>19</v>
      </c>
      <c r="L1842">
        <v>6</v>
      </c>
      <c r="M1842">
        <v>2025</v>
      </c>
      <c r="N1842" t="s">
        <v>27</v>
      </c>
      <c r="O1842">
        <v>450</v>
      </c>
      <c r="Q1842">
        <v>450</v>
      </c>
      <c r="R1842" s="3" t="str">
        <f>HYPERLINK("https://panda.att.com.mx/ODKServer/view/binaryData?blobKey=FSSuministroFluidosv3%5B%40version%3Dnull+and+%40uiVersion%3Dnull%5D%2Fdata%5B%40key%3Duuid%3A9eb54272-7d5f-464a-bb16-5254882ebdc5%5D%2FgroupInfoFuel%5B%40ordinal%3D1%5D%2FpicFuelRecibeInterno","Descargar")</f>
        <v>Descargar</v>
      </c>
    </row>
    <row r="1843" spans="1:18" x14ac:dyDescent="0.3">
      <c r="A1843">
        <v>1560798</v>
      </c>
      <c r="B1843" t="s">
        <v>18</v>
      </c>
      <c r="C1843" t="s">
        <v>55</v>
      </c>
      <c r="D1843" t="s">
        <v>56</v>
      </c>
      <c r="E1843" t="s">
        <v>1842</v>
      </c>
      <c r="F1843" t="s">
        <v>22</v>
      </c>
      <c r="G1843" t="s">
        <v>23</v>
      </c>
      <c r="H1843" t="s">
        <v>58</v>
      </c>
      <c r="I1843" t="s">
        <v>25</v>
      </c>
      <c r="J1843" s="2">
        <v>45825.425057870372</v>
      </c>
      <c r="K1843">
        <v>17</v>
      </c>
      <c r="L1843">
        <v>6</v>
      </c>
      <c r="M1843">
        <v>2025</v>
      </c>
      <c r="N1843" t="s">
        <v>27</v>
      </c>
      <c r="O1843">
        <v>250</v>
      </c>
      <c r="P1843">
        <v>250</v>
      </c>
      <c r="R1843" s="3" t="str">
        <f>HYPERLINK("https://panda.att.com.mx/ODKServer/view/binaryData?blobKey=FSSuministroFluidosv3%5B%40version%3Dnull+and+%40uiVersion%3Dnull%5D%2Fdata%5B%40key%3Duuid%3A9eb7ddbb-1b66-445e-9ee5-3b8cd088bfa5%5D%2FgroupInfoFuel%5B%40ordinal%3D1%5D%2FpicFuelRecibeInterno","Descargar")</f>
        <v>Descargar</v>
      </c>
    </row>
    <row r="1844" spans="1:18" x14ac:dyDescent="0.3">
      <c r="A1844">
        <v>1560778</v>
      </c>
      <c r="B1844" t="s">
        <v>18</v>
      </c>
      <c r="C1844" t="s">
        <v>55</v>
      </c>
      <c r="D1844" t="s">
        <v>56</v>
      </c>
      <c r="E1844" t="s">
        <v>1555</v>
      </c>
      <c r="F1844" t="s">
        <v>22</v>
      </c>
      <c r="G1844" t="s">
        <v>23</v>
      </c>
      <c r="H1844" t="s">
        <v>58</v>
      </c>
      <c r="I1844" t="s">
        <v>25</v>
      </c>
      <c r="J1844" s="2">
        <v>45825.348217592589</v>
      </c>
      <c r="K1844">
        <v>17</v>
      </c>
      <c r="L1844">
        <v>6</v>
      </c>
      <c r="M1844">
        <v>2025</v>
      </c>
      <c r="N1844" t="s">
        <v>27</v>
      </c>
      <c r="O1844">
        <v>300</v>
      </c>
      <c r="P1844">
        <v>300</v>
      </c>
      <c r="R1844" s="3" t="str">
        <f>HYPERLINK("https://panda.att.com.mx/ODKServer/view/binaryData?blobKey=FSSuministroFluidosv3%5B%40version%3Dnull+and+%40uiVersion%3Dnull%5D%2Fdata%5B%40key%3Duuid%3Ae8ad16e3-3c7a-4a5a-8d91-304965790243%5D%2FgroupInfoFuel%5B%40ordinal%3D1%5D%2FpicFuelRecibeInterno","Descargar")</f>
        <v>Descargar</v>
      </c>
    </row>
    <row r="1845" spans="1:18" x14ac:dyDescent="0.3">
      <c r="A1845">
        <v>1560670</v>
      </c>
      <c r="B1845" t="s">
        <v>18</v>
      </c>
      <c r="C1845" t="s">
        <v>55</v>
      </c>
      <c r="D1845" t="s">
        <v>1870</v>
      </c>
      <c r="E1845" t="s">
        <v>1871</v>
      </c>
      <c r="F1845" t="s">
        <v>22</v>
      </c>
      <c r="G1845" t="s">
        <v>23</v>
      </c>
      <c r="H1845" t="s">
        <v>58</v>
      </c>
      <c r="I1845" t="s">
        <v>25</v>
      </c>
      <c r="J1845" s="2">
        <v>45825.429988425924</v>
      </c>
      <c r="K1845">
        <v>17</v>
      </c>
      <c r="L1845">
        <v>6</v>
      </c>
      <c r="M1845">
        <v>2025</v>
      </c>
      <c r="N1845" t="s">
        <v>27</v>
      </c>
      <c r="O1845">
        <v>100</v>
      </c>
      <c r="P1845">
        <v>100</v>
      </c>
      <c r="R1845" s="3" t="str">
        <f>HYPERLINK("https://panda.att.com.mx/ODKServer/view/binaryData?blobKey=FSSuministroFluidosv3%5B%40version%3Dnull+and+%40uiVersion%3Dnull%5D%2Fdata%5B%40key%3Duuid%3A4c486902-9a4f-4476-a5b9-dab18c628f9e%5D%2FgroupInfoFuel%5B%40ordinal%3D1%5D%2FpicFuelRecibeInterno","Descargar")</f>
        <v>Descargar</v>
      </c>
    </row>
    <row r="1846" spans="1:18" x14ac:dyDescent="0.3">
      <c r="A1846">
        <v>1560669</v>
      </c>
      <c r="B1846" t="s">
        <v>18</v>
      </c>
      <c r="C1846" t="s">
        <v>55</v>
      </c>
      <c r="D1846" t="s">
        <v>210</v>
      </c>
      <c r="E1846" t="s">
        <v>1872</v>
      </c>
      <c r="F1846" t="s">
        <v>22</v>
      </c>
      <c r="G1846" t="s">
        <v>23</v>
      </c>
      <c r="H1846" t="s">
        <v>58</v>
      </c>
      <c r="I1846" t="s">
        <v>25</v>
      </c>
      <c r="J1846" s="2">
        <v>45825.567754629628</v>
      </c>
      <c r="K1846">
        <v>17</v>
      </c>
      <c r="L1846">
        <v>6</v>
      </c>
      <c r="M1846">
        <v>2025</v>
      </c>
      <c r="N1846" t="s">
        <v>27</v>
      </c>
      <c r="O1846">
        <v>100</v>
      </c>
      <c r="P1846">
        <v>100</v>
      </c>
      <c r="R1846" s="3" t="str">
        <f>HYPERLINK("https://panda.att.com.mx/ODKServer/view/binaryData?blobKey=FSSuministroFluidosv3%5B%40version%3Dnull+and+%40uiVersion%3Dnull%5D%2Fdata%5B%40key%3Duuid%3Ab975299e-3a5c-490a-8a14-2487cd0e4e94%5D%2FgroupInfoFuel%5B%40ordinal%3D1%5D%2FpicFuelRecibeInterno","Descargar")</f>
        <v>Descargar</v>
      </c>
    </row>
    <row r="1847" spans="1:18" x14ac:dyDescent="0.3">
      <c r="A1847">
        <v>1560668</v>
      </c>
      <c r="B1847" t="s">
        <v>18</v>
      </c>
      <c r="C1847" t="s">
        <v>55</v>
      </c>
      <c r="D1847" t="s">
        <v>210</v>
      </c>
      <c r="E1847" t="s">
        <v>1873</v>
      </c>
      <c r="F1847" t="s">
        <v>22</v>
      </c>
      <c r="G1847" t="s">
        <v>23</v>
      </c>
      <c r="H1847" t="s">
        <v>58</v>
      </c>
      <c r="I1847" t="s">
        <v>25</v>
      </c>
      <c r="J1847" s="2">
        <v>45825.633414351847</v>
      </c>
      <c r="K1847">
        <v>17</v>
      </c>
      <c r="L1847">
        <v>6</v>
      </c>
      <c r="M1847">
        <v>2025</v>
      </c>
      <c r="N1847" t="s">
        <v>27</v>
      </c>
      <c r="O1847">
        <v>100</v>
      </c>
      <c r="P1847">
        <v>100</v>
      </c>
      <c r="R1847" s="3" t="str">
        <f>HYPERLINK("https://panda.att.com.mx/ODKServer/view/binaryData?blobKey=FSSuministroFluidosv3%5B%40version%3Dnull+and+%40uiVersion%3Dnull%5D%2Fdata%5B%40key%3Duuid%3A28ad3ea2-46ac-4ee9-ad89-b8ca886ad277%5D%2FgroupInfoFuel%5B%40ordinal%3D1%5D%2FpicFuelRecibeInterno","Descargar")</f>
        <v>Descargar</v>
      </c>
    </row>
    <row r="1848" spans="1:18" x14ac:dyDescent="0.3">
      <c r="A1848">
        <v>1560667</v>
      </c>
      <c r="B1848" t="s">
        <v>18</v>
      </c>
      <c r="C1848" t="s">
        <v>55</v>
      </c>
      <c r="D1848" t="s">
        <v>210</v>
      </c>
      <c r="E1848" t="s">
        <v>1874</v>
      </c>
      <c r="F1848" t="s">
        <v>22</v>
      </c>
      <c r="G1848" t="s">
        <v>23</v>
      </c>
      <c r="H1848" t="s">
        <v>58</v>
      </c>
      <c r="I1848" t="s">
        <v>25</v>
      </c>
      <c r="J1848" s="2">
        <v>45825.651701388888</v>
      </c>
      <c r="K1848">
        <v>17</v>
      </c>
      <c r="L1848">
        <v>6</v>
      </c>
      <c r="M1848">
        <v>2025</v>
      </c>
      <c r="N1848" t="s">
        <v>27</v>
      </c>
      <c r="O1848">
        <v>100</v>
      </c>
      <c r="P1848">
        <v>100</v>
      </c>
      <c r="R1848" s="3" t="str">
        <f>HYPERLINK("https://panda.att.com.mx/ODKServer/view/binaryData?blobKey=FSSuministroFluidosv3%5B%40version%3Dnull+and+%40uiVersion%3Dnull%5D%2Fdata%5B%40key%3Duuid%3Ae06e4451-0454-4e49-b19b-c68f29c1e659%5D%2FgroupInfoFuel%5B%40ordinal%3D1%5D%2FpicFuelRecibeInterno","Descargar")</f>
        <v>Descargar</v>
      </c>
    </row>
    <row r="1849" spans="1:18" x14ac:dyDescent="0.3">
      <c r="A1849">
        <v>1560666</v>
      </c>
      <c r="B1849" t="s">
        <v>18</v>
      </c>
      <c r="C1849" t="s">
        <v>55</v>
      </c>
      <c r="D1849" t="s">
        <v>210</v>
      </c>
      <c r="E1849" t="s">
        <v>1875</v>
      </c>
      <c r="F1849" t="s">
        <v>22</v>
      </c>
      <c r="G1849" t="s">
        <v>23</v>
      </c>
      <c r="H1849" t="s">
        <v>58</v>
      </c>
      <c r="I1849" t="s">
        <v>25</v>
      </c>
      <c r="J1849" s="2">
        <v>45825.652060185188</v>
      </c>
      <c r="K1849">
        <v>17</v>
      </c>
      <c r="L1849">
        <v>6</v>
      </c>
      <c r="M1849">
        <v>2025</v>
      </c>
      <c r="N1849" t="s">
        <v>27</v>
      </c>
      <c r="O1849">
        <v>100</v>
      </c>
      <c r="P1849">
        <v>100</v>
      </c>
      <c r="R1849" s="3" t="str">
        <f>HYPERLINK("https://panda.att.com.mx/ODKServer/view/binaryData?blobKey=FSSuministroFluidosv3%5B%40version%3Dnull+and+%40uiVersion%3Dnull%5D%2Fdata%5B%40key%3Duuid%3A7520c956-7457-4943-aecb-321d7f0be825%5D%2FgroupInfoFuel%5B%40ordinal%3D1%5D%2FpicFuelRecibeInterno","Descargar")</f>
        <v>Descargar</v>
      </c>
    </row>
    <row r="1850" spans="1:18" x14ac:dyDescent="0.3">
      <c r="A1850">
        <v>1560658</v>
      </c>
      <c r="B1850" t="s">
        <v>18</v>
      </c>
      <c r="C1850" t="s">
        <v>28</v>
      </c>
      <c r="D1850" t="s">
        <v>242</v>
      </c>
      <c r="E1850" t="s">
        <v>1876</v>
      </c>
      <c r="F1850" t="s">
        <v>22</v>
      </c>
      <c r="G1850" t="s">
        <v>23</v>
      </c>
      <c r="H1850" t="s">
        <v>24</v>
      </c>
      <c r="I1850" t="s">
        <v>25</v>
      </c>
      <c r="J1850" s="2">
        <v>45826.597731481481</v>
      </c>
      <c r="K1850">
        <v>18</v>
      </c>
      <c r="L1850">
        <v>6</v>
      </c>
      <c r="M1850">
        <v>2025</v>
      </c>
      <c r="N1850" t="s">
        <v>27</v>
      </c>
      <c r="O1850">
        <v>200</v>
      </c>
      <c r="Q1850">
        <v>200</v>
      </c>
      <c r="R1850" s="3" t="str">
        <f>HYPERLINK("https://panda.att.com.mx/ODKServer/view/binaryData?blobKey=FSSuministroFluidosv3%5B%40version%3Dnull+and+%40uiVersion%3Dnull%5D%2Fdata%5B%40key%3Duuid%3A0ea75076-0fe6-4316-9639-53ce097af5c2%5D%2FgroupInfoFuel%5B%40ordinal%3D1%5D%2FpicFuelRecibeInterno","Descargar")</f>
        <v>Descargar</v>
      </c>
    </row>
    <row r="1851" spans="1:18" x14ac:dyDescent="0.3">
      <c r="A1851">
        <v>1560635</v>
      </c>
      <c r="B1851" t="s">
        <v>18</v>
      </c>
      <c r="C1851" t="s">
        <v>34</v>
      </c>
      <c r="D1851" t="s">
        <v>51</v>
      </c>
      <c r="E1851" t="s">
        <v>1877</v>
      </c>
      <c r="F1851" t="s">
        <v>22</v>
      </c>
      <c r="G1851" t="s">
        <v>23</v>
      </c>
      <c r="H1851" t="s">
        <v>24</v>
      </c>
      <c r="I1851" t="s">
        <v>25</v>
      </c>
      <c r="J1851" s="2">
        <v>45826.365752314807</v>
      </c>
      <c r="K1851">
        <v>18</v>
      </c>
      <c r="L1851">
        <v>6</v>
      </c>
      <c r="M1851">
        <v>2025</v>
      </c>
      <c r="N1851" t="s">
        <v>27</v>
      </c>
      <c r="O1851">
        <v>200</v>
      </c>
      <c r="P1851">
        <v>200</v>
      </c>
      <c r="R1851" s="3" t="str">
        <f>HYPERLINK("https://panda.att.com.mx/ODKServer/view/binaryData?blobKey=FSSuministroFluidosv3%5B%40version%3Dnull+and+%40uiVersion%3Dnull%5D%2Fdata%5B%40key%3Duuid%3Ab2c4ae4b-cfe8-42bc-8676-d39759e05fcc%5D%2FgroupInfoFuel%5B%40ordinal%3D1%5D%2FpicFuelRecibeInterno","Descargar")</f>
        <v>Descargar</v>
      </c>
    </row>
    <row r="1852" spans="1:18" x14ac:dyDescent="0.3">
      <c r="A1852">
        <v>1561914</v>
      </c>
      <c r="B1852" t="s">
        <v>18</v>
      </c>
      <c r="C1852" t="s">
        <v>19</v>
      </c>
      <c r="D1852" t="s">
        <v>156</v>
      </c>
      <c r="E1852" t="s">
        <v>1878</v>
      </c>
      <c r="F1852" t="s">
        <v>22</v>
      </c>
      <c r="G1852" t="s">
        <v>23</v>
      </c>
      <c r="H1852" t="s">
        <v>24</v>
      </c>
      <c r="I1852" t="s">
        <v>25</v>
      </c>
      <c r="J1852" s="2">
        <v>45828.003287037027</v>
      </c>
      <c r="K1852">
        <v>20</v>
      </c>
      <c r="L1852">
        <v>6</v>
      </c>
      <c r="M1852">
        <v>2025</v>
      </c>
      <c r="N1852" t="s">
        <v>44</v>
      </c>
      <c r="O1852">
        <v>53</v>
      </c>
      <c r="P1852">
        <v>53</v>
      </c>
      <c r="R1852" s="3" t="str">
        <f>HYPERLINK("https://panda.att.com.mx/ODKServer/view/binaryData?blobKey=FSSuministroFluidosv3%5B%40version%3Dnull+and+%40uiVersion%3Dnull%5D%2Fdata%5B%40key%3Duuid%3A5375231a-0b80-441f-ac24-dca7ce059334%5D%2FgroupInfoFuel%5B%40ordinal%3D1%5D%2FpicFuelRecibeInterno","Descargar")</f>
        <v>Descargar</v>
      </c>
    </row>
    <row r="1853" spans="1:18" x14ac:dyDescent="0.3">
      <c r="A1853">
        <v>1561909</v>
      </c>
      <c r="B1853" t="s">
        <v>18</v>
      </c>
      <c r="C1853" t="s">
        <v>183</v>
      </c>
      <c r="D1853" t="s">
        <v>305</v>
      </c>
      <c r="E1853" t="s">
        <v>1879</v>
      </c>
      <c r="F1853" t="s">
        <v>22</v>
      </c>
      <c r="G1853" t="s">
        <v>23</v>
      </c>
      <c r="H1853" t="s">
        <v>24</v>
      </c>
      <c r="I1853" t="s">
        <v>25</v>
      </c>
      <c r="J1853" s="2">
        <v>45825.387743055559</v>
      </c>
      <c r="K1853">
        <v>17</v>
      </c>
      <c r="L1853">
        <v>6</v>
      </c>
      <c r="M1853">
        <v>2025</v>
      </c>
      <c r="N1853" t="s">
        <v>44</v>
      </c>
      <c r="O1853">
        <v>54</v>
      </c>
      <c r="P1853">
        <v>54</v>
      </c>
      <c r="R1853" s="3" t="str">
        <f>HYPERLINK("https://panda.att.com.mx/ODKServer/view/binaryData?blobKey=FSSuministroFluidosv3%5B%40version%3Dnull+and+%40uiVersion%3Dnull%5D%2Fdata%5B%40key%3Duuid%3Ad9d37a57-2c18-4f80-98a8-5c821692fb84%5D%2FgroupInfoFuel%5B%40ordinal%3D1%5D%2FpicFuelRecibeInterno","Descargar")</f>
        <v>Descargar</v>
      </c>
    </row>
    <row r="1854" spans="1:18" x14ac:dyDescent="0.3">
      <c r="A1854">
        <v>1561895</v>
      </c>
      <c r="B1854" t="s">
        <v>18</v>
      </c>
      <c r="C1854" t="s">
        <v>150</v>
      </c>
      <c r="D1854" t="s">
        <v>230</v>
      </c>
      <c r="E1854" t="s">
        <v>1880</v>
      </c>
      <c r="F1854" t="s">
        <v>22</v>
      </c>
      <c r="G1854" t="s">
        <v>23</v>
      </c>
      <c r="H1854" t="s">
        <v>58</v>
      </c>
      <c r="I1854" t="s">
        <v>25</v>
      </c>
      <c r="J1854" s="2">
        <v>45828.903460648151</v>
      </c>
      <c r="K1854">
        <v>20</v>
      </c>
      <c r="L1854">
        <v>6</v>
      </c>
      <c r="M1854">
        <v>2025</v>
      </c>
      <c r="N1854" t="s">
        <v>27</v>
      </c>
      <c r="O1854">
        <v>180</v>
      </c>
      <c r="P1854">
        <v>180</v>
      </c>
      <c r="R1854" s="3" t="str">
        <f>HYPERLINK("https://panda.att.com.mx/ODKServer/view/binaryData?blobKey=FSSuministroFluidosv3%5B%40version%3Dnull+and+%40uiVersion%3Dnull%5D%2Fdata%5B%40key%3Duuid%3A62cc22ee-6499-4dda-b158-747c4390d2fe%5D%2FgroupInfoFuel%5B%40ordinal%3D1%5D%2FpicFuelRecibeInterno","Descargar")</f>
        <v>Descargar</v>
      </c>
    </row>
    <row r="1855" spans="1:18" x14ac:dyDescent="0.3">
      <c r="A1855">
        <v>1561884</v>
      </c>
      <c r="B1855" t="s">
        <v>18</v>
      </c>
      <c r="C1855" t="s">
        <v>55</v>
      </c>
      <c r="D1855" t="s">
        <v>128</v>
      </c>
      <c r="E1855" t="s">
        <v>1881</v>
      </c>
      <c r="F1855" t="s">
        <v>22</v>
      </c>
      <c r="G1855" t="s">
        <v>1648</v>
      </c>
      <c r="H1855" t="s">
        <v>58</v>
      </c>
      <c r="I1855" t="s">
        <v>25</v>
      </c>
      <c r="J1855" s="2">
        <v>45828.432835648149</v>
      </c>
      <c r="K1855">
        <v>20</v>
      </c>
      <c r="L1855">
        <v>6</v>
      </c>
      <c r="M1855">
        <v>2025</v>
      </c>
      <c r="N1855" t="s">
        <v>27</v>
      </c>
      <c r="O1855">
        <v>300</v>
      </c>
      <c r="P1855">
        <v>300</v>
      </c>
      <c r="R1855" s="3" t="str">
        <f>HYPERLINK("https://panda.att.com.mx/ODKServer/view/binaryData?blobKey=FSSuministroFluidosv3%5B%40version%3Dnull+and+%40uiVersion%3Dnull%5D%2Fdata%5B%40key%3Duuid%3Acade9d3a-4197-461a-bfbf-c05d84512fba%5D%2FgroupInfoFuel%5B%40ordinal%3D1%5D%2FpicFuelRecibeInterno","Descargar")</f>
        <v>Descargar</v>
      </c>
    </row>
    <row r="1856" spans="1:18" x14ac:dyDescent="0.3">
      <c r="A1856">
        <v>1561877</v>
      </c>
      <c r="B1856" t="s">
        <v>18</v>
      </c>
      <c r="C1856" t="s">
        <v>183</v>
      </c>
      <c r="D1856" t="s">
        <v>305</v>
      </c>
      <c r="E1856" t="s">
        <v>1882</v>
      </c>
      <c r="F1856" t="s">
        <v>22</v>
      </c>
      <c r="G1856" t="s">
        <v>23</v>
      </c>
      <c r="H1856" t="s">
        <v>24</v>
      </c>
      <c r="I1856" t="s">
        <v>25</v>
      </c>
      <c r="J1856" s="2">
        <v>45826.827638888892</v>
      </c>
      <c r="K1856">
        <v>18</v>
      </c>
      <c r="L1856">
        <v>6</v>
      </c>
      <c r="M1856">
        <v>2025</v>
      </c>
      <c r="N1856" t="s">
        <v>44</v>
      </c>
      <c r="O1856">
        <v>54</v>
      </c>
      <c r="P1856">
        <v>54</v>
      </c>
      <c r="R1856" s="3" t="str">
        <f>HYPERLINK("https://panda.att.com.mx/ODKServer/view/binaryData?blobKey=FSSuministroFluidosv3%5B%40version%3Dnull+and+%40uiVersion%3Dnull%5D%2Fdata%5B%40key%3Duuid%3A9312a1a0-85ca-4800-a5b9-7d4446413fb7%5D%2FgroupInfoFuel%5B%40ordinal%3D1%5D%2FpicFuelRecibeInterno","Descargar")</f>
        <v>Descargar</v>
      </c>
    </row>
    <row r="1857" spans="1:18" x14ac:dyDescent="0.3">
      <c r="A1857">
        <v>1561876</v>
      </c>
      <c r="B1857" t="s">
        <v>18</v>
      </c>
      <c r="C1857" t="s">
        <v>34</v>
      </c>
      <c r="D1857" t="s">
        <v>187</v>
      </c>
      <c r="E1857" t="s">
        <v>1883</v>
      </c>
      <c r="F1857" t="s">
        <v>22</v>
      </c>
      <c r="G1857" t="s">
        <v>23</v>
      </c>
      <c r="H1857" t="s">
        <v>24</v>
      </c>
      <c r="I1857" t="s">
        <v>25</v>
      </c>
      <c r="J1857" s="2">
        <v>45826.610914351862</v>
      </c>
      <c r="K1857">
        <v>18</v>
      </c>
      <c r="L1857">
        <v>6</v>
      </c>
      <c r="M1857">
        <v>2025</v>
      </c>
      <c r="N1857" t="s">
        <v>44</v>
      </c>
      <c r="O1857">
        <v>30</v>
      </c>
      <c r="Q1857">
        <v>30</v>
      </c>
      <c r="R1857" s="3" t="str">
        <f>HYPERLINK("https://panda.att.com.mx/ODKServer/view/binaryData?blobKey=FSSuministroFluidosv3%5B%40version%3Dnull+and+%40uiVersion%3Dnull%5D%2Fdata%5B%40key%3Duuid%3A3e333956-e34f-498b-bdee-568cf6bc76f7%5D%2FgroupInfoFuel%5B%40ordinal%3D1%5D%2FpicFuelRecibeInterno","Descargar")</f>
        <v>Descargar</v>
      </c>
    </row>
    <row r="1858" spans="1:18" x14ac:dyDescent="0.3">
      <c r="A1858">
        <v>1561875</v>
      </c>
      <c r="B1858" t="s">
        <v>18</v>
      </c>
      <c r="C1858" t="s">
        <v>19</v>
      </c>
      <c r="D1858" t="s">
        <v>45</v>
      </c>
      <c r="E1858" t="s">
        <v>1562</v>
      </c>
      <c r="F1858" t="s">
        <v>22</v>
      </c>
      <c r="G1858" t="s">
        <v>23</v>
      </c>
      <c r="H1858" t="s">
        <v>24</v>
      </c>
      <c r="I1858" t="s">
        <v>25</v>
      </c>
      <c r="J1858" s="2">
        <v>45828.44740740741</v>
      </c>
      <c r="K1858">
        <v>20</v>
      </c>
      <c r="L1858">
        <v>6</v>
      </c>
      <c r="M1858">
        <v>2025</v>
      </c>
      <c r="N1858" t="s">
        <v>27</v>
      </c>
      <c r="O1858">
        <v>200</v>
      </c>
      <c r="P1858">
        <v>200</v>
      </c>
      <c r="R1858" s="3" t="str">
        <f>HYPERLINK("https://panda.att.com.mx/ODKServer/view/binaryData?blobKey=FSSuministroFluidosv3%5B%40version%3Dnull+and+%40uiVersion%3Dnull%5D%2Fdata%5B%40key%3Duuid%3Aee7ad3b7-0f15-4c26-9b12-0491fb0bc077%5D%2FgroupInfoFuel%5B%40ordinal%3D1%5D%2FpicFuelRecibeInterno","Descargar")</f>
        <v>Descargar</v>
      </c>
    </row>
    <row r="1859" spans="1:18" x14ac:dyDescent="0.3">
      <c r="A1859">
        <v>1561870</v>
      </c>
      <c r="B1859" t="s">
        <v>18</v>
      </c>
      <c r="C1859" t="s">
        <v>19</v>
      </c>
      <c r="D1859" t="s">
        <v>45</v>
      </c>
      <c r="E1859" t="s">
        <v>905</v>
      </c>
      <c r="F1859" t="s">
        <v>22</v>
      </c>
      <c r="G1859" t="s">
        <v>23</v>
      </c>
      <c r="H1859" t="s">
        <v>24</v>
      </c>
      <c r="I1859" t="s">
        <v>25</v>
      </c>
      <c r="J1859" s="2">
        <v>45824.745138888888</v>
      </c>
      <c r="K1859">
        <v>16</v>
      </c>
      <c r="L1859">
        <v>6</v>
      </c>
      <c r="M1859">
        <v>2025</v>
      </c>
      <c r="N1859" t="s">
        <v>27</v>
      </c>
      <c r="O1859">
        <v>200</v>
      </c>
      <c r="P1859">
        <v>200</v>
      </c>
      <c r="R1859" s="3" t="str">
        <f>HYPERLINK("https://panda.att.com.mx/ODKServer/view/binaryData?blobKey=FSSuministroFluidosv3%5B%40version%3Dnull+and+%40uiVersion%3Dnull%5D%2Fdata%5B%40key%3Duuid%3Acdbeeb30-261b-4c74-9035-c3843aec737c%5D%2FgroupInfoFuel%5B%40ordinal%3D1%5D%2FpicFuelRecibeInterno","Descargar")</f>
        <v>Descargar</v>
      </c>
    </row>
    <row r="1860" spans="1:18" x14ac:dyDescent="0.3">
      <c r="A1860">
        <v>1561869</v>
      </c>
      <c r="B1860" t="s">
        <v>18</v>
      </c>
      <c r="C1860" t="s">
        <v>19</v>
      </c>
      <c r="D1860" t="s">
        <v>45</v>
      </c>
      <c r="E1860" t="s">
        <v>1069</v>
      </c>
      <c r="F1860" t="s">
        <v>22</v>
      </c>
      <c r="G1860" t="s">
        <v>23</v>
      </c>
      <c r="H1860" t="s">
        <v>24</v>
      </c>
      <c r="I1860" t="s">
        <v>25</v>
      </c>
      <c r="J1860" s="2">
        <v>45825.613229166673</v>
      </c>
      <c r="K1860">
        <v>17</v>
      </c>
      <c r="L1860">
        <v>6</v>
      </c>
      <c r="M1860">
        <v>2025</v>
      </c>
      <c r="N1860" t="s">
        <v>27</v>
      </c>
      <c r="O1860">
        <v>200</v>
      </c>
      <c r="P1860">
        <v>200</v>
      </c>
      <c r="R1860" s="3" t="str">
        <f>HYPERLINK("https://panda.att.com.mx/ODKServer/view/binaryData?blobKey=FSSuministroFluidosv3%5B%40version%3Dnull+and+%40uiVersion%3Dnull%5D%2Fdata%5B%40key%3Duuid%3A830a2881-b526-432c-b2a2-10ba932ef34f%5D%2FgroupInfoFuel%5B%40ordinal%3D1%5D%2FpicFuelRecibeInterno","Descargar")</f>
        <v>Descargar</v>
      </c>
    </row>
    <row r="1861" spans="1:18" x14ac:dyDescent="0.3">
      <c r="A1861">
        <v>1561868</v>
      </c>
      <c r="B1861" t="s">
        <v>18</v>
      </c>
      <c r="C1861" t="s">
        <v>19</v>
      </c>
      <c r="D1861" t="s">
        <v>45</v>
      </c>
      <c r="E1861" t="s">
        <v>48</v>
      </c>
      <c r="F1861" t="s">
        <v>22</v>
      </c>
      <c r="G1861" t="s">
        <v>23</v>
      </c>
      <c r="H1861" t="s">
        <v>24</v>
      </c>
      <c r="I1861" t="s">
        <v>25</v>
      </c>
      <c r="J1861" s="2">
        <v>45825.626736111109</v>
      </c>
      <c r="K1861">
        <v>17</v>
      </c>
      <c r="L1861">
        <v>6</v>
      </c>
      <c r="M1861">
        <v>2025</v>
      </c>
      <c r="N1861" t="s">
        <v>27</v>
      </c>
      <c r="O1861">
        <v>100</v>
      </c>
      <c r="P1861">
        <v>100</v>
      </c>
      <c r="R1861" s="3" t="str">
        <f>HYPERLINK("https://panda.att.com.mx/ODKServer/view/binaryData?blobKey=FSSuministroFluidosv3%5B%40version%3Dnull+and+%40uiVersion%3Dnull%5D%2Fdata%5B%40key%3Duuid%3A82ff55df-8dce-4efb-b79a-64bb2c91c9f5%5D%2FgroupInfoFuel%5B%40ordinal%3D1%5D%2FpicFuelRecibeInterno","Descargar")</f>
        <v>Descargar</v>
      </c>
    </row>
    <row r="1862" spans="1:18" x14ac:dyDescent="0.3">
      <c r="A1862">
        <v>1561861</v>
      </c>
      <c r="B1862" t="s">
        <v>18</v>
      </c>
      <c r="C1862" t="s">
        <v>28</v>
      </c>
      <c r="D1862" t="s">
        <v>66</v>
      </c>
      <c r="E1862" t="s">
        <v>1884</v>
      </c>
      <c r="F1862" t="s">
        <v>22</v>
      </c>
      <c r="G1862" t="s">
        <v>23</v>
      </c>
      <c r="H1862" t="s">
        <v>24</v>
      </c>
      <c r="I1862" t="s">
        <v>25</v>
      </c>
      <c r="J1862" s="2">
        <v>45828.482824074083</v>
      </c>
      <c r="K1862">
        <v>20</v>
      </c>
      <c r="L1862">
        <v>6</v>
      </c>
      <c r="M1862">
        <v>2025</v>
      </c>
      <c r="N1862" t="s">
        <v>27</v>
      </c>
      <c r="O1862">
        <v>300</v>
      </c>
      <c r="P1862">
        <v>300</v>
      </c>
      <c r="R1862" s="3" t="str">
        <f>HYPERLINK("https://panda.att.com.mx/ODKServer/view/binaryData?blobKey=FSSuministroFluidosv3%5B%40version%3Dnull+and+%40uiVersion%3Dnull%5D%2Fdata%5B%40key%3Duuid%3A86b61d57-1700-4f82-96f9-568faee1935b%5D%2FgroupInfoFuel%5B%40ordinal%3D1%5D%2FpicFuelRecibeInterno","Descargar")</f>
        <v>Descargar</v>
      </c>
    </row>
    <row r="1863" spans="1:18" x14ac:dyDescent="0.3">
      <c r="A1863">
        <v>1561856</v>
      </c>
      <c r="B1863" t="s">
        <v>18</v>
      </c>
      <c r="C1863" t="s">
        <v>55</v>
      </c>
      <c r="D1863" t="s">
        <v>128</v>
      </c>
      <c r="E1863" t="s">
        <v>1885</v>
      </c>
      <c r="F1863" t="s">
        <v>22</v>
      </c>
      <c r="G1863" t="s">
        <v>23</v>
      </c>
      <c r="H1863" t="s">
        <v>58</v>
      </c>
      <c r="I1863" t="s">
        <v>25</v>
      </c>
      <c r="J1863" s="2">
        <v>45828.784212962957</v>
      </c>
      <c r="K1863">
        <v>20</v>
      </c>
      <c r="L1863">
        <v>6</v>
      </c>
      <c r="M1863">
        <v>2025</v>
      </c>
      <c r="N1863" t="s">
        <v>44</v>
      </c>
      <c r="O1863">
        <v>50</v>
      </c>
      <c r="P1863">
        <v>50</v>
      </c>
      <c r="R1863" s="3" t="str">
        <f>HYPERLINK("https://panda.att.com.mx/ODKServer/view/binaryData?blobKey=FSSuministroFluidosv3%5B%40version%3Dnull+and+%40uiVersion%3Dnull%5D%2Fdata%5B%40key%3Duuid%3A6bdcfc2f-7bb7-421b-9c18-669d4e6ef8c6%5D%2FgroupInfoFuel%5B%40ordinal%3D1%5D%2FpicFuelRecibeInterno","Descargar")</f>
        <v>Descargar</v>
      </c>
    </row>
    <row r="1864" spans="1:18" x14ac:dyDescent="0.3">
      <c r="A1864">
        <v>1561851</v>
      </c>
      <c r="B1864" t="s">
        <v>18</v>
      </c>
      <c r="C1864" t="s">
        <v>28</v>
      </c>
      <c r="D1864" t="s">
        <v>66</v>
      </c>
      <c r="E1864" t="s">
        <v>1024</v>
      </c>
      <c r="F1864" t="s">
        <v>22</v>
      </c>
      <c r="G1864" t="s">
        <v>23</v>
      </c>
      <c r="H1864" t="s">
        <v>24</v>
      </c>
      <c r="I1864" t="s">
        <v>25</v>
      </c>
      <c r="J1864" s="2">
        <v>45828.465810185182</v>
      </c>
      <c r="K1864">
        <v>20</v>
      </c>
      <c r="L1864">
        <v>6</v>
      </c>
      <c r="M1864">
        <v>2025</v>
      </c>
      <c r="N1864" t="s">
        <v>27</v>
      </c>
      <c r="O1864">
        <v>50</v>
      </c>
      <c r="P1864">
        <v>50</v>
      </c>
      <c r="R1864" s="3" t="str">
        <f>HYPERLINK("https://panda.att.com.mx/ODKServer/view/binaryData?blobKey=FSSuministroFluidosv3%5B%40version%3Dnull+and+%40uiVersion%3Dnull%5D%2Fdata%5B%40key%3Duuid%3A2d15cb8a-82f3-4d98-95cf-caf0c87b8b52%5D%2FgroupInfoFuel%5B%40ordinal%3D1%5D%2FpicFuelRecibeInterno","Descargar")</f>
        <v>Descargar</v>
      </c>
    </row>
    <row r="1865" spans="1:18" x14ac:dyDescent="0.3">
      <c r="A1865">
        <v>1561700</v>
      </c>
      <c r="B1865" t="s">
        <v>18</v>
      </c>
      <c r="C1865" t="s">
        <v>28</v>
      </c>
      <c r="D1865" t="s">
        <v>467</v>
      </c>
      <c r="E1865" t="s">
        <v>1772</v>
      </c>
      <c r="F1865" t="s">
        <v>22</v>
      </c>
      <c r="G1865" t="s">
        <v>23</v>
      </c>
      <c r="H1865" t="s">
        <v>24</v>
      </c>
      <c r="I1865" t="s">
        <v>25</v>
      </c>
      <c r="J1865" s="2">
        <v>45826.607881944437</v>
      </c>
      <c r="K1865">
        <v>18</v>
      </c>
      <c r="L1865">
        <v>6</v>
      </c>
      <c r="M1865">
        <v>2025</v>
      </c>
      <c r="N1865" t="s">
        <v>27</v>
      </c>
      <c r="O1865">
        <v>400</v>
      </c>
      <c r="P1865">
        <v>400</v>
      </c>
      <c r="R1865" s="3" t="str">
        <f>HYPERLINK("https://panda.att.com.mx/ODKServer/view/binaryData?blobKey=FSSuministroFluidosv3%5B%40version%3Dnull+and+%40uiVersion%3Dnull%5D%2Fdata%5B%40key%3Duuid%3A444550b1-8581-4667-a360-9a1dc1fc78b5%5D%2FgroupInfoFuel%5B%40ordinal%3D1%5D%2FpicFuelRecibeInterno","Descargar")</f>
        <v>Descargar</v>
      </c>
    </row>
    <row r="1866" spans="1:18" x14ac:dyDescent="0.3">
      <c r="A1866">
        <v>1561699</v>
      </c>
      <c r="B1866" t="s">
        <v>18</v>
      </c>
      <c r="C1866" t="s">
        <v>28</v>
      </c>
      <c r="D1866" t="s">
        <v>467</v>
      </c>
      <c r="E1866" t="s">
        <v>1886</v>
      </c>
      <c r="F1866" t="s">
        <v>22</v>
      </c>
      <c r="G1866" t="s">
        <v>23</v>
      </c>
      <c r="H1866" t="s">
        <v>24</v>
      </c>
      <c r="I1866" t="s">
        <v>25</v>
      </c>
      <c r="J1866" s="2">
        <v>45825.983958333331</v>
      </c>
      <c r="K1866">
        <v>17</v>
      </c>
      <c r="L1866">
        <v>6</v>
      </c>
      <c r="M1866">
        <v>2025</v>
      </c>
      <c r="N1866" t="s">
        <v>44</v>
      </c>
      <c r="O1866">
        <v>60</v>
      </c>
      <c r="P1866">
        <v>60</v>
      </c>
      <c r="R1866" s="3" t="str">
        <f>HYPERLINK("https://panda.att.com.mx/ODKServer/view/binaryData?blobKey=FSSuministroFluidosv3%5B%40version%3Dnull+and+%40uiVersion%3Dnull%5D%2Fdata%5B%40key%3Duuid%3Ad764b09d-2405-4462-a257-56df31055b42%5D%2FgroupInfoFuel%5B%40ordinal%3D1%5D%2FpicFuelRecibeInterno","Descargar")</f>
        <v>Descargar</v>
      </c>
    </row>
    <row r="1867" spans="1:18" x14ac:dyDescent="0.3">
      <c r="A1867">
        <v>1561639</v>
      </c>
      <c r="B1867" t="s">
        <v>18</v>
      </c>
      <c r="C1867" t="s">
        <v>28</v>
      </c>
      <c r="D1867" t="s">
        <v>181</v>
      </c>
      <c r="E1867" t="s">
        <v>1647</v>
      </c>
      <c r="F1867" t="s">
        <v>22</v>
      </c>
      <c r="G1867" t="s">
        <v>23</v>
      </c>
      <c r="H1867" t="s">
        <v>24</v>
      </c>
      <c r="I1867" t="s">
        <v>25</v>
      </c>
      <c r="J1867" s="2">
        <v>45820.737824074073</v>
      </c>
      <c r="K1867">
        <v>12</v>
      </c>
      <c r="L1867">
        <v>6</v>
      </c>
      <c r="M1867">
        <v>2025</v>
      </c>
      <c r="N1867" t="s">
        <v>27</v>
      </c>
      <c r="O1867">
        <v>100</v>
      </c>
      <c r="P1867">
        <v>100</v>
      </c>
      <c r="R1867" s="3" t="str">
        <f>HYPERLINK("https://panda.att.com.mx/ODKServer/view/binaryData?blobKey=FSSuministroFluidosv3%5B%40version%3Dnull+and+%40uiVersion%3Dnull%5D%2Fdata%5B%40key%3Duuid%3A0ec77333-53f0-4067-ac40-7c0ff0f0d6a4%5D%2FgroupInfoFuel%5B%40ordinal%3D1%5D%2FpicFuelRecibeInterno","Descargar")</f>
        <v>Descargar</v>
      </c>
    </row>
    <row r="1868" spans="1:18" x14ac:dyDescent="0.3">
      <c r="A1868">
        <v>1561616</v>
      </c>
      <c r="B1868" t="s">
        <v>18</v>
      </c>
      <c r="C1868" t="s">
        <v>55</v>
      </c>
      <c r="D1868" t="s">
        <v>366</v>
      </c>
      <c r="E1868" t="s">
        <v>1854</v>
      </c>
      <c r="F1868" t="s">
        <v>22</v>
      </c>
      <c r="G1868" t="s">
        <v>23</v>
      </c>
      <c r="H1868" t="s">
        <v>1781</v>
      </c>
      <c r="I1868" t="s">
        <v>25</v>
      </c>
      <c r="J1868" s="2">
        <v>45828.582719907397</v>
      </c>
      <c r="K1868">
        <v>20</v>
      </c>
      <c r="L1868">
        <v>6</v>
      </c>
      <c r="M1868">
        <v>2025</v>
      </c>
      <c r="N1868" t="s">
        <v>27</v>
      </c>
      <c r="O1868">
        <v>100</v>
      </c>
      <c r="P1868">
        <v>100</v>
      </c>
      <c r="R1868" s="3" t="str">
        <f>HYPERLINK("https://panda.att.com.mx/ODKServer/view/binaryData?blobKey=FSSuministroFluidosv3%5B%40version%3Dnull+and+%40uiVersion%3Dnull%5D%2Fdata%5B%40key%3Duuid%3Aa073b260-2e44-49d5-b397-fa37bd9ae0e6%5D%2FgroupInfoFuel%5B%40ordinal%3D1%5D%2FpicFuelRecibeInterno","Descargar")</f>
        <v>Descargar</v>
      </c>
    </row>
    <row r="1869" spans="1:18" x14ac:dyDescent="0.3">
      <c r="A1869">
        <v>1561601</v>
      </c>
      <c r="B1869" t="s">
        <v>18</v>
      </c>
      <c r="C1869" t="s">
        <v>34</v>
      </c>
      <c r="D1869" t="s">
        <v>53</v>
      </c>
      <c r="E1869" t="s">
        <v>1771</v>
      </c>
      <c r="F1869" t="s">
        <v>22</v>
      </c>
      <c r="G1869" t="s">
        <v>23</v>
      </c>
      <c r="H1869" t="s">
        <v>37</v>
      </c>
      <c r="I1869" t="s">
        <v>25</v>
      </c>
      <c r="J1869" s="2">
        <v>45828.535601851851</v>
      </c>
      <c r="K1869">
        <v>20</v>
      </c>
      <c r="L1869">
        <v>6</v>
      </c>
      <c r="M1869">
        <v>2025</v>
      </c>
      <c r="N1869" t="s">
        <v>27</v>
      </c>
      <c r="O1869">
        <v>250</v>
      </c>
      <c r="P1869">
        <v>250</v>
      </c>
      <c r="R1869" s="3" t="str">
        <f>HYPERLINK("https://panda.att.com.mx/ODKServer/view/binaryData?blobKey=FSSuministroFluidosv3%5B%40version%3Dnull+and+%40uiVersion%3Dnull%5D%2Fdata%5B%40key%3Duuid%3Acbc2475a-148e-4813-8e61-9d86875e9bad%5D%2FgroupInfoFuel%5B%40ordinal%3D1%5D%2FpicFuelRecibeInterno","Descargar")</f>
        <v>Descargar</v>
      </c>
    </row>
    <row r="1870" spans="1:18" x14ac:dyDescent="0.3">
      <c r="A1870">
        <v>1561595</v>
      </c>
      <c r="B1870" t="s">
        <v>18</v>
      </c>
      <c r="C1870" t="s">
        <v>34</v>
      </c>
      <c r="D1870" t="s">
        <v>53</v>
      </c>
      <c r="E1870" t="s">
        <v>1887</v>
      </c>
      <c r="F1870" t="s">
        <v>22</v>
      </c>
      <c r="G1870" t="s">
        <v>23</v>
      </c>
      <c r="H1870" t="s">
        <v>37</v>
      </c>
      <c r="I1870" t="s">
        <v>25</v>
      </c>
      <c r="J1870" s="2">
        <v>45828.532187500001</v>
      </c>
      <c r="K1870">
        <v>20</v>
      </c>
      <c r="L1870">
        <v>6</v>
      </c>
      <c r="M1870">
        <v>2025</v>
      </c>
      <c r="N1870" t="s">
        <v>27</v>
      </c>
      <c r="O1870">
        <v>150</v>
      </c>
      <c r="P1870">
        <v>150</v>
      </c>
      <c r="R1870" s="3" t="str">
        <f>HYPERLINK("https://panda.att.com.mx/ODKServer/view/binaryData?blobKey=FSSuministroFluidosv3%5B%40version%3Dnull+and+%40uiVersion%3Dnull%5D%2Fdata%5B%40key%3Duuid%3A497bdc3e-0e6d-4d46-83b4-8babae1773e0%5D%2FgroupInfoFuel%5B%40ordinal%3D1%5D%2FpicFuelRecibeInterno","Descargar")</f>
        <v>Descargar</v>
      </c>
    </row>
    <row r="1871" spans="1:18" x14ac:dyDescent="0.3">
      <c r="A1871">
        <v>1561387</v>
      </c>
      <c r="B1871" t="s">
        <v>18</v>
      </c>
      <c r="C1871" t="s">
        <v>150</v>
      </c>
      <c r="D1871" t="s">
        <v>164</v>
      </c>
      <c r="E1871" t="s">
        <v>165</v>
      </c>
      <c r="F1871" t="s">
        <v>22</v>
      </c>
      <c r="G1871" t="s">
        <v>23</v>
      </c>
      <c r="H1871" t="s">
        <v>58</v>
      </c>
      <c r="I1871" t="s">
        <v>25</v>
      </c>
      <c r="J1871" s="2">
        <v>45828.388564814813</v>
      </c>
      <c r="K1871">
        <v>20</v>
      </c>
      <c r="L1871">
        <v>6</v>
      </c>
      <c r="M1871">
        <v>2025</v>
      </c>
      <c r="N1871" t="s">
        <v>27</v>
      </c>
      <c r="O1871">
        <v>400</v>
      </c>
      <c r="P1871">
        <v>400</v>
      </c>
      <c r="R1871" s="3" t="str">
        <f>HYPERLINK("https://panda.att.com.mx/ODKServer/view/binaryData?blobKey=FSSuministroFluidosv3%5B%40version%3Dnull+and+%40uiVersion%3Dnull%5D%2Fdata%5B%40key%3Duuid%3A397f2474-ef38-483e-b320-786431675652%5D%2FgroupInfoFuel%5B%40ordinal%3D1%5D%2FpicFuelRecibeInterno","Descargar")</f>
        <v>Descargar</v>
      </c>
    </row>
    <row r="1872" spans="1:18" x14ac:dyDescent="0.3">
      <c r="A1872">
        <v>1561360</v>
      </c>
      <c r="B1872" t="s">
        <v>18</v>
      </c>
      <c r="C1872" t="s">
        <v>34</v>
      </c>
      <c r="D1872" t="s">
        <v>53</v>
      </c>
      <c r="E1872" t="s">
        <v>300</v>
      </c>
      <c r="F1872" t="s">
        <v>22</v>
      </c>
      <c r="G1872" t="s">
        <v>23</v>
      </c>
      <c r="H1872" t="s">
        <v>24</v>
      </c>
      <c r="I1872" t="s">
        <v>25</v>
      </c>
      <c r="J1872" s="2">
        <v>45824.499652777777</v>
      </c>
      <c r="K1872">
        <v>16</v>
      </c>
      <c r="L1872">
        <v>6</v>
      </c>
      <c r="M1872">
        <v>2025</v>
      </c>
      <c r="N1872" t="s">
        <v>27</v>
      </c>
      <c r="O1872">
        <v>150</v>
      </c>
      <c r="P1872">
        <v>150</v>
      </c>
      <c r="R1872" s="3" t="str">
        <f>HYPERLINK("https://panda.att.com.mx/ODKServer/view/binaryData?blobKey=FSSuministroFluidosv3%5B%40version%3Dnull+and+%40uiVersion%3Dnull%5D%2Fdata%5B%40key%3Duuid%3Ad4f1c3f7-f96e-4ff8-bc6e-e704b9d68630%5D%2FgroupInfoFuel%5B%40ordinal%3D1%5D%2FpicFuelRecibeInterno","Descargar")</f>
        <v>Descargar</v>
      </c>
    </row>
    <row r="1873" spans="1:18" x14ac:dyDescent="0.3">
      <c r="A1873">
        <v>1561332</v>
      </c>
      <c r="B1873" t="s">
        <v>18</v>
      </c>
      <c r="C1873" t="s">
        <v>59</v>
      </c>
      <c r="D1873" t="s">
        <v>233</v>
      </c>
      <c r="E1873" t="s">
        <v>294</v>
      </c>
      <c r="F1873" t="s">
        <v>22</v>
      </c>
      <c r="G1873" t="s">
        <v>23</v>
      </c>
      <c r="H1873" t="s">
        <v>37</v>
      </c>
      <c r="I1873" t="s">
        <v>25</v>
      </c>
      <c r="J1873" s="2">
        <v>45827.500891203701</v>
      </c>
      <c r="K1873">
        <v>19</v>
      </c>
      <c r="L1873">
        <v>6</v>
      </c>
      <c r="M1873">
        <v>2025</v>
      </c>
      <c r="N1873" t="s">
        <v>27</v>
      </c>
      <c r="O1873">
        <v>400</v>
      </c>
      <c r="P1873">
        <v>400</v>
      </c>
      <c r="R1873" s="3" t="str">
        <f>HYPERLINK("https://panda.att.com.mx/ODKServer/view/binaryData?blobKey=FSSuministroFluidosv3%5B%40version%3Dnull+and+%40uiVersion%3Dnull%5D%2Fdata%5B%40key%3Duuid%3A57682f19-ab95-4a37-a97b-73cb42251adc%5D%2FgroupInfoFuel%5B%40ordinal%3D1%5D%2FpicFuelRecibeInterno","Descargar")</f>
        <v>Descargar</v>
      </c>
    </row>
    <row r="1874" spans="1:18" x14ac:dyDescent="0.3">
      <c r="A1874">
        <v>1561307</v>
      </c>
      <c r="B1874" t="s">
        <v>18</v>
      </c>
      <c r="C1874" t="s">
        <v>28</v>
      </c>
      <c r="D1874" t="s">
        <v>429</v>
      </c>
      <c r="E1874" t="s">
        <v>1809</v>
      </c>
      <c r="F1874" t="s">
        <v>22</v>
      </c>
      <c r="G1874" t="s">
        <v>23</v>
      </c>
      <c r="H1874" t="s">
        <v>24</v>
      </c>
      <c r="I1874" t="s">
        <v>25</v>
      </c>
      <c r="J1874" s="2">
        <v>45824.99015046296</v>
      </c>
      <c r="K1874">
        <v>16</v>
      </c>
      <c r="L1874">
        <v>6</v>
      </c>
      <c r="M1874">
        <v>2025</v>
      </c>
      <c r="N1874" t="s">
        <v>44</v>
      </c>
      <c r="O1874">
        <v>60</v>
      </c>
      <c r="P1874">
        <v>60</v>
      </c>
      <c r="R1874" s="3" t="str">
        <f>HYPERLINK("https://panda.att.com.mx/ODKServer/view/binaryData?blobKey=FSSuministroFluidosv3%5B%40version%3Dnull+and+%40uiVersion%3Dnull%5D%2Fdata%5B%40key%3Duuid%3Acccf683e-bd45-4bf6-9437-aad14c05a8cb%5D%2FgroupInfoFuel%5B%40ordinal%3D1%5D%2FpicFuelRecibeInterno","Descargar")</f>
        <v>Descargar</v>
      </c>
    </row>
    <row r="1875" spans="1:18" x14ac:dyDescent="0.3">
      <c r="A1875">
        <v>1561304</v>
      </c>
      <c r="B1875" t="s">
        <v>18</v>
      </c>
      <c r="C1875" t="s">
        <v>59</v>
      </c>
      <c r="D1875" t="s">
        <v>60</v>
      </c>
      <c r="E1875" t="s">
        <v>1888</v>
      </c>
      <c r="F1875" t="s">
        <v>22</v>
      </c>
      <c r="G1875" t="s">
        <v>23</v>
      </c>
      <c r="H1875" t="s">
        <v>37</v>
      </c>
      <c r="I1875" t="s">
        <v>25</v>
      </c>
      <c r="J1875" s="2">
        <v>45826.945115740738</v>
      </c>
      <c r="K1875">
        <v>18</v>
      </c>
      <c r="L1875">
        <v>6</v>
      </c>
      <c r="M1875">
        <v>2025</v>
      </c>
      <c r="N1875" t="s">
        <v>27</v>
      </c>
      <c r="O1875">
        <v>100.2</v>
      </c>
      <c r="P1875">
        <v>100.2</v>
      </c>
      <c r="R1875" s="3" t="str">
        <f>HYPERLINK("https://panda.att.com.mx/ODKServer/view/binaryData?blobKey=FSSuministroFluidosv3%5B%40version%3Dnull+and+%40uiVersion%3Dnull%5D%2Fdata%5B%40key%3Duuid%3Afd058493-fc0a-43f7-b2b2-678df6897a2f%5D%2FgroupInfoFuel%5B%40ordinal%3D1%5D%2FpicFuelRecibeInterno","Descargar")</f>
        <v>Descargar</v>
      </c>
    </row>
    <row r="1876" spans="1:18" x14ac:dyDescent="0.3">
      <c r="A1876">
        <v>1561302</v>
      </c>
      <c r="B1876" t="s">
        <v>18</v>
      </c>
      <c r="C1876" t="s">
        <v>28</v>
      </c>
      <c r="D1876" t="s">
        <v>429</v>
      </c>
      <c r="E1876" t="s">
        <v>1809</v>
      </c>
      <c r="F1876" t="s">
        <v>22</v>
      </c>
      <c r="G1876" t="s">
        <v>23</v>
      </c>
      <c r="H1876" t="s">
        <v>24</v>
      </c>
      <c r="I1876" t="s">
        <v>25</v>
      </c>
      <c r="J1876" s="2">
        <v>45824.519895833328</v>
      </c>
      <c r="K1876">
        <v>16</v>
      </c>
      <c r="L1876">
        <v>6</v>
      </c>
      <c r="M1876">
        <v>2025</v>
      </c>
      <c r="N1876" t="s">
        <v>44</v>
      </c>
      <c r="O1876">
        <v>60</v>
      </c>
      <c r="P1876">
        <v>60</v>
      </c>
      <c r="R1876" s="3" t="str">
        <f>HYPERLINK("https://panda.att.com.mx/ODKServer/view/binaryData?blobKey=FSSuministroFluidosv3%5B%40version%3Dnull+and+%40uiVersion%3Dnull%5D%2Fdata%5B%40key%3Duuid%3Ad97b71f0-bab0-4c4a-baf8-685811422ae4%5D%2FgroupInfoFuel%5B%40ordinal%3D1%5D%2FpicFuelRecibeInterno","Descargar")</f>
        <v>Descargar</v>
      </c>
    </row>
    <row r="1877" spans="1:18" x14ac:dyDescent="0.3">
      <c r="A1877">
        <v>1560634</v>
      </c>
      <c r="B1877" t="s">
        <v>18</v>
      </c>
      <c r="C1877" t="s">
        <v>34</v>
      </c>
      <c r="D1877" t="s">
        <v>51</v>
      </c>
      <c r="E1877" t="s">
        <v>1889</v>
      </c>
      <c r="F1877" t="s">
        <v>22</v>
      </c>
      <c r="G1877" t="s">
        <v>23</v>
      </c>
      <c r="H1877" t="s">
        <v>24</v>
      </c>
      <c r="I1877" t="s">
        <v>25</v>
      </c>
      <c r="J1877" s="2">
        <v>45825.771261574067</v>
      </c>
      <c r="K1877">
        <v>17</v>
      </c>
      <c r="L1877">
        <v>6</v>
      </c>
      <c r="M1877">
        <v>2025</v>
      </c>
      <c r="N1877" t="s">
        <v>27</v>
      </c>
      <c r="O1877">
        <v>100</v>
      </c>
      <c r="P1877">
        <v>100</v>
      </c>
      <c r="R1877" s="3" t="str">
        <f>HYPERLINK("https://panda.att.com.mx/ODKServer/view/binaryData?blobKey=FSSuministroFluidosv3%5B%40version%3Dnull+and+%40uiVersion%3Dnull%5D%2Fdata%5B%40key%3Duuid%3A15407a80-ea00-4e8c-9982-cd885fd5a356%5D%2FgroupInfoFuel%5B%40ordinal%3D1%5D%2FpicFuelRecibeInterno","Descargar")</f>
        <v>Descargar</v>
      </c>
    </row>
    <row r="1878" spans="1:18" x14ac:dyDescent="0.3">
      <c r="A1878">
        <v>1560593</v>
      </c>
      <c r="B1878" t="s">
        <v>18</v>
      </c>
      <c r="C1878" t="s">
        <v>55</v>
      </c>
      <c r="D1878" t="s">
        <v>56</v>
      </c>
      <c r="E1878" t="s">
        <v>668</v>
      </c>
      <c r="F1878" t="s">
        <v>22</v>
      </c>
      <c r="G1878" t="s">
        <v>23</v>
      </c>
      <c r="H1878" t="s">
        <v>58</v>
      </c>
      <c r="I1878" t="s">
        <v>25</v>
      </c>
      <c r="J1878" s="2">
        <v>45825.734756944446</v>
      </c>
      <c r="K1878">
        <v>17</v>
      </c>
      <c r="L1878">
        <v>6</v>
      </c>
      <c r="M1878">
        <v>2025</v>
      </c>
      <c r="N1878" t="s">
        <v>27</v>
      </c>
      <c r="O1878">
        <v>100</v>
      </c>
      <c r="P1878">
        <v>100</v>
      </c>
      <c r="R1878" s="3" t="str">
        <f>HYPERLINK("https://panda.att.com.mx/ODKServer/view/binaryData?blobKey=FSSuministroFluidosv3%5B%40version%3Dnull+and+%40uiVersion%3Dnull%5D%2Fdata%5B%40key%3Duuid%3A4cf9fafc-0a05-4b02-8a77-4b1364d906c9%5D%2FgroupInfoFuel%5B%40ordinal%3D1%5D%2FpicFuelRecibeInterno","Descargar")</f>
        <v>Descargar</v>
      </c>
    </row>
    <row r="1879" spans="1:18" x14ac:dyDescent="0.3">
      <c r="A1879">
        <v>1560591</v>
      </c>
      <c r="B1879" t="s">
        <v>18</v>
      </c>
      <c r="C1879" t="s">
        <v>55</v>
      </c>
      <c r="D1879" t="s">
        <v>56</v>
      </c>
      <c r="E1879" t="s">
        <v>1842</v>
      </c>
      <c r="F1879" t="s">
        <v>22</v>
      </c>
      <c r="G1879" t="s">
        <v>23</v>
      </c>
      <c r="H1879" t="s">
        <v>58</v>
      </c>
      <c r="I1879" t="s">
        <v>25</v>
      </c>
      <c r="J1879" s="2">
        <v>45825.690081018518</v>
      </c>
      <c r="K1879">
        <v>17</v>
      </c>
      <c r="L1879">
        <v>6</v>
      </c>
      <c r="M1879">
        <v>2025</v>
      </c>
      <c r="N1879" t="s">
        <v>27</v>
      </c>
      <c r="O1879">
        <v>100</v>
      </c>
      <c r="P1879">
        <v>100</v>
      </c>
      <c r="R1879" s="3" t="str">
        <f>HYPERLINK("https://panda.att.com.mx/ODKServer/view/binaryData?blobKey=FSSuministroFluidosv3%5B%40version%3Dnull+and+%40uiVersion%3Dnull%5D%2Fdata%5B%40key%3Duuid%3Aa9cb39dc-5e51-428a-9bff-997edd36fa4f%5D%2FgroupInfoFuel%5B%40ordinal%3D1%5D%2FpicFuelRecibeInterno","Descargar")</f>
        <v>Descargar</v>
      </c>
    </row>
    <row r="1880" spans="1:18" x14ac:dyDescent="0.3">
      <c r="A1880">
        <v>1560568</v>
      </c>
      <c r="B1880" t="s">
        <v>18</v>
      </c>
      <c r="C1880" t="s">
        <v>28</v>
      </c>
      <c r="D1880" t="s">
        <v>1036</v>
      </c>
      <c r="E1880" t="s">
        <v>1890</v>
      </c>
      <c r="F1880" t="s">
        <v>22</v>
      </c>
      <c r="G1880" t="s">
        <v>47</v>
      </c>
      <c r="H1880" t="s">
        <v>24</v>
      </c>
      <c r="I1880" t="s">
        <v>25</v>
      </c>
      <c r="J1880" s="2">
        <v>45826.997615740736</v>
      </c>
      <c r="K1880">
        <v>18</v>
      </c>
      <c r="L1880">
        <v>6</v>
      </c>
      <c r="M1880">
        <v>2025</v>
      </c>
      <c r="N1880" t="s">
        <v>27</v>
      </c>
      <c r="O1880">
        <v>400</v>
      </c>
      <c r="P1880">
        <v>400</v>
      </c>
      <c r="R1880" s="3" t="str">
        <f>HYPERLINK("https://panda.att.com.mx/ODKServer/view/binaryData?blobKey=FSSuministroFluidosv3%5B%40version%3Dnull+and+%40uiVersion%3Dnull%5D%2Fdata%5B%40key%3Duuid%3Af25abd81-6486-4053-aba9-b55a1b7a5155%5D%2FgroupInfoFuel%5B%40ordinal%3D1%5D%2FpicFuelRecibeInterno","Descargar")</f>
        <v>Descargar</v>
      </c>
    </row>
    <row r="1881" spans="1:18" x14ac:dyDescent="0.3">
      <c r="A1881">
        <v>1560548</v>
      </c>
      <c r="B1881" t="s">
        <v>18</v>
      </c>
      <c r="C1881" t="s">
        <v>34</v>
      </c>
      <c r="D1881" t="s">
        <v>53</v>
      </c>
      <c r="E1881" t="s">
        <v>1891</v>
      </c>
      <c r="F1881" t="s">
        <v>22</v>
      </c>
      <c r="G1881" t="s">
        <v>23</v>
      </c>
      <c r="H1881" t="s">
        <v>37</v>
      </c>
      <c r="I1881" t="s">
        <v>25</v>
      </c>
      <c r="J1881" s="2">
        <v>45826.894687499997</v>
      </c>
      <c r="K1881">
        <v>18</v>
      </c>
      <c r="L1881">
        <v>6</v>
      </c>
      <c r="M1881">
        <v>2025</v>
      </c>
      <c r="N1881" t="s">
        <v>27</v>
      </c>
      <c r="O1881">
        <v>100</v>
      </c>
      <c r="P1881">
        <v>100</v>
      </c>
      <c r="R1881" s="3" t="str">
        <f>HYPERLINK("https://panda.att.com.mx/ODKServer/view/binaryData?blobKey=FSSuministroFluidosv3%5B%40version%3Dnull+and+%40uiVersion%3Dnull%5D%2Fdata%5B%40key%3Duuid%3Ac0e67002-e2c8-4c3b-9c49-3a6e09f1f2ea%5D%2FgroupInfoFuel%5B%40ordinal%3D1%5D%2FpicFuelRecibeInterno","Descargar")</f>
        <v>Descargar</v>
      </c>
    </row>
    <row r="1882" spans="1:18" x14ac:dyDescent="0.3">
      <c r="A1882">
        <v>1560491</v>
      </c>
      <c r="B1882" t="s">
        <v>18</v>
      </c>
      <c r="C1882" t="s">
        <v>28</v>
      </c>
      <c r="D1882" t="s">
        <v>1036</v>
      </c>
      <c r="E1882" t="s">
        <v>1892</v>
      </c>
      <c r="F1882" t="s">
        <v>22</v>
      </c>
      <c r="G1882" t="s">
        <v>47</v>
      </c>
      <c r="H1882" t="s">
        <v>24</v>
      </c>
      <c r="I1882" t="s">
        <v>25</v>
      </c>
      <c r="J1882" s="2">
        <v>45826.485949074071</v>
      </c>
      <c r="K1882">
        <v>18</v>
      </c>
      <c r="L1882">
        <v>6</v>
      </c>
      <c r="M1882">
        <v>2025</v>
      </c>
      <c r="N1882" t="s">
        <v>27</v>
      </c>
      <c r="O1882">
        <v>200</v>
      </c>
      <c r="P1882">
        <v>200</v>
      </c>
      <c r="R1882" s="3" t="str">
        <f>HYPERLINK("https://panda.att.com.mx/ODKServer/view/binaryData?blobKey=FSSuministroFluidosv3%5B%40version%3Dnull+and+%40uiVersion%3Dnull%5D%2Fdata%5B%40key%3Duuid%3A81da32f2-4206-4c83-ac08-5c7bf2a26ec8%5D%2FgroupInfoFuel%5B%40ordinal%3D1%5D%2FpicFuelRecibeInterno","Descargar")</f>
        <v>Descargar</v>
      </c>
    </row>
    <row r="1883" spans="1:18" x14ac:dyDescent="0.3">
      <c r="A1883">
        <v>1560490</v>
      </c>
      <c r="B1883" t="s">
        <v>18</v>
      </c>
      <c r="C1883" t="s">
        <v>28</v>
      </c>
      <c r="D1883" t="s">
        <v>1036</v>
      </c>
      <c r="E1883" t="s">
        <v>1893</v>
      </c>
      <c r="F1883" t="s">
        <v>22</v>
      </c>
      <c r="G1883" t="s">
        <v>47</v>
      </c>
      <c r="H1883" t="s">
        <v>24</v>
      </c>
      <c r="I1883" t="s">
        <v>25</v>
      </c>
      <c r="J1883" s="2">
        <v>45826.553483796299</v>
      </c>
      <c r="K1883">
        <v>18</v>
      </c>
      <c r="L1883">
        <v>6</v>
      </c>
      <c r="M1883">
        <v>2025</v>
      </c>
      <c r="N1883" t="s">
        <v>27</v>
      </c>
      <c r="O1883">
        <v>150</v>
      </c>
      <c r="Q1883">
        <v>150</v>
      </c>
      <c r="R1883" s="3" t="str">
        <f>HYPERLINK("https://panda.att.com.mx/ODKServer/view/binaryData?blobKey=FSSuministroFluidosv3%5B%40version%3Dnull+and+%40uiVersion%3Dnull%5D%2Fdata%5B%40key%3Duuid%3Ac50adbe9-fab8-46d7-afda-e1b54690ea03%5D%2FgroupInfoFuel%5B%40ordinal%3D1%5D%2FpicFuelRecibeInterno","Descargar")</f>
        <v>Descargar</v>
      </c>
    </row>
    <row r="1884" spans="1:18" x14ac:dyDescent="0.3">
      <c r="A1884">
        <v>1560485</v>
      </c>
      <c r="B1884" t="s">
        <v>18</v>
      </c>
      <c r="C1884" t="s">
        <v>19</v>
      </c>
      <c r="D1884" t="s">
        <v>45</v>
      </c>
      <c r="E1884" t="s">
        <v>752</v>
      </c>
      <c r="F1884" t="s">
        <v>22</v>
      </c>
      <c r="G1884" t="s">
        <v>23</v>
      </c>
      <c r="H1884" t="s">
        <v>24</v>
      </c>
      <c r="I1884" t="s">
        <v>25</v>
      </c>
      <c r="J1884" s="2">
        <v>45826.440243055556</v>
      </c>
      <c r="K1884">
        <v>18</v>
      </c>
      <c r="L1884">
        <v>6</v>
      </c>
      <c r="M1884">
        <v>2025</v>
      </c>
      <c r="N1884" t="s">
        <v>27</v>
      </c>
      <c r="O1884">
        <v>300</v>
      </c>
      <c r="P1884">
        <v>300</v>
      </c>
      <c r="R1884" s="3" t="str">
        <f>HYPERLINK("https://panda.att.com.mx/ODKServer/view/binaryData?blobKey=FSSuministroFluidosv3%5B%40version%3Dnull+and+%40uiVersion%3Dnull%5D%2Fdata%5B%40key%3Duuid%3Ad70f0784-f0fb-4e21-856f-e812002fa611%5D%2FgroupInfoFuel%5B%40ordinal%3D1%5D%2FpicFuelRecibeInterno","Descargar")</f>
        <v>Descargar</v>
      </c>
    </row>
    <row r="1885" spans="1:18" x14ac:dyDescent="0.3">
      <c r="A1885">
        <v>1560482</v>
      </c>
      <c r="B1885" t="s">
        <v>18</v>
      </c>
      <c r="C1885" t="s">
        <v>28</v>
      </c>
      <c r="D1885" t="s">
        <v>66</v>
      </c>
      <c r="E1885" t="s">
        <v>1894</v>
      </c>
      <c r="F1885" t="s">
        <v>22</v>
      </c>
      <c r="G1885" t="s">
        <v>23</v>
      </c>
      <c r="H1885" t="s">
        <v>24</v>
      </c>
      <c r="I1885" t="s">
        <v>25</v>
      </c>
      <c r="J1885" s="2">
        <v>45826.642604166656</v>
      </c>
      <c r="K1885">
        <v>18</v>
      </c>
      <c r="L1885">
        <v>6</v>
      </c>
      <c r="M1885">
        <v>2025</v>
      </c>
      <c r="N1885" t="s">
        <v>44</v>
      </c>
      <c r="O1885">
        <v>40</v>
      </c>
      <c r="P1885">
        <v>40</v>
      </c>
      <c r="R1885" s="3" t="str">
        <f>HYPERLINK("https://panda.att.com.mx/ODKServer/view/binaryData?blobKey=FSSuministroFluidosv3%5B%40version%3Dnull+and+%40uiVersion%3Dnull%5D%2Fdata%5B%40key%3Duuid%3A59b2b70a-00c2-4c91-8004-f6d2f0807cba%5D%2FgroupInfoFuel%5B%40ordinal%3D1%5D%2FpicFuelRecibeInterno","Descargar")</f>
        <v>Descargar</v>
      </c>
    </row>
    <row r="1886" spans="1:18" x14ac:dyDescent="0.3">
      <c r="A1886">
        <v>1560481</v>
      </c>
      <c r="B1886" t="s">
        <v>18</v>
      </c>
      <c r="C1886" t="s">
        <v>28</v>
      </c>
      <c r="D1886" t="s">
        <v>66</v>
      </c>
      <c r="E1886" t="s">
        <v>104</v>
      </c>
      <c r="F1886" t="s">
        <v>22</v>
      </c>
      <c r="G1886" t="s">
        <v>23</v>
      </c>
      <c r="H1886" t="s">
        <v>24</v>
      </c>
      <c r="I1886" t="s">
        <v>25</v>
      </c>
      <c r="J1886" s="2">
        <v>45826.753148148149</v>
      </c>
      <c r="K1886">
        <v>18</v>
      </c>
      <c r="L1886">
        <v>6</v>
      </c>
      <c r="M1886">
        <v>2025</v>
      </c>
      <c r="N1886" t="s">
        <v>27</v>
      </c>
      <c r="O1886">
        <v>150</v>
      </c>
      <c r="P1886">
        <v>150</v>
      </c>
      <c r="R1886" s="3" t="str">
        <f>HYPERLINK("https://panda.att.com.mx/ODKServer/view/binaryData?blobKey=FSSuministroFluidosv3%5B%40version%3Dnull+and+%40uiVersion%3Dnull%5D%2Fdata%5B%40key%3Duuid%3A5bbbca82-16cb-4c39-b268-90460588670a%5D%2FgroupInfoFuel%5B%40ordinal%3D1%5D%2FpicFuelRecibeInterno","Descargar")</f>
        <v>Descargar</v>
      </c>
    </row>
    <row r="1887" spans="1:18" x14ac:dyDescent="0.3">
      <c r="A1887">
        <v>1560476</v>
      </c>
      <c r="B1887" t="s">
        <v>18</v>
      </c>
      <c r="C1887" t="s">
        <v>34</v>
      </c>
      <c r="D1887" t="s">
        <v>71</v>
      </c>
      <c r="E1887" t="s">
        <v>72</v>
      </c>
      <c r="F1887" t="s">
        <v>22</v>
      </c>
      <c r="G1887" t="s">
        <v>23</v>
      </c>
      <c r="H1887" t="s">
        <v>37</v>
      </c>
      <c r="I1887" t="s">
        <v>25</v>
      </c>
      <c r="J1887" s="2">
        <v>45826.418611111112</v>
      </c>
      <c r="K1887">
        <v>18</v>
      </c>
      <c r="L1887">
        <v>6</v>
      </c>
      <c r="M1887">
        <v>2025</v>
      </c>
      <c r="N1887" t="s">
        <v>27</v>
      </c>
      <c r="O1887">
        <v>450</v>
      </c>
      <c r="P1887">
        <v>450</v>
      </c>
      <c r="R1887" s="3" t="str">
        <f>HYPERLINK("https://panda.att.com.mx/ODKServer/view/binaryData?blobKey=FSSuministroFluidosv3%5B%40version%3Dnull+and+%40uiVersion%3Dnull%5D%2Fdata%5B%40key%3Duuid%3A5a246739-b133-41a2-9d15-de6c617f0e66%5D%2FgroupInfoFuel%5B%40ordinal%3D1%5D%2FpicFuelRecibeInterno","Descargar")</f>
        <v>Descargar</v>
      </c>
    </row>
    <row r="1888" spans="1:18" x14ac:dyDescent="0.3">
      <c r="A1888">
        <v>1560475</v>
      </c>
      <c r="B1888" t="s">
        <v>18</v>
      </c>
      <c r="C1888" t="s">
        <v>34</v>
      </c>
      <c r="D1888" t="s">
        <v>1895</v>
      </c>
      <c r="E1888" t="s">
        <v>1896</v>
      </c>
      <c r="F1888" t="s">
        <v>22</v>
      </c>
      <c r="G1888" t="s">
        <v>23</v>
      </c>
      <c r="H1888" t="s">
        <v>37</v>
      </c>
      <c r="I1888" t="s">
        <v>25</v>
      </c>
      <c r="J1888" s="2">
        <v>45826.559942129628</v>
      </c>
      <c r="K1888">
        <v>18</v>
      </c>
      <c r="L1888">
        <v>6</v>
      </c>
      <c r="M1888">
        <v>2025</v>
      </c>
      <c r="N1888" t="s">
        <v>27</v>
      </c>
      <c r="O1888">
        <v>400</v>
      </c>
      <c r="P1888">
        <v>400</v>
      </c>
      <c r="R1888" s="3" t="str">
        <f>HYPERLINK("https://panda.att.com.mx/ODKServer/view/binaryData?blobKey=FSSuministroFluidosv3%5B%40version%3Dnull+and+%40uiVersion%3Dnull%5D%2Fdata%5B%40key%3Duuid%3A728ce03f-613c-4187-ace0-455058ba30bc%5D%2FgroupInfoFuel%5B%40ordinal%3D1%5D%2FpicFuelRecibeInterno","Descargar")</f>
        <v>Descargar</v>
      </c>
    </row>
    <row r="1889" spans="1:18" x14ac:dyDescent="0.3">
      <c r="A1889">
        <v>1560463</v>
      </c>
      <c r="B1889" t="s">
        <v>18</v>
      </c>
      <c r="C1889" t="s">
        <v>34</v>
      </c>
      <c r="D1889" t="s">
        <v>121</v>
      </c>
      <c r="E1889" t="s">
        <v>1897</v>
      </c>
      <c r="F1889" t="s">
        <v>22</v>
      </c>
      <c r="G1889" t="s">
        <v>23</v>
      </c>
      <c r="H1889" t="s">
        <v>37</v>
      </c>
      <c r="I1889" t="s">
        <v>25</v>
      </c>
      <c r="J1889" s="2">
        <v>45826.632152777784</v>
      </c>
      <c r="K1889">
        <v>18</v>
      </c>
      <c r="L1889">
        <v>6</v>
      </c>
      <c r="M1889">
        <v>2025</v>
      </c>
      <c r="N1889" t="s">
        <v>44</v>
      </c>
      <c r="O1889">
        <v>50</v>
      </c>
      <c r="P1889">
        <v>50</v>
      </c>
      <c r="R1889" s="3" t="str">
        <f>HYPERLINK("https://panda.att.com.mx/ODKServer/view/binaryData?blobKey=FSSuministroFluidosv3%5B%40version%3Dnull+and+%40uiVersion%3Dnull%5D%2Fdata%5B%40key%3Duuid%3Aa0a980b1-fc3d-4f32-a090-a70aaf39e2e2%5D%2FgroupInfoFuel%5B%40ordinal%3D1%5D%2FpicFuelRecibeInterno","Descargar")</f>
        <v>Descargar</v>
      </c>
    </row>
    <row r="1890" spans="1:18" x14ac:dyDescent="0.3">
      <c r="A1890">
        <v>1560449</v>
      </c>
      <c r="B1890" t="s">
        <v>18</v>
      </c>
      <c r="C1890" t="s">
        <v>28</v>
      </c>
      <c r="D1890" t="s">
        <v>66</v>
      </c>
      <c r="E1890" t="s">
        <v>1024</v>
      </c>
      <c r="F1890" t="s">
        <v>22</v>
      </c>
      <c r="G1890" t="s">
        <v>23</v>
      </c>
      <c r="H1890" t="s">
        <v>24</v>
      </c>
      <c r="I1890" t="s">
        <v>25</v>
      </c>
      <c r="J1890" s="2">
        <v>45826.374861111108</v>
      </c>
      <c r="K1890">
        <v>18</v>
      </c>
      <c r="L1890">
        <v>6</v>
      </c>
      <c r="M1890">
        <v>2025</v>
      </c>
      <c r="N1890" t="s">
        <v>27</v>
      </c>
      <c r="O1890">
        <v>100</v>
      </c>
      <c r="P1890">
        <v>100</v>
      </c>
      <c r="R1890" s="3" t="str">
        <f>HYPERLINK("https://panda.att.com.mx/ODKServer/view/binaryData?blobKey=FSSuministroFluidosv3%5B%40version%3Dnull+and+%40uiVersion%3Dnull%5D%2Fdata%5B%40key%3Duuid%3Aca7f1466-abea-430a-95c0-00993cd5220c%5D%2FgroupInfoFuel%5B%40ordinal%3D1%5D%2FpicFuelRecibeInterno","Descargar")</f>
        <v>Descargar</v>
      </c>
    </row>
    <row r="1891" spans="1:18" x14ac:dyDescent="0.3">
      <c r="A1891">
        <v>1560438</v>
      </c>
      <c r="B1891" t="s">
        <v>18</v>
      </c>
      <c r="C1891" t="s">
        <v>59</v>
      </c>
      <c r="D1891" t="s">
        <v>233</v>
      </c>
      <c r="E1891" t="s">
        <v>1847</v>
      </c>
      <c r="F1891" t="s">
        <v>22</v>
      </c>
      <c r="G1891" t="s">
        <v>83</v>
      </c>
      <c r="H1891" t="s">
        <v>37</v>
      </c>
      <c r="I1891" t="s">
        <v>25</v>
      </c>
      <c r="J1891" s="2">
        <v>45826.475763888891</v>
      </c>
      <c r="K1891">
        <v>18</v>
      </c>
      <c r="L1891">
        <v>6</v>
      </c>
      <c r="M1891">
        <v>2025</v>
      </c>
      <c r="N1891" t="s">
        <v>27</v>
      </c>
      <c r="O1891">
        <v>600</v>
      </c>
      <c r="Q1891">
        <v>600</v>
      </c>
      <c r="R1891" s="3" t="str">
        <f>HYPERLINK("https://panda.att.com.mx/ODKServer/view/binaryData?blobKey=FSSuministroFluidosv3%5B%40version%3Dnull+and+%40uiVersion%3Dnull%5D%2Fdata%5B%40key%3Duuid%3A3ed87908-000b-404b-89a1-d586af6fde29%5D%2FgroupInfoFuel%5B%40ordinal%3D1%5D%2FpicFuelRecibeInterno","Descargar")</f>
        <v>Descargar</v>
      </c>
    </row>
    <row r="1892" spans="1:18" x14ac:dyDescent="0.3">
      <c r="A1892">
        <v>1560435</v>
      </c>
      <c r="B1892" t="s">
        <v>18</v>
      </c>
      <c r="C1892" t="s">
        <v>59</v>
      </c>
      <c r="D1892" t="s">
        <v>1242</v>
      </c>
      <c r="E1892" t="s">
        <v>1513</v>
      </c>
      <c r="F1892" t="s">
        <v>22</v>
      </c>
      <c r="G1892" t="s">
        <v>83</v>
      </c>
      <c r="H1892" t="s">
        <v>37</v>
      </c>
      <c r="I1892" t="s">
        <v>25</v>
      </c>
      <c r="J1892" s="2">
        <v>45826.632407407407</v>
      </c>
      <c r="K1892">
        <v>18</v>
      </c>
      <c r="L1892">
        <v>6</v>
      </c>
      <c r="M1892">
        <v>2025</v>
      </c>
      <c r="N1892" t="s">
        <v>27</v>
      </c>
      <c r="O1892">
        <v>150</v>
      </c>
      <c r="P1892">
        <v>150</v>
      </c>
      <c r="R1892" s="3" t="str">
        <f>HYPERLINK("https://panda.att.com.mx/ODKServer/view/binaryData?blobKey=FSSuministroFluidosv3%5B%40version%3Dnull+and+%40uiVersion%3Dnull%5D%2Fdata%5B%40key%3Duuid%3A1dd5571d-f455-4905-822f-c5ad09907e2f%5D%2FgroupInfoFuel%5B%40ordinal%3D1%5D%2FpicFuelRecibeInterno","Descargar")</f>
        <v>Descargar</v>
      </c>
    </row>
    <row r="1893" spans="1:18" x14ac:dyDescent="0.3">
      <c r="A1893">
        <v>1560397</v>
      </c>
      <c r="B1893" t="s">
        <v>18</v>
      </c>
      <c r="C1893" t="s">
        <v>19</v>
      </c>
      <c r="D1893" t="s">
        <v>109</v>
      </c>
      <c r="E1893" t="s">
        <v>1898</v>
      </c>
      <c r="F1893" t="s">
        <v>22</v>
      </c>
      <c r="G1893" t="s">
        <v>23</v>
      </c>
      <c r="H1893" t="s">
        <v>24</v>
      </c>
      <c r="I1893" t="s">
        <v>25</v>
      </c>
      <c r="J1893" s="2">
        <v>45811.659247685187</v>
      </c>
      <c r="K1893">
        <v>3</v>
      </c>
      <c r="L1893">
        <v>6</v>
      </c>
      <c r="M1893">
        <v>2025</v>
      </c>
      <c r="N1893" t="s">
        <v>44</v>
      </c>
      <c r="O1893">
        <v>15</v>
      </c>
      <c r="P1893">
        <v>15</v>
      </c>
      <c r="R1893" s="3" t="str">
        <f>HYPERLINK("https://panda.att.com.mx/ODKServer/view/binaryData?blobKey=FSSuministroFluidosv3%5B%40version%3Dnull+and+%40uiVersion%3Dnull%5D%2Fdata%5B%40key%3Duuid%3A4ea1771e-a3ec-4110-97f9-c6877be178f7%5D%2FgroupInfoFuel%5B%40ordinal%3D1%5D%2FpicFuelRecibeInterno","Descargar")</f>
        <v>Descargar</v>
      </c>
    </row>
    <row r="1894" spans="1:18" x14ac:dyDescent="0.3">
      <c r="A1894">
        <v>1560321</v>
      </c>
      <c r="B1894" t="s">
        <v>18</v>
      </c>
      <c r="C1894" t="s">
        <v>55</v>
      </c>
      <c r="D1894" t="s">
        <v>128</v>
      </c>
      <c r="E1894" t="s">
        <v>1899</v>
      </c>
      <c r="F1894" t="s">
        <v>22</v>
      </c>
      <c r="G1894" t="s">
        <v>23</v>
      </c>
      <c r="H1894" t="s">
        <v>58</v>
      </c>
      <c r="I1894" t="s">
        <v>25</v>
      </c>
      <c r="J1894" s="2">
        <v>45826.42359953704</v>
      </c>
      <c r="K1894">
        <v>18</v>
      </c>
      <c r="L1894">
        <v>6</v>
      </c>
      <c r="M1894">
        <v>2025</v>
      </c>
      <c r="N1894" t="s">
        <v>44</v>
      </c>
      <c r="O1894">
        <v>40</v>
      </c>
      <c r="P1894">
        <v>40</v>
      </c>
      <c r="R1894" s="3" t="str">
        <f>HYPERLINK("https://panda.att.com.mx/ODKServer/view/binaryData?blobKey=FSSuministroFluidosv3%5B%40version%3Dnull+and+%40uiVersion%3Dnull%5D%2Fdata%5B%40key%3Duuid%3Af1de1b68-2e21-4986-a57d-be2f04c9c3ab%5D%2FgroupInfoFuel%5B%40ordinal%3D1%5D%2FpicFuelRecibeInterno","Descargar")</f>
        <v>Descargar</v>
      </c>
    </row>
    <row r="1895" spans="1:18" x14ac:dyDescent="0.3">
      <c r="A1895">
        <v>1560253</v>
      </c>
      <c r="B1895" t="s">
        <v>18</v>
      </c>
      <c r="C1895" t="s">
        <v>59</v>
      </c>
      <c r="D1895" t="s">
        <v>636</v>
      </c>
      <c r="E1895" t="s">
        <v>1900</v>
      </c>
      <c r="F1895" t="s">
        <v>22</v>
      </c>
      <c r="G1895" t="s">
        <v>23</v>
      </c>
      <c r="H1895" t="s">
        <v>37</v>
      </c>
      <c r="I1895" t="s">
        <v>25</v>
      </c>
      <c r="J1895" s="2">
        <v>45826.457418981481</v>
      </c>
      <c r="K1895">
        <v>18</v>
      </c>
      <c r="L1895">
        <v>6</v>
      </c>
      <c r="M1895">
        <v>2025</v>
      </c>
      <c r="N1895" t="s">
        <v>27</v>
      </c>
      <c r="O1895">
        <v>200</v>
      </c>
      <c r="Q1895">
        <v>200</v>
      </c>
      <c r="R1895" s="3" t="str">
        <f>HYPERLINK("https://panda.att.com.mx/ODKServer/view/binaryData?blobKey=FSSuministroFluidosv3%5B%40version%3Dnull+and+%40uiVersion%3Dnull%5D%2Fdata%5B%40key%3Duuid%3A50ff0296-30c1-48aa-9d51-5203f081b7db%5D%2FgroupInfoFuel%5B%40ordinal%3D1%5D%2FpicFuelRecibeInterno","Descargar")</f>
        <v>Descargar</v>
      </c>
    </row>
    <row r="1896" spans="1:18" x14ac:dyDescent="0.3">
      <c r="A1896">
        <v>1560149</v>
      </c>
      <c r="B1896" t="s">
        <v>18</v>
      </c>
      <c r="C1896" t="s">
        <v>34</v>
      </c>
      <c r="D1896" t="s">
        <v>53</v>
      </c>
      <c r="E1896" t="s">
        <v>1901</v>
      </c>
      <c r="F1896" t="s">
        <v>22</v>
      </c>
      <c r="G1896" t="s">
        <v>23</v>
      </c>
      <c r="H1896" t="s">
        <v>37</v>
      </c>
      <c r="I1896" t="s">
        <v>25</v>
      </c>
      <c r="J1896" s="2">
        <v>45826.448287037027</v>
      </c>
      <c r="K1896">
        <v>18</v>
      </c>
      <c r="L1896">
        <v>6</v>
      </c>
      <c r="M1896">
        <v>2025</v>
      </c>
      <c r="N1896" t="s">
        <v>27</v>
      </c>
      <c r="O1896">
        <v>47.48</v>
      </c>
      <c r="P1896">
        <v>47.48</v>
      </c>
      <c r="R1896" s="3" t="str">
        <f>HYPERLINK("https://panda.att.com.mx/ODKServer/view/binaryData?blobKey=FSSuministroFluidosv3%5B%40version%3Dnull+and+%40uiVersion%3Dnull%5D%2Fdata%5B%40key%3Duuid%3A16e84e00-2e94-474f-8d6f-4c5a5fe9315e%5D%2FgroupInfoFuel%5B%40ordinal%3D1%5D%2FpicFuelRecibeInterno","Descargar")</f>
        <v>Descargar</v>
      </c>
    </row>
    <row r="1897" spans="1:18" x14ac:dyDescent="0.3">
      <c r="A1897">
        <v>1560145</v>
      </c>
      <c r="B1897" t="s">
        <v>18</v>
      </c>
      <c r="C1897" t="s">
        <v>34</v>
      </c>
      <c r="D1897" t="s">
        <v>53</v>
      </c>
      <c r="E1897" t="s">
        <v>1902</v>
      </c>
      <c r="F1897" t="s">
        <v>22</v>
      </c>
      <c r="G1897" t="s">
        <v>23</v>
      </c>
      <c r="H1897" t="s">
        <v>390</v>
      </c>
      <c r="I1897" t="s">
        <v>25</v>
      </c>
      <c r="J1897" s="2">
        <v>45826.472824074073</v>
      </c>
      <c r="K1897">
        <v>18</v>
      </c>
      <c r="L1897">
        <v>6</v>
      </c>
      <c r="M1897">
        <v>2025</v>
      </c>
      <c r="N1897" t="s">
        <v>27</v>
      </c>
      <c r="O1897">
        <v>250</v>
      </c>
      <c r="P1897">
        <v>250</v>
      </c>
      <c r="R1897" s="3" t="str">
        <f>HYPERLINK("https://panda.att.com.mx/ODKServer/view/binaryData?blobKey=FSSuministroFluidosv3%5B%40version%3Dnull+and+%40uiVersion%3Dnull%5D%2Fdata%5B%40key%3Duuid%3A99e808ea-d282-493d-b235-e105d72d3f27%5D%2FgroupInfoFuel%5B%40ordinal%3D1%5D%2FpicFuelRecibeInterno","Descargar")</f>
        <v>Descargar</v>
      </c>
    </row>
    <row r="1898" spans="1:18" x14ac:dyDescent="0.3">
      <c r="A1898">
        <v>1560144</v>
      </c>
      <c r="B1898" t="s">
        <v>18</v>
      </c>
      <c r="C1898" t="s">
        <v>34</v>
      </c>
      <c r="D1898" t="s">
        <v>53</v>
      </c>
      <c r="E1898" t="s">
        <v>1903</v>
      </c>
      <c r="F1898" t="s">
        <v>22</v>
      </c>
      <c r="G1898" t="s">
        <v>23</v>
      </c>
      <c r="H1898" t="s">
        <v>390</v>
      </c>
      <c r="I1898" t="s">
        <v>25</v>
      </c>
      <c r="J1898" s="2">
        <v>45824.466689814813</v>
      </c>
      <c r="K1898">
        <v>16</v>
      </c>
      <c r="L1898">
        <v>6</v>
      </c>
      <c r="M1898">
        <v>2025</v>
      </c>
      <c r="N1898" t="s">
        <v>27</v>
      </c>
      <c r="O1898">
        <v>100</v>
      </c>
      <c r="P1898">
        <v>100</v>
      </c>
      <c r="R1898" s="3" t="str">
        <f>HYPERLINK("https://panda.att.com.mx/ODKServer/view/binaryData?blobKey=FSSuministroFluidosv3%5B%40version%3Dnull+and+%40uiVersion%3Dnull%5D%2Fdata%5B%40key%3Duuid%3A40d93e65-9db0-4a30-9083-d5d668c95cf9%5D%2FgroupInfoFuel%5B%40ordinal%3D1%5D%2FpicFuelRecibeInterno","Descargar")</f>
        <v>Descargar</v>
      </c>
    </row>
    <row r="1899" spans="1:18" x14ac:dyDescent="0.3">
      <c r="A1899">
        <v>1560143</v>
      </c>
      <c r="B1899" t="s">
        <v>18</v>
      </c>
      <c r="C1899" t="s">
        <v>34</v>
      </c>
      <c r="D1899" t="s">
        <v>53</v>
      </c>
      <c r="E1899" t="s">
        <v>1904</v>
      </c>
      <c r="F1899" t="s">
        <v>22</v>
      </c>
      <c r="G1899" t="s">
        <v>23</v>
      </c>
      <c r="H1899" t="s">
        <v>390</v>
      </c>
      <c r="I1899" t="s">
        <v>25</v>
      </c>
      <c r="J1899" s="2">
        <v>45824.430937500001</v>
      </c>
      <c r="K1899">
        <v>16</v>
      </c>
      <c r="L1899">
        <v>6</v>
      </c>
      <c r="M1899">
        <v>2025</v>
      </c>
      <c r="N1899" t="s">
        <v>27</v>
      </c>
      <c r="O1899">
        <v>100</v>
      </c>
      <c r="P1899">
        <v>100</v>
      </c>
      <c r="R1899" s="3" t="str">
        <f>HYPERLINK("https://panda.att.com.mx/ODKServer/view/binaryData?blobKey=FSSuministroFluidosv3%5B%40version%3Dnull+and+%40uiVersion%3Dnull%5D%2Fdata%5B%40key%3Duuid%3A51cc11cf-33eb-474c-b001-ead1e1ca565a%5D%2FgroupInfoFuel%5B%40ordinal%3D1%5D%2FpicFuelRecibeInterno","Descargar")</f>
        <v>Descargar</v>
      </c>
    </row>
    <row r="1900" spans="1:18" x14ac:dyDescent="0.3">
      <c r="A1900">
        <v>1560123</v>
      </c>
      <c r="B1900" t="s">
        <v>18</v>
      </c>
      <c r="C1900" t="s">
        <v>150</v>
      </c>
      <c r="D1900" t="s">
        <v>230</v>
      </c>
      <c r="E1900" t="s">
        <v>1510</v>
      </c>
      <c r="F1900" t="s">
        <v>22</v>
      </c>
      <c r="G1900" t="s">
        <v>23</v>
      </c>
      <c r="H1900" t="s">
        <v>58</v>
      </c>
      <c r="I1900" t="s">
        <v>25</v>
      </c>
      <c r="J1900" s="2">
        <v>45826.487210648149</v>
      </c>
      <c r="K1900">
        <v>18</v>
      </c>
      <c r="L1900">
        <v>6</v>
      </c>
      <c r="M1900">
        <v>2025</v>
      </c>
      <c r="N1900" t="s">
        <v>27</v>
      </c>
      <c r="O1900">
        <v>350</v>
      </c>
      <c r="P1900">
        <v>350</v>
      </c>
      <c r="R1900" s="3" t="str">
        <f>HYPERLINK("https://panda.att.com.mx/ODKServer/view/binaryData?blobKey=FSSuministroFluidosv3%5B%40version%3Dnull+and+%40uiVersion%3Dnull%5D%2Fdata%5B%40key%3Duuid%3Ab4534248-02ba-46bf-8a67-a068256ba83d%5D%2FgroupInfoFuel%5B%40ordinal%3D1%5D%2FpicFuelRecibeInterno","Descargar")</f>
        <v>Descargar</v>
      </c>
    </row>
    <row r="1901" spans="1:18" x14ac:dyDescent="0.3">
      <c r="A1901">
        <v>1560114</v>
      </c>
      <c r="B1901" t="s">
        <v>18</v>
      </c>
      <c r="C1901" t="s">
        <v>183</v>
      </c>
      <c r="D1901" t="s">
        <v>305</v>
      </c>
      <c r="E1901" t="s">
        <v>1879</v>
      </c>
      <c r="F1901" t="s">
        <v>22</v>
      </c>
      <c r="G1901" t="s">
        <v>47</v>
      </c>
      <c r="H1901" t="s">
        <v>24</v>
      </c>
      <c r="I1901" t="s">
        <v>25</v>
      </c>
      <c r="J1901" s="2">
        <v>45826.548182870371</v>
      </c>
      <c r="K1901">
        <v>18</v>
      </c>
      <c r="L1901">
        <v>6</v>
      </c>
      <c r="M1901">
        <v>2025</v>
      </c>
      <c r="N1901" t="s">
        <v>44</v>
      </c>
      <c r="O1901">
        <v>54</v>
      </c>
      <c r="P1901">
        <v>54</v>
      </c>
      <c r="R1901" s="3" t="str">
        <f>HYPERLINK("https://panda.att.com.mx/ODKServer/view/binaryData?blobKey=FSSuministroFluidosv3%5B%40version%3Dnull+and+%40uiVersion%3Dnull%5D%2Fdata%5B%40key%3Duuid%3Aa12bf69d-590a-4f23-a262-64b27b983642%5D%2FgroupInfoFuel%5B%40ordinal%3D1%5D%2FpicFuelRecibeInterno","Descargar")</f>
        <v>Descargar</v>
      </c>
    </row>
    <row r="1902" spans="1:18" x14ac:dyDescent="0.3">
      <c r="A1902">
        <v>1559421</v>
      </c>
      <c r="B1902" t="s">
        <v>18</v>
      </c>
      <c r="C1902" t="s">
        <v>19</v>
      </c>
      <c r="D1902" t="s">
        <v>40</v>
      </c>
      <c r="E1902" t="s">
        <v>1905</v>
      </c>
      <c r="F1902" t="s">
        <v>22</v>
      </c>
      <c r="G1902" t="s">
        <v>23</v>
      </c>
      <c r="H1902" t="s">
        <v>24</v>
      </c>
      <c r="I1902" t="s">
        <v>25</v>
      </c>
      <c r="J1902" s="2">
        <v>45823.856828703712</v>
      </c>
      <c r="K1902">
        <v>15</v>
      </c>
      <c r="L1902">
        <v>6</v>
      </c>
      <c r="M1902">
        <v>2025</v>
      </c>
      <c r="N1902" t="s">
        <v>44</v>
      </c>
      <c r="O1902">
        <v>30</v>
      </c>
      <c r="P1902">
        <v>30</v>
      </c>
      <c r="R1902" s="3" t="str">
        <f>HYPERLINK("https://panda.att.com.mx/ODKServer/view/binaryData?blobKey=FSSuministroFluidosv3%5B%40version%3Dnull+and+%40uiVersion%3Dnull%5D%2Fdata%5B%40key%3Duuid%3A46ae4000-6dfd-4077-864a-57b1841aadef%5D%2FgroupInfoFuel%5B%40ordinal%3D1%5D%2FpicFuelRecibeInterno","Descargar")</f>
        <v>Descargar</v>
      </c>
    </row>
    <row r="1903" spans="1:18" x14ac:dyDescent="0.3">
      <c r="A1903">
        <v>1559389</v>
      </c>
      <c r="B1903" t="s">
        <v>18</v>
      </c>
      <c r="C1903" t="s">
        <v>34</v>
      </c>
      <c r="D1903" t="s">
        <v>53</v>
      </c>
      <c r="E1903" t="s">
        <v>1743</v>
      </c>
      <c r="F1903" t="s">
        <v>22</v>
      </c>
      <c r="G1903" t="s">
        <v>23</v>
      </c>
      <c r="H1903" t="s">
        <v>37</v>
      </c>
      <c r="I1903" t="s">
        <v>25</v>
      </c>
      <c r="J1903" s="2">
        <v>45825.5783912037</v>
      </c>
      <c r="K1903">
        <v>17</v>
      </c>
      <c r="L1903">
        <v>6</v>
      </c>
      <c r="M1903">
        <v>2025</v>
      </c>
      <c r="N1903" t="s">
        <v>27</v>
      </c>
      <c r="O1903">
        <v>750</v>
      </c>
      <c r="Q1903">
        <v>750</v>
      </c>
      <c r="R1903" s="3" t="str">
        <f>HYPERLINK("https://panda.att.com.mx/ODKServer/view/binaryData?blobKey=FSSuministroFluidosv3%5B%40version%3Dnull+and+%40uiVersion%3Dnull%5D%2Fdata%5B%40key%3Duuid%3Aa217ca48-b6b8-4dcf-992d-2588f36e7091%5D%2FgroupInfoFuel%5B%40ordinal%3D1%5D%2FpicFuelRecibeInterno","Descargar")</f>
        <v>Descargar</v>
      </c>
    </row>
    <row r="1904" spans="1:18" x14ac:dyDescent="0.3">
      <c r="A1904">
        <v>1559286</v>
      </c>
      <c r="B1904" t="s">
        <v>18</v>
      </c>
      <c r="C1904" t="s">
        <v>55</v>
      </c>
      <c r="D1904" t="s">
        <v>128</v>
      </c>
      <c r="E1904" t="s">
        <v>1906</v>
      </c>
      <c r="F1904" t="s">
        <v>22</v>
      </c>
      <c r="G1904" t="s">
        <v>23</v>
      </c>
      <c r="H1904" t="s">
        <v>58</v>
      </c>
      <c r="I1904" t="s">
        <v>25</v>
      </c>
      <c r="J1904" s="2">
        <v>45825.425902777781</v>
      </c>
      <c r="K1904">
        <v>17</v>
      </c>
      <c r="L1904">
        <v>6</v>
      </c>
      <c r="M1904">
        <v>2025</v>
      </c>
      <c r="N1904" t="s">
        <v>27</v>
      </c>
      <c r="O1904">
        <v>350</v>
      </c>
      <c r="P1904">
        <v>350</v>
      </c>
      <c r="R1904" s="3" t="str">
        <f>HYPERLINK("https://panda.att.com.mx/ODKServer/view/binaryData?blobKey=FSSuministroFluidosv3%5B%40version%3Dnull+and+%40uiVersion%3Dnull%5D%2Fdata%5B%40key%3Duuid%3A1cf03096-3d50-49be-bfe0-d34dc10f6591%5D%2FgroupInfoFuel%5B%40ordinal%3D1%5D%2FpicFuelRecibeInterno","Descargar")</f>
        <v>Descargar</v>
      </c>
    </row>
    <row r="1905" spans="1:18" x14ac:dyDescent="0.3">
      <c r="A1905">
        <v>1559264</v>
      </c>
      <c r="B1905" t="s">
        <v>18</v>
      </c>
      <c r="C1905" t="s">
        <v>68</v>
      </c>
      <c r="D1905" t="s">
        <v>91</v>
      </c>
      <c r="E1905" t="s">
        <v>464</v>
      </c>
      <c r="F1905" t="s">
        <v>22</v>
      </c>
      <c r="G1905" t="s">
        <v>83</v>
      </c>
      <c r="H1905" t="s">
        <v>37</v>
      </c>
      <c r="I1905" t="s">
        <v>25</v>
      </c>
      <c r="J1905" s="2">
        <v>45825.504328703697</v>
      </c>
      <c r="K1905">
        <v>17</v>
      </c>
      <c r="L1905">
        <v>6</v>
      </c>
      <c r="M1905">
        <v>2025</v>
      </c>
      <c r="N1905" t="s">
        <v>27</v>
      </c>
      <c r="O1905">
        <v>250</v>
      </c>
      <c r="Q1905">
        <v>250</v>
      </c>
      <c r="R1905" s="3" t="str">
        <f>HYPERLINK("https://panda.att.com.mx/ODKServer/view/binaryData?blobKey=FSSuministroFluidosv3%5B%40version%3Dnull+and+%40uiVersion%3Dnull%5D%2Fdata%5B%40key%3Duuid%3Aabd77d15-f068-4674-ab65-fcdb252f68fc%5D%2FgroupInfoFuel%5B%40ordinal%3D1%5D%2FpicFuelRecibeInterno","Descargar")</f>
        <v>Descargar</v>
      </c>
    </row>
    <row r="1906" spans="1:18" x14ac:dyDescent="0.3">
      <c r="A1906">
        <v>1559229</v>
      </c>
      <c r="B1906" t="s">
        <v>18</v>
      </c>
      <c r="C1906" t="s">
        <v>183</v>
      </c>
      <c r="D1906" t="s">
        <v>305</v>
      </c>
      <c r="E1906" t="s">
        <v>1879</v>
      </c>
      <c r="F1906" t="s">
        <v>22</v>
      </c>
      <c r="G1906" t="s">
        <v>47</v>
      </c>
      <c r="H1906" t="s">
        <v>24</v>
      </c>
      <c r="I1906" t="s">
        <v>25</v>
      </c>
      <c r="J1906" s="2">
        <v>45825.420648148152</v>
      </c>
      <c r="K1906">
        <v>17</v>
      </c>
      <c r="L1906">
        <v>6</v>
      </c>
      <c r="M1906">
        <v>2025</v>
      </c>
      <c r="N1906" t="s">
        <v>44</v>
      </c>
      <c r="O1906">
        <v>56</v>
      </c>
      <c r="P1906">
        <v>56</v>
      </c>
      <c r="R1906" s="3" t="str">
        <f>HYPERLINK("https://panda.att.com.mx/ODKServer/view/binaryData?blobKey=FSSuministroFluidosv3%5B%40version%3Dnull+and+%40uiVersion%3Dnull%5D%2Fdata%5B%40key%3Duuid%3A04fd59c0-9399-4b71-88c9-b83d718cfe31%5D%2FgroupInfoFuel%5B%40ordinal%3D1%5D%2FpicFuelRecibeInterno","Descargar")</f>
        <v>Descargar</v>
      </c>
    </row>
    <row r="1907" spans="1:18" x14ac:dyDescent="0.3">
      <c r="A1907">
        <v>1559201</v>
      </c>
      <c r="B1907" t="s">
        <v>18</v>
      </c>
      <c r="C1907" t="s">
        <v>19</v>
      </c>
      <c r="D1907" t="s">
        <v>20</v>
      </c>
      <c r="E1907" t="s">
        <v>1394</v>
      </c>
      <c r="F1907" t="s">
        <v>22</v>
      </c>
      <c r="G1907" t="s">
        <v>23</v>
      </c>
      <c r="H1907" t="s">
        <v>24</v>
      </c>
      <c r="I1907" t="s">
        <v>25</v>
      </c>
      <c r="J1907" s="2">
        <v>45817.646168981482</v>
      </c>
      <c r="K1907">
        <v>9</v>
      </c>
      <c r="L1907">
        <v>6</v>
      </c>
      <c r="M1907">
        <v>2025</v>
      </c>
      <c r="N1907" t="s">
        <v>27</v>
      </c>
      <c r="O1907">
        <v>100</v>
      </c>
      <c r="P1907">
        <v>100</v>
      </c>
      <c r="R1907" s="3" t="str">
        <f>HYPERLINK("https://panda.att.com.mx/ODKServer/view/binaryData?blobKey=FSSuministroFluidosv3%5B%40version%3Dnull+and+%40uiVersion%3Dnull%5D%2Fdata%5B%40key%3Duuid%3A44365e60-9a57-44e6-9f92-cfec9c09dd96%5D%2FgroupInfoFuel%5B%40ordinal%3D1%5D%2FpicFuelRecibeInterno","Descargar")</f>
        <v>Descargar</v>
      </c>
    </row>
    <row r="1908" spans="1:18" x14ac:dyDescent="0.3">
      <c r="A1908">
        <v>1559134</v>
      </c>
      <c r="B1908" t="s">
        <v>18</v>
      </c>
      <c r="C1908" t="s">
        <v>55</v>
      </c>
      <c r="D1908" t="s">
        <v>89</v>
      </c>
      <c r="E1908" t="s">
        <v>1834</v>
      </c>
      <c r="F1908" t="s">
        <v>22</v>
      </c>
      <c r="G1908" t="s">
        <v>23</v>
      </c>
      <c r="H1908" t="s">
        <v>58</v>
      </c>
      <c r="I1908" t="s">
        <v>25</v>
      </c>
      <c r="J1908" s="2">
        <v>45825.446817129632</v>
      </c>
      <c r="K1908">
        <v>17</v>
      </c>
      <c r="L1908">
        <v>6</v>
      </c>
      <c r="M1908">
        <v>2025</v>
      </c>
      <c r="N1908" t="s">
        <v>27</v>
      </c>
      <c r="O1908">
        <v>100</v>
      </c>
      <c r="P1908">
        <v>100</v>
      </c>
      <c r="R1908" s="3" t="str">
        <f>HYPERLINK("https://panda.att.com.mx/ODKServer/view/binaryData?blobKey=FSSuministroFluidosv3%5B%40version%3Dnull+and+%40uiVersion%3Dnull%5D%2Fdata%5B%40key%3Duuid%3Ac312a090-4039-47b5-9dfb-2210c5972ed9%5D%2FgroupInfoFuel%5B%40ordinal%3D1%5D%2FpicFuelRecibeInterno","Descargar")</f>
        <v>Descargar</v>
      </c>
    </row>
    <row r="1909" spans="1:18" x14ac:dyDescent="0.3">
      <c r="A1909">
        <v>1559110</v>
      </c>
      <c r="B1909" t="s">
        <v>18</v>
      </c>
      <c r="C1909" t="s">
        <v>59</v>
      </c>
      <c r="D1909" t="s">
        <v>307</v>
      </c>
      <c r="E1909" t="s">
        <v>1907</v>
      </c>
      <c r="F1909" t="s">
        <v>22</v>
      </c>
      <c r="G1909" t="s">
        <v>47</v>
      </c>
      <c r="H1909" t="s">
        <v>37</v>
      </c>
      <c r="I1909" t="s">
        <v>25</v>
      </c>
      <c r="J1909" s="2">
        <v>45824.472777777781</v>
      </c>
      <c r="K1909">
        <v>16</v>
      </c>
      <c r="L1909">
        <v>6</v>
      </c>
      <c r="M1909">
        <v>2025</v>
      </c>
      <c r="N1909" t="s">
        <v>27</v>
      </c>
      <c r="O1909">
        <v>200</v>
      </c>
      <c r="P1909">
        <v>200</v>
      </c>
      <c r="R1909" s="3" t="str">
        <f>HYPERLINK("https://panda.att.com.mx/ODKServer/view/binaryData?blobKey=FSSuministroFluidosv3%5B%40version%3Dnull+and+%40uiVersion%3Dnull%5D%2Fdata%5B%40key%3Duuid%3A605d9ea2-d173-4d72-b7c3-c5aa7d4be3b5%5D%2FgroupInfoFuel%5B%40ordinal%3D1%5D%2FpicFuelRecibeInterno","Descargar")</f>
        <v>Descargar</v>
      </c>
    </row>
    <row r="1910" spans="1:18" x14ac:dyDescent="0.3">
      <c r="A1910">
        <v>1558934</v>
      </c>
      <c r="B1910" t="s">
        <v>18</v>
      </c>
      <c r="C1910" t="s">
        <v>55</v>
      </c>
      <c r="D1910" t="s">
        <v>56</v>
      </c>
      <c r="E1910" t="s">
        <v>1908</v>
      </c>
      <c r="F1910" t="s">
        <v>22</v>
      </c>
      <c r="G1910" t="s">
        <v>23</v>
      </c>
      <c r="H1910" t="s">
        <v>58</v>
      </c>
      <c r="I1910" t="s">
        <v>25</v>
      </c>
      <c r="J1910" s="2">
        <v>45819.427048611113</v>
      </c>
      <c r="K1910">
        <v>11</v>
      </c>
      <c r="L1910">
        <v>6</v>
      </c>
      <c r="M1910">
        <v>2025</v>
      </c>
      <c r="N1910" t="s">
        <v>27</v>
      </c>
      <c r="O1910">
        <v>270</v>
      </c>
      <c r="P1910">
        <v>270</v>
      </c>
      <c r="R1910" s="3" t="str">
        <f>HYPERLINK("https://panda.att.com.mx/ODKServer/view/binaryData?blobKey=FSSuministroFluidosv3%5B%40version%3Dnull+and+%40uiVersion%3Dnull%5D%2Fdata%5B%40key%3Duuid%3Af16ef297-b472-4202-9aff-ca62f75c49b7%5D%2FgroupInfoFuel%5B%40ordinal%3D1%5D%2FpicFuelRecibeInterno","Descargar")</f>
        <v>Descargar</v>
      </c>
    </row>
    <row r="1911" spans="1:18" x14ac:dyDescent="0.3">
      <c r="A1911">
        <v>1558930</v>
      </c>
      <c r="B1911" t="s">
        <v>18</v>
      </c>
      <c r="C1911" t="s">
        <v>55</v>
      </c>
      <c r="D1911" t="s">
        <v>56</v>
      </c>
      <c r="E1911" t="s">
        <v>1714</v>
      </c>
      <c r="F1911" t="s">
        <v>22</v>
      </c>
      <c r="G1911" t="s">
        <v>23</v>
      </c>
      <c r="H1911" t="s">
        <v>58</v>
      </c>
      <c r="I1911" t="s">
        <v>25</v>
      </c>
      <c r="J1911" s="2">
        <v>45824.870740740742</v>
      </c>
      <c r="K1911">
        <v>16</v>
      </c>
      <c r="L1911">
        <v>6</v>
      </c>
      <c r="M1911">
        <v>2025</v>
      </c>
      <c r="N1911" t="s">
        <v>27</v>
      </c>
      <c r="O1911">
        <v>150</v>
      </c>
      <c r="P1911">
        <v>150</v>
      </c>
      <c r="R1911" s="3" t="str">
        <f>HYPERLINK("https://panda.att.com.mx/ODKServer/view/binaryData?blobKey=FSSuministroFluidosv3%5B%40version%3Dnull+and+%40uiVersion%3Dnull%5D%2Fdata%5B%40key%3Duuid%3A4203be62-9278-44c1-9287-0bb01b61a533%5D%2FgroupInfoFuel%5B%40ordinal%3D1%5D%2FpicFuelRecibeInterno","Descargar")</f>
        <v>Descargar</v>
      </c>
    </row>
    <row r="1912" spans="1:18" x14ac:dyDescent="0.3">
      <c r="A1912">
        <v>1558928</v>
      </c>
      <c r="B1912" t="s">
        <v>18</v>
      </c>
      <c r="C1912" t="s">
        <v>55</v>
      </c>
      <c r="D1912" t="s">
        <v>56</v>
      </c>
      <c r="E1912" t="s">
        <v>320</v>
      </c>
      <c r="F1912" t="s">
        <v>22</v>
      </c>
      <c r="G1912" t="s">
        <v>23</v>
      </c>
      <c r="H1912" t="s">
        <v>58</v>
      </c>
      <c r="I1912" t="s">
        <v>25</v>
      </c>
      <c r="J1912" s="2">
        <v>45824.794085648151</v>
      </c>
      <c r="K1912">
        <v>16</v>
      </c>
      <c r="L1912">
        <v>6</v>
      </c>
      <c r="M1912">
        <v>2025</v>
      </c>
      <c r="N1912" t="s">
        <v>27</v>
      </c>
      <c r="O1912">
        <v>300</v>
      </c>
      <c r="P1912">
        <v>300</v>
      </c>
      <c r="R1912" s="3" t="str">
        <f>HYPERLINK("https://panda.att.com.mx/ODKServer/view/binaryData?blobKey=FSSuministroFluidosv3%5B%40version%3Dnull+and+%40uiVersion%3Dnull%5D%2Fdata%5B%40key%3Duuid%3A42354569-5a3a-49b5-a782-4e5010dc3726%5D%2FgroupInfoFuel%5B%40ordinal%3D1%5D%2FpicFuelRecibeInterno","Descargar")</f>
        <v>Descargar</v>
      </c>
    </row>
    <row r="1913" spans="1:18" x14ac:dyDescent="0.3">
      <c r="A1913">
        <v>1558922</v>
      </c>
      <c r="B1913" t="s">
        <v>18</v>
      </c>
      <c r="C1913" t="s">
        <v>34</v>
      </c>
      <c r="D1913" t="s">
        <v>53</v>
      </c>
      <c r="E1913" t="s">
        <v>1909</v>
      </c>
      <c r="F1913" t="s">
        <v>22</v>
      </c>
      <c r="G1913" t="s">
        <v>23</v>
      </c>
      <c r="H1913" t="s">
        <v>37</v>
      </c>
      <c r="I1913" t="s">
        <v>25</v>
      </c>
      <c r="J1913" s="2">
        <v>45824.808958333328</v>
      </c>
      <c r="K1913">
        <v>16</v>
      </c>
      <c r="L1913">
        <v>6</v>
      </c>
      <c r="M1913">
        <v>2025</v>
      </c>
      <c r="N1913" t="s">
        <v>27</v>
      </c>
      <c r="O1913">
        <v>250</v>
      </c>
      <c r="P1913">
        <v>250</v>
      </c>
      <c r="R1913" s="3" t="str">
        <f>HYPERLINK("https://panda.att.com.mx/ODKServer/view/binaryData?blobKey=FSSuministroFluidosv3%5B%40version%3Dnull+and+%40uiVersion%3Dnull%5D%2Fdata%5B%40key%3Duuid%3A8735f90a-8058-4e31-8b16-7d366412f865%5D%2FgroupInfoFuel%5B%40ordinal%3D1%5D%2FpicFuelRecibeInterno","Descargar")</f>
        <v>Descargar</v>
      </c>
    </row>
    <row r="1914" spans="1:18" x14ac:dyDescent="0.3">
      <c r="A1914">
        <v>1558900</v>
      </c>
      <c r="B1914" t="s">
        <v>18</v>
      </c>
      <c r="C1914" t="s">
        <v>59</v>
      </c>
      <c r="D1914" t="s">
        <v>60</v>
      </c>
      <c r="E1914" t="s">
        <v>1729</v>
      </c>
      <c r="F1914" t="s">
        <v>22</v>
      </c>
      <c r="G1914" t="s">
        <v>47</v>
      </c>
      <c r="H1914" t="s">
        <v>37</v>
      </c>
      <c r="I1914" t="s">
        <v>25</v>
      </c>
      <c r="J1914" s="2">
        <v>45824.768553240741</v>
      </c>
      <c r="K1914">
        <v>16</v>
      </c>
      <c r="L1914">
        <v>6</v>
      </c>
      <c r="M1914">
        <v>2025</v>
      </c>
      <c r="N1914" t="s">
        <v>27</v>
      </c>
      <c r="O1914">
        <v>60.07</v>
      </c>
      <c r="P1914">
        <v>60.07</v>
      </c>
      <c r="R1914" s="3" t="str">
        <f>HYPERLINK("https://panda.att.com.mx/ODKServer/view/binaryData?blobKey=FSSuministroFluidosv3%5B%40version%3Dnull+and+%40uiVersion%3Dnull%5D%2Fdata%5B%40key%3Duuid%3Aa69927b8-4281-4174-b945-686bb8f1ad12%5D%2FgroupInfoFuel%5B%40ordinal%3D1%5D%2FpicFuelRecibeInterno","Descargar")</f>
        <v>Descargar</v>
      </c>
    </row>
    <row r="1915" spans="1:18" x14ac:dyDescent="0.3">
      <c r="A1915">
        <v>1558887</v>
      </c>
      <c r="B1915" t="s">
        <v>18</v>
      </c>
      <c r="C1915" t="s">
        <v>59</v>
      </c>
      <c r="D1915" t="s">
        <v>60</v>
      </c>
      <c r="E1915" t="s">
        <v>1312</v>
      </c>
      <c r="F1915" t="s">
        <v>22</v>
      </c>
      <c r="G1915" t="s">
        <v>47</v>
      </c>
      <c r="H1915" t="s">
        <v>37</v>
      </c>
      <c r="I1915" t="s">
        <v>25</v>
      </c>
      <c r="J1915" s="2">
        <v>45823.624826388892</v>
      </c>
      <c r="K1915">
        <v>15</v>
      </c>
      <c r="L1915">
        <v>6</v>
      </c>
      <c r="M1915">
        <v>2025</v>
      </c>
      <c r="N1915" t="s">
        <v>27</v>
      </c>
      <c r="O1915">
        <v>57.51</v>
      </c>
      <c r="P1915">
        <v>57.51</v>
      </c>
      <c r="R1915" s="3" t="str">
        <f>HYPERLINK("https://panda.att.com.mx/ODKServer/view/binaryData?blobKey=FSSuministroFluidosv3%5B%40version%3Dnull+and+%40uiVersion%3Dnull%5D%2Fdata%5B%40key%3Duuid%3A9c33f762-b3bc-4eda-bec2-b47d518e7bd7%5D%2FgroupInfoFuel%5B%40ordinal%3D1%5D%2FpicFuelRecibeInterno","Descargar")</f>
        <v>Descargar</v>
      </c>
    </row>
    <row r="1916" spans="1:18" x14ac:dyDescent="0.3">
      <c r="A1916">
        <v>1558877</v>
      </c>
      <c r="B1916" t="s">
        <v>18</v>
      </c>
      <c r="C1916" t="s">
        <v>59</v>
      </c>
      <c r="D1916" t="s">
        <v>60</v>
      </c>
      <c r="E1916" t="s">
        <v>1910</v>
      </c>
      <c r="F1916" t="s">
        <v>1911</v>
      </c>
      <c r="G1916" t="s">
        <v>47</v>
      </c>
      <c r="H1916" t="s">
        <v>37</v>
      </c>
      <c r="I1916" t="s">
        <v>25</v>
      </c>
      <c r="J1916" s="2">
        <v>45823.506956018522</v>
      </c>
      <c r="K1916">
        <v>15</v>
      </c>
      <c r="L1916">
        <v>6</v>
      </c>
      <c r="M1916">
        <v>2025</v>
      </c>
      <c r="N1916" t="s">
        <v>27</v>
      </c>
      <c r="O1916">
        <v>90</v>
      </c>
      <c r="P1916">
        <v>90</v>
      </c>
      <c r="R1916" s="3" t="str">
        <f>HYPERLINK("https://panda.att.com.mx/ODKServer/view/binaryData?blobKey=FSSuministroFluidosv3%5B%40version%3Dnull+and+%40uiVersion%3Dnull%5D%2Fdata%5B%40key%3Duuid%3A623b6395-987e-4f18-a235-a005dcb17200%5D%2FgroupInfoFuel%5B%40ordinal%3D1%5D%2FpicFuelRecibeInterno","Descargar")</f>
        <v>Descargar</v>
      </c>
    </row>
    <row r="1917" spans="1:18" x14ac:dyDescent="0.3">
      <c r="A1917">
        <v>1558859</v>
      </c>
      <c r="B1917" t="s">
        <v>18</v>
      </c>
      <c r="C1917" t="s">
        <v>68</v>
      </c>
      <c r="D1917" t="s">
        <v>116</v>
      </c>
      <c r="E1917" t="s">
        <v>603</v>
      </c>
      <c r="F1917" t="s">
        <v>22</v>
      </c>
      <c r="G1917" t="s">
        <v>23</v>
      </c>
      <c r="H1917" t="s">
        <v>37</v>
      </c>
      <c r="I1917" t="s">
        <v>25</v>
      </c>
      <c r="J1917" s="2">
        <v>45822.381840277783</v>
      </c>
      <c r="K1917">
        <v>14</v>
      </c>
      <c r="L1917">
        <v>6</v>
      </c>
      <c r="M1917">
        <v>2025</v>
      </c>
      <c r="N1917" t="s">
        <v>27</v>
      </c>
      <c r="O1917">
        <v>200</v>
      </c>
      <c r="P1917">
        <v>200</v>
      </c>
      <c r="R1917" s="3" t="str">
        <f>HYPERLINK("https://panda.att.com.mx/ODKServer/view/binaryData?blobKey=FSSuministroFluidosv3%5B%40version%3Dnull+and+%40uiVersion%3Dnull%5D%2Fdata%5B%40key%3Duuid%3Ad0b3b982-9cfb-4706-afb4-7e00c7cfdcbe%5D%2FgroupInfoFuel%5B%40ordinal%3D1%5D%2FpicFuelRecibeInterno","Descargar")</f>
        <v>Descargar</v>
      </c>
    </row>
    <row r="1918" spans="1:18" x14ac:dyDescent="0.3">
      <c r="A1918">
        <v>1558803</v>
      </c>
      <c r="B1918" t="s">
        <v>18</v>
      </c>
      <c r="C1918" t="s">
        <v>100</v>
      </c>
      <c r="D1918" t="s">
        <v>854</v>
      </c>
      <c r="E1918" t="s">
        <v>993</v>
      </c>
      <c r="F1918" t="s">
        <v>22</v>
      </c>
      <c r="G1918" t="s">
        <v>83</v>
      </c>
      <c r="H1918" t="s">
        <v>58</v>
      </c>
      <c r="I1918" t="s">
        <v>25</v>
      </c>
      <c r="J1918" s="2">
        <v>45824.646435185183</v>
      </c>
      <c r="K1918">
        <v>16</v>
      </c>
      <c r="L1918">
        <v>6</v>
      </c>
      <c r="M1918">
        <v>2025</v>
      </c>
      <c r="N1918" t="s">
        <v>27</v>
      </c>
      <c r="O1918">
        <v>200</v>
      </c>
      <c r="P1918">
        <v>200</v>
      </c>
      <c r="R1918" s="3" t="str">
        <f>HYPERLINK("https://panda.att.com.mx/ODKServer/view/binaryData?blobKey=FSSuministroFluidosv3%5B%40version%3Dnull+and+%40uiVersion%3Dnull%5D%2Fdata%5B%40key%3Duuid%3A6f8c83fa-e798-45d1-8581-a545eb8aba51%5D%2FgroupInfoFuel%5B%40ordinal%3D1%5D%2FpicFuelRecibeInterno","Descargar")</f>
        <v>Descargar</v>
      </c>
    </row>
    <row r="1919" spans="1:18" x14ac:dyDescent="0.3">
      <c r="A1919">
        <v>1558802</v>
      </c>
      <c r="B1919" t="s">
        <v>18</v>
      </c>
      <c r="C1919" t="s">
        <v>100</v>
      </c>
      <c r="D1919" t="s">
        <v>854</v>
      </c>
      <c r="E1919" t="s">
        <v>855</v>
      </c>
      <c r="F1919" t="s">
        <v>22</v>
      </c>
      <c r="G1919" t="s">
        <v>23</v>
      </c>
      <c r="H1919" t="s">
        <v>58</v>
      </c>
      <c r="I1919" t="s">
        <v>25</v>
      </c>
      <c r="J1919" s="2">
        <v>45824.554386574076</v>
      </c>
      <c r="K1919">
        <v>16</v>
      </c>
      <c r="L1919">
        <v>6</v>
      </c>
      <c r="M1919">
        <v>2025</v>
      </c>
      <c r="N1919" t="s">
        <v>27</v>
      </c>
      <c r="O1919">
        <v>200</v>
      </c>
      <c r="P1919">
        <v>200</v>
      </c>
      <c r="R1919" s="3" t="str">
        <f>HYPERLINK("https://panda.att.com.mx/ODKServer/view/binaryData?blobKey=FSSuministroFluidosv3%5B%40version%3Dnull+and+%40uiVersion%3Dnull%5D%2Fdata%5B%40key%3Duuid%3A0396a88f-aedf-4389-81ea-6615c8cd7c27%5D%2FgroupInfoFuel%5B%40ordinal%3D1%5D%2FpicFuelRecibeInterno","Descargar")</f>
        <v>Descargar</v>
      </c>
    </row>
    <row r="1920" spans="1:18" x14ac:dyDescent="0.3">
      <c r="A1920">
        <v>1558773</v>
      </c>
      <c r="B1920" t="s">
        <v>18</v>
      </c>
      <c r="C1920" t="s">
        <v>55</v>
      </c>
      <c r="D1920" t="s">
        <v>210</v>
      </c>
      <c r="E1920" t="s">
        <v>1096</v>
      </c>
      <c r="G1920" t="s">
        <v>23</v>
      </c>
      <c r="H1920" t="s">
        <v>58</v>
      </c>
      <c r="I1920" t="s">
        <v>25</v>
      </c>
      <c r="J1920" s="2">
        <v>45821.434236111112</v>
      </c>
      <c r="K1920">
        <v>13</v>
      </c>
      <c r="L1920">
        <v>6</v>
      </c>
      <c r="M1920">
        <v>2025</v>
      </c>
      <c r="N1920" t="s">
        <v>27</v>
      </c>
      <c r="O1920">
        <v>40</v>
      </c>
      <c r="P1920">
        <v>40</v>
      </c>
      <c r="R1920" s="3" t="str">
        <f>HYPERLINK("https://panda.att.com.mx/ODKServer/view/binaryData?blobKey=FSSuministroFluidosv3%5B%40version%3Dnull+and+%40uiVersion%3Dnull%5D%2Fdata%5B%40key%3Duuid%3A1edd1820-81ad-4d0f-8262-bd198cdee575%5D%2FgroupInfoFuel%5B%40ordinal%3D1%5D%2FpicFuelRecibeInterno","Descargar")</f>
        <v>Descargar</v>
      </c>
    </row>
    <row r="1921" spans="1:18" x14ac:dyDescent="0.3">
      <c r="A1921">
        <v>1558719</v>
      </c>
      <c r="B1921" t="s">
        <v>18</v>
      </c>
      <c r="C1921" t="s">
        <v>55</v>
      </c>
      <c r="D1921" t="s">
        <v>210</v>
      </c>
      <c r="E1921" t="s">
        <v>1912</v>
      </c>
      <c r="F1921" t="s">
        <v>22</v>
      </c>
      <c r="G1921" t="s">
        <v>23</v>
      </c>
      <c r="H1921" t="s">
        <v>58</v>
      </c>
      <c r="I1921" t="s">
        <v>25</v>
      </c>
      <c r="J1921" s="2">
        <v>45824.663877314822</v>
      </c>
      <c r="K1921">
        <v>16</v>
      </c>
      <c r="L1921">
        <v>6</v>
      </c>
      <c r="M1921">
        <v>2025</v>
      </c>
      <c r="N1921" t="s">
        <v>27</v>
      </c>
      <c r="O1921">
        <v>100</v>
      </c>
      <c r="P1921">
        <v>100</v>
      </c>
      <c r="R1921" s="3" t="str">
        <f>HYPERLINK("https://panda.att.com.mx/ODKServer/view/binaryData?blobKey=FSSuministroFluidosv3%5B%40version%3Dnull+and+%40uiVersion%3Dnull%5D%2Fdata%5B%40key%3Duuid%3Aeaf45985-086b-4519-8c42-94198862c0f7%5D%2FgroupInfoFuel%5B%40ordinal%3D1%5D%2FpicFuelRecibeInterno","Descargar")</f>
        <v>Descargar</v>
      </c>
    </row>
    <row r="1922" spans="1:18" x14ac:dyDescent="0.3">
      <c r="A1922">
        <v>1558710</v>
      </c>
      <c r="B1922" t="s">
        <v>18</v>
      </c>
      <c r="C1922" t="s">
        <v>55</v>
      </c>
      <c r="D1922" t="s">
        <v>210</v>
      </c>
      <c r="E1922" t="s">
        <v>1913</v>
      </c>
      <c r="F1922" t="s">
        <v>22</v>
      </c>
      <c r="G1922" t="s">
        <v>23</v>
      </c>
      <c r="H1922" t="s">
        <v>58</v>
      </c>
      <c r="I1922" t="s">
        <v>25</v>
      </c>
      <c r="J1922" s="2">
        <v>45824.584502314807</v>
      </c>
      <c r="K1922">
        <v>16</v>
      </c>
      <c r="L1922">
        <v>6</v>
      </c>
      <c r="M1922">
        <v>2025</v>
      </c>
      <c r="N1922" t="s">
        <v>27</v>
      </c>
      <c r="O1922">
        <v>150</v>
      </c>
      <c r="P1922">
        <v>150</v>
      </c>
      <c r="R1922" s="3" t="str">
        <f>HYPERLINK("https://panda.att.com.mx/ODKServer/view/binaryData?blobKey=FSSuministroFluidosv3%5B%40version%3Dnull+and+%40uiVersion%3Dnull%5D%2Fdata%5B%40key%3Duuid%3Ad9d4dd5c-c21b-4263-a5d5-38c0a9395840%5D%2FgroupInfoFuel%5B%40ordinal%3D1%5D%2FpicFuelRecibeInterno","Descargar")</f>
        <v>Descargar</v>
      </c>
    </row>
    <row r="1923" spans="1:18" x14ac:dyDescent="0.3">
      <c r="A1923">
        <v>1558709</v>
      </c>
      <c r="B1923" t="s">
        <v>18</v>
      </c>
      <c r="C1923" t="s">
        <v>55</v>
      </c>
      <c r="D1923" t="s">
        <v>56</v>
      </c>
      <c r="E1923" t="s">
        <v>1914</v>
      </c>
      <c r="F1923" t="s">
        <v>22</v>
      </c>
      <c r="G1923" t="s">
        <v>23</v>
      </c>
      <c r="H1923" t="s">
        <v>58</v>
      </c>
      <c r="I1923" t="s">
        <v>25</v>
      </c>
      <c r="J1923" s="2">
        <v>45824.562164351853</v>
      </c>
      <c r="K1923">
        <v>16</v>
      </c>
      <c r="L1923">
        <v>6</v>
      </c>
      <c r="M1923">
        <v>2025</v>
      </c>
      <c r="N1923" t="s">
        <v>27</v>
      </c>
      <c r="O1923">
        <v>100</v>
      </c>
      <c r="P1923">
        <v>100</v>
      </c>
      <c r="R1923" s="3" t="str">
        <f>HYPERLINK("https://panda.att.com.mx/ODKServer/view/binaryData?blobKey=FSSuministroFluidosv3%5B%40version%3Dnull+and+%40uiVersion%3Dnull%5D%2Fdata%5B%40key%3Duuid%3A3173bd07-8aa8-4e99-89c4-38dcf1781a0e%5D%2FgroupInfoFuel%5B%40ordinal%3D1%5D%2FpicFuelRecibeInterno","Descargar")</f>
        <v>Descargar</v>
      </c>
    </row>
    <row r="1924" spans="1:18" x14ac:dyDescent="0.3">
      <c r="A1924">
        <v>1558708</v>
      </c>
      <c r="B1924" t="s">
        <v>18</v>
      </c>
      <c r="C1924" t="s">
        <v>183</v>
      </c>
      <c r="D1924" t="s">
        <v>1915</v>
      </c>
      <c r="E1924" t="s">
        <v>1916</v>
      </c>
      <c r="F1924" t="s">
        <v>22</v>
      </c>
      <c r="G1924" t="s">
        <v>23</v>
      </c>
      <c r="H1924" t="s">
        <v>58</v>
      </c>
      <c r="I1924" t="s">
        <v>25</v>
      </c>
      <c r="J1924" s="2">
        <v>45824.490740740737</v>
      </c>
      <c r="K1924">
        <v>16</v>
      </c>
      <c r="L1924">
        <v>6</v>
      </c>
      <c r="M1924">
        <v>2025</v>
      </c>
      <c r="N1924" t="s">
        <v>27</v>
      </c>
      <c r="O1924">
        <v>400</v>
      </c>
      <c r="Q1924">
        <v>400</v>
      </c>
      <c r="R1924" s="3" t="str">
        <f>HYPERLINK("https://panda.att.com.mx/ODKServer/view/binaryData?blobKey=FSSuministroFluidosv3%5B%40version%3Dnull+and+%40uiVersion%3Dnull%5D%2Fdata%5B%40key%3Duuid%3Aae9f3f0c-f0cb-4d1f-9d18-6596a0fa4692%5D%2FgroupInfoFuel%5B%40ordinal%3D1%5D%2FpicFuelRecibeInterno","Descargar")</f>
        <v>Descargar</v>
      </c>
    </row>
    <row r="1925" spans="1:18" x14ac:dyDescent="0.3">
      <c r="A1925">
        <v>1558637</v>
      </c>
      <c r="B1925" t="s">
        <v>18</v>
      </c>
      <c r="C1925" t="s">
        <v>150</v>
      </c>
      <c r="D1925" t="s">
        <v>296</v>
      </c>
      <c r="E1925" t="s">
        <v>1917</v>
      </c>
      <c r="F1925" t="s">
        <v>22</v>
      </c>
      <c r="G1925" t="s">
        <v>23</v>
      </c>
      <c r="H1925" t="s">
        <v>58</v>
      </c>
      <c r="I1925" t="s">
        <v>25</v>
      </c>
      <c r="J1925" s="2">
        <v>45824.580752314818</v>
      </c>
      <c r="K1925">
        <v>16</v>
      </c>
      <c r="L1925">
        <v>6</v>
      </c>
      <c r="M1925">
        <v>2025</v>
      </c>
      <c r="N1925" t="s">
        <v>27</v>
      </c>
      <c r="O1925">
        <v>80</v>
      </c>
      <c r="P1925">
        <v>80</v>
      </c>
      <c r="R1925" s="3" t="str">
        <f>HYPERLINK("https://panda.att.com.mx/ODKServer/view/binaryData?blobKey=FSSuministroFluidosv3%5B%40version%3Dnull+and+%40uiVersion%3Dnull%5D%2Fdata%5B%40key%3Duuid%3A0a1369a9-12d1-4685-a3ff-efaf3ccbdd22%5D%2FgroupInfoFuel%5B%40ordinal%3D1%5D%2FpicFuelRecibeInterno","Descargar")</f>
        <v>Descargar</v>
      </c>
    </row>
    <row r="1926" spans="1:18" x14ac:dyDescent="0.3">
      <c r="A1926">
        <v>1558605</v>
      </c>
      <c r="B1926" t="s">
        <v>18</v>
      </c>
      <c r="C1926" t="s">
        <v>55</v>
      </c>
      <c r="D1926" t="s">
        <v>288</v>
      </c>
      <c r="E1926" t="s">
        <v>1537</v>
      </c>
      <c r="F1926" t="s">
        <v>22</v>
      </c>
      <c r="G1926" t="s">
        <v>23</v>
      </c>
      <c r="H1926" t="s">
        <v>58</v>
      </c>
      <c r="I1926" t="s">
        <v>25</v>
      </c>
      <c r="J1926" s="2">
        <v>45824.626712962963</v>
      </c>
      <c r="K1926">
        <v>16</v>
      </c>
      <c r="L1926">
        <v>6</v>
      </c>
      <c r="M1926">
        <v>2025</v>
      </c>
      <c r="N1926" t="s">
        <v>27</v>
      </c>
      <c r="O1926">
        <v>350</v>
      </c>
      <c r="P1926">
        <v>350</v>
      </c>
      <c r="R1926" s="3" t="str">
        <f>HYPERLINK("https://panda.att.com.mx/ODKServer/view/binaryData?blobKey=FSSuministroFluidosv3%5B%40version%3Dnull+and+%40uiVersion%3Dnull%5D%2Fdata%5B%40key%3Duuid%3A813b9600-7fc6-4559-b728-372c3ed448bd%5D%2FgroupInfoFuel%5B%40ordinal%3D1%5D%2FpicFuelRecibeInterno","Descargar")</f>
        <v>Descargar</v>
      </c>
    </row>
    <row r="1927" spans="1:18" x14ac:dyDescent="0.3">
      <c r="A1927">
        <v>1559964</v>
      </c>
      <c r="B1927" t="s">
        <v>18</v>
      </c>
      <c r="C1927" t="s">
        <v>19</v>
      </c>
      <c r="D1927" t="s">
        <v>20</v>
      </c>
      <c r="E1927" t="s">
        <v>166</v>
      </c>
      <c r="F1927" t="s">
        <v>22</v>
      </c>
      <c r="G1927" t="s">
        <v>23</v>
      </c>
      <c r="H1927" t="s">
        <v>24</v>
      </c>
      <c r="I1927" t="s">
        <v>25</v>
      </c>
      <c r="J1927" s="2">
        <v>45822.702789351853</v>
      </c>
      <c r="K1927">
        <v>14</v>
      </c>
      <c r="L1927">
        <v>6</v>
      </c>
      <c r="M1927">
        <v>2025</v>
      </c>
      <c r="N1927" t="s">
        <v>27</v>
      </c>
      <c r="O1927">
        <v>200</v>
      </c>
      <c r="P1927">
        <v>200</v>
      </c>
      <c r="R1927" s="3" t="str">
        <f>HYPERLINK("https://panda.att.com.mx/ODKServer/view/binaryData?blobKey=FSSuministroFluidosv3%5B%40version%3Dnull+and+%40uiVersion%3Dnull%5D%2Fdata%5B%40key%3Duuid%3A7c8dfce7-ef39-4b44-a528-2cd21e010394%5D%2FgroupInfoFuel%5B%40ordinal%3D1%5D%2FpicFuelRecibeInterno","Descargar")</f>
        <v>Descargar</v>
      </c>
    </row>
    <row r="1928" spans="1:18" x14ac:dyDescent="0.3">
      <c r="A1928">
        <v>1559938</v>
      </c>
      <c r="B1928" t="s">
        <v>18</v>
      </c>
      <c r="C1928" t="s">
        <v>183</v>
      </c>
      <c r="D1928" t="s">
        <v>305</v>
      </c>
      <c r="E1928" t="s">
        <v>1882</v>
      </c>
      <c r="F1928" t="s">
        <v>22</v>
      </c>
      <c r="G1928" t="s">
        <v>47</v>
      </c>
      <c r="H1928" t="s">
        <v>24</v>
      </c>
      <c r="I1928" t="s">
        <v>25</v>
      </c>
      <c r="J1928" s="2">
        <v>45826.431006944447</v>
      </c>
      <c r="K1928">
        <v>18</v>
      </c>
      <c r="L1928">
        <v>6</v>
      </c>
      <c r="M1928">
        <v>2025</v>
      </c>
      <c r="N1928" t="s">
        <v>44</v>
      </c>
      <c r="O1928">
        <v>54</v>
      </c>
      <c r="P1928">
        <v>54</v>
      </c>
      <c r="R1928" s="3" t="str">
        <f>HYPERLINK("https://panda.att.com.mx/ODKServer/view/binaryData?blobKey=FSSuministroFluidosv3%5B%40version%3Dnull+and+%40uiVersion%3Dnull%5D%2Fdata%5B%40key%3Duuid%3Af7f21d3c-da72-4526-a410-83bd8bace813%5D%2FgroupInfoFuel%5B%40ordinal%3D1%5D%2FpicFuelRecibeInterno","Descargar")</f>
        <v>Descargar</v>
      </c>
    </row>
    <row r="1929" spans="1:18" x14ac:dyDescent="0.3">
      <c r="A1929">
        <v>1559915</v>
      </c>
      <c r="B1929" t="s">
        <v>18</v>
      </c>
      <c r="C1929" t="s">
        <v>19</v>
      </c>
      <c r="D1929" t="s">
        <v>20</v>
      </c>
      <c r="E1929" t="s">
        <v>143</v>
      </c>
      <c r="F1929" t="s">
        <v>22</v>
      </c>
      <c r="G1929" t="s">
        <v>23</v>
      </c>
      <c r="H1929" t="s">
        <v>24</v>
      </c>
      <c r="I1929" t="s">
        <v>25</v>
      </c>
      <c r="J1929" s="2">
        <v>45823.502256944441</v>
      </c>
      <c r="K1929">
        <v>15</v>
      </c>
      <c r="L1929">
        <v>6</v>
      </c>
      <c r="M1929">
        <v>2025</v>
      </c>
      <c r="N1929" t="s">
        <v>27</v>
      </c>
      <c r="O1929">
        <v>150</v>
      </c>
      <c r="P1929">
        <v>150</v>
      </c>
      <c r="R1929" s="3" t="str">
        <f>HYPERLINK("https://panda.att.com.mx/ODKServer/view/binaryData?blobKey=FSSuministroFluidosv3%5B%40version%3Dnull+and+%40uiVersion%3Dnull%5D%2Fdata%5B%40key%3Duuid%3A3765a0b0-1990-418b-880f-4691ae1378a0%5D%2FgroupInfoFuel%5B%40ordinal%3D1%5D%2FpicFuelRecibeInterno","Descargar")</f>
        <v>Descargar</v>
      </c>
    </row>
    <row r="1930" spans="1:18" x14ac:dyDescent="0.3">
      <c r="A1930">
        <v>1559883</v>
      </c>
      <c r="B1930" t="s">
        <v>18</v>
      </c>
      <c r="C1930" t="s">
        <v>68</v>
      </c>
      <c r="D1930" t="s">
        <v>91</v>
      </c>
      <c r="E1930" t="s">
        <v>1606</v>
      </c>
      <c r="F1930" t="s">
        <v>22</v>
      </c>
      <c r="G1930" t="s">
        <v>23</v>
      </c>
      <c r="H1930" t="s">
        <v>37</v>
      </c>
      <c r="I1930" t="s">
        <v>25</v>
      </c>
      <c r="J1930" s="2">
        <v>45826.349895833337</v>
      </c>
      <c r="K1930">
        <v>18</v>
      </c>
      <c r="L1930">
        <v>6</v>
      </c>
      <c r="M1930">
        <v>2025</v>
      </c>
      <c r="N1930" t="s">
        <v>27</v>
      </c>
      <c r="O1930">
        <v>120</v>
      </c>
      <c r="P1930">
        <v>120</v>
      </c>
      <c r="R1930" s="3" t="str">
        <f>HYPERLINK("https://panda.att.com.mx/ODKServer/view/binaryData?blobKey=FSSuministroFluidosv3%5B%40version%3Dnull+and+%40uiVersion%3Dnull%5D%2Fdata%5B%40key%3Duuid%3A76c36b0a-4409-4a7f-b68a-8edc1d730c76%5D%2FgroupInfoFuel%5B%40ordinal%3D1%5D%2FpicFuelRecibeInterno","Descargar")</f>
        <v>Descargar</v>
      </c>
    </row>
    <row r="1931" spans="1:18" x14ac:dyDescent="0.3">
      <c r="A1931">
        <v>1559822</v>
      </c>
      <c r="B1931" t="s">
        <v>18</v>
      </c>
      <c r="C1931" t="s">
        <v>34</v>
      </c>
      <c r="D1931" t="s">
        <v>53</v>
      </c>
      <c r="E1931" t="s">
        <v>1918</v>
      </c>
      <c r="F1931" t="s">
        <v>22</v>
      </c>
      <c r="G1931" t="s">
        <v>23</v>
      </c>
      <c r="H1931" t="s">
        <v>37</v>
      </c>
      <c r="I1931" t="s">
        <v>25</v>
      </c>
      <c r="J1931" s="2">
        <v>45825.403495370367</v>
      </c>
      <c r="K1931">
        <v>17</v>
      </c>
      <c r="L1931">
        <v>6</v>
      </c>
      <c r="M1931">
        <v>2025</v>
      </c>
      <c r="N1931" t="s">
        <v>27</v>
      </c>
      <c r="O1931">
        <v>188.81</v>
      </c>
      <c r="P1931">
        <v>188.81</v>
      </c>
      <c r="R1931" s="3" t="str">
        <f>HYPERLINK("https://panda.att.com.mx/ODKServer/view/binaryData?blobKey=FSSuministroFluidosv3%5B%40version%3Dnull+and+%40uiVersion%3Dnull%5D%2Fdata%5B%40key%3Duuid%3Aa038338b-f6b3-43d8-b4ca-084bdbe63d59%5D%2FgroupInfoFuel%5B%40ordinal%3D1%5D%2FpicFuelRecibeInterno","Descargar")</f>
        <v>Descargar</v>
      </c>
    </row>
    <row r="1932" spans="1:18" x14ac:dyDescent="0.3">
      <c r="A1932">
        <v>1559810</v>
      </c>
      <c r="B1932" t="s">
        <v>18</v>
      </c>
      <c r="C1932" t="s">
        <v>68</v>
      </c>
      <c r="D1932" t="s">
        <v>258</v>
      </c>
      <c r="E1932" t="s">
        <v>1919</v>
      </c>
      <c r="F1932" t="s">
        <v>22</v>
      </c>
      <c r="G1932" t="s">
        <v>23</v>
      </c>
      <c r="H1932" t="s">
        <v>37</v>
      </c>
      <c r="I1932" t="s">
        <v>25</v>
      </c>
      <c r="J1932" s="2">
        <v>45825.96665509259</v>
      </c>
      <c r="K1932">
        <v>17</v>
      </c>
      <c r="L1932">
        <v>6</v>
      </c>
      <c r="M1932">
        <v>2025</v>
      </c>
      <c r="N1932" t="s">
        <v>27</v>
      </c>
      <c r="O1932">
        <v>200</v>
      </c>
      <c r="P1932">
        <v>200</v>
      </c>
      <c r="R1932" s="3" t="str">
        <f>HYPERLINK("https://panda.att.com.mx/ODKServer/view/binaryData?blobKey=FSSuministroFluidosv3%5B%40version%3Dnull+and+%40uiVersion%3Dnull%5D%2Fdata%5B%40key%3Duuid%3A8cbed17d-dd05-428d-90c5-0fbf07881564%5D%2FgroupInfoFuel%5B%40ordinal%3D1%5D%2FpicFuelRecibeInterno","Descargar")</f>
        <v>Descargar</v>
      </c>
    </row>
    <row r="1933" spans="1:18" x14ac:dyDescent="0.3">
      <c r="A1933">
        <v>1559789</v>
      </c>
      <c r="B1933" t="s">
        <v>18</v>
      </c>
      <c r="C1933" t="s">
        <v>59</v>
      </c>
      <c r="D1933" t="s">
        <v>60</v>
      </c>
      <c r="E1933" t="s">
        <v>1314</v>
      </c>
      <c r="F1933" t="s">
        <v>22</v>
      </c>
      <c r="G1933" t="s">
        <v>47</v>
      </c>
      <c r="H1933" t="s">
        <v>37</v>
      </c>
      <c r="I1933" t="s">
        <v>25</v>
      </c>
      <c r="J1933" s="2">
        <v>45821.979317129633</v>
      </c>
      <c r="K1933">
        <v>13</v>
      </c>
      <c r="L1933">
        <v>6</v>
      </c>
      <c r="M1933">
        <v>2025</v>
      </c>
      <c r="N1933" t="s">
        <v>27</v>
      </c>
      <c r="O1933">
        <v>100</v>
      </c>
      <c r="P1933">
        <v>100</v>
      </c>
      <c r="R1933" s="3" t="str">
        <f>HYPERLINK("https://panda.att.com.mx/ODKServer/view/binaryData?blobKey=FSSuministroFluidosv3%5B%40version%3Dnull+and+%40uiVersion%3Dnull%5D%2Fdata%5B%40key%3Duuid%3A5a706ee1-fb09-4759-9db6-a4f16f45459b%5D%2FgroupInfoFuel%5B%40ordinal%3D1%5D%2FpicFuelRecibeInterno","Descargar")</f>
        <v>Descargar</v>
      </c>
    </row>
    <row r="1934" spans="1:18" x14ac:dyDescent="0.3">
      <c r="A1934">
        <v>1559784</v>
      </c>
      <c r="B1934" t="s">
        <v>18</v>
      </c>
      <c r="C1934" t="s">
        <v>59</v>
      </c>
      <c r="D1934" t="s">
        <v>60</v>
      </c>
      <c r="E1934" t="s">
        <v>1920</v>
      </c>
      <c r="F1934" t="s">
        <v>22</v>
      </c>
      <c r="G1934" t="s">
        <v>47</v>
      </c>
      <c r="H1934" t="s">
        <v>37</v>
      </c>
      <c r="I1934" t="s">
        <v>25</v>
      </c>
      <c r="J1934" s="2">
        <v>45825.949837962973</v>
      </c>
      <c r="K1934">
        <v>17</v>
      </c>
      <c r="L1934">
        <v>6</v>
      </c>
      <c r="M1934">
        <v>2025</v>
      </c>
      <c r="N1934" t="s">
        <v>27</v>
      </c>
      <c r="O1934">
        <v>150</v>
      </c>
      <c r="Q1934">
        <v>150</v>
      </c>
      <c r="R1934" s="3" t="str">
        <f>HYPERLINK("https://panda.att.com.mx/ODKServer/view/binaryData?blobKey=FSSuministroFluidosv3%5B%40version%3Dnull+and+%40uiVersion%3Dnull%5D%2Fdata%5B%40key%3Duuid%3A8bd19fb7-eeeb-44e1-9d36-8f44b94ccc4b%5D%2FgroupInfoFuel%5B%40ordinal%3D1%5D%2FpicFuelRecibeInterno","Descargar")</f>
        <v>Descargar</v>
      </c>
    </row>
    <row r="1935" spans="1:18" x14ac:dyDescent="0.3">
      <c r="A1935">
        <v>1559782</v>
      </c>
      <c r="B1935" t="s">
        <v>18</v>
      </c>
      <c r="C1935" t="s">
        <v>34</v>
      </c>
      <c r="D1935" t="s">
        <v>121</v>
      </c>
      <c r="E1935" t="s">
        <v>1767</v>
      </c>
      <c r="F1935" t="s">
        <v>22</v>
      </c>
      <c r="G1935" t="s">
        <v>23</v>
      </c>
      <c r="H1935" t="s">
        <v>37</v>
      </c>
      <c r="I1935" t="s">
        <v>25</v>
      </c>
      <c r="J1935" s="2">
        <v>45825.828344907408</v>
      </c>
      <c r="K1935">
        <v>17</v>
      </c>
      <c r="L1935">
        <v>6</v>
      </c>
      <c r="M1935">
        <v>2025</v>
      </c>
      <c r="N1935" t="s">
        <v>27</v>
      </c>
      <c r="O1935">
        <v>600</v>
      </c>
      <c r="P1935">
        <v>600</v>
      </c>
      <c r="R1935" s="3" t="str">
        <f>HYPERLINK("https://panda.att.com.mx/ODKServer/view/binaryData?blobKey=FSSuministroFluidosv3%5B%40version%3Dnull+and+%40uiVersion%3Dnull%5D%2Fdata%5B%40key%3Duuid%3A866c64b5-a808-498b-8c58-935a2ff6e6d8%5D%2FgroupInfoFuel%5B%40ordinal%3D1%5D%2FpicFuelRecibeInterno","Descargar")</f>
        <v>Descargar</v>
      </c>
    </row>
    <row r="1936" spans="1:18" x14ac:dyDescent="0.3">
      <c r="A1936">
        <v>1559777</v>
      </c>
      <c r="B1936" t="s">
        <v>18</v>
      </c>
      <c r="C1936" t="s">
        <v>59</v>
      </c>
      <c r="D1936" t="s">
        <v>60</v>
      </c>
      <c r="E1936" t="s">
        <v>1920</v>
      </c>
      <c r="F1936" t="s">
        <v>22</v>
      </c>
      <c r="G1936" t="s">
        <v>47</v>
      </c>
      <c r="H1936" t="s">
        <v>37</v>
      </c>
      <c r="I1936" t="s">
        <v>25</v>
      </c>
      <c r="J1936" s="2">
        <v>45824.951041666667</v>
      </c>
      <c r="K1936">
        <v>16</v>
      </c>
      <c r="L1936">
        <v>6</v>
      </c>
      <c r="M1936">
        <v>2025</v>
      </c>
      <c r="N1936" t="s">
        <v>27</v>
      </c>
      <c r="O1936">
        <v>300</v>
      </c>
      <c r="Q1936">
        <v>300</v>
      </c>
      <c r="R1936" s="3" t="str">
        <f>HYPERLINK("https://panda.att.com.mx/ODKServer/view/binaryData?blobKey=FSSuministroFluidosv3%5B%40version%3Dnull+and+%40uiVersion%3Dnull%5D%2Fdata%5B%40key%3Duuid%3A5d506102-047c-44c3-89e6-31558617a9f1%5D%2FgroupInfoFuel%5B%40ordinal%3D1%5D%2FpicFuelRecibeInterno","Descargar")</f>
        <v>Descargar</v>
      </c>
    </row>
    <row r="1937" spans="1:18" x14ac:dyDescent="0.3">
      <c r="A1937">
        <v>1559776</v>
      </c>
      <c r="B1937" t="s">
        <v>18</v>
      </c>
      <c r="C1937" t="s">
        <v>183</v>
      </c>
      <c r="D1937" t="s">
        <v>305</v>
      </c>
      <c r="E1937" t="s">
        <v>1882</v>
      </c>
      <c r="F1937" t="s">
        <v>22</v>
      </c>
      <c r="G1937" t="s">
        <v>23</v>
      </c>
      <c r="H1937" t="s">
        <v>24</v>
      </c>
      <c r="I1937" t="s">
        <v>25</v>
      </c>
      <c r="J1937" s="2">
        <v>45825.533460648148</v>
      </c>
      <c r="K1937">
        <v>17</v>
      </c>
      <c r="L1937">
        <v>6</v>
      </c>
      <c r="M1937">
        <v>2025</v>
      </c>
      <c r="N1937" t="s">
        <v>44</v>
      </c>
      <c r="O1937">
        <v>56</v>
      </c>
      <c r="P1937">
        <v>56</v>
      </c>
      <c r="R1937" s="3" t="str">
        <f>HYPERLINK("https://panda.att.com.mx/ODKServer/view/binaryData?blobKey=FSSuministroFluidosv3%5B%40version%3Dnull+and+%40uiVersion%3Dnull%5D%2Fdata%5B%40key%3Duuid%3A3144aaf0-d578-48ad-8801-6226d9fcc5bb%5D%2FgroupInfoFuel%5B%40ordinal%3D1%5D%2FpicFuelRecibeInterno","Descargar")</f>
        <v>Descargar</v>
      </c>
    </row>
    <row r="1938" spans="1:18" x14ac:dyDescent="0.3">
      <c r="A1938">
        <v>1559773</v>
      </c>
      <c r="B1938" t="s">
        <v>18</v>
      </c>
      <c r="C1938" t="s">
        <v>183</v>
      </c>
      <c r="D1938" t="s">
        <v>305</v>
      </c>
      <c r="E1938" t="s">
        <v>1882</v>
      </c>
      <c r="F1938" t="s">
        <v>22</v>
      </c>
      <c r="G1938" t="s">
        <v>47</v>
      </c>
      <c r="H1938" t="s">
        <v>24</v>
      </c>
      <c r="I1938" t="s">
        <v>25</v>
      </c>
      <c r="J1938" s="2">
        <v>45822.789652777778</v>
      </c>
      <c r="K1938">
        <v>14</v>
      </c>
      <c r="L1938">
        <v>6</v>
      </c>
      <c r="M1938">
        <v>2025</v>
      </c>
      <c r="N1938" t="s">
        <v>44</v>
      </c>
      <c r="O1938">
        <v>54</v>
      </c>
      <c r="P1938">
        <v>54</v>
      </c>
      <c r="R1938" s="3" t="str">
        <f>HYPERLINK("https://panda.att.com.mx/ODKServer/view/binaryData?blobKey=FSSuministroFluidosv3%5B%40version%3Dnull+and+%40uiVersion%3Dnull%5D%2Fdata%5B%40key%3Duuid%3Abc7e2d15-c5ba-438d-8b33-1d1e9ec91665%5D%2FgroupInfoFuel%5B%40ordinal%3D1%5D%2FpicFuelRecibeInterno","Descargar")</f>
        <v>Descargar</v>
      </c>
    </row>
    <row r="1939" spans="1:18" x14ac:dyDescent="0.3">
      <c r="A1939">
        <v>1559734</v>
      </c>
      <c r="B1939" t="s">
        <v>18</v>
      </c>
      <c r="C1939" t="s">
        <v>28</v>
      </c>
      <c r="D1939" t="s">
        <v>429</v>
      </c>
      <c r="E1939" t="s">
        <v>1809</v>
      </c>
      <c r="F1939" t="s">
        <v>22</v>
      </c>
      <c r="G1939" t="s">
        <v>23</v>
      </c>
      <c r="H1939" t="s">
        <v>24</v>
      </c>
      <c r="I1939" t="s">
        <v>25</v>
      </c>
      <c r="J1939" s="2">
        <v>45824.980798611112</v>
      </c>
      <c r="K1939">
        <v>16</v>
      </c>
      <c r="L1939">
        <v>6</v>
      </c>
      <c r="M1939">
        <v>2025</v>
      </c>
      <c r="N1939" t="s">
        <v>44</v>
      </c>
      <c r="O1939">
        <v>60</v>
      </c>
      <c r="P1939">
        <v>60</v>
      </c>
      <c r="R1939" s="3" t="str">
        <f>HYPERLINK("https://panda.att.com.mx/ODKServer/view/binaryData?blobKey=FSSuministroFluidosv3%5B%40version%3Dnull+and+%40uiVersion%3Dnull%5D%2Fdata%5B%40key%3Duuid%3A8e5074fe-5808-42dd-a636-a181d85f3003%5D%2FgroupInfoFuel%5B%40ordinal%3D1%5D%2FpicFuelRecibeInterno","Descargar")</f>
        <v>Descargar</v>
      </c>
    </row>
    <row r="1940" spans="1:18" x14ac:dyDescent="0.3">
      <c r="A1940">
        <v>1559730</v>
      </c>
      <c r="B1940" t="s">
        <v>18</v>
      </c>
      <c r="C1940" t="s">
        <v>34</v>
      </c>
      <c r="D1940" t="s">
        <v>53</v>
      </c>
      <c r="E1940" t="s">
        <v>459</v>
      </c>
      <c r="F1940" t="s">
        <v>22</v>
      </c>
      <c r="G1940" t="s">
        <v>83</v>
      </c>
      <c r="H1940" t="s">
        <v>390</v>
      </c>
      <c r="I1940" t="s">
        <v>25</v>
      </c>
      <c r="J1940" s="2">
        <v>45825.450138888889</v>
      </c>
      <c r="K1940">
        <v>17</v>
      </c>
      <c r="L1940">
        <v>6</v>
      </c>
      <c r="M1940">
        <v>2025</v>
      </c>
      <c r="N1940" t="s">
        <v>27</v>
      </c>
      <c r="O1940">
        <v>450</v>
      </c>
      <c r="P1940">
        <v>450</v>
      </c>
      <c r="R1940" s="3" t="str">
        <f>HYPERLINK("https://panda.att.com.mx/ODKServer/view/binaryData?blobKey=FSSuministroFluidosv3%5B%40version%3Dnull+and+%40uiVersion%3Dnull%5D%2Fdata%5B%40key%3Duuid%3Ac5b317b3-6d90-48a7-ba85-1f8ae1466378%5D%2FgroupInfoFuel%5B%40ordinal%3D1%5D%2FpicFuelRecibeInterno","Descargar")</f>
        <v>Descargar</v>
      </c>
    </row>
    <row r="1941" spans="1:18" x14ac:dyDescent="0.3">
      <c r="A1941">
        <v>1559729</v>
      </c>
      <c r="B1941" t="s">
        <v>18</v>
      </c>
      <c r="C1941" t="s">
        <v>34</v>
      </c>
      <c r="D1941" t="s">
        <v>53</v>
      </c>
      <c r="E1941" t="s">
        <v>457</v>
      </c>
      <c r="F1941" t="s">
        <v>22</v>
      </c>
      <c r="G1941" t="s">
        <v>83</v>
      </c>
      <c r="H1941" t="s">
        <v>390</v>
      </c>
      <c r="I1941" t="s">
        <v>25</v>
      </c>
      <c r="J1941" s="2">
        <v>45825.403622685182</v>
      </c>
      <c r="K1941">
        <v>17</v>
      </c>
      <c r="L1941">
        <v>6</v>
      </c>
      <c r="M1941">
        <v>2025</v>
      </c>
      <c r="N1941" t="s">
        <v>27</v>
      </c>
      <c r="O1941">
        <v>450</v>
      </c>
      <c r="P1941">
        <v>450</v>
      </c>
      <c r="R1941" s="3" t="str">
        <f>HYPERLINK("https://panda.att.com.mx/ODKServer/view/binaryData?blobKey=FSSuministroFluidosv3%5B%40version%3Dnull+and+%40uiVersion%3Dnull%5D%2Fdata%5B%40key%3Duuid%3Aeb966a8c-c515-4c06-86c4-19a2a4730a11%5D%2FgroupInfoFuel%5B%40ordinal%3D1%5D%2FpicFuelRecibeInterno","Descargar")</f>
        <v>Descargar</v>
      </c>
    </row>
    <row r="1942" spans="1:18" x14ac:dyDescent="0.3">
      <c r="A1942">
        <v>1559717</v>
      </c>
      <c r="B1942" t="s">
        <v>18</v>
      </c>
      <c r="C1942" t="s">
        <v>28</v>
      </c>
      <c r="D1942" t="s">
        <v>181</v>
      </c>
      <c r="E1942" t="s">
        <v>1574</v>
      </c>
      <c r="F1942" t="s">
        <v>22</v>
      </c>
      <c r="G1942" t="s">
        <v>23</v>
      </c>
      <c r="H1942" t="s">
        <v>24</v>
      </c>
      <c r="I1942" t="s">
        <v>25</v>
      </c>
      <c r="J1942" s="2">
        <v>45820.882581018523</v>
      </c>
      <c r="K1942">
        <v>12</v>
      </c>
      <c r="L1942">
        <v>6</v>
      </c>
      <c r="M1942">
        <v>2025</v>
      </c>
      <c r="N1942" t="s">
        <v>27</v>
      </c>
      <c r="O1942">
        <v>300</v>
      </c>
      <c r="Q1942">
        <v>300</v>
      </c>
      <c r="R1942" s="3" t="str">
        <f>HYPERLINK("https://panda.att.com.mx/ODKServer/view/binaryData?blobKey=FSSuministroFluidosv3%5B%40version%3Dnull+and+%40uiVersion%3Dnull%5D%2Fdata%5B%40key%3Duuid%3Ac494f971-68ae-4e42-ae78-7a0b077b1ea0%5D%2FgroupInfoFuel%5B%40ordinal%3D1%5D%2FpicFuelRecibeInterno","Descargar")</f>
        <v>Descargar</v>
      </c>
    </row>
    <row r="1943" spans="1:18" x14ac:dyDescent="0.3">
      <c r="A1943">
        <v>1559709</v>
      </c>
      <c r="B1943" t="s">
        <v>18</v>
      </c>
      <c r="C1943" t="s">
        <v>55</v>
      </c>
      <c r="D1943" t="s">
        <v>366</v>
      </c>
      <c r="E1943" t="s">
        <v>1854</v>
      </c>
      <c r="F1943" t="s">
        <v>22</v>
      </c>
      <c r="G1943" t="s">
        <v>23</v>
      </c>
      <c r="H1943" t="s">
        <v>1781</v>
      </c>
      <c r="I1943" t="s">
        <v>25</v>
      </c>
      <c r="J1943" s="2">
        <v>45825.723680555559</v>
      </c>
      <c r="K1943">
        <v>17</v>
      </c>
      <c r="L1943">
        <v>6</v>
      </c>
      <c r="M1943">
        <v>2025</v>
      </c>
      <c r="N1943" t="s">
        <v>27</v>
      </c>
      <c r="O1943">
        <v>45</v>
      </c>
      <c r="P1943">
        <v>45</v>
      </c>
      <c r="R1943" s="3" t="str">
        <f>HYPERLINK("https://panda.att.com.mx/ODKServer/view/binaryData?blobKey=FSSuministroFluidosv3%5B%40version%3Dnull+and+%40uiVersion%3Dnull%5D%2Fdata%5B%40key%3Duuid%3A77c8386b-9a7c-4b19-9743-13b06691677b%5D%2FgroupInfoFuel%5B%40ordinal%3D1%5D%2FpicFuelRecibeInterno","Descargar")</f>
        <v>Descargar</v>
      </c>
    </row>
    <row r="1944" spans="1:18" x14ac:dyDescent="0.3">
      <c r="A1944">
        <v>1559698</v>
      </c>
      <c r="B1944" t="s">
        <v>18</v>
      </c>
      <c r="C1944" t="s">
        <v>34</v>
      </c>
      <c r="D1944" t="s">
        <v>51</v>
      </c>
      <c r="E1944" t="s">
        <v>1889</v>
      </c>
      <c r="F1944" t="s">
        <v>22</v>
      </c>
      <c r="G1944" t="s">
        <v>23</v>
      </c>
      <c r="H1944" t="s">
        <v>24</v>
      </c>
      <c r="I1944" t="s">
        <v>25</v>
      </c>
      <c r="J1944" s="2">
        <v>45824.353159722217</v>
      </c>
      <c r="K1944">
        <v>16</v>
      </c>
      <c r="L1944">
        <v>6</v>
      </c>
      <c r="M1944">
        <v>2025</v>
      </c>
      <c r="N1944" t="s">
        <v>27</v>
      </c>
      <c r="O1944">
        <v>150</v>
      </c>
      <c r="P1944">
        <v>150</v>
      </c>
      <c r="R1944" s="3" t="str">
        <f>HYPERLINK("https://panda.att.com.mx/ODKServer/view/binaryData?blobKey=FSSuministroFluidosv3%5B%40version%3Dnull+and+%40uiVersion%3Dnull%5D%2Fdata%5B%40key%3Duuid%3A47eaac1f-9b4c-405f-afc0-3572460ae00d%5D%2FgroupInfoFuel%5B%40ordinal%3D1%5D%2FpicFuelRecibeInterno","Descargar")</f>
        <v>Descargar</v>
      </c>
    </row>
    <row r="1945" spans="1:18" x14ac:dyDescent="0.3">
      <c r="A1945">
        <v>1559697</v>
      </c>
      <c r="B1945" t="s">
        <v>18</v>
      </c>
      <c r="C1945" t="s">
        <v>34</v>
      </c>
      <c r="D1945" t="s">
        <v>51</v>
      </c>
      <c r="E1945" t="s">
        <v>631</v>
      </c>
      <c r="F1945" t="s">
        <v>22</v>
      </c>
      <c r="G1945" t="s">
        <v>23</v>
      </c>
      <c r="H1945" t="s">
        <v>24</v>
      </c>
      <c r="I1945" t="s">
        <v>25</v>
      </c>
      <c r="J1945" s="2">
        <v>45825.706828703696</v>
      </c>
      <c r="K1945">
        <v>17</v>
      </c>
      <c r="L1945">
        <v>6</v>
      </c>
      <c r="M1945">
        <v>2025</v>
      </c>
      <c r="N1945" t="s">
        <v>27</v>
      </c>
      <c r="O1945">
        <v>350</v>
      </c>
      <c r="P1945">
        <v>350</v>
      </c>
      <c r="R1945" s="3" t="str">
        <f>HYPERLINK("https://panda.att.com.mx/ODKServer/view/binaryData?blobKey=FSSuministroFluidosv3%5B%40version%3Dnull+and+%40uiVersion%3Dnull%5D%2Fdata%5B%40key%3Duuid%3A5a0fd565-e071-455d-ab61-321babb3111a%5D%2FgroupInfoFuel%5B%40ordinal%3D1%5D%2FpicFuelRecibeInterno","Descargar")</f>
        <v>Descargar</v>
      </c>
    </row>
    <row r="1946" spans="1:18" x14ac:dyDescent="0.3">
      <c r="A1946">
        <v>1559679</v>
      </c>
      <c r="B1946" t="s">
        <v>18</v>
      </c>
      <c r="C1946" t="s">
        <v>28</v>
      </c>
      <c r="D1946" t="s">
        <v>66</v>
      </c>
      <c r="E1946" t="s">
        <v>146</v>
      </c>
      <c r="F1946" t="s">
        <v>22</v>
      </c>
      <c r="G1946" t="s">
        <v>23</v>
      </c>
      <c r="H1946" t="s">
        <v>24</v>
      </c>
      <c r="I1946" t="s">
        <v>25</v>
      </c>
      <c r="J1946" s="2">
        <v>45823.700219907398</v>
      </c>
      <c r="K1946">
        <v>15</v>
      </c>
      <c r="L1946">
        <v>6</v>
      </c>
      <c r="M1946">
        <v>2025</v>
      </c>
      <c r="N1946" t="s">
        <v>27</v>
      </c>
      <c r="O1946">
        <v>50</v>
      </c>
      <c r="P1946">
        <v>50</v>
      </c>
      <c r="R1946" s="3" t="str">
        <f>HYPERLINK("https://panda.att.com.mx/ODKServer/view/binaryData?blobKey=FSSuministroFluidosv3%5B%40version%3Dnull+and+%40uiVersion%3Dnull%5D%2Fdata%5B%40key%3Duuid%3A3b70e924-9bd4-45ac-921d-898cc30e770a%5D%2FgroupInfoFuel%5B%40ordinal%3D1%5D%2FpicFuelRecibeInterno","Descargar")</f>
        <v>Descargar</v>
      </c>
    </row>
    <row r="1947" spans="1:18" x14ac:dyDescent="0.3">
      <c r="A1947">
        <v>1559642</v>
      </c>
      <c r="B1947" t="s">
        <v>18</v>
      </c>
      <c r="C1947" t="s">
        <v>19</v>
      </c>
      <c r="D1947" t="s">
        <v>20</v>
      </c>
      <c r="E1947" t="s">
        <v>1254</v>
      </c>
      <c r="F1947" t="s">
        <v>22</v>
      </c>
      <c r="G1947" t="s">
        <v>23</v>
      </c>
      <c r="H1947" t="s">
        <v>24</v>
      </c>
      <c r="I1947" t="s">
        <v>25</v>
      </c>
      <c r="J1947" s="2">
        <v>45825.785324074073</v>
      </c>
      <c r="K1947">
        <v>17</v>
      </c>
      <c r="L1947">
        <v>6</v>
      </c>
      <c r="M1947">
        <v>2025</v>
      </c>
      <c r="N1947" t="s">
        <v>27</v>
      </c>
      <c r="O1947">
        <v>100</v>
      </c>
      <c r="P1947">
        <v>100</v>
      </c>
      <c r="R1947" s="3" t="str">
        <f>HYPERLINK("https://panda.att.com.mx/ODKServer/view/binaryData?blobKey=FSSuministroFluidosv3%5B%40version%3Dnull+and+%40uiVersion%3Dnull%5D%2Fdata%5B%40key%3Duuid%3A39522f86-fc3f-4430-a9f3-eb5c899ffdea%5D%2FgroupInfoFuel%5B%40ordinal%3D1%5D%2FpicFuelRecibeInterno","Descargar")</f>
        <v>Descargar</v>
      </c>
    </row>
    <row r="1948" spans="1:18" x14ac:dyDescent="0.3">
      <c r="A1948">
        <v>1559620</v>
      </c>
      <c r="B1948" t="s">
        <v>18</v>
      </c>
      <c r="C1948" t="s">
        <v>19</v>
      </c>
      <c r="D1948" t="s">
        <v>20</v>
      </c>
      <c r="E1948" t="s">
        <v>143</v>
      </c>
      <c r="F1948" t="s">
        <v>22</v>
      </c>
      <c r="G1948" t="s">
        <v>23</v>
      </c>
      <c r="H1948" t="s">
        <v>24</v>
      </c>
      <c r="I1948" t="s">
        <v>25</v>
      </c>
      <c r="J1948" s="2">
        <v>45825.773564814823</v>
      </c>
      <c r="K1948">
        <v>17</v>
      </c>
      <c r="L1948">
        <v>6</v>
      </c>
      <c r="M1948">
        <v>2025</v>
      </c>
      <c r="N1948" t="s">
        <v>27</v>
      </c>
      <c r="O1948">
        <v>150</v>
      </c>
      <c r="P1948">
        <v>150</v>
      </c>
      <c r="R1948" s="3" t="str">
        <f>HYPERLINK("https://panda.att.com.mx/ODKServer/view/binaryData?blobKey=FSSuministroFluidosv3%5B%40version%3Dnull+and+%40uiVersion%3Dnull%5D%2Fdata%5B%40key%3Duuid%3Acb944dc6-6310-4c12-94a7-a3742bbc7d00%5D%2FgroupInfoFuel%5B%40ordinal%3D1%5D%2FpicFuelRecibeInterno","Descargar")</f>
        <v>Descargar</v>
      </c>
    </row>
    <row r="1949" spans="1:18" x14ac:dyDescent="0.3">
      <c r="A1949">
        <v>1559597</v>
      </c>
      <c r="B1949" t="s">
        <v>18</v>
      </c>
      <c r="C1949" t="s">
        <v>19</v>
      </c>
      <c r="D1949" t="s">
        <v>40</v>
      </c>
      <c r="E1949" t="s">
        <v>1905</v>
      </c>
      <c r="F1949" t="s">
        <v>22</v>
      </c>
      <c r="G1949" t="s">
        <v>47</v>
      </c>
      <c r="H1949" t="s">
        <v>24</v>
      </c>
      <c r="I1949" t="s">
        <v>25</v>
      </c>
      <c r="J1949" s="2">
        <v>45824.781631944446</v>
      </c>
      <c r="K1949">
        <v>16</v>
      </c>
      <c r="L1949">
        <v>6</v>
      </c>
      <c r="M1949">
        <v>2025</v>
      </c>
      <c r="N1949" t="s">
        <v>44</v>
      </c>
      <c r="O1949">
        <v>30</v>
      </c>
      <c r="P1949">
        <v>30</v>
      </c>
      <c r="R1949" s="3" t="str">
        <f>HYPERLINK("https://panda.att.com.mx/ODKServer/view/binaryData?blobKey=FSSuministroFluidosv3%5B%40version%3Dnull+and+%40uiVersion%3Dnull%5D%2Fdata%5B%40key%3Duuid%3A9f0e935e-d438-4193-8175-fa21df1356c2%5D%2FgroupInfoFuel%5B%40ordinal%3D1%5D%2FpicFuelRecibeInterno","Descargar")</f>
        <v>Descargar</v>
      </c>
    </row>
    <row r="1950" spans="1:18" x14ac:dyDescent="0.3">
      <c r="A1950">
        <v>1559528</v>
      </c>
      <c r="B1950" t="s">
        <v>18</v>
      </c>
      <c r="C1950" t="s">
        <v>100</v>
      </c>
      <c r="D1950" t="s">
        <v>101</v>
      </c>
      <c r="E1950" t="s">
        <v>126</v>
      </c>
      <c r="F1950" t="s">
        <v>22</v>
      </c>
      <c r="G1950" t="s">
        <v>83</v>
      </c>
      <c r="H1950" t="s">
        <v>58</v>
      </c>
      <c r="I1950" t="s">
        <v>25</v>
      </c>
      <c r="J1950" s="2">
        <v>45825.677824074082</v>
      </c>
      <c r="K1950">
        <v>17</v>
      </c>
      <c r="L1950">
        <v>6</v>
      </c>
      <c r="M1950">
        <v>2025</v>
      </c>
      <c r="N1950" t="s">
        <v>27</v>
      </c>
      <c r="O1950">
        <v>300</v>
      </c>
      <c r="P1950">
        <v>300</v>
      </c>
      <c r="R1950" s="3" t="str">
        <f>HYPERLINK("https://panda.att.com.mx/ODKServer/view/binaryData?blobKey=FSSuministroFluidosv3%5B%40version%3Dnull+and+%40uiVersion%3Dnull%5D%2Fdata%5B%40key%3Duuid%3A0a1e480c-5ba4-4389-88ca-44c40b5d2e9e%5D%2FgroupInfoFuel%5B%40ordinal%3D1%5D%2FpicFuelRecibeInterno","Descargar")</f>
        <v>Descargar</v>
      </c>
    </row>
    <row r="1951" spans="1:18" x14ac:dyDescent="0.3">
      <c r="A1951">
        <v>1559422</v>
      </c>
      <c r="B1951" t="s">
        <v>18</v>
      </c>
      <c r="C1951" t="s">
        <v>19</v>
      </c>
      <c r="D1951" t="s">
        <v>42</v>
      </c>
      <c r="E1951" t="s">
        <v>1571</v>
      </c>
      <c r="F1951" t="s">
        <v>22</v>
      </c>
      <c r="G1951" t="s">
        <v>23</v>
      </c>
      <c r="H1951" t="s">
        <v>24</v>
      </c>
      <c r="I1951" t="s">
        <v>25</v>
      </c>
      <c r="J1951" s="2">
        <v>45824.766365740739</v>
      </c>
      <c r="K1951">
        <v>16</v>
      </c>
      <c r="L1951">
        <v>6</v>
      </c>
      <c r="M1951">
        <v>2025</v>
      </c>
      <c r="N1951" t="s">
        <v>27</v>
      </c>
      <c r="O1951">
        <v>250</v>
      </c>
      <c r="P1951">
        <v>250</v>
      </c>
      <c r="R1951" s="3" t="str">
        <f>HYPERLINK("https://panda.att.com.mx/ODKServer/view/binaryData?blobKey=FSSuministroFluidosv3%5B%40version%3Dnull+and+%40uiVersion%3Dnull%5D%2Fdata%5B%40key%3Duuid%3A28e59588-14c7-4942-9eb1-a046e948628f%5D%2FgroupInfoFuel%5B%40ordinal%3D1%5D%2FpicFuelRecibeInterno","Descargar")</f>
        <v>Descargar</v>
      </c>
    </row>
    <row r="1952" spans="1:18" x14ac:dyDescent="0.3">
      <c r="A1952">
        <v>1558026</v>
      </c>
      <c r="B1952" t="s">
        <v>18</v>
      </c>
      <c r="C1952" t="s">
        <v>100</v>
      </c>
      <c r="D1952" t="s">
        <v>101</v>
      </c>
      <c r="E1952" t="s">
        <v>102</v>
      </c>
      <c r="F1952" t="s">
        <v>22</v>
      </c>
      <c r="G1952" t="s">
        <v>83</v>
      </c>
      <c r="H1952" t="s">
        <v>58</v>
      </c>
      <c r="I1952" t="s">
        <v>25</v>
      </c>
      <c r="J1952" s="2">
        <v>45819.000162037039</v>
      </c>
      <c r="K1952">
        <v>11</v>
      </c>
      <c r="L1952">
        <v>6</v>
      </c>
      <c r="M1952">
        <v>2025</v>
      </c>
      <c r="N1952" t="s">
        <v>44</v>
      </c>
      <c r="O1952">
        <v>60</v>
      </c>
      <c r="P1952">
        <v>60</v>
      </c>
      <c r="R1952" s="3" t="str">
        <f>HYPERLINK("https://panda.att.com.mx/ODKServer/view/binaryData?blobKey=FSSuministroFluidosv3%5B%40version%3Dnull+and+%40uiVersion%3Dnull%5D%2Fdata%5B%40key%3Duuid%3A3f5f031f-c1b0-4e9a-9037-f2fa00e75e2b%5D%2FgroupInfoFuel%5B%40ordinal%3D1%5D%2FpicFuelRecibeInterno","Descargar")</f>
        <v>Descargar</v>
      </c>
    </row>
    <row r="1953" spans="1:18" x14ac:dyDescent="0.3">
      <c r="A1953">
        <v>1558025</v>
      </c>
      <c r="B1953" t="s">
        <v>18</v>
      </c>
      <c r="C1953" t="s">
        <v>100</v>
      </c>
      <c r="D1953" t="s">
        <v>101</v>
      </c>
      <c r="E1953" t="s">
        <v>102</v>
      </c>
      <c r="F1953" t="s">
        <v>22</v>
      </c>
      <c r="G1953" t="s">
        <v>83</v>
      </c>
      <c r="H1953" t="s">
        <v>58</v>
      </c>
      <c r="I1953" t="s">
        <v>25</v>
      </c>
      <c r="J1953" s="2">
        <v>45818.870995370373</v>
      </c>
      <c r="K1953">
        <v>10</v>
      </c>
      <c r="L1953">
        <v>6</v>
      </c>
      <c r="M1953">
        <v>2025</v>
      </c>
      <c r="N1953" t="s">
        <v>44</v>
      </c>
      <c r="O1953">
        <v>40</v>
      </c>
      <c r="P1953">
        <v>40</v>
      </c>
      <c r="R1953" s="3" t="str">
        <f>HYPERLINK("https://panda.att.com.mx/ODKServer/view/binaryData?blobKey=FSSuministroFluidosv3%5B%40version%3Dnull+and+%40uiVersion%3Dnull%5D%2Fdata%5B%40key%3Duuid%3A80e743e3-3c11-4ced-8f62-a05c0e4ffd3e%5D%2FgroupInfoFuel%5B%40ordinal%3D1%5D%2FpicFuelRecibeInterno","Descargar")</f>
        <v>Descargar</v>
      </c>
    </row>
    <row r="1954" spans="1:18" x14ac:dyDescent="0.3">
      <c r="A1954">
        <v>1558020</v>
      </c>
      <c r="B1954" t="s">
        <v>18</v>
      </c>
      <c r="C1954" t="s">
        <v>59</v>
      </c>
      <c r="D1954" t="s">
        <v>60</v>
      </c>
      <c r="E1954" t="s">
        <v>1921</v>
      </c>
      <c r="F1954" t="s">
        <v>22</v>
      </c>
      <c r="G1954" t="s">
        <v>47</v>
      </c>
      <c r="H1954" t="s">
        <v>37</v>
      </c>
      <c r="I1954" t="s">
        <v>25</v>
      </c>
      <c r="J1954" s="2">
        <v>45823.555138888893</v>
      </c>
      <c r="K1954">
        <v>15</v>
      </c>
      <c r="L1954">
        <v>6</v>
      </c>
      <c r="M1954">
        <v>2025</v>
      </c>
      <c r="N1954" t="s">
        <v>27</v>
      </c>
      <c r="O1954">
        <v>55</v>
      </c>
      <c r="P1954">
        <v>55</v>
      </c>
      <c r="R1954" s="3" t="str">
        <f>HYPERLINK("https://panda.att.com.mx/ODKServer/view/binaryData?blobKey=FSSuministroFluidosv3%5B%40version%3Dnull+and+%40uiVersion%3Dnull%5D%2Fdata%5B%40key%3Duuid%3Ad4199c6a-c160-4e89-9601-c2f1a4056bdb%5D%2FgroupInfoFuel%5B%40ordinal%3D1%5D%2FpicFuelRecibeInterno","Descargar")</f>
        <v>Descargar</v>
      </c>
    </row>
    <row r="1955" spans="1:18" x14ac:dyDescent="0.3">
      <c r="A1955">
        <v>1557991</v>
      </c>
      <c r="B1955" t="s">
        <v>18</v>
      </c>
      <c r="C1955" t="s">
        <v>59</v>
      </c>
      <c r="D1955" t="s">
        <v>60</v>
      </c>
      <c r="E1955" t="s">
        <v>1922</v>
      </c>
      <c r="F1955" t="s">
        <v>22</v>
      </c>
      <c r="G1955" t="s">
        <v>47</v>
      </c>
      <c r="H1955" t="s">
        <v>37</v>
      </c>
      <c r="I1955" t="s">
        <v>25</v>
      </c>
      <c r="J1955" s="2">
        <v>45821.954016203701</v>
      </c>
      <c r="K1955">
        <v>13</v>
      </c>
      <c r="L1955">
        <v>6</v>
      </c>
      <c r="M1955">
        <v>2025</v>
      </c>
      <c r="N1955" t="s">
        <v>27</v>
      </c>
      <c r="O1955">
        <v>53.51</v>
      </c>
      <c r="P1955">
        <v>53.51</v>
      </c>
      <c r="R1955" s="3" t="str">
        <f>HYPERLINK("https://panda.att.com.mx/ODKServer/view/binaryData?blobKey=FSSuministroFluidosv3%5B%40version%3Dnull+and+%40uiVersion%3Dnull%5D%2Fdata%5B%40key%3Duuid%3Aa97f7b1b-8814-41e4-a1ae-95ab068a438d%5D%2FgroupInfoFuel%5B%40ordinal%3D1%5D%2FpicFuelRecibeInterno","Descargar")</f>
        <v>Descargar</v>
      </c>
    </row>
    <row r="1956" spans="1:18" x14ac:dyDescent="0.3">
      <c r="A1956">
        <v>1557974</v>
      </c>
      <c r="B1956" t="s">
        <v>18</v>
      </c>
      <c r="C1956" t="s">
        <v>59</v>
      </c>
      <c r="D1956" t="s">
        <v>60</v>
      </c>
      <c r="E1956" t="s">
        <v>1850</v>
      </c>
      <c r="F1956" t="s">
        <v>22</v>
      </c>
      <c r="G1956" t="s">
        <v>47</v>
      </c>
      <c r="H1956" t="s">
        <v>37</v>
      </c>
      <c r="I1956" t="s">
        <v>25</v>
      </c>
      <c r="J1956" s="2">
        <v>45822.482974537037</v>
      </c>
      <c r="K1956">
        <v>14</v>
      </c>
      <c r="L1956">
        <v>6</v>
      </c>
      <c r="M1956">
        <v>2025</v>
      </c>
      <c r="N1956" t="s">
        <v>27</v>
      </c>
      <c r="O1956">
        <v>130</v>
      </c>
      <c r="P1956">
        <v>130</v>
      </c>
      <c r="R1956" s="3" t="str">
        <f>HYPERLINK("https://panda.att.com.mx/ODKServer/view/binaryData?blobKey=FSSuministroFluidosv3%5B%40version%3Dnull+and+%40uiVersion%3Dnull%5D%2Fdata%5B%40key%3Duuid%3Adde6a5eb-86ca-4158-8798-4fc3c7422ca3%5D%2FgroupInfoFuel%5B%40ordinal%3D1%5D%2FpicFuelRecibeInterno","Descargar")</f>
        <v>Descargar</v>
      </c>
    </row>
    <row r="1957" spans="1:18" x14ac:dyDescent="0.3">
      <c r="A1957">
        <v>1557971</v>
      </c>
      <c r="B1957" t="s">
        <v>18</v>
      </c>
      <c r="C1957" t="s">
        <v>55</v>
      </c>
      <c r="D1957" t="s">
        <v>128</v>
      </c>
      <c r="E1957" t="s">
        <v>1923</v>
      </c>
      <c r="F1957" t="s">
        <v>22</v>
      </c>
      <c r="G1957" t="s">
        <v>23</v>
      </c>
      <c r="H1957" t="s">
        <v>58</v>
      </c>
      <c r="I1957" t="s">
        <v>25</v>
      </c>
      <c r="J1957" s="2">
        <v>45823.332430555558</v>
      </c>
      <c r="K1957">
        <v>15</v>
      </c>
      <c r="L1957">
        <v>6</v>
      </c>
      <c r="M1957">
        <v>2025</v>
      </c>
      <c r="N1957" t="s">
        <v>44</v>
      </c>
      <c r="O1957">
        <v>40</v>
      </c>
      <c r="P1957">
        <v>40</v>
      </c>
      <c r="R1957" s="3" t="str">
        <f>HYPERLINK("https://panda.att.com.mx/ODKServer/view/binaryData?blobKey=FSSuministroFluidosv3%5B%40version%3Dnull+and+%40uiVersion%3Dnull%5D%2Fdata%5B%40key%3Duuid%3Affdd70cb-6384-4c54-b22a-6e5c01275ebd%5D%2FgroupInfoFuel%5B%40ordinal%3D1%5D%2FpicFuelRecibeInterno","Descargar")</f>
        <v>Descargar</v>
      </c>
    </row>
    <row r="1958" spans="1:18" x14ac:dyDescent="0.3">
      <c r="A1958">
        <v>1557950</v>
      </c>
      <c r="B1958" t="s">
        <v>18</v>
      </c>
      <c r="C1958" t="s">
        <v>34</v>
      </c>
      <c r="D1958" t="s">
        <v>51</v>
      </c>
      <c r="E1958" t="s">
        <v>1924</v>
      </c>
      <c r="F1958" t="s">
        <v>22</v>
      </c>
      <c r="G1958" t="s">
        <v>23</v>
      </c>
      <c r="H1958" t="s">
        <v>24</v>
      </c>
      <c r="I1958" t="s">
        <v>25</v>
      </c>
      <c r="J1958" s="2">
        <v>45821.639849537038</v>
      </c>
      <c r="K1958">
        <v>13</v>
      </c>
      <c r="L1958">
        <v>6</v>
      </c>
      <c r="M1958">
        <v>2025</v>
      </c>
      <c r="N1958" t="s">
        <v>44</v>
      </c>
      <c r="O1958">
        <v>50</v>
      </c>
      <c r="Q1958">
        <v>50</v>
      </c>
      <c r="R1958" s="3" t="str">
        <f>HYPERLINK("https://panda.att.com.mx/ODKServer/view/binaryData?blobKey=FSSuministroFluidosv3%5B%40version%3Dnull+and+%40uiVersion%3Dnull%5D%2Fdata%5B%40key%3Duuid%3A4746a8ff-6ee8-456e-a660-641520e2b801%5D%2FgroupInfoFuel%5B%40ordinal%3D1%5D%2FpicFuelRecibeInterno","Descargar")</f>
        <v>Descargar</v>
      </c>
    </row>
    <row r="1959" spans="1:18" x14ac:dyDescent="0.3">
      <c r="A1959">
        <v>1557941</v>
      </c>
      <c r="B1959" t="s">
        <v>18</v>
      </c>
      <c r="C1959" t="s">
        <v>59</v>
      </c>
      <c r="D1959" t="s">
        <v>60</v>
      </c>
      <c r="E1959" t="s">
        <v>1925</v>
      </c>
      <c r="F1959" t="s">
        <v>22</v>
      </c>
      <c r="G1959" t="s">
        <v>23</v>
      </c>
      <c r="H1959" t="s">
        <v>37</v>
      </c>
      <c r="I1959" t="s">
        <v>25</v>
      </c>
      <c r="J1959" s="2">
        <v>45819.831018518518</v>
      </c>
      <c r="K1959">
        <v>11</v>
      </c>
      <c r="L1959">
        <v>6</v>
      </c>
      <c r="M1959">
        <v>2025</v>
      </c>
      <c r="N1959" t="s">
        <v>27</v>
      </c>
      <c r="O1959">
        <v>50</v>
      </c>
      <c r="P1959">
        <v>50</v>
      </c>
      <c r="R1959" s="3" t="str">
        <f>HYPERLINK("https://panda.att.com.mx/ODKServer/view/binaryData?blobKey=FSSuministroFluidosv3%5B%40version%3Dnull+and+%40uiVersion%3Dnull%5D%2Fdata%5B%40key%3Duuid%3A41ebe364-3457-4582-a3c8-53754e0b88cc%5D%2FgroupInfoFuel%5B%40ordinal%3D1%5D%2FpicFuelRecibeInterno","Descargar")</f>
        <v>Descargar</v>
      </c>
    </row>
    <row r="1960" spans="1:18" x14ac:dyDescent="0.3">
      <c r="A1960">
        <v>1557940</v>
      </c>
      <c r="B1960" t="s">
        <v>18</v>
      </c>
      <c r="C1960" t="s">
        <v>59</v>
      </c>
      <c r="D1960" t="s">
        <v>60</v>
      </c>
      <c r="E1960" t="s">
        <v>1926</v>
      </c>
      <c r="F1960" t="s">
        <v>22</v>
      </c>
      <c r="G1960" t="s">
        <v>47</v>
      </c>
      <c r="H1960" t="s">
        <v>37</v>
      </c>
      <c r="I1960" t="s">
        <v>25</v>
      </c>
      <c r="J1960" s="2">
        <v>45822.033321759263</v>
      </c>
      <c r="K1960">
        <v>14</v>
      </c>
      <c r="L1960">
        <v>6</v>
      </c>
      <c r="M1960">
        <v>2025</v>
      </c>
      <c r="N1960" t="s">
        <v>27</v>
      </c>
      <c r="O1960">
        <v>78.150000000000006</v>
      </c>
      <c r="P1960">
        <v>78.150000000000006</v>
      </c>
      <c r="R1960" s="3" t="str">
        <f>HYPERLINK("https://panda.att.com.mx/ODKServer/view/binaryData?blobKey=FSSuministroFluidosv3%5B%40version%3Dnull+and+%40uiVersion%3Dnull%5D%2Fdata%5B%40key%3Duuid%3A83c1d756-1e97-4d0a-84b3-e3f11362782d%5D%2FgroupInfoFuel%5B%40ordinal%3D1%5D%2FpicFuelRecibeInterno","Descargar")</f>
        <v>Descargar</v>
      </c>
    </row>
    <row r="1961" spans="1:18" x14ac:dyDescent="0.3">
      <c r="A1961">
        <v>1557933</v>
      </c>
      <c r="B1961" t="s">
        <v>18</v>
      </c>
      <c r="C1961" t="s">
        <v>34</v>
      </c>
      <c r="D1961" t="s">
        <v>53</v>
      </c>
      <c r="E1961" t="s">
        <v>491</v>
      </c>
      <c r="F1961" t="s">
        <v>22</v>
      </c>
      <c r="G1961" t="s">
        <v>23</v>
      </c>
      <c r="H1961" t="s">
        <v>37</v>
      </c>
      <c r="I1961" t="s">
        <v>25</v>
      </c>
      <c r="J1961" s="2">
        <v>45822.522557870368</v>
      </c>
      <c r="K1961">
        <v>14</v>
      </c>
      <c r="L1961">
        <v>6</v>
      </c>
      <c r="M1961">
        <v>2025</v>
      </c>
      <c r="N1961" t="s">
        <v>27</v>
      </c>
      <c r="O1961">
        <v>400</v>
      </c>
      <c r="Q1961">
        <v>400</v>
      </c>
      <c r="R1961" s="3" t="str">
        <f>HYPERLINK("https://panda.att.com.mx/ODKServer/view/binaryData?blobKey=FSSuministroFluidosv3%5B%40version%3Dnull+and+%40uiVersion%3Dnull%5D%2Fdata%5B%40key%3Duuid%3A80e10427-6278-440f-8106-cae983223674%5D%2FgroupInfoFuel%5B%40ordinal%3D1%5D%2FpicFuelRecibeInterno","Descargar")</f>
        <v>Descargar</v>
      </c>
    </row>
    <row r="1962" spans="1:18" x14ac:dyDescent="0.3">
      <c r="A1962">
        <v>1557932</v>
      </c>
      <c r="B1962" t="s">
        <v>18</v>
      </c>
      <c r="C1962" t="s">
        <v>34</v>
      </c>
      <c r="D1962" t="s">
        <v>53</v>
      </c>
      <c r="E1962" t="s">
        <v>1711</v>
      </c>
      <c r="F1962" t="s">
        <v>22</v>
      </c>
      <c r="G1962" t="s">
        <v>23</v>
      </c>
      <c r="H1962" t="s">
        <v>37</v>
      </c>
      <c r="I1962" t="s">
        <v>25</v>
      </c>
      <c r="J1962" s="2">
        <v>45822.389305555553</v>
      </c>
      <c r="K1962">
        <v>14</v>
      </c>
      <c r="L1962">
        <v>6</v>
      </c>
      <c r="M1962">
        <v>2025</v>
      </c>
      <c r="N1962" t="s">
        <v>27</v>
      </c>
      <c r="O1962">
        <v>300</v>
      </c>
      <c r="Q1962">
        <v>300</v>
      </c>
      <c r="R1962" s="3" t="str">
        <f>HYPERLINK("https://panda.att.com.mx/ODKServer/view/binaryData?blobKey=FSSuministroFluidosv3%5B%40version%3Dnull+and+%40uiVersion%3Dnull%5D%2Fdata%5B%40key%3Duuid%3A8be83e2e-e520-4b4b-b466-280be8abf81e%5D%2FgroupInfoFuel%5B%40ordinal%3D1%5D%2FpicFuelRecibeInterno","Descargar")</f>
        <v>Descargar</v>
      </c>
    </row>
    <row r="1963" spans="1:18" x14ac:dyDescent="0.3">
      <c r="A1963">
        <v>1557931</v>
      </c>
      <c r="B1963" t="s">
        <v>18</v>
      </c>
      <c r="C1963" t="s">
        <v>34</v>
      </c>
      <c r="D1963" t="s">
        <v>121</v>
      </c>
      <c r="E1963" t="s">
        <v>802</v>
      </c>
      <c r="F1963" t="s">
        <v>33</v>
      </c>
      <c r="G1963" t="s">
        <v>23</v>
      </c>
      <c r="H1963" t="s">
        <v>37</v>
      </c>
      <c r="I1963" t="s">
        <v>25</v>
      </c>
      <c r="J1963" s="2">
        <v>45822.441990740743</v>
      </c>
      <c r="K1963">
        <v>14</v>
      </c>
      <c r="L1963">
        <v>6</v>
      </c>
      <c r="M1963">
        <v>2025</v>
      </c>
      <c r="N1963" t="s">
        <v>27</v>
      </c>
      <c r="O1963">
        <v>450</v>
      </c>
      <c r="Q1963">
        <v>450</v>
      </c>
      <c r="R1963" s="3" t="str">
        <f>HYPERLINK("https://panda.att.com.mx/ODKServer/view/binaryData?blobKey=FSSuministroFluidosv3%5B%40version%3Dnull+and+%40uiVersion%3Dnull%5D%2Fdata%5B%40key%3Duuid%3Acc1aef21-34ac-496b-8c4d-bfe2633c502d%5D%2FgroupInfoFuel%5B%40ordinal%3D1%5D%2FpicFuelRecibeInterno","Descargar")</f>
        <v>Descargar</v>
      </c>
    </row>
    <row r="1964" spans="1:18" x14ac:dyDescent="0.3">
      <c r="A1964">
        <v>1557930</v>
      </c>
      <c r="B1964" t="s">
        <v>18</v>
      </c>
      <c r="C1964" t="s">
        <v>59</v>
      </c>
      <c r="D1964" t="s">
        <v>60</v>
      </c>
      <c r="E1964" t="s">
        <v>1927</v>
      </c>
      <c r="F1964" t="s">
        <v>22</v>
      </c>
      <c r="G1964" t="s">
        <v>47</v>
      </c>
      <c r="H1964" t="s">
        <v>37</v>
      </c>
      <c r="I1964" t="s">
        <v>25</v>
      </c>
      <c r="J1964" s="2">
        <v>45821.616412037038</v>
      </c>
      <c r="K1964">
        <v>13</v>
      </c>
      <c r="L1964">
        <v>6</v>
      </c>
      <c r="M1964">
        <v>2025</v>
      </c>
      <c r="N1964" t="s">
        <v>27</v>
      </c>
      <c r="O1964">
        <v>54.63</v>
      </c>
      <c r="P1964">
        <v>54.63</v>
      </c>
      <c r="R1964" s="3" t="str">
        <f>HYPERLINK("https://panda.att.com.mx/ODKServer/view/binaryData?blobKey=FSSuministroFluidosv3%5B%40version%3Dnull+and+%40uiVersion%3Dnull%5D%2Fdata%5B%40key%3Duuid%3Ae5d0121c-6431-400b-9376-8b275f3010fd%5D%2FgroupInfoFuel%5B%40ordinal%3D1%5D%2FpicFuelRecibeInterno","Descargar")</f>
        <v>Descargar</v>
      </c>
    </row>
    <row r="1965" spans="1:18" x14ac:dyDescent="0.3">
      <c r="A1965">
        <v>1557924</v>
      </c>
      <c r="B1965" t="s">
        <v>18</v>
      </c>
      <c r="C1965" t="s">
        <v>59</v>
      </c>
      <c r="D1965" t="s">
        <v>60</v>
      </c>
      <c r="E1965" t="s">
        <v>1928</v>
      </c>
      <c r="F1965" t="s">
        <v>22</v>
      </c>
      <c r="G1965" t="s">
        <v>47</v>
      </c>
      <c r="H1965" t="s">
        <v>37</v>
      </c>
      <c r="I1965" t="s">
        <v>25</v>
      </c>
      <c r="J1965" s="2">
        <v>45820.711111111108</v>
      </c>
      <c r="K1965">
        <v>12</v>
      </c>
      <c r="L1965">
        <v>6</v>
      </c>
      <c r="M1965">
        <v>2025</v>
      </c>
      <c r="N1965" t="s">
        <v>27</v>
      </c>
      <c r="O1965">
        <v>60</v>
      </c>
      <c r="P1965">
        <v>60</v>
      </c>
      <c r="R1965" s="3" t="str">
        <f>HYPERLINK("https://panda.att.com.mx/ODKServer/view/binaryData?blobKey=FSSuministroFluidosv3%5B%40version%3Dnull+and+%40uiVersion%3Dnull%5D%2Fdata%5B%40key%3Duuid%3A2d3a2ba7-e7f0-497e-b9cf-abc0130beb2d%5D%2FgroupInfoFuel%5B%40ordinal%3D1%5D%2FpicFuelRecibeInterno","Descargar")</f>
        <v>Descargar</v>
      </c>
    </row>
    <row r="1966" spans="1:18" x14ac:dyDescent="0.3">
      <c r="A1966">
        <v>1557919</v>
      </c>
      <c r="B1966" t="s">
        <v>18</v>
      </c>
      <c r="C1966" t="s">
        <v>34</v>
      </c>
      <c r="D1966" t="s">
        <v>121</v>
      </c>
      <c r="E1966" t="s">
        <v>1929</v>
      </c>
      <c r="F1966" t="s">
        <v>22</v>
      </c>
      <c r="G1966" t="s">
        <v>23</v>
      </c>
      <c r="H1966" t="s">
        <v>37</v>
      </c>
      <c r="I1966" t="s">
        <v>25</v>
      </c>
      <c r="J1966" s="2">
        <v>45822.701886574083</v>
      </c>
      <c r="K1966">
        <v>14</v>
      </c>
      <c r="L1966">
        <v>6</v>
      </c>
      <c r="M1966">
        <v>2025</v>
      </c>
      <c r="N1966" t="s">
        <v>27</v>
      </c>
      <c r="O1966">
        <v>224</v>
      </c>
      <c r="P1966">
        <v>224</v>
      </c>
      <c r="R1966" s="3" t="str">
        <f>HYPERLINK("https://panda.att.com.mx/ODKServer/view/binaryData?blobKey=FSSuministroFluidosv3%5B%40version%3Dnull+and+%40uiVersion%3Dnull%5D%2Fdata%5B%40key%3Duuid%3A712b6863-681d-4e87-99da-cf451b671a58%5D%2FgroupInfoFuel%5B%40ordinal%3D1%5D%2FpicFuelRecibeInterno","Descargar")</f>
        <v>Descargar</v>
      </c>
    </row>
    <row r="1967" spans="1:18" x14ac:dyDescent="0.3">
      <c r="A1967">
        <v>1557914</v>
      </c>
      <c r="B1967" t="s">
        <v>18</v>
      </c>
      <c r="C1967" t="s">
        <v>55</v>
      </c>
      <c r="D1967" t="s">
        <v>56</v>
      </c>
      <c r="E1967" t="s">
        <v>1555</v>
      </c>
      <c r="F1967" t="s">
        <v>22</v>
      </c>
      <c r="G1967" t="s">
        <v>23</v>
      </c>
      <c r="H1967" t="s">
        <v>58</v>
      </c>
      <c r="I1967" t="s">
        <v>25</v>
      </c>
      <c r="J1967" s="2">
        <v>45822.730127314811</v>
      </c>
      <c r="K1967">
        <v>14</v>
      </c>
      <c r="L1967">
        <v>6</v>
      </c>
      <c r="M1967">
        <v>2025</v>
      </c>
      <c r="N1967" t="s">
        <v>27</v>
      </c>
      <c r="O1967">
        <v>100</v>
      </c>
      <c r="P1967">
        <v>100</v>
      </c>
      <c r="R1967" s="3" t="str">
        <f>HYPERLINK("https://panda.att.com.mx/ODKServer/view/binaryData?blobKey=FSSuministroFluidosv3%5B%40version%3Dnull+and+%40uiVersion%3Dnull%5D%2Fdata%5B%40key%3Duuid%3A2c97b100-2e59-46fc-8d15-d609e65b5b4e%5D%2FgroupInfoFuel%5B%40ordinal%3D1%5D%2FpicFuelRecibeInterno","Descargar")</f>
        <v>Descargar</v>
      </c>
    </row>
    <row r="1968" spans="1:18" x14ac:dyDescent="0.3">
      <c r="A1968">
        <v>1557912</v>
      </c>
      <c r="B1968" t="s">
        <v>18</v>
      </c>
      <c r="C1968" t="s">
        <v>34</v>
      </c>
      <c r="D1968" t="s">
        <v>53</v>
      </c>
      <c r="E1968" t="s">
        <v>1930</v>
      </c>
      <c r="F1968" t="s">
        <v>33</v>
      </c>
      <c r="G1968" t="s">
        <v>23</v>
      </c>
      <c r="H1968" t="s">
        <v>37</v>
      </c>
      <c r="I1968" t="s">
        <v>25</v>
      </c>
      <c r="J1968" s="2">
        <v>45821.43408564815</v>
      </c>
      <c r="K1968">
        <v>13</v>
      </c>
      <c r="L1968">
        <v>6</v>
      </c>
      <c r="M1968">
        <v>2025</v>
      </c>
      <c r="N1968" t="s">
        <v>27</v>
      </c>
      <c r="O1968">
        <v>100</v>
      </c>
      <c r="P1968">
        <v>100</v>
      </c>
      <c r="R1968" s="3" t="str">
        <f>HYPERLINK("https://panda.att.com.mx/ODKServer/view/binaryData?blobKey=FSSuministroFluidosv3%5B%40version%3Dnull+and+%40uiVersion%3Dnull%5D%2Fdata%5B%40key%3Duuid%3A6609e825-5f6b-4611-a7cb-855babbf6178%5D%2FgroupInfoFuel%5B%40ordinal%3D1%5D%2FpicFuelRecibeInterno","Descargar")</f>
        <v>Descargar</v>
      </c>
    </row>
    <row r="1969" spans="1:18" x14ac:dyDescent="0.3">
      <c r="A1969">
        <v>1557891</v>
      </c>
      <c r="B1969" t="s">
        <v>18</v>
      </c>
      <c r="C1969" t="s">
        <v>183</v>
      </c>
      <c r="D1969" t="s">
        <v>1931</v>
      </c>
      <c r="E1969" t="s">
        <v>1932</v>
      </c>
      <c r="F1969" t="s">
        <v>22</v>
      </c>
      <c r="G1969" t="s">
        <v>23</v>
      </c>
      <c r="H1969" t="s">
        <v>58</v>
      </c>
      <c r="I1969" t="s">
        <v>25</v>
      </c>
      <c r="J1969" s="2">
        <v>45822.711527777778</v>
      </c>
      <c r="K1969">
        <v>14</v>
      </c>
      <c r="L1969">
        <v>6</v>
      </c>
      <c r="M1969">
        <v>2025</v>
      </c>
      <c r="N1969" t="s">
        <v>27</v>
      </c>
      <c r="O1969">
        <v>150</v>
      </c>
      <c r="P1969">
        <v>150</v>
      </c>
      <c r="R1969" s="3" t="str">
        <f>HYPERLINK("https://panda.att.com.mx/ODKServer/view/binaryData?blobKey=FSSuministroFluidosv3%5B%40version%3Dnull+and+%40uiVersion%3Dnull%5D%2Fdata%5B%40key%3Duuid%3A9e77ce62-e30a-49f5-92cf-93eace567137%5D%2FgroupInfoFuel%5B%40ordinal%3D1%5D%2FpicFuelRecibeInterno","Descargar")</f>
        <v>Descargar</v>
      </c>
    </row>
    <row r="1970" spans="1:18" x14ac:dyDescent="0.3">
      <c r="A1970">
        <v>1557884</v>
      </c>
      <c r="B1970" t="s">
        <v>18</v>
      </c>
      <c r="C1970" t="s">
        <v>19</v>
      </c>
      <c r="D1970" t="s">
        <v>45</v>
      </c>
      <c r="E1970" t="s">
        <v>752</v>
      </c>
      <c r="F1970" t="s">
        <v>22</v>
      </c>
      <c r="G1970" t="s">
        <v>23</v>
      </c>
      <c r="H1970" t="s">
        <v>24</v>
      </c>
      <c r="I1970" t="s">
        <v>25</v>
      </c>
      <c r="J1970" s="2">
        <v>45822.54</v>
      </c>
      <c r="K1970">
        <v>14</v>
      </c>
      <c r="L1970">
        <v>6</v>
      </c>
      <c r="M1970">
        <v>2025</v>
      </c>
      <c r="N1970" t="s">
        <v>27</v>
      </c>
      <c r="O1970">
        <v>300</v>
      </c>
      <c r="P1970">
        <v>300</v>
      </c>
      <c r="R1970" s="3" t="str">
        <f>HYPERLINK("https://panda.att.com.mx/ODKServer/view/binaryData?blobKey=FSSuministroFluidosv3%5B%40version%3Dnull+and+%40uiVersion%3Dnull%5D%2Fdata%5B%40key%3Duuid%3A3ec4c3d2-2db9-4758-9762-04c8ac91b2f9%5D%2FgroupInfoFuel%5B%40ordinal%3D1%5D%2FpicFuelRecibeInterno","Descargar")</f>
        <v>Descargar</v>
      </c>
    </row>
    <row r="1971" spans="1:18" x14ac:dyDescent="0.3">
      <c r="A1971">
        <v>1557879</v>
      </c>
      <c r="B1971" t="s">
        <v>18</v>
      </c>
      <c r="C1971" t="s">
        <v>55</v>
      </c>
      <c r="D1971" t="s">
        <v>288</v>
      </c>
      <c r="E1971" t="s">
        <v>1933</v>
      </c>
      <c r="F1971" t="s">
        <v>22</v>
      </c>
      <c r="G1971" t="s">
        <v>23</v>
      </c>
      <c r="H1971" t="s">
        <v>58</v>
      </c>
      <c r="I1971" t="s">
        <v>25</v>
      </c>
      <c r="J1971" s="2">
        <v>45822.362928240742</v>
      </c>
      <c r="K1971">
        <v>14</v>
      </c>
      <c r="L1971">
        <v>6</v>
      </c>
      <c r="M1971">
        <v>2025</v>
      </c>
      <c r="N1971" t="s">
        <v>27</v>
      </c>
      <c r="O1971">
        <v>200</v>
      </c>
      <c r="P1971">
        <v>200</v>
      </c>
      <c r="R1971" s="3" t="str">
        <f>HYPERLINK("https://panda.att.com.mx/ODKServer/view/binaryData?blobKey=FSSuministroFluidosv3%5B%40version%3Dnull+and+%40uiVersion%3Dnull%5D%2Fdata%5B%40key%3Duuid%3A46da797f-5da6-4c26-a0ce-08dda18ee1a5%5D%2FgroupInfoFuel%5B%40ordinal%3D1%5D%2FpicFuelRecibeInterno","Descargar")</f>
        <v>Descargar</v>
      </c>
    </row>
    <row r="1972" spans="1:18" x14ac:dyDescent="0.3">
      <c r="A1972">
        <v>1557875</v>
      </c>
      <c r="B1972" t="s">
        <v>18</v>
      </c>
      <c r="C1972" t="s">
        <v>55</v>
      </c>
      <c r="D1972" t="s">
        <v>288</v>
      </c>
      <c r="E1972" t="s">
        <v>1934</v>
      </c>
      <c r="F1972" t="s">
        <v>22</v>
      </c>
      <c r="G1972" t="s">
        <v>23</v>
      </c>
      <c r="H1972" t="s">
        <v>58</v>
      </c>
      <c r="I1972" t="s">
        <v>25</v>
      </c>
      <c r="J1972" s="2">
        <v>45822.551736111112</v>
      </c>
      <c r="K1972">
        <v>14</v>
      </c>
      <c r="L1972">
        <v>6</v>
      </c>
      <c r="M1972">
        <v>2025</v>
      </c>
      <c r="N1972" t="s">
        <v>27</v>
      </c>
      <c r="O1972">
        <v>100</v>
      </c>
      <c r="P1972">
        <v>100</v>
      </c>
      <c r="R1972" s="3" t="str">
        <f>HYPERLINK("https://panda.att.com.mx/ODKServer/view/binaryData?blobKey=FSSuministroFluidosv3%5B%40version%3Dnull+and+%40uiVersion%3Dnull%5D%2Fdata%5B%40key%3Duuid%3A83ef1319-5f09-4e29-9ec6-2075f331b693%5D%2FgroupInfoFuel%5B%40ordinal%3D1%5D%2FpicFuelRecibeInterno","Descargar")</f>
        <v>Descargar</v>
      </c>
    </row>
    <row r="1973" spans="1:18" x14ac:dyDescent="0.3">
      <c r="A1973">
        <v>1557874</v>
      </c>
      <c r="B1973" t="s">
        <v>18</v>
      </c>
      <c r="C1973" t="s">
        <v>59</v>
      </c>
      <c r="D1973" t="s">
        <v>636</v>
      </c>
      <c r="E1973" t="s">
        <v>929</v>
      </c>
      <c r="F1973" t="s">
        <v>22</v>
      </c>
      <c r="G1973" t="s">
        <v>47</v>
      </c>
      <c r="H1973" t="s">
        <v>37</v>
      </c>
      <c r="I1973" t="s">
        <v>84</v>
      </c>
      <c r="J1973" s="2">
        <v>45822.687881944446</v>
      </c>
      <c r="K1973">
        <v>14</v>
      </c>
      <c r="L1973">
        <v>6</v>
      </c>
      <c r="M1973">
        <v>2025</v>
      </c>
      <c r="N1973" t="s">
        <v>27</v>
      </c>
      <c r="O1973">
        <v>300</v>
      </c>
      <c r="P1973">
        <v>300</v>
      </c>
      <c r="R1973" s="3" t="str">
        <f>HYPERLINK("https://panda.att.com.mx/ODKServer/view/binaryData?blobKey=FSSuministroFluidosv3%5B%40version%3Dnull+and+%40uiVersion%3Dnull%5D%2Fdata%5B%40key%3Duuid%3Ad1dc0411-01be-47d3-b4c0-ca75c2611dc7%5D%2FgroupInfoFuel%5B%40ordinal%3D1%5D%2FpicFuelRecibeInterno","Descargar")</f>
        <v>Descargar</v>
      </c>
    </row>
    <row r="1974" spans="1:18" x14ac:dyDescent="0.3">
      <c r="A1974">
        <v>1557859</v>
      </c>
      <c r="B1974" t="s">
        <v>18</v>
      </c>
      <c r="C1974" t="s">
        <v>34</v>
      </c>
      <c r="D1974" t="s">
        <v>53</v>
      </c>
      <c r="E1974" t="s">
        <v>144</v>
      </c>
      <c r="F1974" t="s">
        <v>22</v>
      </c>
      <c r="G1974" t="s">
        <v>23</v>
      </c>
      <c r="H1974" t="s">
        <v>37</v>
      </c>
      <c r="I1974" t="s">
        <v>25</v>
      </c>
      <c r="J1974" s="2">
        <v>45822.586805555547</v>
      </c>
      <c r="K1974">
        <v>14</v>
      </c>
      <c r="L1974">
        <v>6</v>
      </c>
      <c r="M1974">
        <v>2025</v>
      </c>
      <c r="N1974" t="s">
        <v>27</v>
      </c>
      <c r="O1974">
        <v>100</v>
      </c>
      <c r="P1974">
        <v>100</v>
      </c>
      <c r="R1974" s="3" t="str">
        <f>HYPERLINK("https://panda.att.com.mx/ODKServer/view/binaryData?blobKey=FSSuministroFluidosv3%5B%40version%3Dnull+and+%40uiVersion%3Dnull%5D%2Fdata%5B%40key%3Duuid%3A9c0ea689-639a-4c98-ade8-905cf227d778%5D%2FgroupInfoFuel%5B%40ordinal%3D1%5D%2FpicFuelRecibeInterno","Descargar")</f>
        <v>Descargar</v>
      </c>
    </row>
    <row r="1975" spans="1:18" x14ac:dyDescent="0.3">
      <c r="A1975">
        <v>1557856</v>
      </c>
      <c r="B1975" t="s">
        <v>18</v>
      </c>
      <c r="C1975" t="s">
        <v>183</v>
      </c>
      <c r="D1975" t="s">
        <v>688</v>
      </c>
      <c r="E1975" t="s">
        <v>689</v>
      </c>
      <c r="F1975" t="s">
        <v>22</v>
      </c>
      <c r="G1975" t="s">
        <v>23</v>
      </c>
      <c r="H1975" t="s">
        <v>37</v>
      </c>
      <c r="I1975" t="s">
        <v>25</v>
      </c>
      <c r="J1975" s="2">
        <v>45822.580625000002</v>
      </c>
      <c r="K1975">
        <v>14</v>
      </c>
      <c r="L1975">
        <v>6</v>
      </c>
      <c r="M1975">
        <v>2025</v>
      </c>
      <c r="N1975" t="s">
        <v>27</v>
      </c>
      <c r="O1975">
        <v>90</v>
      </c>
      <c r="P1975">
        <v>90</v>
      </c>
      <c r="R1975" s="3" t="str">
        <f>HYPERLINK("https://panda.att.com.mx/ODKServer/view/binaryData?blobKey=FSSuministroFluidosv3%5B%40version%3Dnull+and+%40uiVersion%3Dnull%5D%2Fdata%5B%40key%3Duuid%3A9e0a5ec6-1be7-40e0-aeb6-a7d674b30da3%5D%2FgroupInfoFuel%5B%40ordinal%3D1%5D%2FpicFuelRecibeInterno","Descargar")</f>
        <v>Descargar</v>
      </c>
    </row>
    <row r="1976" spans="1:18" x14ac:dyDescent="0.3">
      <c r="A1976">
        <v>1557812</v>
      </c>
      <c r="B1976" t="s">
        <v>18</v>
      </c>
      <c r="C1976" t="s">
        <v>28</v>
      </c>
      <c r="D1976" t="s">
        <v>1036</v>
      </c>
      <c r="E1976" t="s">
        <v>1189</v>
      </c>
      <c r="F1976" t="s">
        <v>22</v>
      </c>
      <c r="G1976" t="s">
        <v>47</v>
      </c>
      <c r="H1976" t="s">
        <v>24</v>
      </c>
      <c r="I1976" t="s">
        <v>25</v>
      </c>
      <c r="J1976" s="2">
        <v>45822.522361111107</v>
      </c>
      <c r="K1976">
        <v>14</v>
      </c>
      <c r="L1976">
        <v>6</v>
      </c>
      <c r="M1976">
        <v>2025</v>
      </c>
      <c r="N1976" t="s">
        <v>27</v>
      </c>
      <c r="O1976">
        <v>100</v>
      </c>
      <c r="Q1976">
        <v>100</v>
      </c>
      <c r="R1976" s="3" t="str">
        <f>HYPERLINK("https://panda.att.com.mx/ODKServer/view/binaryData?blobKey=FSSuministroFluidosv3%5B%40version%3Dnull+and+%40uiVersion%3Dnull%5D%2Fdata%5B%40key%3Duuid%3Ab082bac8-8cb5-4c7d-a06e-8cb9f69e6c26%5D%2FgroupInfoFuel%5B%40ordinal%3D1%5D%2FpicFuelRecibeInterno","Descargar")</f>
        <v>Descargar</v>
      </c>
    </row>
    <row r="1977" spans="1:18" x14ac:dyDescent="0.3">
      <c r="A1977">
        <v>1558588</v>
      </c>
      <c r="B1977" t="s">
        <v>18</v>
      </c>
      <c r="C1977" t="s">
        <v>100</v>
      </c>
      <c r="D1977" t="s">
        <v>101</v>
      </c>
      <c r="E1977" t="s">
        <v>102</v>
      </c>
      <c r="F1977" t="s">
        <v>22</v>
      </c>
      <c r="G1977" t="s">
        <v>83</v>
      </c>
      <c r="H1977" t="s">
        <v>58</v>
      </c>
      <c r="I1977" t="s">
        <v>25</v>
      </c>
      <c r="J1977" s="2">
        <v>45824.077048611107</v>
      </c>
      <c r="K1977">
        <v>16</v>
      </c>
      <c r="L1977">
        <v>6</v>
      </c>
      <c r="M1977">
        <v>2025</v>
      </c>
      <c r="N1977" t="s">
        <v>27</v>
      </c>
      <c r="O1977">
        <v>250</v>
      </c>
      <c r="P1977">
        <v>250</v>
      </c>
      <c r="R1977" s="3" t="str">
        <f>HYPERLINK("https://panda.att.com.mx/ODKServer/view/binaryData?blobKey=FSSuministroFluidosv3%5B%40version%3Dnull+and+%40uiVersion%3Dnull%5D%2Fdata%5B%40key%3Duuid%3Ad4dead11-728b-44fb-9ff8-cc28212538c3%5D%2FgroupInfoFuel%5B%40ordinal%3D1%5D%2FpicFuelRecibeInterno","Descargar")</f>
        <v>Descargar</v>
      </c>
    </row>
    <row r="1978" spans="1:18" x14ac:dyDescent="0.3">
      <c r="A1978">
        <v>1558576</v>
      </c>
      <c r="B1978" t="s">
        <v>18</v>
      </c>
      <c r="C1978" t="s">
        <v>59</v>
      </c>
      <c r="D1978" t="s">
        <v>636</v>
      </c>
      <c r="E1978" t="s">
        <v>642</v>
      </c>
      <c r="F1978" t="s">
        <v>22</v>
      </c>
      <c r="G1978" t="s">
        <v>47</v>
      </c>
      <c r="H1978" t="s">
        <v>37</v>
      </c>
      <c r="I1978" t="s">
        <v>25</v>
      </c>
      <c r="J1978" s="2">
        <v>45824.644178240742</v>
      </c>
      <c r="K1978">
        <v>16</v>
      </c>
      <c r="L1978">
        <v>6</v>
      </c>
      <c r="M1978">
        <v>2025</v>
      </c>
      <c r="N1978" t="s">
        <v>27</v>
      </c>
      <c r="O1978">
        <v>80</v>
      </c>
      <c r="P1978">
        <v>80</v>
      </c>
      <c r="R1978" s="3" t="str">
        <f>HYPERLINK("https://panda.att.com.mx/ODKServer/view/binaryData?blobKey=FSSuministroFluidosv3%5B%40version%3Dnull+and+%40uiVersion%3Dnull%5D%2Fdata%5B%40key%3Duuid%3Ac0ec305a-2eff-4fa5-91b1-a643241dc6d4%5D%2FgroupInfoFuel%5B%40ordinal%3D1%5D%2FpicFuelRecibeInterno","Descargar")</f>
        <v>Descargar</v>
      </c>
    </row>
    <row r="1979" spans="1:18" x14ac:dyDescent="0.3">
      <c r="A1979">
        <v>1558546</v>
      </c>
      <c r="B1979" t="s">
        <v>18</v>
      </c>
      <c r="C1979" t="s">
        <v>34</v>
      </c>
      <c r="D1979" t="s">
        <v>53</v>
      </c>
      <c r="E1979" t="s">
        <v>1935</v>
      </c>
      <c r="F1979" t="s">
        <v>22</v>
      </c>
      <c r="G1979" t="s">
        <v>23</v>
      </c>
      <c r="H1979" t="s">
        <v>37</v>
      </c>
      <c r="I1979" t="s">
        <v>25</v>
      </c>
      <c r="J1979" s="2">
        <v>45824.574490740742</v>
      </c>
      <c r="K1979">
        <v>16</v>
      </c>
      <c r="L1979">
        <v>6</v>
      </c>
      <c r="M1979">
        <v>2025</v>
      </c>
      <c r="N1979" t="s">
        <v>27</v>
      </c>
      <c r="O1979">
        <v>200</v>
      </c>
      <c r="P1979">
        <v>200</v>
      </c>
      <c r="R1979" s="3" t="str">
        <f>HYPERLINK("https://panda.att.com.mx/ODKServer/view/binaryData?blobKey=FSSuministroFluidosv3%5B%40version%3Dnull+and+%40uiVersion%3Dnull%5D%2Fdata%5B%40key%3Duuid%3A3689930d-b38b-4b2c-9a91-5a37d1b65d2d%5D%2FgroupInfoFuel%5B%40ordinal%3D1%5D%2FpicFuelRecibeInterno","Descargar")</f>
        <v>Descargar</v>
      </c>
    </row>
    <row r="1980" spans="1:18" x14ac:dyDescent="0.3">
      <c r="A1980">
        <v>1558542</v>
      </c>
      <c r="B1980" t="s">
        <v>18</v>
      </c>
      <c r="C1980" t="s">
        <v>34</v>
      </c>
      <c r="D1980" t="s">
        <v>53</v>
      </c>
      <c r="E1980" t="s">
        <v>1936</v>
      </c>
      <c r="F1980" t="s">
        <v>22</v>
      </c>
      <c r="G1980" t="s">
        <v>23</v>
      </c>
      <c r="H1980" t="s">
        <v>37</v>
      </c>
      <c r="I1980" t="s">
        <v>25</v>
      </c>
      <c r="J1980" s="2">
        <v>45824.572650462957</v>
      </c>
      <c r="K1980">
        <v>16</v>
      </c>
      <c r="L1980">
        <v>6</v>
      </c>
      <c r="M1980">
        <v>2025</v>
      </c>
      <c r="N1980" t="s">
        <v>27</v>
      </c>
      <c r="O1980">
        <v>280</v>
      </c>
      <c r="P1980">
        <v>280</v>
      </c>
      <c r="R1980" s="3" t="str">
        <f>HYPERLINK("https://panda.att.com.mx/ODKServer/view/binaryData?blobKey=FSSuministroFluidosv3%5B%40version%3Dnull+and+%40uiVersion%3Dnull%5D%2Fdata%5B%40key%3Duuid%3A5dbd9025-3013-4aeb-8ffb-16faf1210930%5D%2FgroupInfoFuel%5B%40ordinal%3D1%5D%2FpicFuelRecibeInterno","Descargar")</f>
        <v>Descargar</v>
      </c>
    </row>
    <row r="1981" spans="1:18" x14ac:dyDescent="0.3">
      <c r="A1981">
        <v>1558492</v>
      </c>
      <c r="B1981" t="s">
        <v>18</v>
      </c>
      <c r="C1981" t="s">
        <v>28</v>
      </c>
      <c r="D1981" t="s">
        <v>1036</v>
      </c>
      <c r="E1981" t="s">
        <v>1892</v>
      </c>
      <c r="F1981" t="s">
        <v>22</v>
      </c>
      <c r="G1981" t="s">
        <v>47</v>
      </c>
      <c r="H1981" t="s">
        <v>24</v>
      </c>
      <c r="I1981" t="s">
        <v>25</v>
      </c>
      <c r="J1981" s="2">
        <v>45823.579652777778</v>
      </c>
      <c r="K1981">
        <v>15</v>
      </c>
      <c r="L1981">
        <v>6</v>
      </c>
      <c r="M1981">
        <v>2025</v>
      </c>
      <c r="N1981" t="s">
        <v>27</v>
      </c>
      <c r="O1981">
        <v>100</v>
      </c>
      <c r="P1981">
        <v>100</v>
      </c>
      <c r="R1981" s="3" t="str">
        <f>HYPERLINK("https://panda.att.com.mx/ODKServer/view/binaryData?blobKey=FSSuministroFluidosv3%5B%40version%3Dnull+and+%40uiVersion%3Dnull%5D%2Fdata%5B%40key%3Duuid%3A8d83245b-f7d1-4249-8f22-eda480eacec9%5D%2FgroupInfoFuel%5B%40ordinal%3D1%5D%2FpicFuelRecibeInterno","Descargar")</f>
        <v>Descargar</v>
      </c>
    </row>
    <row r="1982" spans="1:18" x14ac:dyDescent="0.3">
      <c r="A1982">
        <v>1558491</v>
      </c>
      <c r="B1982" t="s">
        <v>18</v>
      </c>
      <c r="C1982" t="s">
        <v>28</v>
      </c>
      <c r="D1982" t="s">
        <v>1036</v>
      </c>
      <c r="E1982" t="s">
        <v>1042</v>
      </c>
      <c r="F1982" t="s">
        <v>22</v>
      </c>
      <c r="G1982" t="s">
        <v>47</v>
      </c>
      <c r="H1982" t="s">
        <v>24</v>
      </c>
      <c r="I1982" t="s">
        <v>25</v>
      </c>
      <c r="J1982" s="2">
        <v>45823.339907407397</v>
      </c>
      <c r="K1982">
        <v>15</v>
      </c>
      <c r="L1982">
        <v>6</v>
      </c>
      <c r="M1982">
        <v>2025</v>
      </c>
      <c r="N1982" t="s">
        <v>27</v>
      </c>
      <c r="O1982">
        <v>150</v>
      </c>
      <c r="P1982">
        <v>150</v>
      </c>
      <c r="R1982" s="3" t="str">
        <f>HYPERLINK("https://panda.att.com.mx/ODKServer/view/binaryData?blobKey=FSSuministroFluidosv3%5B%40version%3Dnull+and+%40uiVersion%3Dnull%5D%2Fdata%5B%40key%3Duuid%3A74877f46-5454-4880-bab8-4a728639b703%5D%2FgroupInfoFuel%5B%40ordinal%3D1%5D%2FpicFuelRecibeInterno","Descargar")</f>
        <v>Descargar</v>
      </c>
    </row>
    <row r="1983" spans="1:18" x14ac:dyDescent="0.3">
      <c r="A1983">
        <v>1558478</v>
      </c>
      <c r="B1983" t="s">
        <v>18</v>
      </c>
      <c r="C1983" t="s">
        <v>68</v>
      </c>
      <c r="D1983" t="s">
        <v>91</v>
      </c>
      <c r="E1983" t="s">
        <v>1606</v>
      </c>
      <c r="F1983" t="s">
        <v>22</v>
      </c>
      <c r="G1983" t="s">
        <v>23</v>
      </c>
      <c r="H1983" t="s">
        <v>37</v>
      </c>
      <c r="I1983" t="s">
        <v>25</v>
      </c>
      <c r="J1983" s="2">
        <v>45824.567002314812</v>
      </c>
      <c r="K1983">
        <v>16</v>
      </c>
      <c r="L1983">
        <v>6</v>
      </c>
      <c r="M1983">
        <v>2025</v>
      </c>
      <c r="N1983" t="s">
        <v>27</v>
      </c>
      <c r="O1983">
        <v>130</v>
      </c>
      <c r="P1983">
        <v>130</v>
      </c>
      <c r="R1983" s="3" t="str">
        <f>HYPERLINK("https://panda.att.com.mx/ODKServer/view/binaryData?blobKey=FSSuministroFluidosv3%5B%40version%3Dnull+and+%40uiVersion%3Dnull%5D%2Fdata%5B%40key%3Duuid%3A8cfcf5a7-d115-46d0-bff3-c8ecb2d5bdc0%5D%2FgroupInfoFuel%5B%40ordinal%3D1%5D%2FpicFuelRecibeInterno","Descargar")</f>
        <v>Descargar</v>
      </c>
    </row>
    <row r="1984" spans="1:18" x14ac:dyDescent="0.3">
      <c r="A1984">
        <v>1558438</v>
      </c>
      <c r="B1984" t="s">
        <v>18</v>
      </c>
      <c r="C1984" t="s">
        <v>19</v>
      </c>
      <c r="D1984" t="s">
        <v>1048</v>
      </c>
      <c r="E1984" t="s">
        <v>1937</v>
      </c>
      <c r="F1984" t="s">
        <v>22</v>
      </c>
      <c r="G1984" t="s">
        <v>23</v>
      </c>
      <c r="H1984" t="s">
        <v>24</v>
      </c>
      <c r="I1984" t="s">
        <v>25</v>
      </c>
      <c r="J1984" s="2">
        <v>45822.728148148148</v>
      </c>
      <c r="K1984">
        <v>14</v>
      </c>
      <c r="L1984">
        <v>6</v>
      </c>
      <c r="M1984">
        <v>2025</v>
      </c>
      <c r="N1984" t="s">
        <v>27</v>
      </c>
      <c r="O1984">
        <v>40</v>
      </c>
      <c r="P1984">
        <v>40</v>
      </c>
      <c r="R1984" s="3" t="str">
        <f>HYPERLINK("https://panda.att.com.mx/ODKServer/view/binaryData?blobKey=FSSuministroFluidosv3%5B%40version%3Dnull+and+%40uiVersion%3Dnull%5D%2Fdata%5B%40key%3Duuid%3A763655aa-c49a-4560-a65b-8247d3993c8d%5D%2FgroupInfoFuel%5B%40ordinal%3D1%5D%2FpicFuelRecibeInterno","Descargar")</f>
        <v>Descargar</v>
      </c>
    </row>
    <row r="1985" spans="1:18" x14ac:dyDescent="0.3">
      <c r="A1985">
        <v>1558421</v>
      </c>
      <c r="B1985" t="s">
        <v>18</v>
      </c>
      <c r="C1985" t="s">
        <v>55</v>
      </c>
      <c r="D1985" t="s">
        <v>288</v>
      </c>
      <c r="E1985" t="s">
        <v>1938</v>
      </c>
      <c r="F1985" t="s">
        <v>22</v>
      </c>
      <c r="G1985" t="s">
        <v>23</v>
      </c>
      <c r="H1985" t="s">
        <v>58</v>
      </c>
      <c r="I1985" t="s">
        <v>25</v>
      </c>
      <c r="J1985" s="2">
        <v>45824.524097222216</v>
      </c>
      <c r="K1985">
        <v>16</v>
      </c>
      <c r="L1985">
        <v>6</v>
      </c>
      <c r="M1985">
        <v>2025</v>
      </c>
      <c r="N1985" t="s">
        <v>27</v>
      </c>
      <c r="O1985">
        <v>150</v>
      </c>
      <c r="P1985">
        <v>150</v>
      </c>
      <c r="R1985" s="3" t="str">
        <f>HYPERLINK("https://panda.att.com.mx/ODKServer/view/binaryData?blobKey=FSSuministroFluidosv3%5B%40version%3Dnull+and+%40uiVersion%3Dnull%5D%2Fdata%5B%40key%3Duuid%3A16333ad0-ab45-4919-ab2a-ec4a2a921d8f%5D%2FgroupInfoFuel%5B%40ordinal%3D1%5D%2FpicFuelRecibeInterno","Descargar")</f>
        <v>Descargar</v>
      </c>
    </row>
    <row r="1986" spans="1:18" x14ac:dyDescent="0.3">
      <c r="A1986">
        <v>1558404</v>
      </c>
      <c r="B1986" t="s">
        <v>18</v>
      </c>
      <c r="C1986" t="s">
        <v>55</v>
      </c>
      <c r="D1986" t="s">
        <v>366</v>
      </c>
      <c r="E1986" t="s">
        <v>1854</v>
      </c>
      <c r="F1986" t="s">
        <v>22</v>
      </c>
      <c r="G1986" t="s">
        <v>23</v>
      </c>
      <c r="H1986" t="s">
        <v>1781</v>
      </c>
      <c r="I1986" t="s">
        <v>25</v>
      </c>
      <c r="J1986" s="2">
        <v>45823.62128472222</v>
      </c>
      <c r="K1986">
        <v>15</v>
      </c>
      <c r="L1986">
        <v>6</v>
      </c>
      <c r="M1986">
        <v>2025</v>
      </c>
      <c r="N1986" t="s">
        <v>27</v>
      </c>
      <c r="O1986">
        <v>132</v>
      </c>
      <c r="P1986">
        <v>132</v>
      </c>
      <c r="R1986" s="3" t="str">
        <f>HYPERLINK("https://panda.att.com.mx/ODKServer/view/binaryData?blobKey=FSSuministroFluidosv3%5B%40version%3Dnull+and+%40uiVersion%3Dnull%5D%2Fdata%5B%40key%3Duuid%3A2814c494-bcd9-40c9-8ded-a5bf4736cde8%5D%2FgroupInfoFuel%5B%40ordinal%3D1%5D%2FpicFuelRecibeInterno","Descargar")</f>
        <v>Descargar</v>
      </c>
    </row>
    <row r="1987" spans="1:18" x14ac:dyDescent="0.3">
      <c r="A1987">
        <v>1558379</v>
      </c>
      <c r="B1987" t="s">
        <v>18</v>
      </c>
      <c r="C1987" t="s">
        <v>19</v>
      </c>
      <c r="D1987" t="s">
        <v>20</v>
      </c>
      <c r="E1987" t="s">
        <v>143</v>
      </c>
      <c r="F1987" t="s">
        <v>22</v>
      </c>
      <c r="G1987" t="s">
        <v>23</v>
      </c>
      <c r="H1987" t="s">
        <v>24</v>
      </c>
      <c r="I1987" t="s">
        <v>25</v>
      </c>
      <c r="J1987" s="2">
        <v>45821.506874999999</v>
      </c>
      <c r="K1987">
        <v>13</v>
      </c>
      <c r="L1987">
        <v>6</v>
      </c>
      <c r="M1987">
        <v>2025</v>
      </c>
      <c r="N1987" t="s">
        <v>27</v>
      </c>
      <c r="O1987">
        <v>150</v>
      </c>
      <c r="P1987">
        <v>150</v>
      </c>
      <c r="R1987" s="3" t="str">
        <f>HYPERLINK("https://panda.att.com.mx/ODKServer/view/binaryData?blobKey=FSSuministroFluidosv3%5B%40version%3Dnull+and+%40uiVersion%3Dnull%5D%2Fdata%5B%40key%3Duuid%3A3cbccbca-112d-422d-9e17-f2ac8d251437%5D%2FgroupInfoFuel%5B%40ordinal%3D1%5D%2FpicFuelRecibeInterno","Descargar")</f>
        <v>Descargar</v>
      </c>
    </row>
    <row r="1988" spans="1:18" x14ac:dyDescent="0.3">
      <c r="A1988">
        <v>1558361</v>
      </c>
      <c r="B1988" t="s">
        <v>18</v>
      </c>
      <c r="C1988" t="s">
        <v>55</v>
      </c>
      <c r="D1988" t="s">
        <v>288</v>
      </c>
      <c r="E1988" t="s">
        <v>1939</v>
      </c>
      <c r="F1988" t="s">
        <v>22</v>
      </c>
      <c r="G1988" t="s">
        <v>23</v>
      </c>
      <c r="H1988" t="s">
        <v>58</v>
      </c>
      <c r="I1988" t="s">
        <v>25</v>
      </c>
      <c r="J1988" s="2">
        <v>45824.47152777778</v>
      </c>
      <c r="K1988">
        <v>16</v>
      </c>
      <c r="L1988">
        <v>6</v>
      </c>
      <c r="M1988">
        <v>2025</v>
      </c>
      <c r="N1988" t="s">
        <v>27</v>
      </c>
      <c r="O1988">
        <v>200</v>
      </c>
      <c r="P1988">
        <v>200</v>
      </c>
      <c r="R1988" s="3" t="str">
        <f>HYPERLINK("https://panda.att.com.mx/ODKServer/view/binaryData?blobKey=FSSuministroFluidosv3%5B%40version%3Dnull+and+%40uiVersion%3Dnull%5D%2Fdata%5B%40key%3Duuid%3A5c6db027-a8bd-4e93-8b67-c7b682478573%5D%2FgroupInfoFuel%5B%40ordinal%3D1%5D%2FpicFuelRecibeInterno","Descargar")</f>
        <v>Descargar</v>
      </c>
    </row>
    <row r="1989" spans="1:18" x14ac:dyDescent="0.3">
      <c r="A1989">
        <v>1558332</v>
      </c>
      <c r="B1989" t="s">
        <v>18</v>
      </c>
      <c r="C1989" t="s">
        <v>19</v>
      </c>
      <c r="D1989" t="s">
        <v>20</v>
      </c>
      <c r="E1989" t="s">
        <v>735</v>
      </c>
      <c r="F1989" t="s">
        <v>22</v>
      </c>
      <c r="G1989" t="s">
        <v>23</v>
      </c>
      <c r="H1989" t="s">
        <v>24</v>
      </c>
      <c r="I1989" t="s">
        <v>25</v>
      </c>
      <c r="J1989" s="2">
        <v>45821.44699074074</v>
      </c>
      <c r="K1989">
        <v>13</v>
      </c>
      <c r="L1989">
        <v>6</v>
      </c>
      <c r="M1989">
        <v>2025</v>
      </c>
      <c r="N1989" t="s">
        <v>27</v>
      </c>
      <c r="O1989">
        <v>400</v>
      </c>
      <c r="P1989">
        <v>400</v>
      </c>
      <c r="R1989" s="3" t="str">
        <f>HYPERLINK("https://panda.att.com.mx/ODKServer/view/binaryData?blobKey=FSSuministroFluidosv3%5B%40version%3Dnull+and+%40uiVersion%3Dnull%5D%2Fdata%5B%40key%3Duuid%3A8c1dc518-533f-40ca-bcdc-6985644f7bdb%5D%2FgroupInfoFuel%5B%40ordinal%3D1%5D%2FpicFuelRecibeInterno","Descargar")</f>
        <v>Descargar</v>
      </c>
    </row>
    <row r="1990" spans="1:18" x14ac:dyDescent="0.3">
      <c r="A1990">
        <v>1558323</v>
      </c>
      <c r="B1990" t="s">
        <v>18</v>
      </c>
      <c r="C1990" t="s">
        <v>34</v>
      </c>
      <c r="D1990" t="s">
        <v>53</v>
      </c>
      <c r="E1990" t="s">
        <v>1940</v>
      </c>
      <c r="F1990" t="s">
        <v>22</v>
      </c>
      <c r="G1990" t="s">
        <v>23</v>
      </c>
      <c r="H1990" t="s">
        <v>37</v>
      </c>
      <c r="I1990" t="s">
        <v>25</v>
      </c>
      <c r="J1990" s="2">
        <v>45824.429560185177</v>
      </c>
      <c r="K1990">
        <v>16</v>
      </c>
      <c r="L1990">
        <v>6</v>
      </c>
      <c r="M1990">
        <v>2025</v>
      </c>
      <c r="N1990" t="s">
        <v>27</v>
      </c>
      <c r="O1990">
        <v>90</v>
      </c>
      <c r="P1990">
        <v>90</v>
      </c>
      <c r="R1990" s="3" t="str">
        <f>HYPERLINK("https://panda.att.com.mx/ODKServer/view/binaryData?blobKey=FSSuministroFluidosv3%5B%40version%3Dnull+and+%40uiVersion%3Dnull%5D%2Fdata%5B%40key%3Duuid%3A5d3f7499-d212-4c90-9d05-8feaf7e3419e%5D%2FgroupInfoFuel%5B%40ordinal%3D1%5D%2FpicFuelRecibeInterno","Descargar")</f>
        <v>Descargar</v>
      </c>
    </row>
    <row r="1991" spans="1:18" x14ac:dyDescent="0.3">
      <c r="A1991">
        <v>1558252</v>
      </c>
      <c r="B1991" t="s">
        <v>18</v>
      </c>
      <c r="C1991" t="s">
        <v>19</v>
      </c>
      <c r="D1991" t="s">
        <v>20</v>
      </c>
      <c r="E1991" t="s">
        <v>143</v>
      </c>
      <c r="F1991" t="s">
        <v>22</v>
      </c>
      <c r="G1991" t="s">
        <v>23</v>
      </c>
      <c r="H1991" t="s">
        <v>24</v>
      </c>
      <c r="I1991" t="s">
        <v>25</v>
      </c>
      <c r="J1991" s="2">
        <v>45819.782349537039</v>
      </c>
      <c r="K1991">
        <v>11</v>
      </c>
      <c r="L1991">
        <v>6</v>
      </c>
      <c r="M1991">
        <v>2025</v>
      </c>
      <c r="N1991" t="s">
        <v>27</v>
      </c>
      <c r="O1991">
        <v>200</v>
      </c>
      <c r="P1991">
        <v>200</v>
      </c>
      <c r="R1991" s="3" t="str">
        <f>HYPERLINK("https://panda.att.com.mx/ODKServer/view/binaryData?blobKey=FSSuministroFluidosv3%5B%40version%3Dnull+and+%40uiVersion%3Dnull%5D%2Fdata%5B%40key%3Duuid%3Ac30eaf7c-a420-4bfd-891d-93f7cffd2c38%5D%2FgroupInfoFuel%5B%40ordinal%3D1%5D%2FpicFuelRecibeInterno","Descargar")</f>
        <v>Descargar</v>
      </c>
    </row>
    <row r="1992" spans="1:18" x14ac:dyDescent="0.3">
      <c r="A1992">
        <v>1558244</v>
      </c>
      <c r="B1992" t="s">
        <v>18</v>
      </c>
      <c r="C1992" t="s">
        <v>59</v>
      </c>
      <c r="D1992" t="s">
        <v>233</v>
      </c>
      <c r="E1992" t="s">
        <v>1847</v>
      </c>
      <c r="F1992" t="s">
        <v>22</v>
      </c>
      <c r="G1992" t="s">
        <v>47</v>
      </c>
      <c r="H1992" t="s">
        <v>37</v>
      </c>
      <c r="I1992" t="s">
        <v>25</v>
      </c>
      <c r="J1992" s="2">
        <v>45822.425335648149</v>
      </c>
      <c r="K1992">
        <v>14</v>
      </c>
      <c r="L1992">
        <v>6</v>
      </c>
      <c r="M1992">
        <v>2025</v>
      </c>
      <c r="N1992" t="s">
        <v>27</v>
      </c>
      <c r="O1992">
        <v>600</v>
      </c>
      <c r="Q1992">
        <v>600</v>
      </c>
      <c r="R1992" s="3" t="str">
        <f>HYPERLINK("https://panda.att.com.mx/ODKServer/view/binaryData?blobKey=FSSuministroFluidosv3%5B%40version%3Dnull+and+%40uiVersion%3Dnull%5D%2Fdata%5B%40key%3Duuid%3A9ad82ea2-ad9c-4070-80a2-10ea399195fb%5D%2FgroupInfoFuel%5B%40ordinal%3D1%5D%2FpicFuelRecibeInterno","Descargar")</f>
        <v>Descargar</v>
      </c>
    </row>
    <row r="1993" spans="1:18" x14ac:dyDescent="0.3">
      <c r="A1993">
        <v>1558163</v>
      </c>
      <c r="B1993" t="s">
        <v>18</v>
      </c>
      <c r="C1993" t="s">
        <v>55</v>
      </c>
      <c r="D1993" t="s">
        <v>56</v>
      </c>
      <c r="E1993" t="s">
        <v>1941</v>
      </c>
      <c r="F1993" t="s">
        <v>22</v>
      </c>
      <c r="G1993" t="s">
        <v>23</v>
      </c>
      <c r="H1993" t="s">
        <v>58</v>
      </c>
      <c r="I1993" t="s">
        <v>25</v>
      </c>
      <c r="J1993" s="2">
        <v>45821.512164351851</v>
      </c>
      <c r="K1993">
        <v>13</v>
      </c>
      <c r="L1993">
        <v>6</v>
      </c>
      <c r="M1993">
        <v>2025</v>
      </c>
      <c r="N1993" t="s">
        <v>27</v>
      </c>
      <c r="O1993">
        <v>200</v>
      </c>
      <c r="P1993">
        <v>200</v>
      </c>
      <c r="R1993" s="3" t="str">
        <f>HYPERLINK("https://panda.att.com.mx/ODKServer/view/binaryData?blobKey=FSSuministroFluidosv3%5B%40version%3Dnull+and+%40uiVersion%3Dnull%5D%2Fdata%5B%40key%3Duuid%3A90168853-cd78-4ec0-b369-8804e951457e%5D%2FgroupInfoFuel%5B%40ordinal%3D1%5D%2FpicFuelRecibeInterno","Descargar")</f>
        <v>Descargar</v>
      </c>
    </row>
    <row r="1994" spans="1:18" x14ac:dyDescent="0.3">
      <c r="A1994">
        <v>1558162</v>
      </c>
      <c r="B1994" t="s">
        <v>18</v>
      </c>
      <c r="C1994" t="s">
        <v>150</v>
      </c>
      <c r="D1994" t="s">
        <v>164</v>
      </c>
      <c r="E1994" t="s">
        <v>165</v>
      </c>
      <c r="F1994" t="s">
        <v>22</v>
      </c>
      <c r="G1994" t="s">
        <v>23</v>
      </c>
      <c r="H1994" t="s">
        <v>58</v>
      </c>
      <c r="I1994" t="s">
        <v>25</v>
      </c>
      <c r="J1994" s="2">
        <v>45824.311342592591</v>
      </c>
      <c r="K1994">
        <v>16</v>
      </c>
      <c r="L1994">
        <v>6</v>
      </c>
      <c r="M1994">
        <v>2025</v>
      </c>
      <c r="N1994" t="s">
        <v>27</v>
      </c>
      <c r="O1994">
        <v>400</v>
      </c>
      <c r="P1994">
        <v>400</v>
      </c>
      <c r="R1994" s="3" t="str">
        <f>HYPERLINK("https://panda.att.com.mx/ODKServer/view/binaryData?blobKey=FSSuministroFluidosv3%5B%40version%3Dnull+and+%40uiVersion%3Dnull%5D%2Fdata%5B%40key%3Duuid%3A73760bf0-b7c3-4113-87fd-13bd47aa62ab%5D%2FgroupInfoFuel%5B%40ordinal%3D1%5D%2FpicFuelRecibeInterno","Descargar")</f>
        <v>Descargar</v>
      </c>
    </row>
    <row r="1995" spans="1:18" x14ac:dyDescent="0.3">
      <c r="A1995">
        <v>1558084</v>
      </c>
      <c r="B1995" t="s">
        <v>18</v>
      </c>
      <c r="C1995" t="s">
        <v>28</v>
      </c>
      <c r="D1995" t="s">
        <v>111</v>
      </c>
      <c r="E1995" t="s">
        <v>1942</v>
      </c>
      <c r="F1995" t="s">
        <v>22</v>
      </c>
      <c r="G1995" t="s">
        <v>23</v>
      </c>
      <c r="H1995" t="s">
        <v>24</v>
      </c>
      <c r="I1995" t="s">
        <v>25</v>
      </c>
      <c r="J1995" s="2">
        <v>45814.513969907413</v>
      </c>
      <c r="K1995">
        <v>6</v>
      </c>
      <c r="L1995">
        <v>6</v>
      </c>
      <c r="M1995">
        <v>2025</v>
      </c>
      <c r="N1995" t="s">
        <v>44</v>
      </c>
      <c r="O1995">
        <v>40</v>
      </c>
      <c r="Q1995">
        <v>40</v>
      </c>
      <c r="R1995" s="3" t="str">
        <f>HYPERLINK("https://panda.att.com.mx/ODKServer/view/binaryData?blobKey=FSSuministroFluidosv3%5B%40version%3Dnull+and+%40uiVersion%3Dnull%5D%2Fdata%5B%40key%3Duuid%3Abe3d7870-b73e-4627-b9c2-be0d009cc2ea%5D%2FgroupInfoFuel%5B%40ordinal%3D1%5D%2FpicFuelRecibeInterno","Descargar")</f>
        <v>Descargar</v>
      </c>
    </row>
    <row r="1996" spans="1:18" x14ac:dyDescent="0.3">
      <c r="A1996">
        <v>1558073</v>
      </c>
      <c r="B1996" t="s">
        <v>18</v>
      </c>
      <c r="C1996" t="s">
        <v>19</v>
      </c>
      <c r="D1996" t="s">
        <v>1048</v>
      </c>
      <c r="E1996" t="s">
        <v>1937</v>
      </c>
      <c r="F1996" t="s">
        <v>22</v>
      </c>
      <c r="G1996" t="s">
        <v>23</v>
      </c>
      <c r="H1996" t="s">
        <v>24</v>
      </c>
      <c r="I1996" t="s">
        <v>25</v>
      </c>
      <c r="J1996" s="2">
        <v>45822.350694444453</v>
      </c>
      <c r="K1996">
        <v>14</v>
      </c>
      <c r="L1996">
        <v>6</v>
      </c>
      <c r="M1996">
        <v>2025</v>
      </c>
      <c r="N1996" t="s">
        <v>44</v>
      </c>
      <c r="O1996">
        <v>56</v>
      </c>
      <c r="P1996">
        <v>56</v>
      </c>
      <c r="R1996" s="3" t="str">
        <f>HYPERLINK("https://panda.att.com.mx/ODKServer/view/binaryData?blobKey=FSSuministroFluidosv3%5B%40version%3Dnull+and+%40uiVersion%3Dnull%5D%2Fdata%5B%40key%3Duuid%3A8e61119f-79fe-492c-a3bf-f8ed0d415d5f%5D%2FgroupInfoFuel%5B%40ordinal%3D1%5D%2FpicFuelRecibeInterno","Descargar")</f>
        <v>Descargar</v>
      </c>
    </row>
    <row r="1997" spans="1:18" x14ac:dyDescent="0.3">
      <c r="A1997">
        <v>1558058</v>
      </c>
      <c r="B1997" t="s">
        <v>18</v>
      </c>
      <c r="C1997" t="s">
        <v>59</v>
      </c>
      <c r="D1997" t="s">
        <v>446</v>
      </c>
      <c r="E1997" t="s">
        <v>532</v>
      </c>
      <c r="F1997" t="s">
        <v>22</v>
      </c>
      <c r="G1997" t="s">
        <v>47</v>
      </c>
      <c r="H1997" t="s">
        <v>37</v>
      </c>
      <c r="I1997" t="s">
        <v>25</v>
      </c>
      <c r="J1997" s="2">
        <v>45823.735555555562</v>
      </c>
      <c r="K1997">
        <v>15</v>
      </c>
      <c r="L1997">
        <v>6</v>
      </c>
      <c r="M1997">
        <v>2025</v>
      </c>
      <c r="N1997" t="s">
        <v>27</v>
      </c>
      <c r="O1997">
        <v>90.67</v>
      </c>
      <c r="P1997">
        <v>90.67</v>
      </c>
      <c r="R1997" s="3" t="str">
        <f>HYPERLINK("https://panda.att.com.mx/ODKServer/view/binaryData?blobKey=FSSuministroFluidosv3%5B%40version%3Dnull+and+%40uiVersion%3Dnull%5D%2Fdata%5B%40key%3Duuid%3Afb99b920-09f7-44de-92fc-0b40e125d524%5D%2FgroupInfoFuel%5B%40ordinal%3D1%5D%2FpicFuelRecibeInterno","Descargar")</f>
        <v>Descargar</v>
      </c>
    </row>
    <row r="1998" spans="1:18" x14ac:dyDescent="0.3">
      <c r="A1998">
        <v>1558048</v>
      </c>
      <c r="B1998" t="s">
        <v>18</v>
      </c>
      <c r="C1998" t="s">
        <v>55</v>
      </c>
      <c r="D1998" t="s">
        <v>89</v>
      </c>
      <c r="E1998" t="s">
        <v>1943</v>
      </c>
      <c r="F1998" t="s">
        <v>22</v>
      </c>
      <c r="G1998" t="s">
        <v>23</v>
      </c>
      <c r="H1998" t="s">
        <v>58</v>
      </c>
      <c r="I1998" t="s">
        <v>25</v>
      </c>
      <c r="J1998" s="2">
        <v>45821.799756944441</v>
      </c>
      <c r="K1998">
        <v>13</v>
      </c>
      <c r="L1998">
        <v>6</v>
      </c>
      <c r="M1998">
        <v>2025</v>
      </c>
      <c r="N1998" t="s">
        <v>27</v>
      </c>
      <c r="O1998">
        <v>200</v>
      </c>
      <c r="P1998">
        <v>200</v>
      </c>
      <c r="R1998" s="3" t="str">
        <f>HYPERLINK("https://panda.att.com.mx/ODKServer/view/binaryData?blobKey=FSSuministroFluidosv3%5B%40version%3Dnull+and+%40uiVersion%3Dnull%5D%2Fdata%5B%40key%3Duuid%3A611bcb3e-ed74-4cae-802b-029c7fc96931%5D%2FgroupInfoFuel%5B%40ordinal%3D1%5D%2FpicFuelRecibeInterno","Descargar")</f>
        <v>Descargar</v>
      </c>
    </row>
    <row r="1999" spans="1:18" x14ac:dyDescent="0.3">
      <c r="A1999">
        <v>1558047</v>
      </c>
      <c r="B1999" t="s">
        <v>18</v>
      </c>
      <c r="C1999" t="s">
        <v>55</v>
      </c>
      <c r="D1999" t="s">
        <v>89</v>
      </c>
      <c r="E1999" t="s">
        <v>1944</v>
      </c>
      <c r="F1999" t="s">
        <v>22</v>
      </c>
      <c r="G1999" t="s">
        <v>23</v>
      </c>
      <c r="H1999" t="s">
        <v>58</v>
      </c>
      <c r="I1999" t="s">
        <v>25</v>
      </c>
      <c r="J1999" s="2">
        <v>45821.579340277778</v>
      </c>
      <c r="K1999">
        <v>13</v>
      </c>
      <c r="L1999">
        <v>6</v>
      </c>
      <c r="M1999">
        <v>2025</v>
      </c>
      <c r="N1999" t="s">
        <v>27</v>
      </c>
      <c r="O1999">
        <v>150</v>
      </c>
      <c r="P1999">
        <v>150</v>
      </c>
      <c r="R1999" s="3" t="str">
        <f>HYPERLINK("https://panda.att.com.mx/ODKServer/view/binaryData?blobKey=FSSuministroFluidosv3%5B%40version%3Dnull+and+%40uiVersion%3Dnull%5D%2Fdata%5B%40key%3Duuid%3A65a37786-f30f-48b6-940d-320c841c63bc%5D%2FgroupInfoFuel%5B%40ordinal%3D1%5D%2FpicFuelRecibeInterno","Descargar")</f>
        <v>Descargar</v>
      </c>
    </row>
    <row r="2000" spans="1:18" x14ac:dyDescent="0.3">
      <c r="A2000">
        <v>1558028</v>
      </c>
      <c r="B2000" t="s">
        <v>18</v>
      </c>
      <c r="C2000" t="s">
        <v>100</v>
      </c>
      <c r="D2000" t="s">
        <v>101</v>
      </c>
      <c r="E2000" t="s">
        <v>102</v>
      </c>
      <c r="F2000" t="s">
        <v>22</v>
      </c>
      <c r="G2000" t="s">
        <v>83</v>
      </c>
      <c r="H2000" t="s">
        <v>58</v>
      </c>
      <c r="I2000" t="s">
        <v>25</v>
      </c>
      <c r="J2000" s="2">
        <v>45820.427222222221</v>
      </c>
      <c r="K2000">
        <v>12</v>
      </c>
      <c r="L2000">
        <v>6</v>
      </c>
      <c r="M2000">
        <v>2025</v>
      </c>
      <c r="N2000" t="s">
        <v>44</v>
      </c>
      <c r="O2000">
        <v>60</v>
      </c>
      <c r="P2000">
        <v>60</v>
      </c>
      <c r="R2000" s="3" t="str">
        <f>HYPERLINK("https://panda.att.com.mx/ODKServer/view/binaryData?blobKey=FSSuministroFluidosv3%5B%40version%3Dnull+and+%40uiVersion%3Dnull%5D%2Fdata%5B%40key%3Duuid%3A4a12d2ca-f56f-45d4-8079-3906cf1cb181%5D%2FgroupInfoFuel%5B%40ordinal%3D1%5D%2FpicFuelRecibeInterno","Descargar")</f>
        <v>Descargar</v>
      </c>
    </row>
    <row r="2001" spans="1:18" x14ac:dyDescent="0.3">
      <c r="A2001">
        <v>1558027</v>
      </c>
      <c r="B2001" t="s">
        <v>18</v>
      </c>
      <c r="C2001" t="s">
        <v>100</v>
      </c>
      <c r="D2001" t="s">
        <v>101</v>
      </c>
      <c r="E2001" t="s">
        <v>102</v>
      </c>
      <c r="F2001" t="s">
        <v>22</v>
      </c>
      <c r="G2001" t="s">
        <v>83</v>
      </c>
      <c r="H2001" t="s">
        <v>58</v>
      </c>
      <c r="I2001" t="s">
        <v>25</v>
      </c>
      <c r="J2001" s="2">
        <v>45819.765520833331</v>
      </c>
      <c r="K2001">
        <v>11</v>
      </c>
      <c r="L2001">
        <v>6</v>
      </c>
      <c r="M2001">
        <v>2025</v>
      </c>
      <c r="N2001" t="s">
        <v>44</v>
      </c>
      <c r="O2001">
        <v>60</v>
      </c>
      <c r="P2001">
        <v>60</v>
      </c>
      <c r="R2001" s="3" t="str">
        <f>HYPERLINK("https://panda.att.com.mx/ODKServer/view/binaryData?blobKey=FSSuministroFluidosv3%5B%40version%3Dnull+and+%40uiVersion%3Dnull%5D%2Fdata%5B%40key%3Duuid%3Af21cca8e-eaf8-4852-8c87-07ab0f880e38%5D%2FgroupInfoFuel%5B%40ordinal%3D1%5D%2FpicFuelRecibeInterno","Descargar")</f>
        <v>Descargar</v>
      </c>
    </row>
    <row r="2002" spans="1:18" x14ac:dyDescent="0.3">
      <c r="A2002">
        <v>1557545</v>
      </c>
      <c r="B2002" t="s">
        <v>18</v>
      </c>
      <c r="C2002" t="s">
        <v>55</v>
      </c>
      <c r="D2002" t="s">
        <v>210</v>
      </c>
      <c r="E2002" t="s">
        <v>1945</v>
      </c>
      <c r="F2002" t="s">
        <v>22</v>
      </c>
      <c r="G2002" t="s">
        <v>23</v>
      </c>
      <c r="H2002" t="s">
        <v>58</v>
      </c>
      <c r="I2002" t="s">
        <v>25</v>
      </c>
      <c r="J2002" s="2">
        <v>45821.463576388887</v>
      </c>
      <c r="K2002">
        <v>13</v>
      </c>
      <c r="L2002">
        <v>6</v>
      </c>
      <c r="M2002">
        <v>2025</v>
      </c>
      <c r="N2002" t="s">
        <v>27</v>
      </c>
      <c r="O2002">
        <v>100</v>
      </c>
      <c r="P2002">
        <v>100</v>
      </c>
      <c r="R2002" s="3" t="str">
        <f>HYPERLINK("https://panda.att.com.mx/ODKServer/view/binaryData?blobKey=FSSuministroFluidosv3%5B%40version%3Dnull+and+%40uiVersion%3Dnull%5D%2Fdata%5B%40key%3Duuid%3Abb192d39-f857-40a8-bef2-58eb59524b8f%5D%2FgroupInfoFuel%5B%40ordinal%3D1%5D%2FpicFuelRecibeInterno","Descargar")</f>
        <v>Descargar</v>
      </c>
    </row>
    <row r="2003" spans="1:18" x14ac:dyDescent="0.3">
      <c r="A2003">
        <v>1557544</v>
      </c>
      <c r="B2003" t="s">
        <v>18</v>
      </c>
      <c r="C2003" t="s">
        <v>55</v>
      </c>
      <c r="D2003" t="s">
        <v>210</v>
      </c>
      <c r="E2003" t="s">
        <v>1946</v>
      </c>
      <c r="F2003" t="s">
        <v>22</v>
      </c>
      <c r="G2003" t="s">
        <v>23</v>
      </c>
      <c r="H2003" t="s">
        <v>58</v>
      </c>
      <c r="I2003" t="s">
        <v>25</v>
      </c>
      <c r="J2003" s="2">
        <v>45821.380208333343</v>
      </c>
      <c r="K2003">
        <v>13</v>
      </c>
      <c r="L2003">
        <v>6</v>
      </c>
      <c r="M2003">
        <v>2025</v>
      </c>
      <c r="N2003" t="s">
        <v>27</v>
      </c>
      <c r="O2003">
        <v>250</v>
      </c>
      <c r="P2003">
        <v>250</v>
      </c>
      <c r="R2003" s="3" t="str">
        <f>HYPERLINK("https://panda.att.com.mx/ODKServer/view/binaryData?blobKey=FSSuministroFluidosv3%5B%40version%3Dnull+and+%40uiVersion%3Dnull%5D%2Fdata%5B%40key%3Duuid%3Ace903592-6a71-4204-9289-944fb7e86c6a%5D%2FgroupInfoFuel%5B%40ordinal%3D1%5D%2FpicFuelRecibeInterno","Descargar")</f>
        <v>Descargar</v>
      </c>
    </row>
    <row r="2004" spans="1:18" x14ac:dyDescent="0.3">
      <c r="A2004">
        <v>1557493</v>
      </c>
      <c r="B2004" t="s">
        <v>18</v>
      </c>
      <c r="C2004" t="s">
        <v>68</v>
      </c>
      <c r="D2004" t="s">
        <v>69</v>
      </c>
      <c r="E2004" t="s">
        <v>235</v>
      </c>
      <c r="F2004" t="s">
        <v>22</v>
      </c>
      <c r="G2004" t="s">
        <v>23</v>
      </c>
      <c r="H2004" t="s">
        <v>37</v>
      </c>
      <c r="I2004" t="s">
        <v>25</v>
      </c>
      <c r="J2004" s="2">
        <v>45821.609861111108</v>
      </c>
      <c r="K2004">
        <v>13</v>
      </c>
      <c r="L2004">
        <v>6</v>
      </c>
      <c r="M2004">
        <v>2025</v>
      </c>
      <c r="N2004" t="s">
        <v>27</v>
      </c>
      <c r="O2004">
        <v>300</v>
      </c>
      <c r="P2004">
        <v>300</v>
      </c>
      <c r="R2004" s="3" t="str">
        <f>HYPERLINK("https://panda.att.com.mx/ODKServer/view/binaryData?blobKey=FSSuministroFluidosv3%5B%40version%3Dnull+and+%40uiVersion%3Dnull%5D%2Fdata%5B%40key%3Duuid%3A8bf3207b-90d8-429f-9c21-1ad9fb2d4a77%5D%2FgroupInfoFuel%5B%40ordinal%3D1%5D%2FpicFuelRecibeInterno","Descargar")</f>
        <v>Descargar</v>
      </c>
    </row>
    <row r="2005" spans="1:18" x14ac:dyDescent="0.3">
      <c r="A2005">
        <v>1557461</v>
      </c>
      <c r="B2005" t="s">
        <v>18</v>
      </c>
      <c r="C2005" t="s">
        <v>100</v>
      </c>
      <c r="D2005" t="s">
        <v>854</v>
      </c>
      <c r="E2005" t="s">
        <v>993</v>
      </c>
      <c r="F2005" t="s">
        <v>22</v>
      </c>
      <c r="G2005" t="s">
        <v>83</v>
      </c>
      <c r="H2005" t="s">
        <v>58</v>
      </c>
      <c r="I2005" t="s">
        <v>25</v>
      </c>
      <c r="J2005" s="2">
        <v>45821.515405092592</v>
      </c>
      <c r="K2005">
        <v>13</v>
      </c>
      <c r="L2005">
        <v>6</v>
      </c>
      <c r="M2005">
        <v>2025</v>
      </c>
      <c r="N2005" t="s">
        <v>27</v>
      </c>
      <c r="O2005">
        <v>200</v>
      </c>
      <c r="P2005">
        <v>200</v>
      </c>
      <c r="R2005" s="3" t="str">
        <f>HYPERLINK("https://panda.att.com.mx/ODKServer/view/binaryData?blobKey=FSSuministroFluidosv3%5B%40version%3Dnull+and+%40uiVersion%3Dnull%5D%2Fdata%5B%40key%3Duuid%3A3565e83a-571f-4ba0-b1ba-6c8a9ce6b1da%5D%2FgroupInfoFuel%5B%40ordinal%3D1%5D%2FpicFuelRecibeInterno","Descargar")</f>
        <v>Descargar</v>
      </c>
    </row>
    <row r="2006" spans="1:18" x14ac:dyDescent="0.3">
      <c r="A2006">
        <v>1557388</v>
      </c>
      <c r="B2006" t="s">
        <v>18</v>
      </c>
      <c r="C2006" t="s">
        <v>55</v>
      </c>
      <c r="D2006" t="s">
        <v>56</v>
      </c>
      <c r="E2006" t="s">
        <v>1947</v>
      </c>
      <c r="F2006" t="s">
        <v>22</v>
      </c>
      <c r="G2006" t="s">
        <v>47</v>
      </c>
      <c r="H2006" t="s">
        <v>58</v>
      </c>
      <c r="I2006" t="s">
        <v>25</v>
      </c>
      <c r="J2006" s="2">
        <v>45819.767650462964</v>
      </c>
      <c r="K2006">
        <v>11</v>
      </c>
      <c r="L2006">
        <v>6</v>
      </c>
      <c r="M2006">
        <v>2025</v>
      </c>
      <c r="N2006" t="s">
        <v>27</v>
      </c>
      <c r="O2006">
        <v>270</v>
      </c>
      <c r="P2006">
        <v>270</v>
      </c>
      <c r="R2006" s="3" t="str">
        <f>HYPERLINK("https://panda.att.com.mx/ODKServer/view/binaryData?blobKey=FSSuministroFluidosv3%5B%40version%3Dnull+and+%40uiVersion%3Dnull%5D%2Fdata%5B%40key%3Duuid%3A91a2ab5e-1543-4749-9015-93c1973d699a%5D%2FgroupInfoFuel%5B%40ordinal%3D1%5D%2FpicFuelRecibeInterno","Descargar")</f>
        <v>Descargar</v>
      </c>
    </row>
    <row r="2007" spans="1:18" x14ac:dyDescent="0.3">
      <c r="A2007">
        <v>1557362</v>
      </c>
      <c r="B2007" t="s">
        <v>18</v>
      </c>
      <c r="C2007" t="s">
        <v>167</v>
      </c>
      <c r="D2007" t="s">
        <v>168</v>
      </c>
      <c r="E2007" t="s">
        <v>266</v>
      </c>
      <c r="F2007" t="s">
        <v>22</v>
      </c>
      <c r="G2007" t="s">
        <v>83</v>
      </c>
      <c r="H2007" t="s">
        <v>58</v>
      </c>
      <c r="I2007" t="s">
        <v>25</v>
      </c>
      <c r="J2007" s="2">
        <v>45821.582835648151</v>
      </c>
      <c r="K2007">
        <v>13</v>
      </c>
      <c r="L2007">
        <v>6</v>
      </c>
      <c r="M2007">
        <v>2025</v>
      </c>
      <c r="N2007" t="s">
        <v>27</v>
      </c>
      <c r="O2007">
        <v>450</v>
      </c>
      <c r="P2007">
        <v>450</v>
      </c>
      <c r="R2007" s="3" t="str">
        <f>HYPERLINK("https://panda.att.com.mx/ODKServer/view/binaryData?blobKey=FSSuministroFluidosv3%5B%40version%3Dnull+and+%40uiVersion%3Dnull%5D%2Fdata%5B%40key%3Duuid%3A15f125de-d668-421a-9394-af38f65ffb5e%5D%2FgroupInfoFuel%5B%40ordinal%3D1%5D%2FpicFuelRecibeInterno","Descargar")</f>
        <v>Descargar</v>
      </c>
    </row>
    <row r="2008" spans="1:18" x14ac:dyDescent="0.3">
      <c r="A2008">
        <v>1557320</v>
      </c>
      <c r="B2008" t="s">
        <v>18</v>
      </c>
      <c r="C2008" t="s">
        <v>59</v>
      </c>
      <c r="D2008" t="s">
        <v>60</v>
      </c>
      <c r="E2008" t="s">
        <v>1850</v>
      </c>
      <c r="F2008" t="s">
        <v>22</v>
      </c>
      <c r="G2008" t="s">
        <v>47</v>
      </c>
      <c r="H2008" t="s">
        <v>37</v>
      </c>
      <c r="I2008" t="s">
        <v>25</v>
      </c>
      <c r="J2008" s="2">
        <v>45819.363368055558</v>
      </c>
      <c r="K2008">
        <v>11</v>
      </c>
      <c r="L2008">
        <v>6</v>
      </c>
      <c r="M2008">
        <v>2025</v>
      </c>
      <c r="N2008" t="s">
        <v>27</v>
      </c>
      <c r="O2008">
        <v>70</v>
      </c>
      <c r="P2008">
        <v>70</v>
      </c>
      <c r="R2008" s="3" t="str">
        <f>HYPERLINK("https://panda.att.com.mx/ODKServer/view/binaryData?blobKey=FSSuministroFluidosv3%5B%40version%3Dnull+and+%40uiVersion%3Dnull%5D%2Fdata%5B%40key%3Duuid%3A7d83701d-a39b-4bfc-b050-f9c62ab695f3%5D%2FgroupInfoFuel%5B%40ordinal%3D1%5D%2FpicFuelRecibeInterno","Descargar")</f>
        <v>Descargar</v>
      </c>
    </row>
    <row r="2009" spans="1:18" x14ac:dyDescent="0.3">
      <c r="A2009">
        <v>1557311</v>
      </c>
      <c r="B2009" t="s">
        <v>18</v>
      </c>
      <c r="C2009" t="s">
        <v>55</v>
      </c>
      <c r="D2009" t="s">
        <v>128</v>
      </c>
      <c r="E2009" t="s">
        <v>1948</v>
      </c>
      <c r="F2009" t="s">
        <v>22</v>
      </c>
      <c r="G2009" t="s">
        <v>23</v>
      </c>
      <c r="H2009" t="s">
        <v>58</v>
      </c>
      <c r="I2009" t="s">
        <v>25</v>
      </c>
      <c r="J2009" s="2">
        <v>45821.537372685183</v>
      </c>
      <c r="K2009">
        <v>13</v>
      </c>
      <c r="L2009">
        <v>6</v>
      </c>
      <c r="M2009">
        <v>2025</v>
      </c>
      <c r="N2009" t="s">
        <v>27</v>
      </c>
      <c r="O2009">
        <v>300</v>
      </c>
      <c r="P2009">
        <v>300</v>
      </c>
      <c r="R2009" s="3" t="str">
        <f>HYPERLINK("https://panda.att.com.mx/ODKServer/view/binaryData?blobKey=FSSuministroFluidosv3%5B%40version%3Dnull+and+%40uiVersion%3Dnull%5D%2Fdata%5B%40key%3Duuid%3A2d61fbb9-77dc-462e-8b78-994ed670c889%5D%2FgroupInfoFuel%5B%40ordinal%3D1%5D%2FpicFuelRecibeInterno","Descargar")</f>
        <v>Descargar</v>
      </c>
    </row>
    <row r="2010" spans="1:18" x14ac:dyDescent="0.3">
      <c r="A2010">
        <v>1557286</v>
      </c>
      <c r="B2010" t="s">
        <v>18</v>
      </c>
      <c r="C2010" t="s">
        <v>55</v>
      </c>
      <c r="D2010" t="s">
        <v>89</v>
      </c>
      <c r="E2010" t="s">
        <v>1949</v>
      </c>
      <c r="F2010" t="s">
        <v>22</v>
      </c>
      <c r="G2010" t="s">
        <v>23</v>
      </c>
      <c r="H2010" t="s">
        <v>58</v>
      </c>
      <c r="I2010" t="s">
        <v>25</v>
      </c>
      <c r="J2010" s="2">
        <v>45821.527465277781</v>
      </c>
      <c r="K2010">
        <v>13</v>
      </c>
      <c r="L2010">
        <v>6</v>
      </c>
      <c r="M2010">
        <v>2025</v>
      </c>
      <c r="N2010" t="s">
        <v>27</v>
      </c>
      <c r="O2010">
        <v>70</v>
      </c>
      <c r="P2010">
        <v>70</v>
      </c>
      <c r="R2010" s="3" t="str">
        <f>HYPERLINK("https://panda.att.com.mx/ODKServer/view/binaryData?blobKey=FSSuministroFluidosv3%5B%40version%3Dnull+and+%40uiVersion%3Dnull%5D%2Fdata%5B%40key%3Duuid%3A0ec14585-31c3-443b-90ea-0f34c7b03ef7%5D%2FgroupInfoFuel%5B%40ordinal%3D1%5D%2FpicFuelRecibeInterno","Descargar")</f>
        <v>Descargar</v>
      </c>
    </row>
    <row r="2011" spans="1:18" x14ac:dyDescent="0.3">
      <c r="A2011">
        <v>1557279</v>
      </c>
      <c r="B2011" t="s">
        <v>18</v>
      </c>
      <c r="C2011" t="s">
        <v>167</v>
      </c>
      <c r="D2011" t="s">
        <v>168</v>
      </c>
      <c r="E2011" t="s">
        <v>169</v>
      </c>
      <c r="F2011" t="s">
        <v>22</v>
      </c>
      <c r="G2011" t="s">
        <v>83</v>
      </c>
      <c r="H2011" t="s">
        <v>58</v>
      </c>
      <c r="I2011" t="s">
        <v>25</v>
      </c>
      <c r="J2011" s="2">
        <v>45821.540381944447</v>
      </c>
      <c r="K2011">
        <v>13</v>
      </c>
      <c r="L2011">
        <v>6</v>
      </c>
      <c r="M2011">
        <v>2025</v>
      </c>
      <c r="N2011" t="s">
        <v>27</v>
      </c>
      <c r="O2011">
        <v>450</v>
      </c>
      <c r="P2011">
        <v>450</v>
      </c>
      <c r="R2011" s="3" t="str">
        <f>HYPERLINK("https://panda.att.com.mx/ODKServer/view/binaryData?blobKey=FSSuministroFluidosv3%5B%40version%3Dnull+and+%40uiVersion%3Dnull%5D%2Fdata%5B%40key%3Duuid%3A1312fd1e-17cb-490d-b669-e7c9f7e4641a%5D%2FgroupInfoFuel%5B%40ordinal%3D1%5D%2FpicFuelRecibeInterno","Descargar")</f>
        <v>Descargar</v>
      </c>
    </row>
    <row r="2012" spans="1:18" x14ac:dyDescent="0.3">
      <c r="A2012">
        <v>1557220</v>
      </c>
      <c r="B2012" t="s">
        <v>18</v>
      </c>
      <c r="C2012" t="s">
        <v>55</v>
      </c>
      <c r="D2012" t="s">
        <v>288</v>
      </c>
      <c r="E2012" t="s">
        <v>1950</v>
      </c>
      <c r="F2012" t="s">
        <v>22</v>
      </c>
      <c r="G2012" t="s">
        <v>23</v>
      </c>
      <c r="H2012" t="s">
        <v>58</v>
      </c>
      <c r="I2012" t="s">
        <v>25</v>
      </c>
      <c r="J2012" s="2">
        <v>45821.508449074077</v>
      </c>
      <c r="K2012">
        <v>13</v>
      </c>
      <c r="L2012">
        <v>6</v>
      </c>
      <c r="M2012">
        <v>2025</v>
      </c>
      <c r="N2012" t="s">
        <v>27</v>
      </c>
      <c r="O2012">
        <v>100</v>
      </c>
      <c r="P2012">
        <v>100</v>
      </c>
      <c r="R2012" s="3" t="str">
        <f>HYPERLINK("https://panda.att.com.mx/ODKServer/view/binaryData?blobKey=FSSuministroFluidosv3%5B%40version%3Dnull+and+%40uiVersion%3Dnull%5D%2Fdata%5B%40key%3Duuid%3A8b535f1d-c831-4406-8d33-0f22c800b92a%5D%2FgroupInfoFuel%5B%40ordinal%3D1%5D%2FpicFuelRecibeInterno","Descargar")</f>
        <v>Descargar</v>
      </c>
    </row>
    <row r="2013" spans="1:18" x14ac:dyDescent="0.3">
      <c r="A2013">
        <v>1557180</v>
      </c>
      <c r="B2013" t="s">
        <v>18</v>
      </c>
      <c r="C2013" t="s">
        <v>55</v>
      </c>
      <c r="D2013" t="s">
        <v>288</v>
      </c>
      <c r="E2013" t="s">
        <v>1951</v>
      </c>
      <c r="F2013" t="s">
        <v>22</v>
      </c>
      <c r="G2013" t="s">
        <v>23</v>
      </c>
      <c r="H2013" t="s">
        <v>58</v>
      </c>
      <c r="I2013" t="s">
        <v>25</v>
      </c>
      <c r="J2013" s="2">
        <v>45821.482557870368</v>
      </c>
      <c r="K2013">
        <v>13</v>
      </c>
      <c r="L2013">
        <v>6</v>
      </c>
      <c r="M2013">
        <v>2025</v>
      </c>
      <c r="N2013" t="s">
        <v>27</v>
      </c>
      <c r="O2013">
        <v>200</v>
      </c>
      <c r="P2013">
        <v>200</v>
      </c>
      <c r="R2013" s="3" t="str">
        <f>HYPERLINK("https://panda.att.com.mx/ODKServer/view/binaryData?blobKey=FSSuministroFluidosv3%5B%40version%3Dnull+and+%40uiVersion%3Dnull%5D%2Fdata%5B%40key%3Duuid%3A4aacc280-4111-4b18-a853-a62ec1af8cb0%5D%2FgroupInfoFuel%5B%40ordinal%3D1%5D%2FpicFuelRecibeInterno","Descargar")</f>
        <v>Descargar</v>
      </c>
    </row>
    <row r="2014" spans="1:18" x14ac:dyDescent="0.3">
      <c r="A2014">
        <v>1557174</v>
      </c>
      <c r="B2014" t="s">
        <v>18</v>
      </c>
      <c r="C2014" t="s">
        <v>28</v>
      </c>
      <c r="D2014" t="s">
        <v>1952</v>
      </c>
      <c r="E2014" t="s">
        <v>1953</v>
      </c>
      <c r="F2014" t="s">
        <v>22</v>
      </c>
      <c r="G2014" t="s">
        <v>23</v>
      </c>
      <c r="H2014" t="s">
        <v>24</v>
      </c>
      <c r="I2014" t="s">
        <v>25</v>
      </c>
      <c r="J2014" s="2">
        <v>45811.729212962957</v>
      </c>
      <c r="K2014">
        <v>3</v>
      </c>
      <c r="L2014">
        <v>6</v>
      </c>
      <c r="M2014">
        <v>2025</v>
      </c>
      <c r="N2014" t="s">
        <v>27</v>
      </c>
      <c r="O2014">
        <v>210</v>
      </c>
      <c r="P2014">
        <v>210</v>
      </c>
      <c r="R2014" s="3" t="str">
        <f>HYPERLINK("https://panda.att.com.mx/ODKServer/view/binaryData?blobKey=FSSuministroFluidosv3%5B%40version%3Dnull+and+%40uiVersion%3Dnull%5D%2Fdata%5B%40key%3Duuid%3A423e6ee2-226d-4ecc-b547-387011dbf730%5D%2FgroupInfoFuel%5B%40ordinal%3D1%5D%2FpicFuelRecibeInterno","Descargar")</f>
        <v>Descargar</v>
      </c>
    </row>
    <row r="2015" spans="1:18" x14ac:dyDescent="0.3">
      <c r="A2015">
        <v>1557173</v>
      </c>
      <c r="B2015" t="s">
        <v>18</v>
      </c>
      <c r="C2015" t="s">
        <v>55</v>
      </c>
      <c r="D2015" t="s">
        <v>288</v>
      </c>
      <c r="E2015" t="s">
        <v>1954</v>
      </c>
      <c r="F2015" t="s">
        <v>22</v>
      </c>
      <c r="G2015" t="s">
        <v>23</v>
      </c>
      <c r="H2015" t="s">
        <v>58</v>
      </c>
      <c r="I2015" t="s">
        <v>25</v>
      </c>
      <c r="J2015" s="2">
        <v>45821.439039351862</v>
      </c>
      <c r="K2015">
        <v>13</v>
      </c>
      <c r="L2015">
        <v>6</v>
      </c>
      <c r="M2015">
        <v>2025</v>
      </c>
      <c r="N2015" t="s">
        <v>27</v>
      </c>
      <c r="O2015">
        <v>100</v>
      </c>
      <c r="P2015">
        <v>100</v>
      </c>
      <c r="R2015" s="3" t="str">
        <f>HYPERLINK("https://panda.att.com.mx/ODKServer/view/binaryData?blobKey=FSSuministroFluidosv3%5B%40version%3Dnull+and+%40uiVersion%3Dnull%5D%2Fdata%5B%40key%3Duuid%3A82e9db72-20a1-4609-a2ba-ba37ef490fb9%5D%2FgroupInfoFuel%5B%40ordinal%3D1%5D%2FpicFuelRecibeInterno","Descargar")</f>
        <v>Descargar</v>
      </c>
    </row>
    <row r="2016" spans="1:18" x14ac:dyDescent="0.3">
      <c r="A2016">
        <v>1557169</v>
      </c>
      <c r="B2016" t="s">
        <v>18</v>
      </c>
      <c r="C2016" t="s">
        <v>28</v>
      </c>
      <c r="D2016" t="s">
        <v>513</v>
      </c>
      <c r="E2016" t="s">
        <v>1955</v>
      </c>
      <c r="F2016" t="s">
        <v>22</v>
      </c>
      <c r="G2016" t="s">
        <v>23</v>
      </c>
      <c r="H2016" t="s">
        <v>24</v>
      </c>
      <c r="I2016" t="s">
        <v>25</v>
      </c>
      <c r="J2016" s="2">
        <v>45819.88658564815</v>
      </c>
      <c r="K2016">
        <v>11</v>
      </c>
      <c r="L2016">
        <v>6</v>
      </c>
      <c r="M2016">
        <v>2025</v>
      </c>
      <c r="N2016" t="s">
        <v>27</v>
      </c>
      <c r="O2016">
        <v>300</v>
      </c>
      <c r="P2016">
        <v>300</v>
      </c>
      <c r="R2016" s="3" t="str">
        <f>HYPERLINK("https://panda.att.com.mx/ODKServer/view/binaryData?blobKey=FSSuministroFluidosv3%5B%40version%3Dnull+and+%40uiVersion%3Dnull%5D%2Fdata%5B%40key%3Duuid%3A6caffc29-c113-4b55-86e7-3e86bafe2fcc%5D%2FgroupInfoFuel%5B%40ordinal%3D1%5D%2FpicFuelRecibeInterno","Descargar")</f>
        <v>Descargar</v>
      </c>
    </row>
    <row r="2017" spans="1:18" x14ac:dyDescent="0.3">
      <c r="A2017">
        <v>1557162</v>
      </c>
      <c r="B2017" t="s">
        <v>18</v>
      </c>
      <c r="C2017" t="s">
        <v>55</v>
      </c>
      <c r="D2017" t="s">
        <v>89</v>
      </c>
      <c r="E2017" t="s">
        <v>1538</v>
      </c>
      <c r="F2017" t="s">
        <v>22</v>
      </c>
      <c r="G2017" t="s">
        <v>23</v>
      </c>
      <c r="H2017" t="s">
        <v>58</v>
      </c>
      <c r="I2017" t="s">
        <v>25</v>
      </c>
      <c r="J2017" s="2">
        <v>45821.442893518521</v>
      </c>
      <c r="K2017">
        <v>13</v>
      </c>
      <c r="L2017">
        <v>6</v>
      </c>
      <c r="M2017">
        <v>2025</v>
      </c>
      <c r="N2017" t="s">
        <v>27</v>
      </c>
      <c r="O2017">
        <v>200</v>
      </c>
      <c r="P2017">
        <v>200</v>
      </c>
      <c r="R2017" s="3" t="str">
        <f>HYPERLINK("https://panda.att.com.mx/ODKServer/view/binaryData?blobKey=FSSuministroFluidosv3%5B%40version%3Dnull+and+%40uiVersion%3Dnull%5D%2Fdata%5B%40key%3Duuid%3Aeecd7915-c299-4c7a-a2e7-8e8e66ab37e9%5D%2FgroupInfoFuel%5B%40ordinal%3D1%5D%2FpicFuelRecibeInterno","Descargar")</f>
        <v>Descargar</v>
      </c>
    </row>
    <row r="2018" spans="1:18" x14ac:dyDescent="0.3">
      <c r="A2018">
        <v>1557156</v>
      </c>
      <c r="B2018" t="s">
        <v>18</v>
      </c>
      <c r="C2018" t="s">
        <v>55</v>
      </c>
      <c r="D2018" t="s">
        <v>288</v>
      </c>
      <c r="E2018" t="s">
        <v>1956</v>
      </c>
      <c r="F2018" t="s">
        <v>22</v>
      </c>
      <c r="G2018" t="s">
        <v>23</v>
      </c>
      <c r="H2018" t="s">
        <v>58</v>
      </c>
      <c r="I2018" t="s">
        <v>25</v>
      </c>
      <c r="J2018" s="2">
        <v>45821.45517361111</v>
      </c>
      <c r="K2018">
        <v>13</v>
      </c>
      <c r="L2018">
        <v>6</v>
      </c>
      <c r="M2018">
        <v>2025</v>
      </c>
      <c r="N2018" t="s">
        <v>27</v>
      </c>
      <c r="O2018">
        <v>200</v>
      </c>
      <c r="P2018">
        <v>200</v>
      </c>
      <c r="R2018" s="3" t="str">
        <f>HYPERLINK("https://panda.att.com.mx/ODKServer/view/binaryData?blobKey=FSSuministroFluidosv3%5B%40version%3Dnull+and+%40uiVersion%3Dnull%5D%2Fdata%5B%40key%3Duuid%3Ad4152052-4c53-4698-ac0e-498bfb9ca1df%5D%2FgroupInfoFuel%5B%40ordinal%3D1%5D%2FpicFuelRecibeInterno","Descargar")</f>
        <v>Descargar</v>
      </c>
    </row>
    <row r="2019" spans="1:18" x14ac:dyDescent="0.3">
      <c r="A2019">
        <v>1557146</v>
      </c>
      <c r="B2019" t="s">
        <v>18</v>
      </c>
      <c r="C2019" t="s">
        <v>55</v>
      </c>
      <c r="D2019" t="s">
        <v>56</v>
      </c>
      <c r="E2019" t="s">
        <v>1957</v>
      </c>
      <c r="F2019" t="s">
        <v>22</v>
      </c>
      <c r="G2019" t="s">
        <v>23</v>
      </c>
      <c r="H2019" t="s">
        <v>58</v>
      </c>
      <c r="I2019" t="s">
        <v>25</v>
      </c>
      <c r="J2019" s="2">
        <v>45820.737511574072</v>
      </c>
      <c r="K2019">
        <v>12</v>
      </c>
      <c r="L2019">
        <v>6</v>
      </c>
      <c r="M2019">
        <v>2025</v>
      </c>
      <c r="N2019" t="s">
        <v>27</v>
      </c>
      <c r="O2019">
        <v>80</v>
      </c>
      <c r="P2019">
        <v>80</v>
      </c>
      <c r="R2019" s="3" t="str">
        <f>HYPERLINK("https://panda.att.com.mx/ODKServer/view/binaryData?blobKey=FSSuministroFluidosv3%5B%40version%3Dnull+and+%40uiVersion%3Dnull%5D%2Fdata%5B%40key%3Duuid%3A05d18d5f-884c-47c9-907e-25c4f9487018%5D%2FgroupInfoFuel%5B%40ordinal%3D1%5D%2FpicFuelRecibeInterno","Descargar")</f>
        <v>Descargar</v>
      </c>
    </row>
    <row r="2020" spans="1:18" x14ac:dyDescent="0.3">
      <c r="A2020">
        <v>1557141</v>
      </c>
      <c r="B2020" t="s">
        <v>18</v>
      </c>
      <c r="C2020" t="s">
        <v>55</v>
      </c>
      <c r="D2020" t="s">
        <v>288</v>
      </c>
      <c r="E2020" t="s">
        <v>1958</v>
      </c>
      <c r="F2020" t="s">
        <v>22</v>
      </c>
      <c r="G2020" t="s">
        <v>23</v>
      </c>
      <c r="H2020" t="s">
        <v>58</v>
      </c>
      <c r="I2020" t="s">
        <v>25</v>
      </c>
      <c r="J2020" s="2">
        <v>45821.438969907409</v>
      </c>
      <c r="K2020">
        <v>13</v>
      </c>
      <c r="L2020">
        <v>6</v>
      </c>
      <c r="M2020">
        <v>2025</v>
      </c>
      <c r="N2020" t="s">
        <v>27</v>
      </c>
      <c r="O2020">
        <v>300</v>
      </c>
      <c r="P2020">
        <v>300</v>
      </c>
      <c r="R2020" s="3" t="str">
        <f>HYPERLINK("https://panda.att.com.mx/ODKServer/view/binaryData?blobKey=FSSuministroFluidosv3%5B%40version%3Dnull+and+%40uiVersion%3Dnull%5D%2Fdata%5B%40key%3Duuid%3A893935ae-b21a-44fb-9bf8-776d7b9e8b37%5D%2FgroupInfoFuel%5B%40ordinal%3D1%5D%2FpicFuelRecibeInterno","Descargar")</f>
        <v>Descargar</v>
      </c>
    </row>
    <row r="2021" spans="1:18" x14ac:dyDescent="0.3">
      <c r="A2021">
        <v>1557121</v>
      </c>
      <c r="B2021" t="s">
        <v>18</v>
      </c>
      <c r="C2021" t="s">
        <v>55</v>
      </c>
      <c r="D2021" t="s">
        <v>288</v>
      </c>
      <c r="E2021" t="s">
        <v>1534</v>
      </c>
      <c r="F2021" t="s">
        <v>22</v>
      </c>
      <c r="G2021" t="s">
        <v>23</v>
      </c>
      <c r="H2021" t="s">
        <v>58</v>
      </c>
      <c r="I2021" t="s">
        <v>25</v>
      </c>
      <c r="J2021" s="2">
        <v>45821.40697916667</v>
      </c>
      <c r="K2021">
        <v>13</v>
      </c>
      <c r="L2021">
        <v>6</v>
      </c>
      <c r="M2021">
        <v>2025</v>
      </c>
      <c r="N2021" t="s">
        <v>27</v>
      </c>
      <c r="O2021">
        <v>200</v>
      </c>
      <c r="P2021">
        <v>200</v>
      </c>
      <c r="R2021" s="3" t="str">
        <f>HYPERLINK("https://panda.att.com.mx/ODKServer/view/binaryData?blobKey=FSSuministroFluidosv3%5B%40version%3Dnull+and+%40uiVersion%3Dnull%5D%2Fdata%5B%40key%3Duuid%3A7eb86a02-9537-41e8-9978-b02c4300e401%5D%2FgroupInfoFuel%5B%40ordinal%3D1%5D%2FpicFuelRecibeInterno","Descargar")</f>
        <v>Descargar</v>
      </c>
    </row>
    <row r="2022" spans="1:18" x14ac:dyDescent="0.3">
      <c r="A2022">
        <v>1557108</v>
      </c>
      <c r="B2022" t="s">
        <v>18</v>
      </c>
      <c r="C2022" t="s">
        <v>19</v>
      </c>
      <c r="D2022" t="s">
        <v>45</v>
      </c>
      <c r="E2022" t="s">
        <v>1959</v>
      </c>
      <c r="F2022" t="s">
        <v>22</v>
      </c>
      <c r="G2022" t="s">
        <v>23</v>
      </c>
      <c r="H2022" t="s">
        <v>24</v>
      </c>
      <c r="I2022" t="s">
        <v>25</v>
      </c>
      <c r="J2022" s="2">
        <v>45821.406585648147</v>
      </c>
      <c r="K2022">
        <v>13</v>
      </c>
      <c r="L2022">
        <v>6</v>
      </c>
      <c r="M2022">
        <v>2025</v>
      </c>
      <c r="N2022" t="s">
        <v>27</v>
      </c>
      <c r="O2022">
        <v>300</v>
      </c>
      <c r="P2022">
        <v>300</v>
      </c>
      <c r="R2022" s="3" t="str">
        <f>HYPERLINK("https://panda.att.com.mx/ODKServer/view/binaryData?blobKey=FSSuministroFluidosv3%5B%40version%3Dnull+and+%40uiVersion%3Dnull%5D%2Fdata%5B%40key%3Duuid%3Acd5d3b7a-ea0f-484c-871a-ae8fbb5e07c6%5D%2FgroupInfoFuel%5B%40ordinal%3D1%5D%2FpicFuelRecibeInterno","Descargar")</f>
        <v>Descargar</v>
      </c>
    </row>
    <row r="2023" spans="1:18" x14ac:dyDescent="0.3">
      <c r="A2023">
        <v>1557096</v>
      </c>
      <c r="B2023" t="s">
        <v>18</v>
      </c>
      <c r="C2023" t="s">
        <v>68</v>
      </c>
      <c r="D2023" t="s">
        <v>69</v>
      </c>
      <c r="E2023" t="s">
        <v>1960</v>
      </c>
      <c r="F2023" t="s">
        <v>22</v>
      </c>
      <c r="G2023" t="s">
        <v>23</v>
      </c>
      <c r="H2023" t="s">
        <v>37</v>
      </c>
      <c r="I2023" t="s">
        <v>25</v>
      </c>
      <c r="J2023" s="2">
        <v>45820.797083333331</v>
      </c>
      <c r="K2023">
        <v>12</v>
      </c>
      <c r="L2023">
        <v>6</v>
      </c>
      <c r="M2023">
        <v>2025</v>
      </c>
      <c r="N2023" t="s">
        <v>27</v>
      </c>
      <c r="O2023">
        <v>300</v>
      </c>
      <c r="P2023">
        <v>300</v>
      </c>
      <c r="R2023" s="3" t="str">
        <f>HYPERLINK("https://panda.att.com.mx/ODKServer/view/binaryData?blobKey=FSSuministroFluidosv3%5B%40version%3Dnull+and+%40uiVersion%3Dnull%5D%2Fdata%5B%40key%3Duuid%3A9906f8a9-bd18-45c1-8091-ccebe99cce13%5D%2FgroupInfoFuel%5B%40ordinal%3D1%5D%2FpicFuelRecibeInterno","Descargar")</f>
        <v>Descargar</v>
      </c>
    </row>
    <row r="2024" spans="1:18" x14ac:dyDescent="0.3">
      <c r="A2024">
        <v>1557088</v>
      </c>
      <c r="B2024" t="s">
        <v>18</v>
      </c>
      <c r="C2024" t="s">
        <v>55</v>
      </c>
      <c r="D2024" t="s">
        <v>89</v>
      </c>
      <c r="E2024" t="s">
        <v>1961</v>
      </c>
      <c r="F2024" t="s">
        <v>22</v>
      </c>
      <c r="G2024" t="s">
        <v>23</v>
      </c>
      <c r="H2024" t="s">
        <v>58</v>
      </c>
      <c r="I2024" t="s">
        <v>25</v>
      </c>
      <c r="J2024" s="2">
        <v>45821.381226851852</v>
      </c>
      <c r="K2024">
        <v>13</v>
      </c>
      <c r="L2024">
        <v>6</v>
      </c>
      <c r="M2024">
        <v>2025</v>
      </c>
      <c r="N2024" t="s">
        <v>44</v>
      </c>
      <c r="O2024">
        <v>50</v>
      </c>
      <c r="P2024">
        <v>50</v>
      </c>
      <c r="R2024" s="3" t="str">
        <f>HYPERLINK("https://panda.att.com.mx/ODKServer/view/binaryData?blobKey=FSSuministroFluidosv3%5B%40version%3Dnull+and+%40uiVersion%3Dnull%5D%2Fdata%5B%40key%3Duuid%3A467a4037-4155-4c68-8aab-8a9256c121a3%5D%2FgroupInfoFuel%5B%40ordinal%3D1%5D%2FpicFuelRecibeInterno","Descargar")</f>
        <v>Descargar</v>
      </c>
    </row>
    <row r="2025" spans="1:18" x14ac:dyDescent="0.3">
      <c r="A2025">
        <v>1557087</v>
      </c>
      <c r="B2025" t="s">
        <v>18</v>
      </c>
      <c r="C2025" t="s">
        <v>55</v>
      </c>
      <c r="D2025" t="s">
        <v>288</v>
      </c>
      <c r="E2025" t="s">
        <v>440</v>
      </c>
      <c r="F2025" t="s">
        <v>22</v>
      </c>
      <c r="G2025" t="s">
        <v>23</v>
      </c>
      <c r="H2025" t="s">
        <v>58</v>
      </c>
      <c r="I2025" t="s">
        <v>25</v>
      </c>
      <c r="J2025" s="2">
        <v>45821.319456018522</v>
      </c>
      <c r="K2025">
        <v>13</v>
      </c>
      <c r="L2025">
        <v>6</v>
      </c>
      <c r="M2025">
        <v>2025</v>
      </c>
      <c r="N2025" t="s">
        <v>27</v>
      </c>
      <c r="O2025">
        <v>200</v>
      </c>
      <c r="P2025">
        <v>200</v>
      </c>
      <c r="R2025" s="3" t="str">
        <f>HYPERLINK("https://panda.att.com.mx/ODKServer/view/binaryData?blobKey=FSSuministroFluidosv3%5B%40version%3Dnull+and+%40uiVersion%3Dnull%5D%2Fdata%5B%40key%3Duuid%3A8ceb45c6-2a71-4986-9a86-1a89159594f4%5D%2FgroupInfoFuel%5B%40ordinal%3D1%5D%2FpicFuelRecibeInterno","Descargar")</f>
        <v>Descargar</v>
      </c>
    </row>
    <row r="2026" spans="1:18" x14ac:dyDescent="0.3">
      <c r="A2026">
        <v>1557086</v>
      </c>
      <c r="B2026" t="s">
        <v>18</v>
      </c>
      <c r="C2026" t="s">
        <v>19</v>
      </c>
      <c r="D2026" t="s">
        <v>45</v>
      </c>
      <c r="E2026" t="s">
        <v>351</v>
      </c>
      <c r="F2026" t="s">
        <v>22</v>
      </c>
      <c r="G2026" t="s">
        <v>23</v>
      </c>
      <c r="H2026" t="s">
        <v>24</v>
      </c>
      <c r="I2026" t="s">
        <v>25</v>
      </c>
      <c r="J2026" s="2">
        <v>45819.685219907413</v>
      </c>
      <c r="K2026">
        <v>11</v>
      </c>
      <c r="L2026">
        <v>6</v>
      </c>
      <c r="M2026">
        <v>2025</v>
      </c>
      <c r="N2026" t="s">
        <v>27</v>
      </c>
      <c r="O2026">
        <v>253</v>
      </c>
      <c r="P2026">
        <v>253</v>
      </c>
      <c r="R2026" s="3" t="str">
        <f>HYPERLINK("https://panda.att.com.mx/ODKServer/view/binaryData?blobKey=FSSuministroFluidosv3%5B%40version%3Dnull+and+%40uiVersion%3Dnull%5D%2Fdata%5B%40key%3Duuid%3A52975883-bad9-4d8e-ab99-3ab51a9d2373%5D%2FgroupInfoFuel%5B%40ordinal%3D1%5D%2FpicFuelRecibeInterno","Descargar")</f>
        <v>Descargar</v>
      </c>
    </row>
    <row r="2027" spans="1:18" x14ac:dyDescent="0.3">
      <c r="A2027">
        <v>1557072</v>
      </c>
      <c r="B2027" t="s">
        <v>18</v>
      </c>
      <c r="C2027" t="s">
        <v>55</v>
      </c>
      <c r="D2027" t="s">
        <v>288</v>
      </c>
      <c r="E2027" t="s">
        <v>440</v>
      </c>
      <c r="F2027" t="s">
        <v>22</v>
      </c>
      <c r="G2027" t="s">
        <v>23</v>
      </c>
      <c r="H2027" t="s">
        <v>1763</v>
      </c>
      <c r="I2027" t="s">
        <v>25</v>
      </c>
      <c r="J2027" s="2">
        <v>45815.428055555552</v>
      </c>
      <c r="K2027">
        <v>7</v>
      </c>
      <c r="L2027">
        <v>6</v>
      </c>
      <c r="M2027">
        <v>2025</v>
      </c>
      <c r="N2027" t="s">
        <v>27</v>
      </c>
      <c r="O2027">
        <v>250</v>
      </c>
      <c r="P2027">
        <v>250</v>
      </c>
      <c r="R2027" s="3" t="str">
        <f>HYPERLINK("https://panda.att.com.mx/ODKServer/view/binaryData?blobKey=FSSuministroFluidosv3%5B%40version%3Dnull+and+%40uiVersion%3Dnull%5D%2Fdata%5B%40key%3Duuid%3A47d84a6d-cfe3-453d-afc8-1e4d5930418d%5D%2FgroupInfoFuel%5B%40ordinal%3D1%5D%2FpicFuelRecibeInterno","Descargar")</f>
        <v>Descargar</v>
      </c>
    </row>
    <row r="2028" spans="1:18" x14ac:dyDescent="0.3">
      <c r="A2028">
        <v>1557055</v>
      </c>
      <c r="B2028" t="s">
        <v>18</v>
      </c>
      <c r="C2028" t="s">
        <v>55</v>
      </c>
      <c r="D2028" t="s">
        <v>56</v>
      </c>
      <c r="E2028" t="s">
        <v>1962</v>
      </c>
      <c r="F2028" t="s">
        <v>22</v>
      </c>
      <c r="G2028" t="s">
        <v>95</v>
      </c>
      <c r="H2028" t="s">
        <v>58</v>
      </c>
      <c r="I2028" t="s">
        <v>25</v>
      </c>
      <c r="J2028" s="2">
        <v>45819.67087962963</v>
      </c>
      <c r="K2028">
        <v>11</v>
      </c>
      <c r="L2028">
        <v>6</v>
      </c>
      <c r="M2028">
        <v>2025</v>
      </c>
      <c r="N2028" t="s">
        <v>27</v>
      </c>
      <c r="O2028">
        <v>290</v>
      </c>
      <c r="P2028">
        <v>290</v>
      </c>
      <c r="R2028" s="3" t="str">
        <f>HYPERLINK("https://panda.att.com.mx/ODKServer/view/binaryData?blobKey=FSSuministroFluidosv3%5B%40version%3Dnull+and+%40uiVersion%3Dnull%5D%2Fdata%5B%40key%3Duuid%3Ab346db25-1d04-45cc-ac49-ade5ddd3e0a9%5D%2FgroupInfoFuel%5B%40ordinal%3D1%5D%2FpicFuelRecibeInterno","Descargar")</f>
        <v>Descargar</v>
      </c>
    </row>
    <row r="2029" spans="1:18" x14ac:dyDescent="0.3">
      <c r="A2029">
        <v>1557047</v>
      </c>
      <c r="B2029" t="s">
        <v>18</v>
      </c>
      <c r="C2029" t="s">
        <v>183</v>
      </c>
      <c r="D2029" t="s">
        <v>1963</v>
      </c>
      <c r="E2029" t="s">
        <v>1964</v>
      </c>
      <c r="F2029" t="s">
        <v>22</v>
      </c>
      <c r="G2029" t="s">
        <v>23</v>
      </c>
      <c r="H2029" t="s">
        <v>58</v>
      </c>
      <c r="I2029" t="s">
        <v>25</v>
      </c>
      <c r="J2029" s="2">
        <v>45820.430104166669</v>
      </c>
      <c r="K2029">
        <v>12</v>
      </c>
      <c r="L2029">
        <v>6</v>
      </c>
      <c r="M2029">
        <v>2025</v>
      </c>
      <c r="N2029" t="s">
        <v>27</v>
      </c>
      <c r="O2029">
        <v>130</v>
      </c>
      <c r="P2029">
        <v>130</v>
      </c>
      <c r="R2029" s="3" t="str">
        <f>HYPERLINK("https://panda.att.com.mx/ODKServer/view/binaryData?blobKey=FSSuministroFluidosv3%5B%40version%3Dnull+and+%40uiVersion%3Dnull%5D%2Fdata%5B%40key%3Duuid%3Ac3c0b8ad-55d9-413c-9d15-a6393ba40d65%5D%2FgroupInfoFuel%5B%40ordinal%3D1%5D%2FpicFuelRecibeInterno","Descargar")</f>
        <v>Descargar</v>
      </c>
    </row>
    <row r="2030" spans="1:18" x14ac:dyDescent="0.3">
      <c r="A2030">
        <v>1557046</v>
      </c>
      <c r="B2030" t="s">
        <v>18</v>
      </c>
      <c r="C2030" t="s">
        <v>55</v>
      </c>
      <c r="D2030" t="s">
        <v>210</v>
      </c>
      <c r="E2030" t="s">
        <v>1965</v>
      </c>
      <c r="F2030" t="s">
        <v>22</v>
      </c>
      <c r="G2030" t="s">
        <v>23</v>
      </c>
      <c r="H2030" t="s">
        <v>58</v>
      </c>
      <c r="I2030" t="s">
        <v>25</v>
      </c>
      <c r="J2030" s="2">
        <v>45820.383738425917</v>
      </c>
      <c r="K2030">
        <v>12</v>
      </c>
      <c r="L2030">
        <v>6</v>
      </c>
      <c r="M2030">
        <v>2025</v>
      </c>
      <c r="N2030" t="s">
        <v>27</v>
      </c>
      <c r="O2030">
        <v>180</v>
      </c>
      <c r="P2030">
        <v>180</v>
      </c>
      <c r="R2030" s="3" t="str">
        <f>HYPERLINK("https://panda.att.com.mx/ODKServer/view/binaryData?blobKey=FSSuministroFluidosv3%5B%40version%3Dnull+and+%40uiVersion%3Dnull%5D%2Fdata%5B%40key%3Duuid%3Aa87ad237-7204-47c9-9682-60ac636fd88b%5D%2FgroupInfoFuel%5B%40ordinal%3D1%5D%2FpicFuelRecibeInterno","Descargar")</f>
        <v>Descargar</v>
      </c>
    </row>
    <row r="2031" spans="1:18" x14ac:dyDescent="0.3">
      <c r="A2031">
        <v>1557001</v>
      </c>
      <c r="B2031" t="s">
        <v>18</v>
      </c>
      <c r="C2031" t="s">
        <v>19</v>
      </c>
      <c r="D2031" t="s">
        <v>156</v>
      </c>
      <c r="E2031" t="s">
        <v>1966</v>
      </c>
      <c r="F2031" t="s">
        <v>22</v>
      </c>
      <c r="G2031" t="s">
        <v>23</v>
      </c>
      <c r="H2031" t="s">
        <v>24</v>
      </c>
      <c r="I2031" t="s">
        <v>25</v>
      </c>
      <c r="J2031" s="2">
        <v>45819.795717592591</v>
      </c>
      <c r="K2031">
        <v>11</v>
      </c>
      <c r="L2031">
        <v>6</v>
      </c>
      <c r="M2031">
        <v>2025</v>
      </c>
      <c r="N2031" t="s">
        <v>44</v>
      </c>
      <c r="O2031">
        <v>43</v>
      </c>
      <c r="P2031">
        <v>43</v>
      </c>
      <c r="R2031" s="3" t="str">
        <f>HYPERLINK("https://panda.att.com.mx/ODKServer/view/binaryData?blobKey=FSSuministroFluidosv3%5B%40version%3Dnull+and+%40uiVersion%3Dnull%5D%2Fdata%5B%40key%3Duuid%3A081dd1a1-2060-4a1f-8b14-81efd082438e%5D%2FgroupInfoFuel%5B%40ordinal%3D1%5D%2FpicFuelRecibeInterno","Descargar")</f>
        <v>Descargar</v>
      </c>
    </row>
    <row r="2032" spans="1:18" x14ac:dyDescent="0.3">
      <c r="A2032">
        <v>1556989</v>
      </c>
      <c r="B2032" t="s">
        <v>18</v>
      </c>
      <c r="C2032" t="s">
        <v>19</v>
      </c>
      <c r="D2032" t="s">
        <v>156</v>
      </c>
      <c r="E2032" t="s">
        <v>1967</v>
      </c>
      <c r="F2032" t="s">
        <v>22</v>
      </c>
      <c r="G2032" t="s">
        <v>23</v>
      </c>
      <c r="H2032" t="s">
        <v>24</v>
      </c>
      <c r="I2032" t="s">
        <v>25</v>
      </c>
      <c r="J2032" s="2">
        <v>45812.309062499997</v>
      </c>
      <c r="K2032">
        <v>4</v>
      </c>
      <c r="L2032">
        <v>6</v>
      </c>
      <c r="M2032">
        <v>2025</v>
      </c>
      <c r="N2032" t="s">
        <v>27</v>
      </c>
      <c r="O2032">
        <v>75</v>
      </c>
      <c r="P2032">
        <v>75</v>
      </c>
      <c r="R2032" s="3" t="str">
        <f>HYPERLINK("https://panda.att.com.mx/ODKServer/view/binaryData?blobKey=FSSuministroFluidosv3%5B%40version%3Dnull+and+%40uiVersion%3Dnull%5D%2Fdata%5B%40key%3Duuid%3A67d7b624-9833-4974-b70d-616aedd3787d%5D%2FgroupInfoFuel%5B%40ordinal%3D1%5D%2FpicFuelRecibeInterno","Descargar")</f>
        <v>Descargar</v>
      </c>
    </row>
    <row r="2033" spans="1:18" x14ac:dyDescent="0.3">
      <c r="A2033">
        <v>1556986</v>
      </c>
      <c r="B2033" t="s">
        <v>18</v>
      </c>
      <c r="C2033" t="s">
        <v>19</v>
      </c>
      <c r="D2033" t="s">
        <v>156</v>
      </c>
      <c r="E2033" t="s">
        <v>1968</v>
      </c>
      <c r="F2033" t="s">
        <v>22</v>
      </c>
      <c r="G2033" t="s">
        <v>23</v>
      </c>
      <c r="H2033" t="s">
        <v>24</v>
      </c>
      <c r="I2033" t="s">
        <v>25</v>
      </c>
      <c r="J2033" s="2">
        <v>45820.891736111109</v>
      </c>
      <c r="K2033">
        <v>12</v>
      </c>
      <c r="L2033">
        <v>6</v>
      </c>
      <c r="M2033">
        <v>2025</v>
      </c>
      <c r="N2033" t="s">
        <v>27</v>
      </c>
      <c r="O2033">
        <v>130</v>
      </c>
      <c r="Q2033">
        <v>130</v>
      </c>
      <c r="R2033" s="3" t="str">
        <f>HYPERLINK("https://panda.att.com.mx/ODKServer/view/binaryData?blobKey=FSSuministroFluidosv3%5B%40version%3Dnull+and+%40uiVersion%3Dnull%5D%2Fdata%5B%40key%3Duuid%3A9b512bdc-5169-453b-88cc-c222a9608d03%5D%2FgroupInfoFuel%5B%40ordinal%3D1%5D%2FpicFuelRecibeInterno","Descargar")</f>
        <v>Descargar</v>
      </c>
    </row>
    <row r="2034" spans="1:18" x14ac:dyDescent="0.3">
      <c r="A2034">
        <v>1556965</v>
      </c>
      <c r="B2034" t="s">
        <v>18</v>
      </c>
      <c r="C2034" t="s">
        <v>28</v>
      </c>
      <c r="D2034" t="s">
        <v>29</v>
      </c>
      <c r="E2034" t="s">
        <v>179</v>
      </c>
      <c r="F2034" t="s">
        <v>22</v>
      </c>
      <c r="G2034" t="s">
        <v>23</v>
      </c>
      <c r="H2034" t="s">
        <v>24</v>
      </c>
      <c r="I2034" t="s">
        <v>25</v>
      </c>
      <c r="J2034" s="2">
        <v>45814.925740740742</v>
      </c>
      <c r="K2034">
        <v>6</v>
      </c>
      <c r="L2034">
        <v>6</v>
      </c>
      <c r="M2034">
        <v>2025</v>
      </c>
      <c r="N2034" t="s">
        <v>44</v>
      </c>
      <c r="O2034">
        <v>30</v>
      </c>
      <c r="P2034">
        <v>30</v>
      </c>
      <c r="R2034" s="3" t="str">
        <f>HYPERLINK("https://panda.att.com.mx/ODKServer/view/binaryData?blobKey=FSSuministroFluidosv3%5B%40version%3Dnull+and+%40uiVersion%3Dnull%5D%2Fdata%5B%40key%3Duuid%3Ad8a1c08a-3531-42d4-a688-c98055ced920%5D%2FgroupInfoFuel%5B%40ordinal%3D1%5D%2FpicFuelRecibeInterno","Descargar")</f>
        <v>Descargar</v>
      </c>
    </row>
    <row r="2035" spans="1:18" x14ac:dyDescent="0.3">
      <c r="A2035">
        <v>1556948</v>
      </c>
      <c r="B2035" t="s">
        <v>18</v>
      </c>
      <c r="C2035" t="s">
        <v>59</v>
      </c>
      <c r="D2035" t="s">
        <v>1745</v>
      </c>
      <c r="E2035" t="s">
        <v>1969</v>
      </c>
      <c r="F2035" t="s">
        <v>22</v>
      </c>
      <c r="G2035" t="s">
        <v>47</v>
      </c>
      <c r="H2035" t="s">
        <v>24</v>
      </c>
      <c r="I2035" t="s">
        <v>25</v>
      </c>
      <c r="J2035" s="2">
        <v>45820.350219907406</v>
      </c>
      <c r="K2035">
        <v>12</v>
      </c>
      <c r="L2035">
        <v>6</v>
      </c>
      <c r="M2035">
        <v>2025</v>
      </c>
      <c r="N2035" t="s">
        <v>44</v>
      </c>
      <c r="O2035">
        <v>55</v>
      </c>
      <c r="P2035">
        <v>55</v>
      </c>
      <c r="R2035" s="3" t="str">
        <f>HYPERLINK("https://panda.att.com.mx/ODKServer/view/binaryData?blobKey=FSSuministroFluidosv3%5B%40version%3Dnull+and+%40uiVersion%3Dnull%5D%2Fdata%5B%40key%3Duuid%3A5f71232e-f31c-45ab-be95-7843ccaac9bf%5D%2FgroupInfoFuel%5B%40ordinal%3D1%5D%2FpicFuelRecibeInterno","Descargar")</f>
        <v>Descargar</v>
      </c>
    </row>
    <row r="2036" spans="1:18" x14ac:dyDescent="0.3">
      <c r="A2036">
        <v>1556940</v>
      </c>
      <c r="B2036" t="s">
        <v>18</v>
      </c>
      <c r="C2036" t="s">
        <v>55</v>
      </c>
      <c r="D2036" t="s">
        <v>89</v>
      </c>
      <c r="E2036" t="s">
        <v>1970</v>
      </c>
      <c r="F2036" t="s">
        <v>22</v>
      </c>
      <c r="G2036" t="s">
        <v>23</v>
      </c>
      <c r="H2036" t="s">
        <v>58</v>
      </c>
      <c r="I2036" t="s">
        <v>25</v>
      </c>
      <c r="J2036" s="2">
        <v>45819.74</v>
      </c>
      <c r="K2036">
        <v>11</v>
      </c>
      <c r="L2036">
        <v>6</v>
      </c>
      <c r="M2036">
        <v>2025</v>
      </c>
      <c r="N2036" t="s">
        <v>27</v>
      </c>
      <c r="O2036">
        <v>200</v>
      </c>
      <c r="P2036">
        <v>200</v>
      </c>
      <c r="R2036" s="3" t="str">
        <f>HYPERLINK("https://panda.att.com.mx/ODKServer/view/binaryData?blobKey=FSSuministroFluidosv3%5B%40version%3Dnull+and+%40uiVersion%3Dnull%5D%2Fdata%5B%40key%3Duuid%3A6dc366d5-4052-41b1-9607-a3e32b54fc60%5D%2FgroupInfoFuel%5B%40ordinal%3D1%5D%2FpicFuelRecibeInterno","Descargar")</f>
        <v>Descargar</v>
      </c>
    </row>
    <row r="2037" spans="1:18" x14ac:dyDescent="0.3">
      <c r="A2037">
        <v>1556938</v>
      </c>
      <c r="B2037" t="s">
        <v>18</v>
      </c>
      <c r="C2037" t="s">
        <v>28</v>
      </c>
      <c r="D2037" t="s">
        <v>177</v>
      </c>
      <c r="E2037" t="s">
        <v>178</v>
      </c>
      <c r="F2037" t="s">
        <v>22</v>
      </c>
      <c r="G2037" t="s">
        <v>23</v>
      </c>
      <c r="H2037" t="s">
        <v>24</v>
      </c>
      <c r="I2037" t="s">
        <v>25</v>
      </c>
      <c r="J2037" s="2">
        <v>45814.688703703701</v>
      </c>
      <c r="K2037">
        <v>6</v>
      </c>
      <c r="L2037">
        <v>6</v>
      </c>
      <c r="M2037">
        <v>2025</v>
      </c>
      <c r="N2037" t="s">
        <v>27</v>
      </c>
      <c r="O2037">
        <v>500</v>
      </c>
      <c r="Q2037">
        <v>500</v>
      </c>
      <c r="R2037" s="3" t="str">
        <f>HYPERLINK("https://panda.att.com.mx/ODKServer/view/binaryData?blobKey=FSSuministroFluidosv3%5B%40version%3Dnull+and+%40uiVersion%3Dnull%5D%2Fdata%5B%40key%3Duuid%3A6e10eef6-7f29-4002-ba10-7920ccb181cb%5D%2FgroupInfoFuel%5B%40ordinal%3D1%5D%2FpicFuelRecibeInterno","Descargar")</f>
        <v>Descargar</v>
      </c>
    </row>
    <row r="2038" spans="1:18" x14ac:dyDescent="0.3">
      <c r="A2038">
        <v>1556870</v>
      </c>
      <c r="B2038" t="s">
        <v>18</v>
      </c>
      <c r="C2038" t="s">
        <v>55</v>
      </c>
      <c r="D2038" t="s">
        <v>128</v>
      </c>
      <c r="E2038" t="s">
        <v>1948</v>
      </c>
      <c r="F2038" t="s">
        <v>22</v>
      </c>
      <c r="G2038" t="s">
        <v>23</v>
      </c>
      <c r="H2038" t="s">
        <v>58</v>
      </c>
      <c r="I2038" t="s">
        <v>25</v>
      </c>
      <c r="J2038" s="2">
        <v>45820.358055555553</v>
      </c>
      <c r="K2038">
        <v>12</v>
      </c>
      <c r="L2038">
        <v>6</v>
      </c>
      <c r="M2038">
        <v>2025</v>
      </c>
      <c r="N2038" t="s">
        <v>44</v>
      </c>
      <c r="O2038">
        <v>54</v>
      </c>
      <c r="P2038">
        <v>54</v>
      </c>
      <c r="R2038" s="3" t="str">
        <f>HYPERLINK("https://panda.att.com.mx/ODKServer/view/binaryData?blobKey=FSSuministroFluidosv3%5B%40version%3Dnull+and+%40uiVersion%3Dnull%5D%2Fdata%5B%40key%3Duuid%3A9286d043-f9f0-402e-95ab-a2fcc2f0c8d2%5D%2FgroupInfoFuel%5B%40ordinal%3D1%5D%2FpicFuelRecibeInterno","Descargar")</f>
        <v>Descargar</v>
      </c>
    </row>
    <row r="2039" spans="1:18" x14ac:dyDescent="0.3">
      <c r="A2039">
        <v>1556857</v>
      </c>
      <c r="B2039" t="s">
        <v>18</v>
      </c>
      <c r="C2039" t="s">
        <v>55</v>
      </c>
      <c r="D2039" t="s">
        <v>89</v>
      </c>
      <c r="E2039" t="s">
        <v>1971</v>
      </c>
      <c r="F2039" t="s">
        <v>22</v>
      </c>
      <c r="G2039" t="s">
        <v>23</v>
      </c>
      <c r="H2039" t="s">
        <v>58</v>
      </c>
      <c r="I2039" t="s">
        <v>25</v>
      </c>
      <c r="J2039" s="2">
        <v>45819.702557870369</v>
      </c>
      <c r="K2039">
        <v>11</v>
      </c>
      <c r="L2039">
        <v>6</v>
      </c>
      <c r="M2039">
        <v>2025</v>
      </c>
      <c r="N2039" t="s">
        <v>27</v>
      </c>
      <c r="O2039">
        <v>200</v>
      </c>
      <c r="P2039">
        <v>200</v>
      </c>
      <c r="R2039" s="3" t="str">
        <f>HYPERLINK("https://panda.att.com.mx/ODKServer/view/binaryData?blobKey=FSSuministroFluidosv3%5B%40version%3Dnull+and+%40uiVersion%3Dnull%5D%2Fdata%5B%40key%3Duuid%3A4f651969-3672-415b-9e1d-00e0b5c99a35%5D%2FgroupInfoFuel%5B%40ordinal%3D1%5D%2FpicFuelRecibeInterno","Descargar")</f>
        <v>Descargar</v>
      </c>
    </row>
    <row r="2040" spans="1:18" x14ac:dyDescent="0.3">
      <c r="A2040">
        <v>1556812</v>
      </c>
      <c r="B2040" t="s">
        <v>18</v>
      </c>
      <c r="C2040" t="s">
        <v>55</v>
      </c>
      <c r="D2040" t="s">
        <v>89</v>
      </c>
      <c r="E2040" t="s">
        <v>885</v>
      </c>
      <c r="F2040" t="s">
        <v>22</v>
      </c>
      <c r="G2040" t="s">
        <v>23</v>
      </c>
      <c r="H2040" t="s">
        <v>58</v>
      </c>
      <c r="I2040" t="s">
        <v>25</v>
      </c>
      <c r="J2040" s="2">
        <v>45820.758726851847</v>
      </c>
      <c r="K2040">
        <v>12</v>
      </c>
      <c r="L2040">
        <v>6</v>
      </c>
      <c r="M2040">
        <v>2025</v>
      </c>
      <c r="N2040" t="s">
        <v>27</v>
      </c>
      <c r="O2040">
        <v>200</v>
      </c>
      <c r="P2040">
        <v>200</v>
      </c>
      <c r="R2040" s="3" t="str">
        <f>HYPERLINK("https://panda.att.com.mx/ODKServer/view/binaryData?blobKey=FSSuministroFluidosv3%5B%40version%3Dnull+and+%40uiVersion%3Dnull%5D%2Fdata%5B%40key%3Duuid%3A9496aa4f-b41d-447d-b7b2-b63a9c25f33f%5D%2FgroupInfoFuel%5B%40ordinal%3D1%5D%2FpicFuelRecibeInterno","Descargar")</f>
        <v>Descargar</v>
      </c>
    </row>
    <row r="2041" spans="1:18" x14ac:dyDescent="0.3">
      <c r="A2041">
        <v>1556811</v>
      </c>
      <c r="B2041" t="s">
        <v>18</v>
      </c>
      <c r="C2041" t="s">
        <v>55</v>
      </c>
      <c r="D2041" t="s">
        <v>1836</v>
      </c>
      <c r="E2041" t="s">
        <v>1972</v>
      </c>
      <c r="F2041" t="s">
        <v>22</v>
      </c>
      <c r="G2041" t="s">
        <v>23</v>
      </c>
      <c r="H2041" t="s">
        <v>58</v>
      </c>
      <c r="I2041" t="s">
        <v>25</v>
      </c>
      <c r="J2041" s="2">
        <v>45820.562337962961</v>
      </c>
      <c r="K2041">
        <v>12</v>
      </c>
      <c r="L2041">
        <v>6</v>
      </c>
      <c r="M2041">
        <v>2025</v>
      </c>
      <c r="N2041" t="s">
        <v>27</v>
      </c>
      <c r="O2041">
        <v>120</v>
      </c>
      <c r="P2041">
        <v>120</v>
      </c>
      <c r="R2041" s="3" t="str">
        <f>HYPERLINK("https://panda.att.com.mx/ODKServer/view/binaryData?blobKey=FSSuministroFluidosv3%5B%40version%3Dnull+and+%40uiVersion%3Dnull%5D%2Fdata%5B%40key%3Duuid%3A0e50232f-d03f-4476-9bcd-2b9a564b5226%5D%2FgroupInfoFuel%5B%40ordinal%3D1%5D%2FpicFuelRecibeInterno","Descargar")</f>
        <v>Descargar</v>
      </c>
    </row>
    <row r="2042" spans="1:18" x14ac:dyDescent="0.3">
      <c r="A2042">
        <v>1556810</v>
      </c>
      <c r="B2042" t="s">
        <v>18</v>
      </c>
      <c r="C2042" t="s">
        <v>55</v>
      </c>
      <c r="D2042" t="s">
        <v>89</v>
      </c>
      <c r="E2042" t="s">
        <v>986</v>
      </c>
      <c r="F2042" t="s">
        <v>22</v>
      </c>
      <c r="G2042" t="s">
        <v>23</v>
      </c>
      <c r="H2042" t="s">
        <v>58</v>
      </c>
      <c r="I2042" t="s">
        <v>25</v>
      </c>
      <c r="J2042" s="2">
        <v>45819.727118055547</v>
      </c>
      <c r="K2042">
        <v>11</v>
      </c>
      <c r="L2042">
        <v>6</v>
      </c>
      <c r="M2042">
        <v>2025</v>
      </c>
      <c r="N2042" t="s">
        <v>27</v>
      </c>
      <c r="O2042">
        <v>150</v>
      </c>
      <c r="P2042">
        <v>150</v>
      </c>
      <c r="R2042" s="3" t="str">
        <f>HYPERLINK("https://panda.att.com.mx/ODKServer/view/binaryData?blobKey=FSSuministroFluidosv3%5B%40version%3Dnull+and+%40uiVersion%3Dnull%5D%2Fdata%5B%40key%3Duuid%3Aa377d6d2-ee68-4ca1-a4eb-596f226313d7%5D%2FgroupInfoFuel%5B%40ordinal%3D1%5D%2FpicFuelRecibeInterno","Descargar")</f>
        <v>Descargar</v>
      </c>
    </row>
    <row r="2043" spans="1:18" x14ac:dyDescent="0.3">
      <c r="A2043">
        <v>1556781</v>
      </c>
      <c r="B2043" t="s">
        <v>18</v>
      </c>
      <c r="C2043" t="s">
        <v>34</v>
      </c>
      <c r="D2043" t="s">
        <v>53</v>
      </c>
      <c r="E2043" t="s">
        <v>1973</v>
      </c>
      <c r="F2043" t="s">
        <v>22</v>
      </c>
      <c r="G2043" t="s">
        <v>83</v>
      </c>
      <c r="H2043" t="s">
        <v>390</v>
      </c>
      <c r="I2043" t="s">
        <v>25</v>
      </c>
      <c r="J2043" s="2">
        <v>45820.483541666668</v>
      </c>
      <c r="K2043">
        <v>12</v>
      </c>
      <c r="L2043">
        <v>6</v>
      </c>
      <c r="M2043">
        <v>2025</v>
      </c>
      <c r="N2043" t="s">
        <v>27</v>
      </c>
      <c r="O2043">
        <v>150</v>
      </c>
      <c r="P2043">
        <v>150</v>
      </c>
      <c r="R2043" s="3" t="str">
        <f>HYPERLINK("https://panda.att.com.mx/ODKServer/view/binaryData?blobKey=FSSuministroFluidosv3%5B%40version%3Dnull+and+%40uiVersion%3Dnull%5D%2Fdata%5B%40key%3Duuid%3A44adced7-9f97-40f2-b463-a21161d93a7b%5D%2FgroupInfoFuel%5B%40ordinal%3D1%5D%2FpicFuelRecibeInterno","Descargar")</f>
        <v>Descargar</v>
      </c>
    </row>
    <row r="2044" spans="1:18" x14ac:dyDescent="0.3">
      <c r="A2044">
        <v>1556742</v>
      </c>
      <c r="B2044" t="s">
        <v>18</v>
      </c>
      <c r="C2044" t="s">
        <v>55</v>
      </c>
      <c r="D2044" t="s">
        <v>89</v>
      </c>
      <c r="E2044" t="s">
        <v>1532</v>
      </c>
      <c r="F2044" t="s">
        <v>22</v>
      </c>
      <c r="G2044" t="s">
        <v>23</v>
      </c>
      <c r="H2044" t="s">
        <v>58</v>
      </c>
      <c r="I2044" t="s">
        <v>25</v>
      </c>
      <c r="J2044" s="2">
        <v>45820.698703703703</v>
      </c>
      <c r="K2044">
        <v>12</v>
      </c>
      <c r="L2044">
        <v>6</v>
      </c>
      <c r="M2044">
        <v>2025</v>
      </c>
      <c r="N2044" t="s">
        <v>27</v>
      </c>
      <c r="O2044">
        <v>200</v>
      </c>
      <c r="P2044">
        <v>200</v>
      </c>
      <c r="R2044" s="3" t="str">
        <f>HYPERLINK("https://panda.att.com.mx/ODKServer/view/binaryData?blobKey=FSSuministroFluidosv3%5B%40version%3Dnull+and+%40uiVersion%3Dnull%5D%2Fdata%5B%40key%3Duuid%3A84308464-82dc-4fa9-9a51-f8b4adb6b4cb%5D%2FgroupInfoFuel%5B%40ordinal%3D1%5D%2FpicFuelRecibeInterno","Descargar")</f>
        <v>Descargar</v>
      </c>
    </row>
    <row r="2045" spans="1:18" x14ac:dyDescent="0.3">
      <c r="A2045">
        <v>1556734</v>
      </c>
      <c r="B2045" t="s">
        <v>18</v>
      </c>
      <c r="C2045" t="s">
        <v>55</v>
      </c>
      <c r="D2045" t="s">
        <v>56</v>
      </c>
      <c r="E2045" t="s">
        <v>1670</v>
      </c>
      <c r="F2045" t="s">
        <v>22</v>
      </c>
      <c r="G2045" t="s">
        <v>23</v>
      </c>
      <c r="H2045" t="s">
        <v>1763</v>
      </c>
      <c r="I2045" t="s">
        <v>25</v>
      </c>
      <c r="J2045" s="2">
        <v>45810.498124999998</v>
      </c>
      <c r="K2045">
        <v>2</v>
      </c>
      <c r="L2045">
        <v>6</v>
      </c>
      <c r="M2045">
        <v>2025</v>
      </c>
      <c r="N2045" t="s">
        <v>27</v>
      </c>
      <c r="O2045">
        <v>400</v>
      </c>
      <c r="P2045">
        <v>400</v>
      </c>
      <c r="R2045" s="3" t="str">
        <f>HYPERLINK("https://panda.att.com.mx/ODKServer/view/binaryData?blobKey=FSSuministroFluidosv3%5B%40version%3Dnull+and+%40uiVersion%3Dnull%5D%2Fdata%5B%40key%3Duuid%3Ad50d00d2-3cb3-446b-a8b0-41eed459ecc2%5D%2FgroupInfoFuel%5B%40ordinal%3D1%5D%2FpicFuelRecibeInterno","Descargar")</f>
        <v>Descargar</v>
      </c>
    </row>
    <row r="2046" spans="1:18" x14ac:dyDescent="0.3">
      <c r="A2046">
        <v>1556721</v>
      </c>
      <c r="B2046" t="s">
        <v>18</v>
      </c>
      <c r="C2046" t="s">
        <v>55</v>
      </c>
      <c r="D2046" t="s">
        <v>56</v>
      </c>
      <c r="E2046" t="s">
        <v>1762</v>
      </c>
      <c r="F2046" t="s">
        <v>22</v>
      </c>
      <c r="G2046" t="s">
        <v>23</v>
      </c>
      <c r="H2046" t="s">
        <v>1763</v>
      </c>
      <c r="I2046" t="s">
        <v>25</v>
      </c>
      <c r="J2046" s="2">
        <v>45810.582557870373</v>
      </c>
      <c r="K2046">
        <v>2</v>
      </c>
      <c r="L2046">
        <v>6</v>
      </c>
      <c r="M2046">
        <v>2025</v>
      </c>
      <c r="N2046" t="s">
        <v>27</v>
      </c>
      <c r="O2046">
        <v>100</v>
      </c>
      <c r="P2046">
        <v>100</v>
      </c>
      <c r="R2046" s="3" t="str">
        <f>HYPERLINK("https://panda.att.com.mx/ODKServer/view/binaryData?blobKey=FSSuministroFluidosv3%5B%40version%3Dnull+and+%40uiVersion%3Dnull%5D%2Fdata%5B%40key%3Duuid%3A68af6259-6d25-41d0-8770-24b5368e296f%5D%2FgroupInfoFuel%5B%40ordinal%3D1%5D%2FpicFuelRecibeInterno","Descargar")</f>
        <v>Descargar</v>
      </c>
    </row>
    <row r="2047" spans="1:18" x14ac:dyDescent="0.3">
      <c r="A2047">
        <v>1556710</v>
      </c>
      <c r="B2047" t="s">
        <v>18</v>
      </c>
      <c r="C2047" t="s">
        <v>55</v>
      </c>
      <c r="D2047" t="s">
        <v>56</v>
      </c>
      <c r="E2047" t="s">
        <v>1555</v>
      </c>
      <c r="F2047" t="s">
        <v>22</v>
      </c>
      <c r="G2047" t="s">
        <v>83</v>
      </c>
      <c r="H2047" t="s">
        <v>58</v>
      </c>
      <c r="I2047" t="s">
        <v>25</v>
      </c>
      <c r="J2047" s="2">
        <v>45820.630949074082</v>
      </c>
      <c r="K2047">
        <v>12</v>
      </c>
      <c r="L2047">
        <v>6</v>
      </c>
      <c r="M2047">
        <v>2025</v>
      </c>
      <c r="N2047" t="s">
        <v>27</v>
      </c>
      <c r="O2047">
        <v>250</v>
      </c>
      <c r="P2047">
        <v>250</v>
      </c>
      <c r="R2047" s="3" t="str">
        <f>HYPERLINK("https://panda.att.com.mx/ODKServer/view/binaryData?blobKey=FSSuministroFluidosv3%5B%40version%3Dnull+and+%40uiVersion%3Dnull%5D%2Fdata%5B%40key%3Duuid%3A0acfbfb7-6c1c-490d-88e2-ee93850467a9%5D%2FgroupInfoFuel%5B%40ordinal%3D1%5D%2FpicFuelRecibeInterno","Descargar")</f>
        <v>Descargar</v>
      </c>
    </row>
    <row r="2048" spans="1:18" x14ac:dyDescent="0.3">
      <c r="A2048">
        <v>1556648</v>
      </c>
      <c r="B2048" t="s">
        <v>18</v>
      </c>
      <c r="C2048" t="s">
        <v>55</v>
      </c>
      <c r="D2048" t="s">
        <v>128</v>
      </c>
      <c r="E2048" t="s">
        <v>1974</v>
      </c>
      <c r="F2048" t="s">
        <v>22</v>
      </c>
      <c r="G2048" t="s">
        <v>23</v>
      </c>
      <c r="H2048" t="s">
        <v>58</v>
      </c>
      <c r="I2048" t="s">
        <v>25</v>
      </c>
      <c r="J2048" s="2">
        <v>45820.643865740742</v>
      </c>
      <c r="K2048">
        <v>12</v>
      </c>
      <c r="L2048">
        <v>6</v>
      </c>
      <c r="M2048">
        <v>2025</v>
      </c>
      <c r="N2048" t="s">
        <v>27</v>
      </c>
      <c r="O2048">
        <v>70</v>
      </c>
      <c r="P2048">
        <v>70</v>
      </c>
      <c r="R2048" s="3" t="str">
        <f>HYPERLINK("https://panda.att.com.mx/ODKServer/view/binaryData?blobKey=FSSuministroFluidosv3%5B%40version%3Dnull+and+%40uiVersion%3Dnull%5D%2Fdata%5B%40key%3Duuid%3Ad1a47b4a-f765-47fa-96d3-baa7e4bc93b9%5D%2FgroupInfoFuel%5B%40ordinal%3D1%5D%2FpicFuelRecibeInterno","Descargar")</f>
        <v>Descargar</v>
      </c>
    </row>
    <row r="2049" spans="1:18" x14ac:dyDescent="0.3">
      <c r="A2049">
        <v>1556626</v>
      </c>
      <c r="B2049" t="s">
        <v>18</v>
      </c>
      <c r="C2049" t="s">
        <v>55</v>
      </c>
      <c r="D2049" t="s">
        <v>56</v>
      </c>
      <c r="E2049" t="s">
        <v>1842</v>
      </c>
      <c r="F2049" t="s">
        <v>22</v>
      </c>
      <c r="G2049" t="s">
        <v>83</v>
      </c>
      <c r="H2049" t="s">
        <v>58</v>
      </c>
      <c r="I2049" t="s">
        <v>25</v>
      </c>
      <c r="J2049" s="2">
        <v>45820.610821759263</v>
      </c>
      <c r="K2049">
        <v>12</v>
      </c>
      <c r="L2049">
        <v>6</v>
      </c>
      <c r="M2049">
        <v>2025</v>
      </c>
      <c r="N2049" t="s">
        <v>27</v>
      </c>
      <c r="O2049">
        <v>150</v>
      </c>
      <c r="P2049">
        <v>150</v>
      </c>
      <c r="R2049" s="3" t="str">
        <f>HYPERLINK("https://panda.att.com.mx/ODKServer/view/binaryData?blobKey=FSSuministroFluidosv3%5B%40version%3Dnull+and+%40uiVersion%3Dnull%5D%2Fdata%5B%40key%3Duuid%3Ab8507d63-b1b4-44bc-9efd-a8fcaab186a5%5D%2FgroupInfoFuel%5B%40ordinal%3D1%5D%2FpicFuelRecibeInterno","Descargar")</f>
        <v>Descargar</v>
      </c>
    </row>
    <row r="2050" spans="1:18" x14ac:dyDescent="0.3">
      <c r="A2050">
        <v>1556597</v>
      </c>
      <c r="B2050" t="s">
        <v>18</v>
      </c>
      <c r="C2050" t="s">
        <v>55</v>
      </c>
      <c r="D2050" t="s">
        <v>56</v>
      </c>
      <c r="E2050" t="s">
        <v>1670</v>
      </c>
      <c r="F2050" t="s">
        <v>22</v>
      </c>
      <c r="G2050" t="s">
        <v>95</v>
      </c>
      <c r="H2050" t="s">
        <v>58</v>
      </c>
      <c r="I2050" t="s">
        <v>25</v>
      </c>
      <c r="J2050" s="2">
        <v>45818.816793981481</v>
      </c>
      <c r="K2050">
        <v>10</v>
      </c>
      <c r="L2050">
        <v>6</v>
      </c>
      <c r="M2050">
        <v>2025</v>
      </c>
      <c r="N2050" t="s">
        <v>27</v>
      </c>
      <c r="O2050">
        <v>500</v>
      </c>
      <c r="P2050">
        <v>500</v>
      </c>
      <c r="R2050" s="3" t="str">
        <f>HYPERLINK("https://panda.att.com.mx/ODKServer/view/binaryData?blobKey=FSSuministroFluidosv3%5B%40version%3Dnull+and+%40uiVersion%3Dnull%5D%2Fdata%5B%40key%3Duuid%3Ad4abf987-fb92-4b87-ada0-ade509373cd4%5D%2FgroupInfoFuel%5B%40ordinal%3D1%5D%2FpicFuelRecibeInterno","Descargar")</f>
        <v>Descargar</v>
      </c>
    </row>
    <row r="2051" spans="1:18" x14ac:dyDescent="0.3">
      <c r="A2051">
        <v>1556592</v>
      </c>
      <c r="B2051" t="s">
        <v>18</v>
      </c>
      <c r="C2051" t="s">
        <v>55</v>
      </c>
      <c r="D2051" t="s">
        <v>56</v>
      </c>
      <c r="E2051" t="s">
        <v>668</v>
      </c>
      <c r="F2051" t="s">
        <v>22</v>
      </c>
      <c r="G2051" t="s">
        <v>23</v>
      </c>
      <c r="H2051" t="s">
        <v>58</v>
      </c>
      <c r="I2051" t="s">
        <v>25</v>
      </c>
      <c r="J2051" s="2">
        <v>45820.543900462973</v>
      </c>
      <c r="K2051">
        <v>12</v>
      </c>
      <c r="L2051">
        <v>6</v>
      </c>
      <c r="M2051">
        <v>2025</v>
      </c>
      <c r="N2051" t="s">
        <v>27</v>
      </c>
      <c r="O2051">
        <v>150</v>
      </c>
      <c r="P2051">
        <v>150</v>
      </c>
      <c r="R2051" s="3" t="str">
        <f>HYPERLINK("https://panda.att.com.mx/ODKServer/view/binaryData?blobKey=FSSuministroFluidosv3%5B%40version%3Dnull+and+%40uiVersion%3Dnull%5D%2Fdata%5B%40key%3Duuid%3A9baf5eb8-8035-44e1-ba5f-26315533ad61%5D%2FgroupInfoFuel%5B%40ordinal%3D1%5D%2FpicFuelRecibeInterno","Descargar")</f>
        <v>Descargar</v>
      </c>
    </row>
    <row r="2052" spans="1:18" x14ac:dyDescent="0.3">
      <c r="A2052">
        <v>1557809</v>
      </c>
      <c r="B2052" t="s">
        <v>18</v>
      </c>
      <c r="C2052" t="s">
        <v>68</v>
      </c>
      <c r="D2052" t="s">
        <v>91</v>
      </c>
      <c r="E2052" t="s">
        <v>1606</v>
      </c>
      <c r="F2052" t="s">
        <v>22</v>
      </c>
      <c r="G2052" t="s">
        <v>23</v>
      </c>
      <c r="H2052" t="s">
        <v>37</v>
      </c>
      <c r="I2052" t="s">
        <v>25</v>
      </c>
      <c r="J2052" s="2">
        <v>45822.565787037027</v>
      </c>
      <c r="K2052">
        <v>14</v>
      </c>
      <c r="L2052">
        <v>6</v>
      </c>
      <c r="M2052">
        <v>2025</v>
      </c>
      <c r="N2052" t="s">
        <v>27</v>
      </c>
      <c r="O2052">
        <v>100</v>
      </c>
      <c r="P2052">
        <v>100</v>
      </c>
      <c r="R2052" s="3" t="str">
        <f>HYPERLINK("https://panda.att.com.mx/ODKServer/view/binaryData?blobKey=FSSuministroFluidosv3%5B%40version%3Dnull+and+%40uiVersion%3Dnull%5D%2Fdata%5B%40key%3Duuid%3A94e5d0a5-efc6-4199-81fd-7d6cf3dd0991%5D%2FgroupInfoFuel%5B%40ordinal%3D1%5D%2FpicFuelRecibeInterno","Descargar")</f>
        <v>Descargar</v>
      </c>
    </row>
    <row r="2053" spans="1:18" x14ac:dyDescent="0.3">
      <c r="A2053">
        <v>1557805</v>
      </c>
      <c r="B2053" t="s">
        <v>18</v>
      </c>
      <c r="C2053" t="s">
        <v>34</v>
      </c>
      <c r="D2053" t="s">
        <v>51</v>
      </c>
      <c r="E2053" t="s">
        <v>1889</v>
      </c>
      <c r="F2053" t="s">
        <v>22</v>
      </c>
      <c r="G2053" t="s">
        <v>23</v>
      </c>
      <c r="H2053" t="s">
        <v>24</v>
      </c>
      <c r="I2053" t="s">
        <v>25</v>
      </c>
      <c r="J2053" s="2">
        <v>45822.522777777784</v>
      </c>
      <c r="K2053">
        <v>14</v>
      </c>
      <c r="L2053">
        <v>6</v>
      </c>
      <c r="M2053">
        <v>2025</v>
      </c>
      <c r="N2053" t="s">
        <v>27</v>
      </c>
      <c r="O2053">
        <v>100</v>
      </c>
      <c r="P2053">
        <v>100</v>
      </c>
      <c r="R2053" s="3" t="str">
        <f>HYPERLINK("https://panda.att.com.mx/ODKServer/view/binaryData?blobKey=FSSuministroFluidosv3%5B%40version%3Dnull+and+%40uiVersion%3Dnull%5D%2Fdata%5B%40key%3Duuid%3A1b83bb44-c6e7-4589-89ae-13098444a602%5D%2FgroupInfoFuel%5B%40ordinal%3D1%5D%2FpicFuelRecibeInterno","Descargar")</f>
        <v>Descargar</v>
      </c>
    </row>
    <row r="2054" spans="1:18" x14ac:dyDescent="0.3">
      <c r="A2054">
        <v>1557786</v>
      </c>
      <c r="B2054" t="s">
        <v>18</v>
      </c>
      <c r="C2054" t="s">
        <v>59</v>
      </c>
      <c r="D2054" t="s">
        <v>1242</v>
      </c>
      <c r="E2054" t="s">
        <v>1975</v>
      </c>
      <c r="F2054" t="s">
        <v>22</v>
      </c>
      <c r="G2054" t="s">
        <v>23</v>
      </c>
      <c r="H2054" t="s">
        <v>1816</v>
      </c>
      <c r="I2054" t="s">
        <v>25</v>
      </c>
      <c r="J2054" s="2">
        <v>45822.323564814818</v>
      </c>
      <c r="K2054">
        <v>14</v>
      </c>
      <c r="L2054">
        <v>6</v>
      </c>
      <c r="M2054">
        <v>2025</v>
      </c>
      <c r="N2054" t="s">
        <v>27</v>
      </c>
      <c r="O2054">
        <v>350</v>
      </c>
      <c r="P2054">
        <v>350</v>
      </c>
      <c r="R2054" s="3" t="str">
        <f>HYPERLINK("https://panda.att.com.mx/ODKServer/view/binaryData?blobKey=FSSuministroFluidosv3%5B%40version%3Dnull+and+%40uiVersion%3Dnull%5D%2Fdata%5B%40key%3Duuid%3Aef0179fb-2194-4b54-9f36-fb8a0c77de66%5D%2FgroupInfoFuel%5B%40ordinal%3D1%5D%2FpicFuelRecibeInterno","Descargar")</f>
        <v>Descargar</v>
      </c>
    </row>
    <row r="2055" spans="1:18" x14ac:dyDescent="0.3">
      <c r="A2055">
        <v>1557764</v>
      </c>
      <c r="B2055" t="s">
        <v>18</v>
      </c>
      <c r="C2055" t="s">
        <v>28</v>
      </c>
      <c r="D2055" t="s">
        <v>66</v>
      </c>
      <c r="E2055" t="s">
        <v>146</v>
      </c>
      <c r="F2055" t="s">
        <v>22</v>
      </c>
      <c r="G2055" t="s">
        <v>23</v>
      </c>
      <c r="H2055" t="s">
        <v>24</v>
      </c>
      <c r="I2055" t="s">
        <v>25</v>
      </c>
      <c r="J2055" s="2">
        <v>45820.590115740742</v>
      </c>
      <c r="K2055">
        <v>12</v>
      </c>
      <c r="L2055">
        <v>6</v>
      </c>
      <c r="M2055">
        <v>2025</v>
      </c>
      <c r="N2055" t="s">
        <v>27</v>
      </c>
      <c r="O2055">
        <v>150</v>
      </c>
      <c r="P2055">
        <v>150</v>
      </c>
      <c r="R2055" s="3" t="str">
        <f>HYPERLINK("https://panda.att.com.mx/ODKServer/view/binaryData?blobKey=FSSuministroFluidosv3%5B%40version%3Dnull+and+%40uiVersion%3Dnull%5D%2Fdata%5B%40key%3Duuid%3A9337075f-d71d-43e6-b26f-0269073112eb%5D%2FgroupInfoFuel%5B%40ordinal%3D1%5D%2FpicFuelRecibeInterno","Descargar")</f>
        <v>Descargar</v>
      </c>
    </row>
    <row r="2056" spans="1:18" x14ac:dyDescent="0.3">
      <c r="A2056">
        <v>1557760</v>
      </c>
      <c r="B2056" t="s">
        <v>18</v>
      </c>
      <c r="C2056" t="s">
        <v>59</v>
      </c>
      <c r="D2056" t="s">
        <v>60</v>
      </c>
      <c r="E2056" t="s">
        <v>1921</v>
      </c>
      <c r="F2056" t="s">
        <v>22</v>
      </c>
      <c r="G2056" t="s">
        <v>47</v>
      </c>
      <c r="H2056" t="s">
        <v>37</v>
      </c>
      <c r="I2056" t="s">
        <v>25</v>
      </c>
      <c r="J2056" s="2">
        <v>45822.457199074073</v>
      </c>
      <c r="K2056">
        <v>14</v>
      </c>
      <c r="L2056">
        <v>6</v>
      </c>
      <c r="M2056">
        <v>2025</v>
      </c>
      <c r="N2056" t="s">
        <v>27</v>
      </c>
      <c r="O2056">
        <v>25.4</v>
      </c>
      <c r="P2056">
        <v>25.4</v>
      </c>
      <c r="R2056" s="3" t="str">
        <f>HYPERLINK("https://panda.att.com.mx/ODKServer/view/binaryData?blobKey=FSSuministroFluidosv3%5B%40version%3Dnull+and+%40uiVersion%3Dnull%5D%2Fdata%5B%40key%3Duuid%3Ab9c478c2-a9ed-4f50-8107-e6381d9e5ace%5D%2FgroupInfoFuel%5B%40ordinal%3D1%5D%2FpicFuelRecibeInterno","Descargar")</f>
        <v>Descargar</v>
      </c>
    </row>
    <row r="2057" spans="1:18" x14ac:dyDescent="0.3">
      <c r="A2057">
        <v>1557738</v>
      </c>
      <c r="B2057" t="s">
        <v>18</v>
      </c>
      <c r="C2057" t="s">
        <v>59</v>
      </c>
      <c r="D2057" t="s">
        <v>60</v>
      </c>
      <c r="E2057" t="s">
        <v>1976</v>
      </c>
      <c r="F2057" t="s">
        <v>22</v>
      </c>
      <c r="G2057" t="s">
        <v>47</v>
      </c>
      <c r="H2057" t="s">
        <v>37</v>
      </c>
      <c r="I2057" t="s">
        <v>25</v>
      </c>
      <c r="J2057" s="2">
        <v>45822.414675925917</v>
      </c>
      <c r="K2057">
        <v>14</v>
      </c>
      <c r="L2057">
        <v>6</v>
      </c>
      <c r="M2057">
        <v>2025</v>
      </c>
      <c r="N2057" t="s">
        <v>27</v>
      </c>
      <c r="O2057">
        <v>100.6</v>
      </c>
      <c r="P2057">
        <v>100.6</v>
      </c>
      <c r="R2057" s="3" t="str">
        <f>HYPERLINK("https://panda.att.com.mx/ODKServer/view/binaryData?blobKey=FSSuministroFluidosv3%5B%40version%3Dnull+and+%40uiVersion%3Dnull%5D%2Fdata%5B%40key%3Duuid%3A07239946-aa08-4052-ab48-184706ede25b%5D%2FgroupInfoFuel%5B%40ordinal%3D1%5D%2FpicFuelRecibeInterno","Descargar")</f>
        <v>Descargar</v>
      </c>
    </row>
    <row r="2058" spans="1:18" x14ac:dyDescent="0.3">
      <c r="A2058">
        <v>1557723</v>
      </c>
      <c r="B2058" t="s">
        <v>18</v>
      </c>
      <c r="C2058" t="s">
        <v>19</v>
      </c>
      <c r="D2058" t="s">
        <v>45</v>
      </c>
      <c r="E2058" t="s">
        <v>752</v>
      </c>
      <c r="F2058" t="s">
        <v>22</v>
      </c>
      <c r="G2058" t="s">
        <v>23</v>
      </c>
      <c r="H2058" t="s">
        <v>24</v>
      </c>
      <c r="I2058" t="s">
        <v>25</v>
      </c>
      <c r="J2058" s="2">
        <v>45819.350393518522</v>
      </c>
      <c r="K2058">
        <v>11</v>
      </c>
      <c r="L2058">
        <v>6</v>
      </c>
      <c r="M2058">
        <v>2025</v>
      </c>
      <c r="N2058" t="s">
        <v>27</v>
      </c>
      <c r="O2058">
        <v>300</v>
      </c>
      <c r="P2058">
        <v>300</v>
      </c>
      <c r="R2058" s="3" t="str">
        <f>HYPERLINK("https://panda.att.com.mx/ODKServer/view/binaryData?blobKey=FSSuministroFluidosv3%5B%40version%3Dnull+and+%40uiVersion%3Dnull%5D%2Fdata%5B%40key%3Duuid%3Ac1f0eb30-237e-4ab3-ad9b-f18085a66aca%5D%2FgroupInfoFuel%5B%40ordinal%3D1%5D%2FpicFuelRecibeInterno","Descargar")</f>
        <v>Descargar</v>
      </c>
    </row>
    <row r="2059" spans="1:18" x14ac:dyDescent="0.3">
      <c r="A2059">
        <v>1557722</v>
      </c>
      <c r="B2059" t="s">
        <v>18</v>
      </c>
      <c r="C2059" t="s">
        <v>34</v>
      </c>
      <c r="D2059" t="s">
        <v>51</v>
      </c>
      <c r="E2059" t="s">
        <v>631</v>
      </c>
      <c r="F2059" t="s">
        <v>22</v>
      </c>
      <c r="G2059" t="s">
        <v>23</v>
      </c>
      <c r="H2059" t="s">
        <v>24</v>
      </c>
      <c r="I2059" t="s">
        <v>25</v>
      </c>
      <c r="J2059" s="2">
        <v>45821.767210648148</v>
      </c>
      <c r="K2059">
        <v>13</v>
      </c>
      <c r="L2059">
        <v>6</v>
      </c>
      <c r="M2059">
        <v>2025</v>
      </c>
      <c r="N2059" t="s">
        <v>27</v>
      </c>
      <c r="O2059">
        <v>350</v>
      </c>
      <c r="P2059">
        <v>350</v>
      </c>
      <c r="R2059" s="3" t="str">
        <f>HYPERLINK("https://panda.att.com.mx/ODKServer/view/binaryData?blobKey=FSSuministroFluidosv3%5B%40version%3Dnull+and+%40uiVersion%3Dnull%5D%2Fdata%5B%40key%3Duuid%3Aaf2dd434-6458-405e-9399-4faeb4be6b53%5D%2FgroupInfoFuel%5B%40ordinal%3D1%5D%2FpicFuelRecibeInterno","Descargar")</f>
        <v>Descargar</v>
      </c>
    </row>
    <row r="2060" spans="1:18" x14ac:dyDescent="0.3">
      <c r="A2060">
        <v>1557719</v>
      </c>
      <c r="B2060" t="s">
        <v>18</v>
      </c>
      <c r="C2060" t="s">
        <v>150</v>
      </c>
      <c r="D2060" t="s">
        <v>230</v>
      </c>
      <c r="E2060" t="s">
        <v>1510</v>
      </c>
      <c r="F2060" t="s">
        <v>22</v>
      </c>
      <c r="G2060" t="s">
        <v>23</v>
      </c>
      <c r="H2060" t="s">
        <v>58</v>
      </c>
      <c r="I2060" t="s">
        <v>25</v>
      </c>
      <c r="J2060" s="2">
        <v>45822.356932870367</v>
      </c>
      <c r="K2060">
        <v>14</v>
      </c>
      <c r="L2060">
        <v>6</v>
      </c>
      <c r="M2060">
        <v>2025</v>
      </c>
      <c r="N2060" t="s">
        <v>27</v>
      </c>
      <c r="O2060">
        <v>300</v>
      </c>
      <c r="P2060">
        <v>300</v>
      </c>
      <c r="R2060" s="3" t="str">
        <f>HYPERLINK("https://panda.att.com.mx/ODKServer/view/binaryData?blobKey=FSSuministroFluidosv3%5B%40version%3Dnull+and+%40uiVersion%3Dnull%5D%2Fdata%5B%40key%3Duuid%3Afbd9f767-d8bd-4820-9a80-40b9d2577fdd%5D%2FgroupInfoFuel%5B%40ordinal%3D1%5D%2FpicFuelRecibeInterno","Descargar")</f>
        <v>Descargar</v>
      </c>
    </row>
    <row r="2061" spans="1:18" x14ac:dyDescent="0.3">
      <c r="A2061">
        <v>1557715</v>
      </c>
      <c r="B2061" t="s">
        <v>18</v>
      </c>
      <c r="C2061" t="s">
        <v>68</v>
      </c>
      <c r="D2061" t="s">
        <v>258</v>
      </c>
      <c r="E2061" t="s">
        <v>1593</v>
      </c>
      <c r="F2061" t="s">
        <v>22</v>
      </c>
      <c r="G2061" t="s">
        <v>23</v>
      </c>
      <c r="H2061" t="s">
        <v>37</v>
      </c>
      <c r="I2061" t="s">
        <v>25</v>
      </c>
      <c r="J2061" s="2">
        <v>45822.349259259259</v>
      </c>
      <c r="K2061">
        <v>14</v>
      </c>
      <c r="L2061">
        <v>6</v>
      </c>
      <c r="M2061">
        <v>2025</v>
      </c>
      <c r="N2061" t="s">
        <v>27</v>
      </c>
      <c r="O2061">
        <v>300</v>
      </c>
      <c r="P2061">
        <v>300</v>
      </c>
      <c r="R2061" s="3" t="str">
        <f>HYPERLINK("https://panda.att.com.mx/ODKServer/view/binaryData?blobKey=FSSuministroFluidosv3%5B%40version%3Dnull+and+%40uiVersion%3Dnull%5D%2Fdata%5B%40key%3Duuid%3A0ac1ef5d-e4de-49ab-8611-4e285f6407cc%5D%2FgroupInfoFuel%5B%40ordinal%3D1%5D%2FpicFuelRecibeInterno","Descargar")</f>
        <v>Descargar</v>
      </c>
    </row>
    <row r="2062" spans="1:18" x14ac:dyDescent="0.3">
      <c r="A2062">
        <v>1557713</v>
      </c>
      <c r="B2062" t="s">
        <v>18</v>
      </c>
      <c r="C2062" t="s">
        <v>55</v>
      </c>
      <c r="D2062" t="s">
        <v>288</v>
      </c>
      <c r="E2062" t="s">
        <v>1977</v>
      </c>
      <c r="F2062" t="s">
        <v>22</v>
      </c>
      <c r="G2062" t="s">
        <v>23</v>
      </c>
      <c r="H2062" t="s">
        <v>58</v>
      </c>
      <c r="I2062" t="s">
        <v>25</v>
      </c>
      <c r="J2062" s="2">
        <v>45821.711122685178</v>
      </c>
      <c r="K2062">
        <v>13</v>
      </c>
      <c r="L2062">
        <v>6</v>
      </c>
      <c r="M2062">
        <v>2025</v>
      </c>
      <c r="N2062" t="s">
        <v>27</v>
      </c>
      <c r="O2062">
        <v>250</v>
      </c>
      <c r="P2062">
        <v>250</v>
      </c>
      <c r="R2062" s="3" t="str">
        <f>HYPERLINK("https://panda.att.com.mx/ODKServer/view/binaryData?blobKey=FSSuministroFluidosv3%5B%40version%3Dnull+and+%40uiVersion%3Dnull%5D%2Fdata%5B%40key%3Duuid%3A0de256bc-5fa9-4e8c-b7f4-66f47ae350ce%5D%2FgroupInfoFuel%5B%40ordinal%3D1%5D%2FpicFuelRecibeInterno","Descargar")</f>
        <v>Descargar</v>
      </c>
    </row>
    <row r="2063" spans="1:18" x14ac:dyDescent="0.3">
      <c r="A2063">
        <v>1557707</v>
      </c>
      <c r="B2063" t="s">
        <v>18</v>
      </c>
      <c r="C2063" t="s">
        <v>55</v>
      </c>
      <c r="D2063" t="s">
        <v>288</v>
      </c>
      <c r="E2063" t="s">
        <v>1978</v>
      </c>
      <c r="F2063" t="s">
        <v>22</v>
      </c>
      <c r="G2063" t="s">
        <v>23</v>
      </c>
      <c r="H2063" t="s">
        <v>58</v>
      </c>
      <c r="I2063" t="s">
        <v>25</v>
      </c>
      <c r="J2063" s="2">
        <v>45821.87972222222</v>
      </c>
      <c r="K2063">
        <v>13</v>
      </c>
      <c r="L2063">
        <v>6</v>
      </c>
      <c r="M2063">
        <v>2025</v>
      </c>
      <c r="N2063" t="s">
        <v>27</v>
      </c>
      <c r="O2063">
        <v>150</v>
      </c>
      <c r="P2063">
        <v>150</v>
      </c>
      <c r="R2063" s="3" t="str">
        <f>HYPERLINK("https://panda.att.com.mx/ODKServer/view/binaryData?blobKey=FSSuministroFluidosv3%5B%40version%3Dnull+and+%40uiVersion%3Dnull%5D%2Fdata%5B%40key%3Duuid%3A8d61e55e-68a1-4c1e-af6f-6046ecaa5478%5D%2FgroupInfoFuel%5B%40ordinal%3D1%5D%2FpicFuelRecibeInterno","Descargar")</f>
        <v>Descargar</v>
      </c>
    </row>
    <row r="2064" spans="1:18" x14ac:dyDescent="0.3">
      <c r="A2064">
        <v>1557704</v>
      </c>
      <c r="B2064" t="s">
        <v>18</v>
      </c>
      <c r="C2064" t="s">
        <v>34</v>
      </c>
      <c r="D2064" t="s">
        <v>53</v>
      </c>
      <c r="E2064" t="s">
        <v>1979</v>
      </c>
      <c r="F2064" t="s">
        <v>22</v>
      </c>
      <c r="G2064" t="s">
        <v>1980</v>
      </c>
      <c r="H2064" t="s">
        <v>37</v>
      </c>
      <c r="I2064" t="s">
        <v>25</v>
      </c>
      <c r="J2064" s="2">
        <v>45822.273587962962</v>
      </c>
      <c r="K2064">
        <v>14</v>
      </c>
      <c r="L2064">
        <v>6</v>
      </c>
      <c r="M2064">
        <v>2025</v>
      </c>
      <c r="N2064" t="s">
        <v>27</v>
      </c>
      <c r="O2064">
        <v>300</v>
      </c>
      <c r="P2064">
        <v>300</v>
      </c>
      <c r="R2064" s="3" t="str">
        <f>HYPERLINK("https://panda.att.com.mx/ODKServer/view/binaryData?blobKey=FSSuministroFluidosv3%5B%40version%3Dnull+and+%40uiVersion%3Dnull%5D%2Fdata%5B%40key%3Duuid%3Ab4c632e8-2c87-41c7-afd6-8c39ae9ef8b0%5D%2FgroupInfoFuel%5B%40ordinal%3D1%5D%2FpicFuelRecibeInterno","Descargar")</f>
        <v>Descargar</v>
      </c>
    </row>
    <row r="2065" spans="1:18" x14ac:dyDescent="0.3">
      <c r="A2065">
        <v>1557703</v>
      </c>
      <c r="B2065" t="s">
        <v>18</v>
      </c>
      <c r="C2065" t="s">
        <v>34</v>
      </c>
      <c r="D2065" t="s">
        <v>292</v>
      </c>
      <c r="E2065" t="s">
        <v>1981</v>
      </c>
      <c r="F2065" t="s">
        <v>22</v>
      </c>
      <c r="G2065" t="s">
        <v>23</v>
      </c>
      <c r="H2065" t="s">
        <v>37</v>
      </c>
      <c r="I2065" t="s">
        <v>25</v>
      </c>
      <c r="J2065" s="2">
        <v>45822.264155092591</v>
      </c>
      <c r="K2065">
        <v>14</v>
      </c>
      <c r="L2065">
        <v>6</v>
      </c>
      <c r="M2065">
        <v>2025</v>
      </c>
      <c r="N2065" t="s">
        <v>27</v>
      </c>
      <c r="O2065">
        <v>150</v>
      </c>
      <c r="P2065">
        <v>150</v>
      </c>
      <c r="R2065" s="3" t="str">
        <f>HYPERLINK("https://panda.att.com.mx/ODKServer/view/binaryData?blobKey=FSSuministroFluidosv3%5B%40version%3Dnull+and+%40uiVersion%3Dnull%5D%2Fdata%5B%40key%3Duuid%3A37f282f8-66cf-413d-b114-119f215cde81%5D%2FgroupInfoFuel%5B%40ordinal%3D1%5D%2FpicFuelRecibeInterno","Descargar")</f>
        <v>Descargar</v>
      </c>
    </row>
    <row r="2066" spans="1:18" x14ac:dyDescent="0.3">
      <c r="A2066">
        <v>1557702</v>
      </c>
      <c r="B2066" t="s">
        <v>18</v>
      </c>
      <c r="C2066" t="s">
        <v>34</v>
      </c>
      <c r="D2066" t="s">
        <v>1851</v>
      </c>
      <c r="E2066" t="s">
        <v>1982</v>
      </c>
      <c r="F2066" t="s">
        <v>22</v>
      </c>
      <c r="G2066" t="s">
        <v>23</v>
      </c>
      <c r="H2066" t="s">
        <v>37</v>
      </c>
      <c r="I2066" t="s">
        <v>25</v>
      </c>
      <c r="J2066" s="2">
        <v>45822.253981481481</v>
      </c>
      <c r="K2066">
        <v>14</v>
      </c>
      <c r="L2066">
        <v>6</v>
      </c>
      <c r="M2066">
        <v>2025</v>
      </c>
      <c r="N2066" t="s">
        <v>27</v>
      </c>
      <c r="O2066">
        <v>200</v>
      </c>
      <c r="P2066">
        <v>200</v>
      </c>
      <c r="R2066" s="3" t="str">
        <f>HYPERLINK("https://panda.att.com.mx/ODKServer/view/binaryData?blobKey=FSSuministroFluidosv3%5B%40version%3Dnull+and+%40uiVersion%3Dnull%5D%2Fdata%5B%40key%3Duuid%3A0bf9c973-5b02-42b9-a927-06a686f05ff3%5D%2FgroupInfoFuel%5B%40ordinal%3D1%5D%2FpicFuelRecibeInterno","Descargar")</f>
        <v>Descargar</v>
      </c>
    </row>
    <row r="2067" spans="1:18" x14ac:dyDescent="0.3">
      <c r="A2067">
        <v>1557672</v>
      </c>
      <c r="B2067" t="s">
        <v>18</v>
      </c>
      <c r="C2067" t="s">
        <v>19</v>
      </c>
      <c r="D2067" t="s">
        <v>62</v>
      </c>
      <c r="E2067" t="s">
        <v>1674</v>
      </c>
      <c r="F2067" t="s">
        <v>22</v>
      </c>
      <c r="G2067" t="s">
        <v>23</v>
      </c>
      <c r="H2067" t="s">
        <v>24</v>
      </c>
      <c r="I2067" t="s">
        <v>25</v>
      </c>
      <c r="J2067" s="2">
        <v>45821.933761574073</v>
      </c>
      <c r="K2067">
        <v>13</v>
      </c>
      <c r="L2067">
        <v>6</v>
      </c>
      <c r="M2067">
        <v>2025</v>
      </c>
      <c r="N2067" t="s">
        <v>44</v>
      </c>
      <c r="O2067">
        <v>40</v>
      </c>
      <c r="P2067">
        <v>40</v>
      </c>
      <c r="R2067" s="3" t="str">
        <f>HYPERLINK("https://panda.att.com.mx/ODKServer/view/binaryData?blobKey=FSSuministroFluidosv3%5B%40version%3Dnull+and+%40uiVersion%3Dnull%5D%2Fdata%5B%40key%3Duuid%3Aa2a43d05-8548-4695-9512-6713c78aeb92%5D%2FgroupInfoFuel%5B%40ordinal%3D1%5D%2FpicFuelRecibeInterno","Descargar")</f>
        <v>Descargar</v>
      </c>
    </row>
    <row r="2068" spans="1:18" x14ac:dyDescent="0.3">
      <c r="A2068">
        <v>1557656</v>
      </c>
      <c r="B2068" t="s">
        <v>18</v>
      </c>
      <c r="C2068" t="s">
        <v>34</v>
      </c>
      <c r="D2068" t="s">
        <v>51</v>
      </c>
      <c r="E2068" t="s">
        <v>1889</v>
      </c>
      <c r="F2068" t="s">
        <v>22</v>
      </c>
      <c r="G2068" t="s">
        <v>23</v>
      </c>
      <c r="H2068" t="s">
        <v>24</v>
      </c>
      <c r="I2068" t="s">
        <v>25</v>
      </c>
      <c r="J2068" s="2">
        <v>45821.249907407408</v>
      </c>
      <c r="K2068">
        <v>13</v>
      </c>
      <c r="L2068">
        <v>6</v>
      </c>
      <c r="M2068">
        <v>2025</v>
      </c>
      <c r="N2068" t="s">
        <v>27</v>
      </c>
      <c r="O2068">
        <v>100</v>
      </c>
      <c r="P2068">
        <v>100</v>
      </c>
      <c r="R2068" s="3" t="str">
        <f>HYPERLINK("https://panda.att.com.mx/ODKServer/view/binaryData?blobKey=FSSuministroFluidosv3%5B%40version%3Dnull+and+%40uiVersion%3Dnull%5D%2Fdata%5B%40key%3Duuid%3A5799c757-a1c8-4f56-bf9b-7c25381ea76c%5D%2FgroupInfoFuel%5B%40ordinal%3D1%5D%2FpicFuelRecibeInterno","Descargar")</f>
        <v>Descargar</v>
      </c>
    </row>
    <row r="2069" spans="1:18" x14ac:dyDescent="0.3">
      <c r="A2069">
        <v>1557636</v>
      </c>
      <c r="B2069" t="s">
        <v>18</v>
      </c>
      <c r="C2069" t="s">
        <v>55</v>
      </c>
      <c r="D2069" t="s">
        <v>1983</v>
      </c>
      <c r="E2069" t="s">
        <v>1984</v>
      </c>
      <c r="F2069" t="s">
        <v>22</v>
      </c>
      <c r="G2069" t="s">
        <v>23</v>
      </c>
      <c r="H2069" t="s">
        <v>58</v>
      </c>
      <c r="I2069" t="s">
        <v>25</v>
      </c>
      <c r="J2069" s="2">
        <v>45821.423854166656</v>
      </c>
      <c r="K2069">
        <v>13</v>
      </c>
      <c r="L2069">
        <v>6</v>
      </c>
      <c r="M2069">
        <v>2025</v>
      </c>
      <c r="N2069" t="s">
        <v>27</v>
      </c>
      <c r="O2069">
        <v>250</v>
      </c>
      <c r="P2069">
        <v>250</v>
      </c>
      <c r="R2069" s="3" t="str">
        <f>HYPERLINK("https://panda.att.com.mx/ODKServer/view/binaryData?blobKey=FSSuministroFluidosv3%5B%40version%3Dnull+and+%40uiVersion%3Dnull%5D%2Fdata%5B%40key%3Duuid%3Aef6f338b-3bec-4c67-a39f-25e63912c45f%5D%2FgroupInfoFuel%5B%40ordinal%3D1%5D%2FpicFuelRecibeInterno","Descargar")</f>
        <v>Descargar</v>
      </c>
    </row>
    <row r="2070" spans="1:18" x14ac:dyDescent="0.3">
      <c r="A2070">
        <v>1557629</v>
      </c>
      <c r="B2070" t="s">
        <v>18</v>
      </c>
      <c r="C2070" t="s">
        <v>34</v>
      </c>
      <c r="D2070" t="s">
        <v>53</v>
      </c>
      <c r="E2070" t="s">
        <v>1771</v>
      </c>
      <c r="F2070" t="s">
        <v>22</v>
      </c>
      <c r="G2070" t="s">
        <v>23</v>
      </c>
      <c r="H2070" t="s">
        <v>37</v>
      </c>
      <c r="I2070" t="s">
        <v>25</v>
      </c>
      <c r="J2070" s="2">
        <v>45821.846435185187</v>
      </c>
      <c r="K2070">
        <v>13</v>
      </c>
      <c r="L2070">
        <v>6</v>
      </c>
      <c r="M2070">
        <v>2025</v>
      </c>
      <c r="N2070" t="s">
        <v>27</v>
      </c>
      <c r="O2070">
        <v>350</v>
      </c>
      <c r="P2070">
        <v>350</v>
      </c>
      <c r="R2070" s="3" t="str">
        <f>HYPERLINK("https://panda.att.com.mx/ODKServer/view/binaryData?blobKey=FSSuministroFluidosv3%5B%40version%3Dnull+and+%40uiVersion%3Dnull%5D%2Fdata%5B%40key%3Duuid%3A367ac9d4-5132-4151-8e1b-2f0ab23c66df%5D%2FgroupInfoFuel%5B%40ordinal%3D1%5D%2FpicFuelRecibeInterno","Descargar")</f>
        <v>Descargar</v>
      </c>
    </row>
    <row r="2071" spans="1:18" x14ac:dyDescent="0.3">
      <c r="A2071">
        <v>1557625</v>
      </c>
      <c r="B2071" t="s">
        <v>18</v>
      </c>
      <c r="C2071" t="s">
        <v>34</v>
      </c>
      <c r="D2071" t="s">
        <v>53</v>
      </c>
      <c r="E2071" t="s">
        <v>1935</v>
      </c>
      <c r="F2071" t="s">
        <v>22</v>
      </c>
      <c r="G2071" t="s">
        <v>23</v>
      </c>
      <c r="H2071" t="s">
        <v>37</v>
      </c>
      <c r="I2071" t="s">
        <v>25</v>
      </c>
      <c r="J2071" s="2">
        <v>45821.839270833327</v>
      </c>
      <c r="K2071">
        <v>13</v>
      </c>
      <c r="L2071">
        <v>6</v>
      </c>
      <c r="M2071">
        <v>2025</v>
      </c>
      <c r="N2071" t="s">
        <v>27</v>
      </c>
      <c r="O2071">
        <v>200</v>
      </c>
      <c r="P2071">
        <v>200</v>
      </c>
      <c r="R2071" s="3" t="str">
        <f>HYPERLINK("https://panda.att.com.mx/ODKServer/view/binaryData?blobKey=FSSuministroFluidosv3%5B%40version%3Dnull+and+%40uiVersion%3Dnull%5D%2Fdata%5B%40key%3Duuid%3A2a9ed91b-f12e-44ef-b399-16dece59cbad%5D%2FgroupInfoFuel%5B%40ordinal%3D1%5D%2FpicFuelRecibeInterno","Descargar")</f>
        <v>Descargar</v>
      </c>
    </row>
    <row r="2072" spans="1:18" x14ac:dyDescent="0.3">
      <c r="A2072">
        <v>1557621</v>
      </c>
      <c r="B2072" t="s">
        <v>18</v>
      </c>
      <c r="C2072" t="s">
        <v>55</v>
      </c>
      <c r="D2072" t="s">
        <v>288</v>
      </c>
      <c r="E2072" t="s">
        <v>1985</v>
      </c>
      <c r="F2072" t="s">
        <v>22</v>
      </c>
      <c r="G2072" t="s">
        <v>23</v>
      </c>
      <c r="H2072" t="s">
        <v>58</v>
      </c>
      <c r="I2072" t="s">
        <v>25</v>
      </c>
      <c r="J2072" s="2">
        <v>45821.826168981483</v>
      </c>
      <c r="K2072">
        <v>13</v>
      </c>
      <c r="L2072">
        <v>6</v>
      </c>
      <c r="M2072">
        <v>2025</v>
      </c>
      <c r="N2072" t="s">
        <v>27</v>
      </c>
      <c r="O2072">
        <v>100</v>
      </c>
      <c r="P2072">
        <v>100</v>
      </c>
      <c r="R2072" s="3" t="str">
        <f>HYPERLINK("https://panda.att.com.mx/ODKServer/view/binaryData?blobKey=FSSuministroFluidosv3%5B%40version%3Dnull+and+%40uiVersion%3Dnull%5D%2Fdata%5B%40key%3Duuid%3Ab10fb6ab-1876-4dfd-969d-f720ab13cd1b%5D%2FgroupInfoFuel%5B%40ordinal%3D1%5D%2FpicFuelRecibeInterno","Descargar")</f>
        <v>Descargar</v>
      </c>
    </row>
    <row r="2073" spans="1:18" x14ac:dyDescent="0.3">
      <c r="A2073">
        <v>1557620</v>
      </c>
      <c r="B2073" t="s">
        <v>18</v>
      </c>
      <c r="C2073" t="s">
        <v>34</v>
      </c>
      <c r="D2073" t="s">
        <v>121</v>
      </c>
      <c r="E2073" t="s">
        <v>1561</v>
      </c>
      <c r="F2073" t="s">
        <v>22</v>
      </c>
      <c r="G2073" t="s">
        <v>23</v>
      </c>
      <c r="H2073" t="s">
        <v>37</v>
      </c>
      <c r="I2073" t="s">
        <v>25</v>
      </c>
      <c r="J2073" s="2">
        <v>45821.744270833333</v>
      </c>
      <c r="K2073">
        <v>13</v>
      </c>
      <c r="L2073">
        <v>6</v>
      </c>
      <c r="M2073">
        <v>2025</v>
      </c>
      <c r="N2073" t="s">
        <v>44</v>
      </c>
      <c r="O2073">
        <v>60</v>
      </c>
      <c r="P2073">
        <v>60</v>
      </c>
      <c r="R2073" s="3" t="str">
        <f>HYPERLINK("https://panda.att.com.mx/ODKServer/view/binaryData?blobKey=FSSuministroFluidosv3%5B%40version%3Dnull+and+%40uiVersion%3Dnull%5D%2Fdata%5B%40key%3Duuid%3A7166f6c6-4ec3-4066-8419-448d55d3b93c%5D%2FgroupInfoFuel%5B%40ordinal%3D1%5D%2FpicFuelRecibeInterno","Descargar")</f>
        <v>Descargar</v>
      </c>
    </row>
    <row r="2074" spans="1:18" x14ac:dyDescent="0.3">
      <c r="A2074">
        <v>1557617</v>
      </c>
      <c r="B2074" t="s">
        <v>18</v>
      </c>
      <c r="C2074" t="s">
        <v>150</v>
      </c>
      <c r="D2074" t="s">
        <v>230</v>
      </c>
      <c r="E2074" t="s">
        <v>1986</v>
      </c>
      <c r="F2074" t="s">
        <v>22</v>
      </c>
      <c r="G2074" t="s">
        <v>23</v>
      </c>
      <c r="H2074" t="s">
        <v>58</v>
      </c>
      <c r="I2074" t="s">
        <v>25</v>
      </c>
      <c r="J2074" s="2">
        <v>45821.834409722222</v>
      </c>
      <c r="K2074">
        <v>13</v>
      </c>
      <c r="L2074">
        <v>6</v>
      </c>
      <c r="M2074">
        <v>2025</v>
      </c>
      <c r="N2074" t="s">
        <v>27</v>
      </c>
      <c r="O2074">
        <v>290</v>
      </c>
      <c r="P2074">
        <v>290</v>
      </c>
      <c r="R2074" s="3" t="str">
        <f>HYPERLINK("https://panda.att.com.mx/ODKServer/view/binaryData?blobKey=FSSuministroFluidosv3%5B%40version%3Dnull+and+%40uiVersion%3Dnull%5D%2Fdata%5B%40key%3Duuid%3Aedf810e1-3c5d-4595-87cc-8e4eb765b65d%5D%2FgroupInfoFuel%5B%40ordinal%3D1%5D%2FpicFuelRecibeInterno","Descargar")</f>
        <v>Descargar</v>
      </c>
    </row>
    <row r="2075" spans="1:18" x14ac:dyDescent="0.3">
      <c r="A2075">
        <v>1557550</v>
      </c>
      <c r="B2075" t="s">
        <v>18</v>
      </c>
      <c r="C2075" t="s">
        <v>55</v>
      </c>
      <c r="D2075" t="s">
        <v>210</v>
      </c>
      <c r="E2075" t="s">
        <v>1987</v>
      </c>
      <c r="F2075" t="s">
        <v>22</v>
      </c>
      <c r="G2075" t="s">
        <v>23</v>
      </c>
      <c r="H2075" t="s">
        <v>58</v>
      </c>
      <c r="I2075" t="s">
        <v>25</v>
      </c>
      <c r="J2075" s="2">
        <v>45821.567256944443</v>
      </c>
      <c r="K2075">
        <v>13</v>
      </c>
      <c r="L2075">
        <v>6</v>
      </c>
      <c r="M2075">
        <v>2025</v>
      </c>
      <c r="N2075" t="s">
        <v>27</v>
      </c>
      <c r="O2075">
        <v>100</v>
      </c>
      <c r="P2075">
        <v>100</v>
      </c>
      <c r="R2075" s="3" t="str">
        <f>HYPERLINK("https://panda.att.com.mx/ODKServer/view/binaryData?blobKey=FSSuministroFluidosv3%5B%40version%3Dnull+and+%40uiVersion%3Dnull%5D%2Fdata%5B%40key%3Duuid%3Aa42fef65-deca-423a-bbda-7596c563586b%5D%2FgroupInfoFuel%5B%40ordinal%3D1%5D%2FpicFuelRecibeInterno","Descargar")</f>
        <v>Descargar</v>
      </c>
    </row>
    <row r="2076" spans="1:18" x14ac:dyDescent="0.3">
      <c r="A2076">
        <v>1557549</v>
      </c>
      <c r="B2076" t="s">
        <v>18</v>
      </c>
      <c r="C2076" t="s">
        <v>55</v>
      </c>
      <c r="D2076" t="s">
        <v>210</v>
      </c>
      <c r="E2076" t="s">
        <v>1988</v>
      </c>
      <c r="F2076" t="s">
        <v>22</v>
      </c>
      <c r="G2076" t="s">
        <v>23</v>
      </c>
      <c r="H2076" t="s">
        <v>58</v>
      </c>
      <c r="I2076" t="s">
        <v>25</v>
      </c>
      <c r="J2076" s="2">
        <v>45821.543773148151</v>
      </c>
      <c r="K2076">
        <v>13</v>
      </c>
      <c r="L2076">
        <v>6</v>
      </c>
      <c r="M2076">
        <v>2025</v>
      </c>
      <c r="N2076" t="s">
        <v>27</v>
      </c>
      <c r="O2076">
        <v>100</v>
      </c>
      <c r="P2076">
        <v>100</v>
      </c>
      <c r="R2076" s="3" t="str">
        <f>HYPERLINK("https://panda.att.com.mx/ODKServer/view/binaryData?blobKey=FSSuministroFluidosv3%5B%40version%3Dnull+and+%40uiVersion%3Dnull%5D%2Fdata%5B%40key%3Duuid%3A000d70ea-eea8-4153-bfc0-9fc549903969%5D%2FgroupInfoFuel%5B%40ordinal%3D1%5D%2FpicFuelRecibeInterno","Descargar")</f>
        <v>Descargar</v>
      </c>
    </row>
    <row r="2077" spans="1:18" x14ac:dyDescent="0.3">
      <c r="A2077">
        <v>1556540</v>
      </c>
      <c r="B2077" t="s">
        <v>18</v>
      </c>
      <c r="C2077" t="s">
        <v>55</v>
      </c>
      <c r="D2077" t="s">
        <v>128</v>
      </c>
      <c r="E2077" t="s">
        <v>1989</v>
      </c>
      <c r="F2077" t="s">
        <v>22</v>
      </c>
      <c r="G2077" t="s">
        <v>23</v>
      </c>
      <c r="H2077" t="s">
        <v>58</v>
      </c>
      <c r="I2077" t="s">
        <v>25</v>
      </c>
      <c r="J2077" s="2">
        <v>45820.511261574073</v>
      </c>
      <c r="K2077">
        <v>12</v>
      </c>
      <c r="L2077">
        <v>6</v>
      </c>
      <c r="M2077">
        <v>2025</v>
      </c>
      <c r="N2077" t="s">
        <v>44</v>
      </c>
      <c r="O2077">
        <v>100</v>
      </c>
      <c r="P2077">
        <v>100</v>
      </c>
      <c r="R2077" s="3" t="str">
        <f>HYPERLINK("https://panda.att.com.mx/ODKServer/view/binaryData?blobKey=FSSuministroFluidosv3%5B%40version%3Dnull+and+%40uiVersion%3Dnull%5D%2Fdata%5B%40key%3Duuid%3Acb4c2362-bafc-49d4-a3ea-7cd95ae674b9%5D%2FgroupInfoFuel%5B%40ordinal%3D1%5D%2FpicFuelRecibeInterno","Descargar")</f>
        <v>Descargar</v>
      </c>
    </row>
    <row r="2078" spans="1:18" x14ac:dyDescent="0.3">
      <c r="A2078">
        <v>1556520</v>
      </c>
      <c r="B2078" t="s">
        <v>18</v>
      </c>
      <c r="C2078" t="s">
        <v>55</v>
      </c>
      <c r="D2078" t="s">
        <v>64</v>
      </c>
      <c r="E2078" t="s">
        <v>1098</v>
      </c>
      <c r="F2078" t="s">
        <v>22</v>
      </c>
      <c r="G2078" t="s">
        <v>23</v>
      </c>
      <c r="H2078" t="s">
        <v>58</v>
      </c>
      <c r="I2078" t="s">
        <v>25</v>
      </c>
      <c r="J2078" s="2">
        <v>45820.373935185176</v>
      </c>
      <c r="K2078">
        <v>12</v>
      </c>
      <c r="L2078">
        <v>6</v>
      </c>
      <c r="M2078">
        <v>2025</v>
      </c>
      <c r="N2078" t="s">
        <v>27</v>
      </c>
      <c r="O2078">
        <v>500</v>
      </c>
      <c r="Q2078">
        <v>500</v>
      </c>
      <c r="R2078" s="3" t="str">
        <f>HYPERLINK("https://panda.att.com.mx/ODKServer/view/binaryData?blobKey=FSSuministroFluidosv3%5B%40version%3Dnull+and+%40uiVersion%3Dnull%5D%2Fdata%5B%40key%3Duuid%3A40789b32-010f-4bb9-b7dd-4eedaf5d9c26%5D%2FgroupInfoFuel%5B%40ordinal%3D1%5D%2FpicFuelRecibeInterno","Descargar")</f>
        <v>Descargar</v>
      </c>
    </row>
    <row r="2079" spans="1:18" x14ac:dyDescent="0.3">
      <c r="A2079">
        <v>1556519</v>
      </c>
      <c r="B2079" t="s">
        <v>18</v>
      </c>
      <c r="C2079" t="s">
        <v>55</v>
      </c>
      <c r="D2079" t="s">
        <v>64</v>
      </c>
      <c r="E2079" t="s">
        <v>1990</v>
      </c>
      <c r="F2079" t="s">
        <v>22</v>
      </c>
      <c r="G2079" t="s">
        <v>23</v>
      </c>
      <c r="H2079" t="s">
        <v>58</v>
      </c>
      <c r="I2079" t="s">
        <v>25</v>
      </c>
      <c r="J2079" s="2">
        <v>45820.291689814818</v>
      </c>
      <c r="K2079">
        <v>12</v>
      </c>
      <c r="L2079">
        <v>6</v>
      </c>
      <c r="M2079">
        <v>2025</v>
      </c>
      <c r="N2079" t="s">
        <v>27</v>
      </c>
      <c r="O2079">
        <v>150</v>
      </c>
      <c r="Q2079">
        <v>150</v>
      </c>
      <c r="R2079" s="3" t="str">
        <f>HYPERLINK("https://panda.att.com.mx/ODKServer/view/binaryData?blobKey=FSSuministroFluidosv3%5B%40version%3Dnull+and+%40uiVersion%3Dnull%5D%2Fdata%5B%40key%3Duuid%3A572ecc8c-5ad8-4842-ad18-b58cc17d630d%5D%2FgroupInfoFuel%5B%40ordinal%3D1%5D%2FpicFuelRecibeInterno","Descargar")</f>
        <v>Descargar</v>
      </c>
    </row>
    <row r="2080" spans="1:18" x14ac:dyDescent="0.3">
      <c r="A2080">
        <v>1556509</v>
      </c>
      <c r="B2080" t="s">
        <v>18</v>
      </c>
      <c r="C2080" t="s">
        <v>28</v>
      </c>
      <c r="D2080" t="s">
        <v>1054</v>
      </c>
      <c r="E2080" t="s">
        <v>1991</v>
      </c>
      <c r="F2080" t="s">
        <v>22</v>
      </c>
      <c r="G2080" t="s">
        <v>23</v>
      </c>
      <c r="H2080" t="s">
        <v>24</v>
      </c>
      <c r="I2080" t="s">
        <v>25</v>
      </c>
      <c r="J2080" t="s">
        <v>1992</v>
      </c>
      <c r="K2080">
        <v>27</v>
      </c>
      <c r="L2080">
        <v>1</v>
      </c>
      <c r="M2080">
        <v>2025</v>
      </c>
      <c r="N2080" t="s">
        <v>27</v>
      </c>
      <c r="O2080">
        <v>500</v>
      </c>
      <c r="P2080">
        <v>500</v>
      </c>
      <c r="R2080" s="3" t="str">
        <f>HYPERLINK("https://panda.att.com.mx/ODKServer/view/binaryData?blobKey=FSSuministroFluidosv3%5B%40version%3Dnull+and+%40uiVersion%3Dnull%5D%2Fdata%5B%40key%3Duuid%3A6fda5584-0264-4e8a-8c02-fd6ded02c50b%5D%2FgroupInfoFuel%5B%40ordinal%3D1%5D%2FpicFuelRecibeInterno","Descargar")</f>
        <v>Descargar</v>
      </c>
    </row>
    <row r="2081" spans="1:18" x14ac:dyDescent="0.3">
      <c r="A2081">
        <v>1556472</v>
      </c>
      <c r="B2081" t="s">
        <v>18</v>
      </c>
      <c r="C2081" t="s">
        <v>19</v>
      </c>
      <c r="D2081" t="s">
        <v>20</v>
      </c>
      <c r="E2081" t="s">
        <v>143</v>
      </c>
      <c r="F2081" t="s">
        <v>22</v>
      </c>
      <c r="G2081" t="s">
        <v>23</v>
      </c>
      <c r="H2081" t="s">
        <v>24</v>
      </c>
      <c r="I2081" t="s">
        <v>25</v>
      </c>
      <c r="J2081" s="2">
        <v>45818.771597222221</v>
      </c>
      <c r="K2081">
        <v>10</v>
      </c>
      <c r="L2081">
        <v>6</v>
      </c>
      <c r="M2081">
        <v>2025</v>
      </c>
      <c r="N2081" t="s">
        <v>27</v>
      </c>
      <c r="O2081">
        <v>150</v>
      </c>
      <c r="P2081">
        <v>150</v>
      </c>
      <c r="R2081" s="3" t="str">
        <f>HYPERLINK("https://panda.att.com.mx/ODKServer/view/binaryData?blobKey=FSSuministroFluidosv3%5B%40version%3Dnull+and+%40uiVersion%3Dnull%5D%2Fdata%5B%40key%3Duuid%3Ac8f9c012-c4d4-4314-a8ca-fcb749a8667e%5D%2FgroupInfoFuel%5B%40ordinal%3D1%5D%2FpicFuelRecibeInterno","Descargar")</f>
        <v>Descargar</v>
      </c>
    </row>
    <row r="2082" spans="1:18" x14ac:dyDescent="0.3">
      <c r="A2082">
        <v>1556471</v>
      </c>
      <c r="B2082" t="s">
        <v>18</v>
      </c>
      <c r="C2082" t="s">
        <v>19</v>
      </c>
      <c r="D2082" t="s">
        <v>20</v>
      </c>
      <c r="E2082" t="s">
        <v>143</v>
      </c>
      <c r="F2082" t="s">
        <v>22</v>
      </c>
      <c r="G2082" t="s">
        <v>23</v>
      </c>
      <c r="H2082" t="s">
        <v>24</v>
      </c>
      <c r="I2082" t="s">
        <v>25</v>
      </c>
      <c r="J2082" s="2">
        <v>45817.467685185176</v>
      </c>
      <c r="K2082">
        <v>9</v>
      </c>
      <c r="L2082">
        <v>6</v>
      </c>
      <c r="M2082">
        <v>2025</v>
      </c>
      <c r="N2082" t="s">
        <v>27</v>
      </c>
      <c r="O2082">
        <v>150</v>
      </c>
      <c r="P2082">
        <v>150</v>
      </c>
      <c r="R2082" s="3" t="str">
        <f>HYPERLINK("https://panda.att.com.mx/ODKServer/view/binaryData?blobKey=FSSuministroFluidosv3%5B%40version%3Dnull+and+%40uiVersion%3Dnull%5D%2Fdata%5B%40key%3Duuid%3A7e0118df-ee98-47c8-a2ba-54e92e8b9429%5D%2FgroupInfoFuel%5B%40ordinal%3D1%5D%2FpicFuelRecibeInterno","Descargar")</f>
        <v>Descargar</v>
      </c>
    </row>
    <row r="2083" spans="1:18" x14ac:dyDescent="0.3">
      <c r="A2083">
        <v>1556362</v>
      </c>
      <c r="B2083" t="s">
        <v>18</v>
      </c>
      <c r="C2083" t="s">
        <v>55</v>
      </c>
      <c r="D2083" t="s">
        <v>56</v>
      </c>
      <c r="E2083" t="s">
        <v>1993</v>
      </c>
      <c r="F2083" t="s">
        <v>22</v>
      </c>
      <c r="G2083" t="s">
        <v>23</v>
      </c>
      <c r="H2083" t="s">
        <v>58</v>
      </c>
      <c r="I2083" t="s">
        <v>25</v>
      </c>
      <c r="J2083" s="2">
        <v>45818.94902777778</v>
      </c>
      <c r="K2083">
        <v>10</v>
      </c>
      <c r="L2083">
        <v>6</v>
      </c>
      <c r="M2083">
        <v>2025</v>
      </c>
      <c r="N2083" t="s">
        <v>27</v>
      </c>
      <c r="O2083">
        <v>150</v>
      </c>
      <c r="P2083">
        <v>150</v>
      </c>
      <c r="R2083" s="3" t="str">
        <f>HYPERLINK("https://panda.att.com.mx/ODKServer/view/binaryData?blobKey=FSSuministroFluidosv3%5B%40version%3Dnull+and+%40uiVersion%3Dnull%5D%2Fdata%5B%40key%3Duuid%3Af2e43d44-6f60-4369-8b10-4306ae60272f%5D%2FgroupInfoFuel%5B%40ordinal%3D1%5D%2FpicFuelRecibeInterno","Descargar")</f>
        <v>Descargar</v>
      </c>
    </row>
    <row r="2084" spans="1:18" x14ac:dyDescent="0.3">
      <c r="A2084">
        <v>1556354</v>
      </c>
      <c r="B2084" t="s">
        <v>18</v>
      </c>
      <c r="C2084" t="s">
        <v>55</v>
      </c>
      <c r="D2084" t="s">
        <v>128</v>
      </c>
      <c r="E2084" t="s">
        <v>1994</v>
      </c>
      <c r="F2084" t="s">
        <v>22</v>
      </c>
      <c r="G2084" t="s">
        <v>23</v>
      </c>
      <c r="H2084" t="s">
        <v>58</v>
      </c>
      <c r="I2084" t="s">
        <v>25</v>
      </c>
      <c r="J2084" s="2">
        <v>45820.392939814818</v>
      </c>
      <c r="K2084">
        <v>12</v>
      </c>
      <c r="L2084">
        <v>6</v>
      </c>
      <c r="M2084">
        <v>2025</v>
      </c>
      <c r="N2084" t="s">
        <v>27</v>
      </c>
      <c r="O2084">
        <v>350</v>
      </c>
      <c r="P2084">
        <v>350</v>
      </c>
      <c r="R2084" s="3" t="str">
        <f>HYPERLINK("https://panda.att.com.mx/ODKServer/view/binaryData?blobKey=FSSuministroFluidosv3%5B%40version%3Dnull+and+%40uiVersion%3Dnull%5D%2Fdata%5B%40key%3Duuid%3A66bb7096-9cf5-4fa4-9109-cac4fb080967%5D%2FgroupInfoFuel%5B%40ordinal%3D1%5D%2FpicFuelRecibeInterno","Descargar")</f>
        <v>Descargar</v>
      </c>
    </row>
    <row r="2085" spans="1:18" x14ac:dyDescent="0.3">
      <c r="A2085">
        <v>1556308</v>
      </c>
      <c r="B2085" t="s">
        <v>18</v>
      </c>
      <c r="C2085" t="s">
        <v>55</v>
      </c>
      <c r="D2085" t="s">
        <v>56</v>
      </c>
      <c r="E2085" t="s">
        <v>1730</v>
      </c>
      <c r="F2085" t="s">
        <v>22</v>
      </c>
      <c r="G2085" t="s">
        <v>23</v>
      </c>
      <c r="H2085" t="s">
        <v>1763</v>
      </c>
      <c r="I2085" t="s">
        <v>25</v>
      </c>
      <c r="J2085" s="2">
        <v>45807.536747685182</v>
      </c>
      <c r="K2085">
        <v>30</v>
      </c>
      <c r="L2085">
        <v>5</v>
      </c>
      <c r="M2085">
        <v>2025</v>
      </c>
      <c r="N2085" t="s">
        <v>27</v>
      </c>
      <c r="O2085">
        <v>179</v>
      </c>
      <c r="P2085">
        <v>179</v>
      </c>
      <c r="R2085" s="3" t="str">
        <f>HYPERLINK("https://panda.att.com.mx/ODKServer/view/binaryData?blobKey=FSSuministroFluidosv3%5B%40version%3Dnull+and+%40uiVersion%3Dnull%5D%2Fdata%5B%40key%3Duuid%3A9c3deffc-e051-4740-bf0e-ecf86a9d1c25%5D%2FgroupInfoFuel%5B%40ordinal%3D1%5D%2FpicFuelRecibeInterno","Descargar")</f>
        <v>Descargar</v>
      </c>
    </row>
    <row r="2086" spans="1:18" x14ac:dyDescent="0.3">
      <c r="A2086">
        <v>1556299</v>
      </c>
      <c r="B2086" t="s">
        <v>18</v>
      </c>
      <c r="C2086" t="s">
        <v>59</v>
      </c>
      <c r="D2086" t="s">
        <v>60</v>
      </c>
      <c r="E2086" t="s">
        <v>1995</v>
      </c>
      <c r="F2086" t="s">
        <v>22</v>
      </c>
      <c r="G2086" t="s">
        <v>23</v>
      </c>
      <c r="H2086" t="s">
        <v>1816</v>
      </c>
      <c r="I2086" t="s">
        <v>25</v>
      </c>
      <c r="J2086" s="2">
        <v>45804.793217592603</v>
      </c>
      <c r="K2086">
        <v>27</v>
      </c>
      <c r="L2086">
        <v>5</v>
      </c>
      <c r="M2086">
        <v>2025</v>
      </c>
      <c r="N2086" t="s">
        <v>27</v>
      </c>
      <c r="O2086">
        <v>303.60000000000002</v>
      </c>
      <c r="Q2086">
        <v>303.60000000000002</v>
      </c>
      <c r="R2086" s="3" t="str">
        <f>HYPERLINK("https://panda.att.com.mx/ODKServer/view/binaryData?blobKey=FSSuministroFluidosv3%5B%40version%3Dnull+and+%40uiVersion%3Dnull%5D%2Fdata%5B%40key%3Duuid%3A940c1b0e-a40a-4e82-9719-ec5c61d1dcef%5D%2FgroupInfoFuel%5B%40ordinal%3D1%5D%2FpicFuelRecibeInterno","Descargar")</f>
        <v>Descargar</v>
      </c>
    </row>
    <row r="2087" spans="1:18" x14ac:dyDescent="0.3">
      <c r="A2087">
        <v>1556278</v>
      </c>
      <c r="B2087" t="s">
        <v>18</v>
      </c>
      <c r="C2087" t="s">
        <v>19</v>
      </c>
      <c r="D2087" t="s">
        <v>175</v>
      </c>
      <c r="E2087" t="s">
        <v>263</v>
      </c>
      <c r="F2087" t="s">
        <v>22</v>
      </c>
      <c r="G2087" t="s">
        <v>23</v>
      </c>
      <c r="H2087" t="s">
        <v>24</v>
      </c>
      <c r="I2087" t="s">
        <v>25</v>
      </c>
      <c r="J2087" s="2">
        <v>45818.997893518521</v>
      </c>
      <c r="K2087">
        <v>10</v>
      </c>
      <c r="L2087">
        <v>6</v>
      </c>
      <c r="M2087">
        <v>2025</v>
      </c>
      <c r="N2087" t="s">
        <v>44</v>
      </c>
      <c r="O2087">
        <v>40</v>
      </c>
      <c r="P2087">
        <v>40</v>
      </c>
      <c r="R2087" s="3" t="str">
        <f>HYPERLINK("https://panda.att.com.mx/ODKServer/view/binaryData?blobKey=FSSuministroFluidosv3%5B%40version%3Dnull+and+%40uiVersion%3Dnull%5D%2Fdata%5B%40key%3Duuid%3A1a0637f1-785e-4822-950c-1c077fc938da%5D%2FgroupInfoFuel%5B%40ordinal%3D1%5D%2FpicFuelRecibeInterno","Descargar")</f>
        <v>Descargar</v>
      </c>
    </row>
    <row r="2088" spans="1:18" x14ac:dyDescent="0.3">
      <c r="A2088">
        <v>1556212</v>
      </c>
      <c r="B2088" t="s">
        <v>18</v>
      </c>
      <c r="C2088" t="s">
        <v>19</v>
      </c>
      <c r="D2088" t="s">
        <v>170</v>
      </c>
      <c r="E2088" t="s">
        <v>171</v>
      </c>
      <c r="F2088" t="s">
        <v>22</v>
      </c>
      <c r="G2088" t="s">
        <v>23</v>
      </c>
      <c r="H2088" t="s">
        <v>24</v>
      </c>
      <c r="I2088" t="s">
        <v>25</v>
      </c>
      <c r="J2088" s="2">
        <v>45816.616620370369</v>
      </c>
      <c r="K2088">
        <v>8</v>
      </c>
      <c r="L2088">
        <v>6</v>
      </c>
      <c r="M2088">
        <v>2025</v>
      </c>
      <c r="N2088" t="s">
        <v>27</v>
      </c>
      <c r="O2088">
        <v>400</v>
      </c>
      <c r="P2088">
        <v>400</v>
      </c>
      <c r="R2088" s="3" t="str">
        <f>HYPERLINK("https://panda.att.com.mx/ODKServer/view/binaryData?blobKey=FSSuministroFluidosv3%5B%40version%3Dnull+and+%40uiVersion%3Dnull%5D%2Fdata%5B%40key%3Duuid%3A82513eea-b803-43e8-ad61-3f69f97a7af0%5D%2FgroupInfoFuel%5B%40ordinal%3D1%5D%2FpicFuelRecibeInterno","Descargar")</f>
        <v>Descargar</v>
      </c>
    </row>
    <row r="2089" spans="1:18" x14ac:dyDescent="0.3">
      <c r="A2089">
        <v>1556211</v>
      </c>
      <c r="B2089" t="s">
        <v>18</v>
      </c>
      <c r="C2089" t="s">
        <v>19</v>
      </c>
      <c r="D2089" t="s">
        <v>170</v>
      </c>
      <c r="E2089" t="s">
        <v>376</v>
      </c>
      <c r="F2089" t="s">
        <v>22</v>
      </c>
      <c r="G2089" t="s">
        <v>23</v>
      </c>
      <c r="H2089" t="s">
        <v>24</v>
      </c>
      <c r="I2089" t="s">
        <v>25</v>
      </c>
      <c r="J2089" s="2">
        <v>45817.610150462962</v>
      </c>
      <c r="K2089">
        <v>9</v>
      </c>
      <c r="L2089">
        <v>6</v>
      </c>
      <c r="M2089">
        <v>2025</v>
      </c>
      <c r="N2089" t="s">
        <v>27</v>
      </c>
      <c r="O2089">
        <v>150</v>
      </c>
      <c r="P2089">
        <v>150</v>
      </c>
      <c r="R2089" s="3" t="str">
        <f>HYPERLINK("https://panda.att.com.mx/ODKServer/view/binaryData?blobKey=FSSuministroFluidosv3%5B%40version%3Dnull+and+%40uiVersion%3Dnull%5D%2Fdata%5B%40key%3Duuid%3A85a2a55e-1cc0-411d-bf23-89a1639be26e%5D%2FgroupInfoFuel%5B%40ordinal%3D1%5D%2FpicFuelRecibeInterno","Descargar")</f>
        <v>Descargar</v>
      </c>
    </row>
    <row r="2090" spans="1:18" x14ac:dyDescent="0.3">
      <c r="A2090">
        <v>1556205</v>
      </c>
      <c r="B2090" t="s">
        <v>18</v>
      </c>
      <c r="C2090" t="s">
        <v>59</v>
      </c>
      <c r="D2090" t="s">
        <v>60</v>
      </c>
      <c r="E2090" t="s">
        <v>1996</v>
      </c>
      <c r="F2090" t="s">
        <v>22</v>
      </c>
      <c r="G2090" t="s">
        <v>23</v>
      </c>
      <c r="H2090" t="s">
        <v>37</v>
      </c>
      <c r="I2090" t="s">
        <v>25</v>
      </c>
      <c r="J2090" s="2">
        <v>45812.645775462966</v>
      </c>
      <c r="K2090">
        <v>4</v>
      </c>
      <c r="L2090">
        <v>6</v>
      </c>
      <c r="M2090">
        <v>2025</v>
      </c>
      <c r="N2090" t="s">
        <v>27</v>
      </c>
      <c r="O2090">
        <v>170</v>
      </c>
      <c r="P2090">
        <v>170</v>
      </c>
      <c r="R2090" s="3" t="str">
        <f>HYPERLINK("https://panda.att.com.mx/ODKServer/view/binaryData?blobKey=FSSuministroFluidosv3%5B%40version%3Dnull+and+%40uiVersion%3Dnull%5D%2Fdata%5B%40key%3Duuid%3A4a031872-33b2-4de5-9e11-42232ad35909%5D%2FgroupInfoFuel%5B%40ordinal%3D1%5D%2FpicFuelRecibeInterno","Descargar")</f>
        <v>Descargar</v>
      </c>
    </row>
    <row r="2091" spans="1:18" x14ac:dyDescent="0.3">
      <c r="A2091">
        <v>1556204</v>
      </c>
      <c r="B2091" t="s">
        <v>18</v>
      </c>
      <c r="C2091" t="s">
        <v>167</v>
      </c>
      <c r="D2091" t="s">
        <v>268</v>
      </c>
      <c r="E2091" t="s">
        <v>1997</v>
      </c>
      <c r="F2091" t="s">
        <v>22</v>
      </c>
      <c r="G2091" t="s">
        <v>47</v>
      </c>
      <c r="H2091" t="s">
        <v>58</v>
      </c>
      <c r="I2091" t="s">
        <v>25</v>
      </c>
      <c r="J2091" s="2">
        <v>45819.349895833337</v>
      </c>
      <c r="K2091">
        <v>11</v>
      </c>
      <c r="L2091">
        <v>6</v>
      </c>
      <c r="M2091">
        <v>2025</v>
      </c>
      <c r="N2091" t="s">
        <v>27</v>
      </c>
      <c r="O2091">
        <v>600</v>
      </c>
      <c r="P2091">
        <v>600</v>
      </c>
      <c r="R2091" s="3" t="str">
        <f>HYPERLINK("https://panda.att.com.mx/ODKServer/view/binaryData?blobKey=FSSuministroFluidosv3%5B%40version%3Dnull+and+%40uiVersion%3Dnull%5D%2Fdata%5B%40key%3Duuid%3A72fa86b7-52bd-41c3-b6a1-9a9923232c38%5D%2FgroupInfoFuel%5B%40ordinal%3D1%5D%2FpicFuelRecibeInterno","Descargar")</f>
        <v>Descargar</v>
      </c>
    </row>
    <row r="2092" spans="1:18" x14ac:dyDescent="0.3">
      <c r="A2092">
        <v>1556200</v>
      </c>
      <c r="B2092" t="s">
        <v>18</v>
      </c>
      <c r="C2092" t="s">
        <v>34</v>
      </c>
      <c r="D2092" t="s">
        <v>53</v>
      </c>
      <c r="E2092" t="s">
        <v>144</v>
      </c>
      <c r="F2092" t="s">
        <v>22</v>
      </c>
      <c r="G2092" t="s">
        <v>23</v>
      </c>
      <c r="H2092" t="s">
        <v>37</v>
      </c>
      <c r="I2092" t="s">
        <v>25</v>
      </c>
      <c r="J2092" s="2">
        <v>45819.849942129629</v>
      </c>
      <c r="K2092">
        <v>11</v>
      </c>
      <c r="L2092">
        <v>6</v>
      </c>
      <c r="M2092">
        <v>2025</v>
      </c>
      <c r="N2092" t="s">
        <v>27</v>
      </c>
      <c r="O2092">
        <v>350</v>
      </c>
      <c r="P2092">
        <v>350</v>
      </c>
      <c r="R2092" s="3" t="str">
        <f>HYPERLINK("https://panda.att.com.mx/ODKServer/view/binaryData?blobKey=FSSuministroFluidosv3%5B%40version%3Dnull+and+%40uiVersion%3Dnull%5D%2Fdata%5B%40key%3Duuid%3Aa63401b7-308c-4ccb-817d-c028f0be8eef%5D%2FgroupInfoFuel%5B%40ordinal%3D1%5D%2FpicFuelRecibeInterno","Descargar")</f>
        <v>Descargar</v>
      </c>
    </row>
    <row r="2093" spans="1:18" x14ac:dyDescent="0.3">
      <c r="A2093">
        <v>1556195</v>
      </c>
      <c r="B2093" t="s">
        <v>18</v>
      </c>
      <c r="C2093" t="s">
        <v>19</v>
      </c>
      <c r="D2093" t="s">
        <v>170</v>
      </c>
      <c r="E2093" t="s">
        <v>609</v>
      </c>
      <c r="F2093" t="s">
        <v>22</v>
      </c>
      <c r="G2093" t="s">
        <v>23</v>
      </c>
      <c r="H2093" t="s">
        <v>24</v>
      </c>
      <c r="I2093" t="s">
        <v>25</v>
      </c>
      <c r="J2093" s="2">
        <v>45819.644120370373</v>
      </c>
      <c r="K2093">
        <v>11</v>
      </c>
      <c r="L2093">
        <v>6</v>
      </c>
      <c r="M2093">
        <v>2025</v>
      </c>
      <c r="N2093" t="s">
        <v>27</v>
      </c>
      <c r="O2093">
        <v>100</v>
      </c>
      <c r="P2093">
        <v>100</v>
      </c>
      <c r="R2093" s="3" t="str">
        <f>HYPERLINK("https://panda.att.com.mx/ODKServer/view/binaryData?blobKey=FSSuministroFluidosv3%5B%40version%3Dnull+and+%40uiVersion%3Dnull%5D%2Fdata%5B%40key%3Duuid%3A954d1255-22fb-4be5-be53-e2e0669a9c6f%5D%2FgroupInfoFuel%5B%40ordinal%3D1%5D%2FpicFuelRecibeInterno","Descargar")</f>
        <v>Descargar</v>
      </c>
    </row>
    <row r="2094" spans="1:18" x14ac:dyDescent="0.3">
      <c r="A2094">
        <v>1556194</v>
      </c>
      <c r="B2094" t="s">
        <v>18</v>
      </c>
      <c r="C2094" t="s">
        <v>19</v>
      </c>
      <c r="D2094" t="s">
        <v>170</v>
      </c>
      <c r="E2094" t="s">
        <v>376</v>
      </c>
      <c r="F2094" t="s">
        <v>22</v>
      </c>
      <c r="G2094" t="s">
        <v>23</v>
      </c>
      <c r="H2094" t="s">
        <v>24</v>
      </c>
      <c r="I2094" t="s">
        <v>25</v>
      </c>
      <c r="J2094" s="2">
        <v>45814.567361111112</v>
      </c>
      <c r="K2094">
        <v>6</v>
      </c>
      <c r="L2094">
        <v>6</v>
      </c>
      <c r="M2094">
        <v>2025</v>
      </c>
      <c r="N2094" t="s">
        <v>27</v>
      </c>
      <c r="O2094">
        <v>300</v>
      </c>
      <c r="P2094">
        <v>300</v>
      </c>
      <c r="R2094" s="3" t="str">
        <f>HYPERLINK("https://panda.att.com.mx/ODKServer/view/binaryData?blobKey=FSSuministroFluidosv3%5B%40version%3Dnull+and+%40uiVersion%3Dnull%5D%2Fdata%5B%40key%3Duuid%3Aa07a79c1-b1ef-4f25-93e5-770832d5d4dc%5D%2FgroupInfoFuel%5B%40ordinal%3D1%5D%2FpicFuelRecibeInterno","Descargar")</f>
        <v>Descargar</v>
      </c>
    </row>
    <row r="2095" spans="1:18" x14ac:dyDescent="0.3">
      <c r="A2095">
        <v>1556168</v>
      </c>
      <c r="B2095" t="s">
        <v>18</v>
      </c>
      <c r="C2095" t="s">
        <v>19</v>
      </c>
      <c r="D2095" t="s">
        <v>156</v>
      </c>
      <c r="E2095" t="s">
        <v>1579</v>
      </c>
      <c r="F2095" t="s">
        <v>22</v>
      </c>
      <c r="G2095" t="s">
        <v>23</v>
      </c>
      <c r="H2095" t="s">
        <v>24</v>
      </c>
      <c r="I2095" t="s">
        <v>25</v>
      </c>
      <c r="J2095" s="2">
        <v>45819.771458333344</v>
      </c>
      <c r="K2095">
        <v>11</v>
      </c>
      <c r="L2095">
        <v>6</v>
      </c>
      <c r="M2095">
        <v>2025</v>
      </c>
      <c r="N2095" t="s">
        <v>44</v>
      </c>
      <c r="O2095">
        <v>56</v>
      </c>
      <c r="P2095">
        <v>56</v>
      </c>
      <c r="R2095" s="3" t="str">
        <f>HYPERLINK("https://panda.att.com.mx/ODKServer/view/binaryData?blobKey=FSSuministroFluidosv3%5B%40version%3Dnull+and+%40uiVersion%3Dnull%5D%2Fdata%5B%40key%3Duuid%3A780f81d1-a1a0-44cb-9fda-826adc6074b2%5D%2FgroupInfoFuel%5B%40ordinal%3D1%5D%2FpicFuelRecibeInterno","Descargar")</f>
        <v>Descargar</v>
      </c>
    </row>
    <row r="2096" spans="1:18" x14ac:dyDescent="0.3">
      <c r="A2096">
        <v>1556157</v>
      </c>
      <c r="B2096" t="s">
        <v>18</v>
      </c>
      <c r="C2096" t="s">
        <v>59</v>
      </c>
      <c r="D2096" t="s">
        <v>446</v>
      </c>
      <c r="E2096" t="s">
        <v>447</v>
      </c>
      <c r="F2096" t="s">
        <v>22</v>
      </c>
      <c r="G2096" t="s">
        <v>23</v>
      </c>
      <c r="H2096" t="s">
        <v>37</v>
      </c>
      <c r="I2096" t="s">
        <v>25</v>
      </c>
      <c r="J2096" s="2">
        <v>45819.700879629629</v>
      </c>
      <c r="K2096">
        <v>11</v>
      </c>
      <c r="L2096">
        <v>6</v>
      </c>
      <c r="M2096">
        <v>2025</v>
      </c>
      <c r="N2096" t="s">
        <v>44</v>
      </c>
      <c r="O2096">
        <v>40</v>
      </c>
      <c r="P2096">
        <v>40</v>
      </c>
      <c r="R2096" s="3" t="str">
        <f>HYPERLINK("https://panda.att.com.mx/ODKServer/view/binaryData?blobKey=FSSuministroFluidosv3%5B%40version%3Dnull+and+%40uiVersion%3Dnull%5D%2Fdata%5B%40key%3Duuid%3Ac9e9fdf7-e7f6-4047-add8-e8b9c5677d2b%5D%2FgroupInfoFuel%5B%40ordinal%3D1%5D%2FpicFuelRecibeInterno","Descargar")</f>
        <v>Descargar</v>
      </c>
    </row>
    <row r="2097" spans="1:18" x14ac:dyDescent="0.3">
      <c r="A2097">
        <v>1556140</v>
      </c>
      <c r="B2097" t="s">
        <v>18</v>
      </c>
      <c r="C2097" t="s">
        <v>55</v>
      </c>
      <c r="D2097" t="s">
        <v>288</v>
      </c>
      <c r="E2097" t="s">
        <v>1998</v>
      </c>
      <c r="F2097" t="s">
        <v>22</v>
      </c>
      <c r="G2097" t="s">
        <v>23</v>
      </c>
      <c r="H2097" t="s">
        <v>58</v>
      </c>
      <c r="I2097" t="s">
        <v>25</v>
      </c>
      <c r="J2097" s="2">
        <v>45819.82539351852</v>
      </c>
      <c r="K2097">
        <v>11</v>
      </c>
      <c r="L2097">
        <v>6</v>
      </c>
      <c r="M2097">
        <v>2025</v>
      </c>
      <c r="N2097" t="s">
        <v>27</v>
      </c>
      <c r="O2097">
        <v>300</v>
      </c>
      <c r="P2097">
        <v>300</v>
      </c>
      <c r="R2097" s="3" t="str">
        <f>HYPERLINK("https://panda.att.com.mx/ODKServer/view/binaryData?blobKey=FSSuministroFluidosv3%5B%40version%3Dnull+and+%40uiVersion%3Dnull%5D%2Fdata%5B%40key%3Duuid%3A848bf719-bdb5-4236-ab60-791fedb26b07%5D%2FgroupInfoFuel%5B%40ordinal%3D1%5D%2FpicFuelRecibeInterno","Descargar")</f>
        <v>Descargar</v>
      </c>
    </row>
    <row r="2098" spans="1:18" x14ac:dyDescent="0.3">
      <c r="A2098">
        <v>1556132</v>
      </c>
      <c r="B2098" t="s">
        <v>18</v>
      </c>
      <c r="C2098" t="s">
        <v>55</v>
      </c>
      <c r="D2098" t="s">
        <v>288</v>
      </c>
      <c r="E2098" t="s">
        <v>1999</v>
      </c>
      <c r="F2098" t="s">
        <v>22</v>
      </c>
      <c r="G2098" t="s">
        <v>23</v>
      </c>
      <c r="H2098" t="s">
        <v>58</v>
      </c>
      <c r="I2098" t="s">
        <v>25</v>
      </c>
      <c r="J2098" s="2">
        <v>45819.81658564815</v>
      </c>
      <c r="K2098">
        <v>11</v>
      </c>
      <c r="L2098">
        <v>6</v>
      </c>
      <c r="M2098">
        <v>2025</v>
      </c>
      <c r="N2098" t="s">
        <v>27</v>
      </c>
      <c r="O2098">
        <v>500</v>
      </c>
      <c r="P2098">
        <v>500</v>
      </c>
      <c r="R2098" s="3" t="str">
        <f>HYPERLINK("https://panda.att.com.mx/ODKServer/view/binaryData?blobKey=FSSuministroFluidosv3%5B%40version%3Dnull+and+%40uiVersion%3Dnull%5D%2Fdata%5B%40key%3Duuid%3Ad4424595-d30d-4499-9331-6f2047d77720%5D%2FgroupInfoFuel%5B%40ordinal%3D1%5D%2FpicFuelRecibeInterno","Descargar")</f>
        <v>Descargar</v>
      </c>
    </row>
    <row r="2099" spans="1:18" x14ac:dyDescent="0.3">
      <c r="A2099">
        <v>1556102</v>
      </c>
      <c r="B2099" t="s">
        <v>18</v>
      </c>
      <c r="C2099" t="s">
        <v>55</v>
      </c>
      <c r="D2099" t="s">
        <v>128</v>
      </c>
      <c r="E2099" t="s">
        <v>2000</v>
      </c>
      <c r="F2099" t="s">
        <v>22</v>
      </c>
      <c r="G2099" t="s">
        <v>23</v>
      </c>
      <c r="H2099" t="s">
        <v>58</v>
      </c>
      <c r="I2099" t="s">
        <v>25</v>
      </c>
      <c r="J2099" s="2">
        <v>45819.815104166657</v>
      </c>
      <c r="K2099">
        <v>11</v>
      </c>
      <c r="L2099">
        <v>6</v>
      </c>
      <c r="M2099">
        <v>2025</v>
      </c>
      <c r="N2099" t="s">
        <v>27</v>
      </c>
      <c r="O2099">
        <v>200</v>
      </c>
      <c r="P2099">
        <v>200</v>
      </c>
      <c r="R2099" s="3" t="str">
        <f>HYPERLINK("https://panda.att.com.mx/ODKServer/view/binaryData?blobKey=FSSuministroFluidosv3%5B%40version%3Dnull+and+%40uiVersion%3Dnull%5D%2Fdata%5B%40key%3Duuid%3A955de65e-290c-467c-a541-17d2ead99268%5D%2FgroupInfoFuel%5B%40ordinal%3D1%5D%2FpicFuelRecibeInterno","Descargar")</f>
        <v>Descargar</v>
      </c>
    </row>
    <row r="2100" spans="1:18" x14ac:dyDescent="0.3">
      <c r="A2100">
        <v>1556064</v>
      </c>
      <c r="B2100" t="s">
        <v>18</v>
      </c>
      <c r="C2100" t="s">
        <v>183</v>
      </c>
      <c r="D2100" t="s">
        <v>688</v>
      </c>
      <c r="E2100" t="s">
        <v>689</v>
      </c>
      <c r="F2100" t="s">
        <v>22</v>
      </c>
      <c r="G2100" t="s">
        <v>23</v>
      </c>
      <c r="H2100" t="s">
        <v>37</v>
      </c>
      <c r="I2100" t="s">
        <v>25</v>
      </c>
      <c r="J2100" s="2">
        <v>45819.765520833331</v>
      </c>
      <c r="K2100">
        <v>11</v>
      </c>
      <c r="L2100">
        <v>6</v>
      </c>
      <c r="M2100">
        <v>2025</v>
      </c>
      <c r="N2100" t="s">
        <v>27</v>
      </c>
      <c r="O2100">
        <v>90</v>
      </c>
      <c r="P2100">
        <v>90</v>
      </c>
      <c r="R2100" s="3" t="str">
        <f>HYPERLINK("https://panda.att.com.mx/ODKServer/view/binaryData?blobKey=FSSuministroFluidosv3%5B%40version%3Dnull+and+%40uiVersion%3Dnull%5D%2Fdata%5B%40key%3Duuid%3A7e032f59-bbb6-4d55-9534-df2e9e0d3926%5D%2FgroupInfoFuel%5B%40ordinal%3D1%5D%2FpicFuelRecibeInterno","Descargar")</f>
        <v>Descargar</v>
      </c>
    </row>
    <row r="2101" spans="1:18" x14ac:dyDescent="0.3">
      <c r="A2101">
        <v>1556054</v>
      </c>
      <c r="B2101" t="s">
        <v>18</v>
      </c>
      <c r="C2101" t="s">
        <v>55</v>
      </c>
      <c r="D2101" t="s">
        <v>128</v>
      </c>
      <c r="E2101" t="s">
        <v>1948</v>
      </c>
      <c r="F2101" t="s">
        <v>22</v>
      </c>
      <c r="G2101" t="s">
        <v>23</v>
      </c>
      <c r="H2101" t="s">
        <v>58</v>
      </c>
      <c r="I2101" t="s">
        <v>25</v>
      </c>
      <c r="J2101" s="2">
        <v>45819.708877314813</v>
      </c>
      <c r="K2101">
        <v>11</v>
      </c>
      <c r="L2101">
        <v>6</v>
      </c>
      <c r="M2101">
        <v>2025</v>
      </c>
      <c r="N2101" t="s">
        <v>44</v>
      </c>
      <c r="O2101">
        <v>40</v>
      </c>
      <c r="P2101">
        <v>40</v>
      </c>
      <c r="R2101" s="3" t="str">
        <f>HYPERLINK("https://panda.att.com.mx/ODKServer/view/binaryData?blobKey=FSSuministroFluidosv3%5B%40version%3Dnull+and+%40uiVersion%3Dnull%5D%2Fdata%5B%40key%3Duuid%3A05b145fc-e271-4edc-b7c5-f9b0ba43becc%5D%2FgroupInfoFuel%5B%40ordinal%3D1%5D%2FpicFuelRecibeInterno","Descargar")</f>
        <v>Descargar</v>
      </c>
    </row>
    <row r="2102" spans="1:18" x14ac:dyDescent="0.3">
      <c r="A2102">
        <v>1556053</v>
      </c>
      <c r="B2102" t="s">
        <v>18</v>
      </c>
      <c r="C2102" t="s">
        <v>55</v>
      </c>
      <c r="D2102" t="s">
        <v>288</v>
      </c>
      <c r="E2102" t="s">
        <v>1169</v>
      </c>
      <c r="F2102" t="s">
        <v>22</v>
      </c>
      <c r="G2102" t="s">
        <v>23</v>
      </c>
      <c r="H2102" t="s">
        <v>58</v>
      </c>
      <c r="I2102" t="s">
        <v>25</v>
      </c>
      <c r="J2102" s="2">
        <v>45819.774918981479</v>
      </c>
      <c r="K2102">
        <v>11</v>
      </c>
      <c r="L2102">
        <v>6</v>
      </c>
      <c r="M2102">
        <v>2025</v>
      </c>
      <c r="N2102" t="s">
        <v>27</v>
      </c>
      <c r="O2102">
        <v>450</v>
      </c>
      <c r="P2102">
        <v>450</v>
      </c>
      <c r="R2102" s="3" t="str">
        <f>HYPERLINK("https://panda.att.com.mx/ODKServer/view/binaryData?blobKey=FSSuministroFluidosv3%5B%40version%3Dnull+and+%40uiVersion%3Dnull%5D%2Fdata%5B%40key%3Duuid%3A828a8e4c-b5cf-42b2-bcc1-604cca139641%5D%2FgroupInfoFuel%5B%40ordinal%3D1%5D%2FpicFuelRecibeInterno","Descargar")</f>
        <v>Descargar</v>
      </c>
    </row>
    <row r="2103" spans="1:18" x14ac:dyDescent="0.3">
      <c r="A2103">
        <v>1556048</v>
      </c>
      <c r="B2103" t="s">
        <v>18</v>
      </c>
      <c r="C2103" t="s">
        <v>55</v>
      </c>
      <c r="D2103" t="s">
        <v>64</v>
      </c>
      <c r="E2103" t="s">
        <v>2001</v>
      </c>
      <c r="F2103" t="s">
        <v>22</v>
      </c>
      <c r="G2103" t="s">
        <v>23</v>
      </c>
      <c r="H2103" t="s">
        <v>58</v>
      </c>
      <c r="I2103" t="s">
        <v>25</v>
      </c>
      <c r="J2103" s="2">
        <v>45819.671400462961</v>
      </c>
      <c r="K2103">
        <v>11</v>
      </c>
      <c r="L2103">
        <v>6</v>
      </c>
      <c r="M2103">
        <v>2025</v>
      </c>
      <c r="N2103" t="s">
        <v>27</v>
      </c>
      <c r="O2103">
        <v>300</v>
      </c>
      <c r="P2103">
        <v>300</v>
      </c>
      <c r="R2103" s="3" t="str">
        <f>HYPERLINK("https://panda.att.com.mx/ODKServer/view/binaryData?blobKey=FSSuministroFluidosv3%5B%40version%3Dnull+and+%40uiVersion%3Dnull%5D%2Fdata%5B%40key%3Duuid%3A9b56b36c-70d6-4856-889b-abdf11bf5cae%5D%2FgroupInfoFuel%5B%40ordinal%3D1%5D%2FpicFuelRecibeInterno","Descargar")</f>
        <v>Descargar</v>
      </c>
    </row>
    <row r="2104" spans="1:18" x14ac:dyDescent="0.3">
      <c r="A2104">
        <v>1556025</v>
      </c>
      <c r="B2104" t="s">
        <v>18</v>
      </c>
      <c r="C2104" t="s">
        <v>59</v>
      </c>
      <c r="D2104" t="s">
        <v>60</v>
      </c>
      <c r="E2104" t="s">
        <v>2002</v>
      </c>
      <c r="F2104" t="s">
        <v>22</v>
      </c>
      <c r="G2104" t="s">
        <v>23</v>
      </c>
      <c r="H2104" t="s">
        <v>37</v>
      </c>
      <c r="I2104" t="s">
        <v>25</v>
      </c>
      <c r="J2104" s="2">
        <v>45819.76902777778</v>
      </c>
      <c r="K2104">
        <v>11</v>
      </c>
      <c r="L2104">
        <v>6</v>
      </c>
      <c r="M2104">
        <v>2025</v>
      </c>
      <c r="N2104" t="s">
        <v>27</v>
      </c>
      <c r="O2104">
        <v>110</v>
      </c>
      <c r="P2104">
        <v>110</v>
      </c>
      <c r="R2104" s="3" t="str">
        <f>HYPERLINK("https://panda.att.com.mx/ODKServer/view/binaryData?blobKey=FSSuministroFluidosv3%5B%40version%3Dnull+and+%40uiVersion%3Dnull%5D%2Fdata%5B%40key%3Duuid%3A0bebdaee-7d59-4659-8b98-3de6ad08d111%5D%2FgroupInfoFuel%5B%40ordinal%3D1%5D%2FpicFuelRecibeInterno","Descargar")</f>
        <v>Descargar</v>
      </c>
    </row>
    <row r="2105" spans="1:18" x14ac:dyDescent="0.3">
      <c r="A2105">
        <v>1556021</v>
      </c>
      <c r="B2105" t="s">
        <v>18</v>
      </c>
      <c r="C2105" t="s">
        <v>55</v>
      </c>
      <c r="D2105" t="s">
        <v>288</v>
      </c>
      <c r="E2105" t="s">
        <v>2003</v>
      </c>
      <c r="F2105" t="s">
        <v>22</v>
      </c>
      <c r="G2105" t="s">
        <v>23</v>
      </c>
      <c r="H2105" t="s">
        <v>58</v>
      </c>
      <c r="I2105" t="s">
        <v>25</v>
      </c>
      <c r="J2105" s="2">
        <v>45819.697326388887</v>
      </c>
      <c r="K2105">
        <v>11</v>
      </c>
      <c r="L2105">
        <v>6</v>
      </c>
      <c r="M2105">
        <v>2025</v>
      </c>
      <c r="N2105" t="s">
        <v>44</v>
      </c>
      <c r="O2105">
        <v>30</v>
      </c>
      <c r="P2105">
        <v>30</v>
      </c>
      <c r="R2105" s="3" t="str">
        <f>HYPERLINK("https://panda.att.com.mx/ODKServer/view/binaryData?blobKey=FSSuministroFluidosv3%5B%40version%3Dnull+and+%40uiVersion%3Dnull%5D%2Fdata%5B%40key%3Duuid%3Adf84ce64-4cb2-4a0a-8b34-53f9eb6baa77%5D%2FgroupInfoFuel%5B%40ordinal%3D1%5D%2FpicFuelRecibeInterno","Descargar")</f>
        <v>Descargar</v>
      </c>
    </row>
    <row r="2106" spans="1:18" x14ac:dyDescent="0.3">
      <c r="A2106">
        <v>1556000</v>
      </c>
      <c r="B2106" t="s">
        <v>18</v>
      </c>
      <c r="C2106" t="s">
        <v>55</v>
      </c>
      <c r="D2106" t="s">
        <v>288</v>
      </c>
      <c r="E2106" t="s">
        <v>2004</v>
      </c>
      <c r="F2106" t="s">
        <v>22</v>
      </c>
      <c r="G2106" t="s">
        <v>23</v>
      </c>
      <c r="H2106" t="s">
        <v>58</v>
      </c>
      <c r="I2106" t="s">
        <v>25</v>
      </c>
      <c r="J2106" s="2">
        <v>45819.705000000002</v>
      </c>
      <c r="K2106">
        <v>11</v>
      </c>
      <c r="L2106">
        <v>6</v>
      </c>
      <c r="M2106">
        <v>2025</v>
      </c>
      <c r="N2106" t="s">
        <v>44</v>
      </c>
      <c r="O2106">
        <v>54</v>
      </c>
      <c r="P2106">
        <v>54</v>
      </c>
      <c r="R2106" s="3" t="str">
        <f>HYPERLINK("https://panda.att.com.mx/ODKServer/view/binaryData?blobKey=FSSuministroFluidosv3%5B%40version%3Dnull+and+%40uiVersion%3Dnull%5D%2Fdata%5B%40key%3Duuid%3Adf6723e9-d46f-4aa7-8e26-0886b926b49f%5D%2FgroupInfoFuel%5B%40ordinal%3D1%5D%2FpicFuelRecibeInterno","Descargar")</f>
        <v>Descargar</v>
      </c>
    </row>
    <row r="2107" spans="1:18" x14ac:dyDescent="0.3">
      <c r="A2107">
        <v>1555972</v>
      </c>
      <c r="B2107" t="s">
        <v>18</v>
      </c>
      <c r="C2107" t="s">
        <v>150</v>
      </c>
      <c r="D2107" t="s">
        <v>230</v>
      </c>
      <c r="E2107" t="s">
        <v>1510</v>
      </c>
      <c r="F2107" t="s">
        <v>22</v>
      </c>
      <c r="G2107" t="s">
        <v>23</v>
      </c>
      <c r="H2107" t="s">
        <v>58</v>
      </c>
      <c r="I2107" t="s">
        <v>25</v>
      </c>
      <c r="J2107" s="2">
        <v>45819.731759259259</v>
      </c>
      <c r="K2107">
        <v>11</v>
      </c>
      <c r="L2107">
        <v>6</v>
      </c>
      <c r="M2107">
        <v>2025</v>
      </c>
      <c r="N2107" t="s">
        <v>27</v>
      </c>
      <c r="O2107">
        <v>300</v>
      </c>
      <c r="P2107">
        <v>300</v>
      </c>
      <c r="R2107" s="3" t="str">
        <f>HYPERLINK("https://panda.att.com.mx/ODKServer/view/binaryData?blobKey=FSSuministroFluidosv3%5B%40version%3Dnull+and+%40uiVersion%3Dnull%5D%2Fdata%5B%40key%3Duuid%3A308648da-db69-416b-8064-b53d27c2f847%5D%2FgroupInfoFuel%5B%40ordinal%3D1%5D%2FpicFuelRecibeInterno","Descargar")</f>
        <v>Descargar</v>
      </c>
    </row>
    <row r="2108" spans="1:18" x14ac:dyDescent="0.3">
      <c r="A2108">
        <v>1555967</v>
      </c>
      <c r="B2108" t="s">
        <v>18</v>
      </c>
      <c r="C2108" t="s">
        <v>55</v>
      </c>
      <c r="D2108" t="s">
        <v>210</v>
      </c>
      <c r="E2108" t="s">
        <v>2005</v>
      </c>
      <c r="F2108" t="s">
        <v>22</v>
      </c>
      <c r="G2108" t="s">
        <v>23</v>
      </c>
      <c r="H2108" t="s">
        <v>58</v>
      </c>
      <c r="I2108" t="s">
        <v>25</v>
      </c>
      <c r="J2108" s="2">
        <v>45819.626863425918</v>
      </c>
      <c r="K2108">
        <v>11</v>
      </c>
      <c r="L2108">
        <v>6</v>
      </c>
      <c r="M2108">
        <v>2025</v>
      </c>
      <c r="N2108" t="s">
        <v>27</v>
      </c>
      <c r="O2108">
        <v>100</v>
      </c>
      <c r="P2108">
        <v>100</v>
      </c>
      <c r="R2108" s="3" t="str">
        <f>HYPERLINK("https://panda.att.com.mx/ODKServer/view/binaryData?blobKey=FSSuministroFluidosv3%5B%40version%3Dnull+and+%40uiVersion%3Dnull%5D%2Fdata%5B%40key%3Duuid%3Aa41bf13c-3ca5-4397-9940-9df7c4e2e68e%5D%2FgroupInfoFuel%5B%40ordinal%3D1%5D%2FpicFuelRecibeInterno","Descargar")</f>
        <v>Descargar</v>
      </c>
    </row>
    <row r="2109" spans="1:18" x14ac:dyDescent="0.3">
      <c r="A2109">
        <v>1555966</v>
      </c>
      <c r="B2109" t="s">
        <v>18</v>
      </c>
      <c r="C2109" t="s">
        <v>55</v>
      </c>
      <c r="D2109" t="s">
        <v>210</v>
      </c>
      <c r="E2109" t="s">
        <v>1100</v>
      </c>
      <c r="F2109" t="s">
        <v>22</v>
      </c>
      <c r="G2109" t="s">
        <v>23</v>
      </c>
      <c r="H2109" t="s">
        <v>58</v>
      </c>
      <c r="I2109" t="s">
        <v>25</v>
      </c>
      <c r="J2109" s="2">
        <v>45819.589814814812</v>
      </c>
      <c r="K2109">
        <v>11</v>
      </c>
      <c r="L2109">
        <v>6</v>
      </c>
      <c r="M2109">
        <v>2025</v>
      </c>
      <c r="N2109" t="s">
        <v>27</v>
      </c>
      <c r="O2109">
        <v>200</v>
      </c>
      <c r="P2109">
        <v>200</v>
      </c>
      <c r="R2109" s="3" t="str">
        <f>HYPERLINK("https://panda.att.com.mx/ODKServer/view/binaryData?blobKey=FSSuministroFluidosv3%5B%40version%3Dnull+and+%40uiVersion%3Dnull%5D%2Fdata%5B%40key%3Duuid%3A1b9d185a-a98d-4003-947b-8cf7edbb4979%5D%2FgroupInfoFuel%5B%40ordinal%3D1%5D%2FpicFuelRecibeInterno","Descargar")</f>
        <v>Descargar</v>
      </c>
    </row>
    <row r="2110" spans="1:18" x14ac:dyDescent="0.3">
      <c r="A2110">
        <v>1555842</v>
      </c>
      <c r="B2110" t="s">
        <v>18</v>
      </c>
      <c r="C2110" t="s">
        <v>55</v>
      </c>
      <c r="D2110" t="s">
        <v>128</v>
      </c>
      <c r="E2110" t="s">
        <v>2006</v>
      </c>
      <c r="F2110" t="s">
        <v>22</v>
      </c>
      <c r="G2110" t="s">
        <v>23</v>
      </c>
      <c r="H2110" t="s">
        <v>58</v>
      </c>
      <c r="I2110" t="s">
        <v>25</v>
      </c>
      <c r="J2110" s="2">
        <v>45819.638344907413</v>
      </c>
      <c r="K2110">
        <v>11</v>
      </c>
      <c r="L2110">
        <v>6</v>
      </c>
      <c r="M2110">
        <v>2025</v>
      </c>
      <c r="N2110" t="s">
        <v>27</v>
      </c>
      <c r="O2110">
        <v>200</v>
      </c>
      <c r="P2110">
        <v>200</v>
      </c>
      <c r="R2110" s="3" t="str">
        <f>HYPERLINK("https://panda.att.com.mx/ODKServer/view/binaryData?blobKey=FSSuministroFluidosv3%5B%40version%3Dnull+and+%40uiVersion%3Dnull%5D%2Fdata%5B%40key%3Duuid%3Aa4095175-73f5-48b3-a910-702ba62c0e96%5D%2FgroupInfoFuel%5B%40ordinal%3D1%5D%2FpicFuelRecibeInterno","Descargar")</f>
        <v>Descargar</v>
      </c>
    </row>
    <row r="2111" spans="1:18" x14ac:dyDescent="0.3">
      <c r="A2111">
        <v>1555841</v>
      </c>
      <c r="B2111" t="s">
        <v>18</v>
      </c>
      <c r="C2111" t="s">
        <v>150</v>
      </c>
      <c r="D2111" t="s">
        <v>230</v>
      </c>
      <c r="E2111" t="s">
        <v>890</v>
      </c>
      <c r="F2111" t="s">
        <v>22</v>
      </c>
      <c r="G2111" t="s">
        <v>23</v>
      </c>
      <c r="H2111" t="s">
        <v>58</v>
      </c>
      <c r="I2111" t="s">
        <v>25</v>
      </c>
      <c r="J2111" s="2">
        <v>45819.639675925922</v>
      </c>
      <c r="K2111">
        <v>11</v>
      </c>
      <c r="L2111">
        <v>6</v>
      </c>
      <c r="M2111">
        <v>2025</v>
      </c>
      <c r="N2111" t="s">
        <v>27</v>
      </c>
      <c r="O2111">
        <v>280</v>
      </c>
      <c r="P2111">
        <v>280</v>
      </c>
      <c r="R2111" s="3" t="str">
        <f>HYPERLINK("https://panda.att.com.mx/ODKServer/view/binaryData?blobKey=FSSuministroFluidosv3%5B%40version%3Dnull+and+%40uiVersion%3Dnull%5D%2Fdata%5B%40key%3Duuid%3A5c8067c1-e4cc-4c81-ad47-ac941eef20c0%5D%2FgroupInfoFuel%5B%40ordinal%3D1%5D%2FpicFuelRecibeInterno","Descargar")</f>
        <v>Descargar</v>
      </c>
    </row>
    <row r="2112" spans="1:18" x14ac:dyDescent="0.3">
      <c r="A2112">
        <v>1555833</v>
      </c>
      <c r="B2112" t="s">
        <v>18</v>
      </c>
      <c r="C2112" t="s">
        <v>19</v>
      </c>
      <c r="D2112" t="s">
        <v>347</v>
      </c>
      <c r="E2112" t="s">
        <v>364</v>
      </c>
      <c r="F2112" t="s">
        <v>22</v>
      </c>
      <c r="G2112" t="s">
        <v>23</v>
      </c>
      <c r="H2112" t="s">
        <v>24</v>
      </c>
      <c r="I2112" t="s">
        <v>25</v>
      </c>
      <c r="J2112" s="2">
        <v>45817.649050925917</v>
      </c>
      <c r="K2112">
        <v>9</v>
      </c>
      <c r="L2112">
        <v>6</v>
      </c>
      <c r="M2112">
        <v>2025</v>
      </c>
      <c r="N2112" t="s">
        <v>27</v>
      </c>
      <c r="O2112">
        <v>150</v>
      </c>
      <c r="P2112">
        <v>150</v>
      </c>
      <c r="R2112" s="3" t="str">
        <f>HYPERLINK("https://panda.att.com.mx/ODKServer/view/binaryData?blobKey=FSSuministroFluidosv3%5B%40version%3Dnull+and+%40uiVersion%3Dnull%5D%2Fdata%5B%40key%3Duuid%3A2e364e22-6b06-4126-a62e-411a698874ec%5D%2FgroupInfoFuel%5B%40ordinal%3D1%5D%2FpicFuelRecibeInterno","Descargar")</f>
        <v>Descargar</v>
      </c>
    </row>
    <row r="2113" spans="1:18" x14ac:dyDescent="0.3">
      <c r="A2113">
        <v>1555734</v>
      </c>
      <c r="B2113" t="s">
        <v>18</v>
      </c>
      <c r="C2113" t="s">
        <v>55</v>
      </c>
      <c r="D2113" t="s">
        <v>64</v>
      </c>
      <c r="E2113" t="s">
        <v>2007</v>
      </c>
      <c r="F2113" t="s">
        <v>22</v>
      </c>
      <c r="G2113" t="s">
        <v>23</v>
      </c>
      <c r="H2113" t="s">
        <v>58</v>
      </c>
      <c r="I2113" t="s">
        <v>25</v>
      </c>
      <c r="J2113" s="2">
        <v>45819.50440972222</v>
      </c>
      <c r="K2113">
        <v>11</v>
      </c>
      <c r="L2113">
        <v>6</v>
      </c>
      <c r="M2113">
        <v>2025</v>
      </c>
      <c r="N2113" t="s">
        <v>27</v>
      </c>
      <c r="O2113">
        <v>180</v>
      </c>
      <c r="P2113">
        <v>180</v>
      </c>
      <c r="R2113" s="3" t="str">
        <f>HYPERLINK("https://panda.att.com.mx/ODKServer/view/binaryData?blobKey=FSSuministroFluidosv3%5B%40version%3Dnull+and+%40uiVersion%3Dnull%5D%2Fdata%5B%40key%3Duuid%3A169dfb97-cc43-4ee7-905d-7568ebaff33a%5D%2FgroupInfoFuel%5B%40ordinal%3D1%5D%2FpicFuelRecibeInterno","Descargar")</f>
        <v>Descargar</v>
      </c>
    </row>
    <row r="2114" spans="1:18" x14ac:dyDescent="0.3">
      <c r="A2114">
        <v>1555733</v>
      </c>
      <c r="B2114" t="s">
        <v>18</v>
      </c>
      <c r="C2114" t="s">
        <v>55</v>
      </c>
      <c r="D2114" t="s">
        <v>64</v>
      </c>
      <c r="E2114" t="s">
        <v>2008</v>
      </c>
      <c r="F2114" t="s">
        <v>22</v>
      </c>
      <c r="G2114" t="s">
        <v>23</v>
      </c>
      <c r="H2114" t="s">
        <v>58</v>
      </c>
      <c r="I2114" t="s">
        <v>25</v>
      </c>
      <c r="J2114" s="2">
        <v>45819.453518518523</v>
      </c>
      <c r="K2114">
        <v>11</v>
      </c>
      <c r="L2114">
        <v>6</v>
      </c>
      <c r="M2114">
        <v>2025</v>
      </c>
      <c r="N2114" t="s">
        <v>27</v>
      </c>
      <c r="O2114">
        <v>200</v>
      </c>
      <c r="P2114">
        <v>200</v>
      </c>
      <c r="R2114" s="3" t="str">
        <f>HYPERLINK("https://panda.att.com.mx/ODKServer/view/binaryData?blobKey=FSSuministroFluidosv3%5B%40version%3Dnull+and+%40uiVersion%3Dnull%5D%2Fdata%5B%40key%3Duuid%3A98eb43a8-4fdd-4533-a967-086e2a177381%5D%2FgroupInfoFuel%5B%40ordinal%3D1%5D%2FpicFuelRecibeInterno","Descargar")</f>
        <v>Descargar</v>
      </c>
    </row>
    <row r="2115" spans="1:18" x14ac:dyDescent="0.3">
      <c r="A2115">
        <v>1555732</v>
      </c>
      <c r="B2115" t="s">
        <v>18</v>
      </c>
      <c r="C2115" t="s">
        <v>55</v>
      </c>
      <c r="D2115" t="s">
        <v>64</v>
      </c>
      <c r="E2115" t="s">
        <v>2009</v>
      </c>
      <c r="F2115" t="s">
        <v>22</v>
      </c>
      <c r="G2115" t="s">
        <v>23</v>
      </c>
      <c r="H2115" t="s">
        <v>58</v>
      </c>
      <c r="I2115" t="s">
        <v>25</v>
      </c>
      <c r="J2115" s="2">
        <v>45819.36377314815</v>
      </c>
      <c r="K2115">
        <v>11</v>
      </c>
      <c r="L2115">
        <v>6</v>
      </c>
      <c r="M2115">
        <v>2025</v>
      </c>
      <c r="N2115" t="s">
        <v>27</v>
      </c>
      <c r="O2115">
        <v>300</v>
      </c>
      <c r="P2115">
        <v>300</v>
      </c>
      <c r="R2115" s="3" t="str">
        <f>HYPERLINK("https://panda.att.com.mx/ODKServer/view/binaryData?blobKey=FSSuministroFluidosv3%5B%40version%3Dnull+and+%40uiVersion%3Dnull%5D%2Fdata%5B%40key%3Duuid%3Aae465cee-dfe2-419d-80c1-a4879bc98d72%5D%2FgroupInfoFuel%5B%40ordinal%3D1%5D%2FpicFuelRecibeInterno","Descargar")</f>
        <v>Descargar</v>
      </c>
    </row>
    <row r="2116" spans="1:18" x14ac:dyDescent="0.3">
      <c r="A2116">
        <v>1555704</v>
      </c>
      <c r="B2116" t="s">
        <v>18</v>
      </c>
      <c r="C2116" t="s">
        <v>55</v>
      </c>
      <c r="D2116" t="s">
        <v>128</v>
      </c>
      <c r="E2116" t="s">
        <v>129</v>
      </c>
      <c r="F2116" t="s">
        <v>22</v>
      </c>
      <c r="G2116" t="s">
        <v>23</v>
      </c>
      <c r="H2116" t="s">
        <v>58</v>
      </c>
      <c r="I2116" t="s">
        <v>25</v>
      </c>
      <c r="J2116" s="2">
        <v>45819.487604166658</v>
      </c>
      <c r="K2116">
        <v>11</v>
      </c>
      <c r="L2116">
        <v>6</v>
      </c>
      <c r="M2116">
        <v>2025</v>
      </c>
      <c r="N2116" t="s">
        <v>27</v>
      </c>
      <c r="O2116">
        <v>200</v>
      </c>
      <c r="P2116">
        <v>200</v>
      </c>
      <c r="R2116" s="3" t="str">
        <f>HYPERLINK("https://panda.att.com.mx/ODKServer/view/binaryData?blobKey=FSSuministroFluidosv3%5B%40version%3Dnull+and+%40uiVersion%3Dnull%5D%2Fdata%5B%40key%3Duuid%3A0f9207d7-e282-4ae5-a4d3-06c082e497ee%5D%2FgroupInfoFuel%5B%40ordinal%3D1%5D%2FpicFuelRecibeInterno","Descargar")</f>
        <v>Descargar</v>
      </c>
    </row>
    <row r="2117" spans="1:18" x14ac:dyDescent="0.3">
      <c r="A2117">
        <v>1555674</v>
      </c>
      <c r="B2117" t="s">
        <v>18</v>
      </c>
      <c r="C2117" t="s">
        <v>59</v>
      </c>
      <c r="D2117" t="s">
        <v>636</v>
      </c>
      <c r="E2117" t="s">
        <v>929</v>
      </c>
      <c r="F2117" t="s">
        <v>22</v>
      </c>
      <c r="G2117" t="s">
        <v>23</v>
      </c>
      <c r="H2117" t="s">
        <v>37</v>
      </c>
      <c r="I2117" t="s">
        <v>25</v>
      </c>
      <c r="J2117" s="2">
        <v>45819.553946759261</v>
      </c>
      <c r="K2117">
        <v>11</v>
      </c>
      <c r="L2117">
        <v>6</v>
      </c>
      <c r="M2117">
        <v>2025</v>
      </c>
      <c r="N2117" t="s">
        <v>27</v>
      </c>
      <c r="O2117">
        <v>300</v>
      </c>
      <c r="P2117">
        <v>300</v>
      </c>
      <c r="R2117" s="3" t="str">
        <f>HYPERLINK("https://panda.att.com.mx/ODKServer/view/binaryData?blobKey=FSSuministroFluidosv3%5B%40version%3Dnull+and+%40uiVersion%3Dnull%5D%2Fdata%5B%40key%3Duuid%3Ac3ce7b01-9a95-4238-acd5-01776d5847c9%5D%2FgroupInfoFuel%5B%40ordinal%3D1%5D%2FpicFuelRecibeInterno","Descargar")</f>
        <v>Descargar</v>
      </c>
    </row>
    <row r="2118" spans="1:18" x14ac:dyDescent="0.3">
      <c r="A2118">
        <v>1555652</v>
      </c>
      <c r="B2118" t="s">
        <v>18</v>
      </c>
      <c r="C2118" t="s">
        <v>19</v>
      </c>
      <c r="D2118" t="s">
        <v>20</v>
      </c>
      <c r="E2118" t="s">
        <v>2010</v>
      </c>
      <c r="F2118" t="s">
        <v>22</v>
      </c>
      <c r="G2118" t="s">
        <v>23</v>
      </c>
      <c r="H2118" t="s">
        <v>24</v>
      </c>
      <c r="I2118" t="s">
        <v>25</v>
      </c>
      <c r="J2118" s="2">
        <v>45818.350138888891</v>
      </c>
      <c r="K2118">
        <v>10</v>
      </c>
      <c r="L2118">
        <v>6</v>
      </c>
      <c r="M2118">
        <v>2025</v>
      </c>
      <c r="N2118" t="s">
        <v>27</v>
      </c>
      <c r="O2118">
        <v>150</v>
      </c>
      <c r="P2118">
        <v>150</v>
      </c>
      <c r="R2118" s="3" t="str">
        <f>HYPERLINK("https://panda.att.com.mx/ODKServer/view/binaryData?blobKey=FSSuministroFluidosv3%5B%40version%3Dnull+and+%40uiVersion%3Dnull%5D%2Fdata%5B%40key%3Duuid%3A7578d1dc-be4f-4897-bdc7-33670f5b6128%5D%2FgroupInfoFuel%5B%40ordinal%3D1%5D%2FpicFuelRecibeInterno","Descargar")</f>
        <v>Descargar</v>
      </c>
    </row>
    <row r="2119" spans="1:18" x14ac:dyDescent="0.3">
      <c r="A2119">
        <v>1555608</v>
      </c>
      <c r="B2119" t="s">
        <v>18</v>
      </c>
      <c r="C2119" t="s">
        <v>55</v>
      </c>
      <c r="D2119" t="s">
        <v>56</v>
      </c>
      <c r="E2119" t="s">
        <v>1555</v>
      </c>
      <c r="F2119" t="s">
        <v>22</v>
      </c>
      <c r="G2119" t="s">
        <v>23</v>
      </c>
      <c r="H2119" t="s">
        <v>1763</v>
      </c>
      <c r="I2119" t="s">
        <v>25</v>
      </c>
      <c r="J2119" s="2">
        <v>45810.718738425923</v>
      </c>
      <c r="K2119">
        <v>2</v>
      </c>
      <c r="L2119">
        <v>6</v>
      </c>
      <c r="M2119">
        <v>2025</v>
      </c>
      <c r="N2119" t="s">
        <v>27</v>
      </c>
      <c r="O2119">
        <v>100</v>
      </c>
      <c r="P2119">
        <v>100</v>
      </c>
      <c r="R2119" s="3" t="str">
        <f>HYPERLINK("https://panda.att.com.mx/ODKServer/view/binaryData?blobKey=FSSuministroFluidosv3%5B%40version%3Dnull+and+%40uiVersion%3Dnull%5D%2Fdata%5B%40key%3Duuid%3Af0950d03-a5f1-404f-ae55-34c0ae9a5814%5D%2FgroupInfoFuel%5B%40ordinal%3D1%5D%2FpicFuelRecibeInterno","Descargar")</f>
        <v>Descargar</v>
      </c>
    </row>
    <row r="2120" spans="1:18" x14ac:dyDescent="0.3">
      <c r="A2120">
        <v>1555546</v>
      </c>
      <c r="B2120" t="s">
        <v>18</v>
      </c>
      <c r="C2120" t="s">
        <v>19</v>
      </c>
      <c r="D2120" t="s">
        <v>140</v>
      </c>
      <c r="E2120" t="s">
        <v>1599</v>
      </c>
      <c r="F2120" t="s">
        <v>22</v>
      </c>
      <c r="G2120" t="s">
        <v>23</v>
      </c>
      <c r="H2120" t="s">
        <v>24</v>
      </c>
      <c r="I2120" t="s">
        <v>25</v>
      </c>
      <c r="J2120" s="2">
        <v>45810.726909722223</v>
      </c>
      <c r="K2120">
        <v>2</v>
      </c>
      <c r="L2120">
        <v>6</v>
      </c>
      <c r="M2120">
        <v>2025</v>
      </c>
      <c r="N2120" t="s">
        <v>27</v>
      </c>
      <c r="O2120">
        <v>350</v>
      </c>
      <c r="P2120">
        <v>350</v>
      </c>
      <c r="R2120" s="3" t="str">
        <f>HYPERLINK("https://panda.att.com.mx/ODKServer/view/binaryData?blobKey=FSSuministroFluidosv3%5B%40version%3Dnull+and+%40uiVersion%3Dnull%5D%2Fdata%5B%40key%3Duuid%3A0f4a1b03-5ec1-40a9-b458-17026c31bb82%5D%2FgroupInfoFuel%5B%40ordinal%3D1%5D%2FpicFuelRecibeInterno","Descargar")</f>
        <v>Descargar</v>
      </c>
    </row>
    <row r="2121" spans="1:18" x14ac:dyDescent="0.3">
      <c r="A2121">
        <v>1555491</v>
      </c>
      <c r="B2121" t="s">
        <v>18</v>
      </c>
      <c r="C2121" t="s">
        <v>150</v>
      </c>
      <c r="D2121" t="s">
        <v>164</v>
      </c>
      <c r="E2121" t="s">
        <v>165</v>
      </c>
      <c r="F2121" t="s">
        <v>22</v>
      </c>
      <c r="G2121" t="s">
        <v>23</v>
      </c>
      <c r="H2121" t="s">
        <v>58</v>
      </c>
      <c r="I2121" t="s">
        <v>25</v>
      </c>
      <c r="J2121" s="2">
        <v>45819.338865740741</v>
      </c>
      <c r="K2121">
        <v>11</v>
      </c>
      <c r="L2121">
        <v>6</v>
      </c>
      <c r="M2121">
        <v>2025</v>
      </c>
      <c r="N2121" t="s">
        <v>27</v>
      </c>
      <c r="O2121">
        <v>400</v>
      </c>
      <c r="P2121">
        <v>400</v>
      </c>
      <c r="R2121" s="3" t="str">
        <f>HYPERLINK("https://panda.att.com.mx/ODKServer/view/binaryData?blobKey=FSSuministroFluidosv3%5B%40version%3Dnull+and+%40uiVersion%3Dnull%5D%2Fdata%5B%40key%3Duuid%3A391cb07f-1842-4b0d-a4f0-0192c3552557%5D%2FgroupInfoFuel%5B%40ordinal%3D1%5D%2FpicFuelRecibeInterno","Descargar")</f>
        <v>Descargar</v>
      </c>
    </row>
    <row r="2122" spans="1:18" x14ac:dyDescent="0.3">
      <c r="A2122">
        <v>1555486</v>
      </c>
      <c r="B2122" t="s">
        <v>18</v>
      </c>
      <c r="C2122" t="s">
        <v>28</v>
      </c>
      <c r="D2122" t="s">
        <v>1054</v>
      </c>
      <c r="E2122" t="s">
        <v>2011</v>
      </c>
      <c r="F2122" t="s">
        <v>22</v>
      </c>
      <c r="G2122" t="s">
        <v>23</v>
      </c>
      <c r="H2122" t="s">
        <v>24</v>
      </c>
      <c r="I2122" t="s">
        <v>25</v>
      </c>
      <c r="J2122" s="2">
        <v>45817.756631944438</v>
      </c>
      <c r="K2122">
        <v>9</v>
      </c>
      <c r="L2122">
        <v>6</v>
      </c>
      <c r="M2122">
        <v>2025</v>
      </c>
      <c r="N2122" t="s">
        <v>44</v>
      </c>
      <c r="O2122">
        <v>35</v>
      </c>
      <c r="P2122">
        <v>35</v>
      </c>
      <c r="R2122" s="3" t="str">
        <f>HYPERLINK("https://panda.att.com.mx/ODKServer/view/binaryData?blobKey=FSSuministroFluidosv3%5B%40version%3Dnull+and+%40uiVersion%3Dnull%5D%2Fdata%5B%40key%3Duuid%3Ac36eb4e3-7b44-4ec4-90cb-acb953e17a85%5D%2FgroupInfoFuel%5B%40ordinal%3D1%5D%2FpicFuelRecibeInterno","Descargar")</f>
        <v>Descargar</v>
      </c>
    </row>
    <row r="2123" spans="1:18" x14ac:dyDescent="0.3">
      <c r="A2123">
        <v>1555482</v>
      </c>
      <c r="B2123" t="s">
        <v>18</v>
      </c>
      <c r="C2123" t="s">
        <v>55</v>
      </c>
      <c r="D2123" t="s">
        <v>56</v>
      </c>
      <c r="E2123" t="s">
        <v>1730</v>
      </c>
      <c r="F2123" t="s">
        <v>22</v>
      </c>
      <c r="G2123" t="s">
        <v>23</v>
      </c>
      <c r="H2123" t="s">
        <v>1763</v>
      </c>
      <c r="I2123" t="s">
        <v>25</v>
      </c>
      <c r="J2123" s="2">
        <v>45810.546041666668</v>
      </c>
      <c r="K2123">
        <v>2</v>
      </c>
      <c r="L2123">
        <v>6</v>
      </c>
      <c r="M2123">
        <v>2025</v>
      </c>
      <c r="N2123" t="s">
        <v>27</v>
      </c>
      <c r="O2123">
        <v>250</v>
      </c>
      <c r="P2123">
        <v>250</v>
      </c>
      <c r="R2123" s="3" t="str">
        <f>HYPERLINK("https://panda.att.com.mx/ODKServer/view/binaryData?blobKey=FSSuministroFluidosv3%5B%40version%3Dnull+and+%40uiVersion%3Dnull%5D%2Fdata%5B%40key%3Duuid%3Ac2eb1f91-aaf3-4d92-a8ac-3c2cad0f722f%5D%2FgroupInfoFuel%5B%40ordinal%3D1%5D%2FpicFuelRecibeInterno","Descargar")</f>
        <v>Descargar</v>
      </c>
    </row>
    <row r="2124" spans="1:18" x14ac:dyDescent="0.3">
      <c r="A2124">
        <v>1555463</v>
      </c>
      <c r="B2124" t="s">
        <v>18</v>
      </c>
      <c r="C2124" t="s">
        <v>19</v>
      </c>
      <c r="D2124" t="s">
        <v>156</v>
      </c>
      <c r="E2124" t="s">
        <v>1579</v>
      </c>
      <c r="F2124" t="s">
        <v>22</v>
      </c>
      <c r="G2124" t="s">
        <v>23</v>
      </c>
      <c r="H2124" t="s">
        <v>24</v>
      </c>
      <c r="I2124" t="s">
        <v>25</v>
      </c>
      <c r="J2124" s="2">
        <v>45819.316006944442</v>
      </c>
      <c r="K2124">
        <v>11</v>
      </c>
      <c r="L2124">
        <v>6</v>
      </c>
      <c r="M2124">
        <v>2025</v>
      </c>
      <c r="N2124" t="s">
        <v>44</v>
      </c>
      <c r="O2124">
        <v>56</v>
      </c>
      <c r="P2124">
        <v>56</v>
      </c>
      <c r="R2124" s="3" t="str">
        <f>HYPERLINK("https://panda.att.com.mx/ODKServer/view/binaryData?blobKey=FSSuministroFluidosv3%5B%40version%3Dnull+and+%40uiVersion%3Dnull%5D%2Fdata%5B%40key%3Duuid%3A02065459-e13d-4588-a3bf-480b24ab845b%5D%2FgroupInfoFuel%5B%40ordinal%3D1%5D%2FpicFuelRecibeInterno","Descargar")</f>
        <v>Descargar</v>
      </c>
    </row>
    <row r="2125" spans="1:18" x14ac:dyDescent="0.3">
      <c r="A2125">
        <v>1555460</v>
      </c>
      <c r="B2125" t="s">
        <v>18</v>
      </c>
      <c r="C2125" t="s">
        <v>19</v>
      </c>
      <c r="D2125" t="s">
        <v>156</v>
      </c>
      <c r="E2125" t="s">
        <v>1966</v>
      </c>
      <c r="F2125" t="s">
        <v>22</v>
      </c>
      <c r="G2125" t="s">
        <v>23</v>
      </c>
      <c r="H2125" t="s">
        <v>24</v>
      </c>
      <c r="I2125" t="s">
        <v>25</v>
      </c>
      <c r="J2125" s="2">
        <v>45819.365023148152</v>
      </c>
      <c r="K2125">
        <v>11</v>
      </c>
      <c r="L2125">
        <v>6</v>
      </c>
      <c r="M2125">
        <v>2025</v>
      </c>
      <c r="N2125" t="s">
        <v>44</v>
      </c>
      <c r="O2125">
        <v>55</v>
      </c>
      <c r="P2125">
        <v>55</v>
      </c>
      <c r="R2125" s="3" t="str">
        <f>HYPERLINK("https://panda.att.com.mx/ODKServer/view/binaryData?blobKey=FSSuministroFluidosv3%5B%40version%3Dnull+and+%40uiVersion%3Dnull%5D%2Fdata%5B%40key%3Duuid%3A4c06d19a-6d81-4dc6-b9bd-d130a9d2c99b%5D%2FgroupInfoFuel%5B%40ordinal%3D1%5D%2FpicFuelRecibeInterno","Descargar")</f>
        <v>Descargar</v>
      </c>
    </row>
    <row r="2126" spans="1:18" x14ac:dyDescent="0.3">
      <c r="A2126">
        <v>1555459</v>
      </c>
      <c r="B2126" t="s">
        <v>18</v>
      </c>
      <c r="C2126" t="s">
        <v>19</v>
      </c>
      <c r="D2126" t="s">
        <v>156</v>
      </c>
      <c r="E2126" t="s">
        <v>317</v>
      </c>
      <c r="F2126" t="s">
        <v>22</v>
      </c>
      <c r="G2126" t="s">
        <v>23</v>
      </c>
      <c r="H2126" t="s">
        <v>24</v>
      </c>
      <c r="I2126" t="s">
        <v>25</v>
      </c>
      <c r="J2126" s="2">
        <v>45817.721180555563</v>
      </c>
      <c r="K2126">
        <v>9</v>
      </c>
      <c r="L2126">
        <v>6</v>
      </c>
      <c r="M2126">
        <v>2025</v>
      </c>
      <c r="N2126" t="s">
        <v>44</v>
      </c>
      <c r="O2126">
        <v>26</v>
      </c>
      <c r="P2126">
        <v>26</v>
      </c>
      <c r="R2126" s="3" t="str">
        <f>HYPERLINK("https://panda.att.com.mx/ODKServer/view/binaryData?blobKey=FSSuministroFluidosv3%5B%40version%3Dnull+and+%40uiVersion%3Dnull%5D%2Fdata%5B%40key%3Duuid%3Ab8d3f45d-ca1f-47d0-af92-70ff92db49a4%5D%2FgroupInfoFuel%5B%40ordinal%3D1%5D%2FpicFuelRecibeInterno","Descargar")</f>
        <v>Descargar</v>
      </c>
    </row>
    <row r="2127" spans="1:18" x14ac:dyDescent="0.3">
      <c r="A2127">
        <v>1554484</v>
      </c>
      <c r="B2127" t="s">
        <v>18</v>
      </c>
      <c r="C2127" t="s">
        <v>100</v>
      </c>
      <c r="D2127" t="s">
        <v>101</v>
      </c>
      <c r="E2127" t="s">
        <v>102</v>
      </c>
      <c r="F2127" t="s">
        <v>22</v>
      </c>
      <c r="G2127" t="s">
        <v>83</v>
      </c>
      <c r="H2127" t="s">
        <v>58</v>
      </c>
      <c r="I2127" t="s">
        <v>25</v>
      </c>
      <c r="J2127" s="2">
        <v>45818.124560185177</v>
      </c>
      <c r="K2127">
        <v>10</v>
      </c>
      <c r="L2127">
        <v>6</v>
      </c>
      <c r="M2127">
        <v>2025</v>
      </c>
      <c r="N2127" t="s">
        <v>44</v>
      </c>
      <c r="O2127">
        <v>40</v>
      </c>
      <c r="P2127">
        <v>40</v>
      </c>
      <c r="R2127" s="3" t="str">
        <f>HYPERLINK("https://panda.att.com.mx/ODKServer/view/binaryData?blobKey=FSSuministroFluidosv3%5B%40version%3Dnull+and+%40uiVersion%3Dnull%5D%2Fdata%5B%40key%3Duuid%3Ac7fa142f-362c-4faa-a656-84850c0542a4%5D%2FgroupInfoFuel%5B%40ordinal%3D1%5D%2FpicFuelRecibeInterno","Descargar")</f>
        <v>Descargar</v>
      </c>
    </row>
    <row r="2128" spans="1:18" x14ac:dyDescent="0.3">
      <c r="A2128">
        <v>1554483</v>
      </c>
      <c r="B2128" t="s">
        <v>18</v>
      </c>
      <c r="C2128" t="s">
        <v>100</v>
      </c>
      <c r="D2128" t="s">
        <v>833</v>
      </c>
      <c r="E2128" t="s">
        <v>1587</v>
      </c>
      <c r="F2128" t="s">
        <v>22</v>
      </c>
      <c r="G2128" t="s">
        <v>23</v>
      </c>
      <c r="H2128" t="s">
        <v>58</v>
      </c>
      <c r="I2128" t="s">
        <v>25</v>
      </c>
      <c r="J2128" s="2">
        <v>45818.109050925923</v>
      </c>
      <c r="K2128">
        <v>10</v>
      </c>
      <c r="L2128">
        <v>6</v>
      </c>
      <c r="M2128">
        <v>2025</v>
      </c>
      <c r="N2128" t="s">
        <v>44</v>
      </c>
      <c r="O2128">
        <v>50</v>
      </c>
      <c r="P2128">
        <v>50</v>
      </c>
      <c r="R2128" s="3" t="str">
        <f>HYPERLINK("https://panda.att.com.mx/ODKServer/view/binaryData?blobKey=FSSuministroFluidosv3%5B%40version%3Dnull+and+%40uiVersion%3Dnull%5D%2Fdata%5B%40key%3Duuid%3Ac3e3a6dc-afba-4428-a60d-cb8937e89233%5D%2FgroupInfoFuel%5B%40ordinal%3D1%5D%2FpicFuelRecibeInterno","Descargar")</f>
        <v>Descargar</v>
      </c>
    </row>
    <row r="2129" spans="1:18" x14ac:dyDescent="0.3">
      <c r="A2129">
        <v>1554482</v>
      </c>
      <c r="B2129" t="s">
        <v>18</v>
      </c>
      <c r="C2129" t="s">
        <v>100</v>
      </c>
      <c r="D2129" t="s">
        <v>101</v>
      </c>
      <c r="E2129" t="s">
        <v>2012</v>
      </c>
      <c r="F2129" t="s">
        <v>22</v>
      </c>
      <c r="G2129" t="s">
        <v>23</v>
      </c>
      <c r="H2129" t="s">
        <v>58</v>
      </c>
      <c r="I2129" t="s">
        <v>25</v>
      </c>
      <c r="J2129" s="2">
        <v>45816.916539351849</v>
      </c>
      <c r="K2129">
        <v>8</v>
      </c>
      <c r="L2129">
        <v>6</v>
      </c>
      <c r="M2129">
        <v>2025</v>
      </c>
      <c r="N2129" t="s">
        <v>27</v>
      </c>
      <c r="O2129">
        <v>199.11</v>
      </c>
      <c r="P2129">
        <v>199.11</v>
      </c>
      <c r="R2129" s="3" t="str">
        <f>HYPERLINK("https://panda.att.com.mx/ODKServer/view/binaryData?blobKey=FSSuministroFluidosv3%5B%40version%3Dnull+and+%40uiVersion%3Dnull%5D%2Fdata%5B%40key%3Duuid%3Af088367d-67be-4a0e-b0c5-0786fd7ad311%5D%2FgroupInfoFuel%5B%40ordinal%3D1%5D%2FpicFuelRecibeInterno","Descargar")</f>
        <v>Descargar</v>
      </c>
    </row>
    <row r="2130" spans="1:18" x14ac:dyDescent="0.3">
      <c r="A2130">
        <v>1554480</v>
      </c>
      <c r="B2130" t="s">
        <v>18</v>
      </c>
      <c r="C2130" t="s">
        <v>100</v>
      </c>
      <c r="D2130" t="s">
        <v>833</v>
      </c>
      <c r="E2130" t="s">
        <v>834</v>
      </c>
      <c r="F2130" t="s">
        <v>22</v>
      </c>
      <c r="G2130" t="s">
        <v>23</v>
      </c>
      <c r="H2130" t="s">
        <v>58</v>
      </c>
      <c r="I2130" t="s">
        <v>25</v>
      </c>
      <c r="J2130" s="2">
        <v>45817.96539351852</v>
      </c>
      <c r="K2130">
        <v>9</v>
      </c>
      <c r="L2130">
        <v>6</v>
      </c>
      <c r="M2130">
        <v>2025</v>
      </c>
      <c r="N2130" t="s">
        <v>27</v>
      </c>
      <c r="O2130">
        <v>200</v>
      </c>
      <c r="P2130">
        <v>200</v>
      </c>
      <c r="R2130" s="3" t="str">
        <f>HYPERLINK("https://panda.att.com.mx/ODKServer/view/binaryData?blobKey=FSSuministroFluidosv3%5B%40version%3Dnull+and+%40uiVersion%3Dnull%5D%2Fdata%5B%40key%3Duuid%3A7dddcbe3-8cff-4d2d-82bc-c235a8b2b1a9%5D%2FgroupInfoFuel%5B%40ordinal%3D1%5D%2FpicFuelRecibeInterno","Descargar")</f>
        <v>Descargar</v>
      </c>
    </row>
    <row r="2131" spans="1:18" x14ac:dyDescent="0.3">
      <c r="A2131">
        <v>1554459</v>
      </c>
      <c r="B2131" t="s">
        <v>18</v>
      </c>
      <c r="C2131" t="s">
        <v>19</v>
      </c>
      <c r="D2131" t="s">
        <v>62</v>
      </c>
      <c r="E2131" t="s">
        <v>63</v>
      </c>
      <c r="F2131" t="s">
        <v>22</v>
      </c>
      <c r="G2131" t="s">
        <v>23</v>
      </c>
      <c r="H2131" t="s">
        <v>24</v>
      </c>
      <c r="I2131" t="s">
        <v>25</v>
      </c>
      <c r="J2131" s="2">
        <v>45817.975451388891</v>
      </c>
      <c r="K2131">
        <v>9</v>
      </c>
      <c r="L2131">
        <v>6</v>
      </c>
      <c r="M2131">
        <v>2025</v>
      </c>
      <c r="N2131" t="s">
        <v>44</v>
      </c>
      <c r="O2131">
        <v>15</v>
      </c>
      <c r="P2131">
        <v>15</v>
      </c>
      <c r="R2131" s="3" t="str">
        <f>HYPERLINK("https://panda.att.com.mx/ODKServer/view/binaryData?blobKey=FSSuministroFluidosv3%5B%40version%3Dnull+and+%40uiVersion%3Dnull%5D%2Fdata%5B%40key%3Duuid%3A08a98303-61b2-4286-992d-88fd7937bb3a%5D%2FgroupInfoFuel%5B%40ordinal%3D1%5D%2FpicFuelRecibeInterno","Descargar")</f>
        <v>Descargar</v>
      </c>
    </row>
    <row r="2132" spans="1:18" x14ac:dyDescent="0.3">
      <c r="A2132">
        <v>1554456</v>
      </c>
      <c r="B2132" t="s">
        <v>18</v>
      </c>
      <c r="C2132" t="s">
        <v>19</v>
      </c>
      <c r="D2132" t="s">
        <v>62</v>
      </c>
      <c r="E2132" t="s">
        <v>1542</v>
      </c>
      <c r="F2132" t="s">
        <v>22</v>
      </c>
      <c r="G2132" t="s">
        <v>23</v>
      </c>
      <c r="H2132" t="s">
        <v>24</v>
      </c>
      <c r="I2132" t="s">
        <v>25</v>
      </c>
      <c r="J2132" s="2">
        <v>45817.962916666656</v>
      </c>
      <c r="K2132">
        <v>9</v>
      </c>
      <c r="L2132">
        <v>6</v>
      </c>
      <c r="M2132">
        <v>2025</v>
      </c>
      <c r="N2132" t="s">
        <v>27</v>
      </c>
      <c r="O2132">
        <v>100</v>
      </c>
      <c r="P2132">
        <v>100</v>
      </c>
      <c r="R2132" s="3" t="str">
        <f>HYPERLINK("https://panda.att.com.mx/ODKServer/view/binaryData?blobKey=FSSuministroFluidosv3%5B%40version%3Dnull+and+%40uiVersion%3Dnull%5D%2Fdata%5B%40key%3Duuid%3Aa44cee9c-5271-44e6-8eca-45aa64ca239f%5D%2FgroupInfoFuel%5B%40ordinal%3D1%5D%2FpicFuelRecibeInterno","Descargar")</f>
        <v>Descargar</v>
      </c>
    </row>
    <row r="2133" spans="1:18" x14ac:dyDescent="0.3">
      <c r="A2133">
        <v>1554438</v>
      </c>
      <c r="B2133" t="s">
        <v>18</v>
      </c>
      <c r="C2133" t="s">
        <v>100</v>
      </c>
      <c r="D2133" t="s">
        <v>854</v>
      </c>
      <c r="E2133" t="s">
        <v>993</v>
      </c>
      <c r="F2133" t="s">
        <v>22</v>
      </c>
      <c r="G2133" t="s">
        <v>83</v>
      </c>
      <c r="H2133" t="s">
        <v>58</v>
      </c>
      <c r="I2133" t="s">
        <v>25</v>
      </c>
      <c r="J2133" s="2">
        <v>45814.668935185182</v>
      </c>
      <c r="K2133">
        <v>6</v>
      </c>
      <c r="L2133">
        <v>6</v>
      </c>
      <c r="M2133">
        <v>2025</v>
      </c>
      <c r="N2133" t="s">
        <v>27</v>
      </c>
      <c r="O2133">
        <v>200</v>
      </c>
      <c r="P2133">
        <v>200</v>
      </c>
      <c r="R2133" s="3" t="str">
        <f>HYPERLINK("https://panda.att.com.mx/ODKServer/view/binaryData?blobKey=FSSuministroFluidosv3%5B%40version%3Dnull+and+%40uiVersion%3Dnull%5D%2Fdata%5B%40key%3Duuid%3A4e650497-cb83-4432-8073-6150aacfe9df%5D%2FgroupInfoFuel%5B%40ordinal%3D1%5D%2FpicFuelRecibeInterno","Descargar")</f>
        <v>Descargar</v>
      </c>
    </row>
    <row r="2134" spans="1:18" x14ac:dyDescent="0.3">
      <c r="A2134">
        <v>1554437</v>
      </c>
      <c r="B2134" t="s">
        <v>18</v>
      </c>
      <c r="C2134" t="s">
        <v>59</v>
      </c>
      <c r="D2134" t="s">
        <v>233</v>
      </c>
      <c r="E2134" t="s">
        <v>2013</v>
      </c>
      <c r="F2134" t="s">
        <v>22</v>
      </c>
      <c r="G2134" t="s">
        <v>47</v>
      </c>
      <c r="H2134" t="s">
        <v>37</v>
      </c>
      <c r="I2134" t="s">
        <v>25</v>
      </c>
      <c r="J2134" s="2">
        <v>45817.471817129634</v>
      </c>
      <c r="K2134">
        <v>9</v>
      </c>
      <c r="L2134">
        <v>6</v>
      </c>
      <c r="M2134">
        <v>2025</v>
      </c>
      <c r="N2134" t="s">
        <v>27</v>
      </c>
      <c r="O2134">
        <v>200</v>
      </c>
      <c r="P2134">
        <v>200</v>
      </c>
      <c r="R2134" s="3" t="str">
        <f>HYPERLINK("https://panda.att.com.mx/ODKServer/view/binaryData?blobKey=FSSuministroFluidosv3%5B%40version%3Dnull+and+%40uiVersion%3Dnull%5D%2Fdata%5B%40key%3Duuid%3A8adc3061-71fc-4bee-98a0-11bbee89269e%5D%2FgroupInfoFuel%5B%40ordinal%3D1%5D%2FpicFuelRecibeInterno","Descargar")</f>
        <v>Descargar</v>
      </c>
    </row>
    <row r="2135" spans="1:18" x14ac:dyDescent="0.3">
      <c r="A2135">
        <v>1554432</v>
      </c>
      <c r="B2135" t="s">
        <v>18</v>
      </c>
      <c r="C2135" t="s">
        <v>55</v>
      </c>
      <c r="D2135" t="s">
        <v>56</v>
      </c>
      <c r="E2135" t="s">
        <v>2014</v>
      </c>
      <c r="F2135" t="s">
        <v>22</v>
      </c>
      <c r="G2135" t="s">
        <v>23</v>
      </c>
      <c r="H2135" t="s">
        <v>1763</v>
      </c>
      <c r="I2135" t="s">
        <v>25</v>
      </c>
      <c r="J2135" s="2">
        <v>45817.89916666667</v>
      </c>
      <c r="K2135">
        <v>9</v>
      </c>
      <c r="L2135">
        <v>6</v>
      </c>
      <c r="M2135">
        <v>2025</v>
      </c>
      <c r="N2135" t="s">
        <v>27</v>
      </c>
      <c r="O2135">
        <v>300</v>
      </c>
      <c r="P2135">
        <v>300</v>
      </c>
      <c r="R2135" s="3" t="str">
        <f>HYPERLINK("https://panda.att.com.mx/ODKServer/view/binaryData?blobKey=FSSuministroFluidosv3%5B%40version%3Dnull+and+%40uiVersion%3Dnull%5D%2Fdata%5B%40key%3Duuid%3A08ac9718-d21f-45f3-93dc-8b369ba98529%5D%2FgroupInfoFuel%5B%40ordinal%3D1%5D%2FpicFuelRecibeInterno","Descargar")</f>
        <v>Descargar</v>
      </c>
    </row>
    <row r="2136" spans="1:18" x14ac:dyDescent="0.3">
      <c r="A2136">
        <v>1554422</v>
      </c>
      <c r="B2136" t="s">
        <v>18</v>
      </c>
      <c r="C2136" t="s">
        <v>34</v>
      </c>
      <c r="D2136" t="s">
        <v>53</v>
      </c>
      <c r="E2136" t="s">
        <v>2015</v>
      </c>
      <c r="F2136" t="s">
        <v>22</v>
      </c>
      <c r="G2136" t="s">
        <v>23</v>
      </c>
      <c r="H2136" t="s">
        <v>1763</v>
      </c>
      <c r="I2136" t="s">
        <v>25</v>
      </c>
      <c r="J2136" s="2">
        <v>45807.912326388891</v>
      </c>
      <c r="K2136">
        <v>30</v>
      </c>
      <c r="L2136">
        <v>5</v>
      </c>
      <c r="M2136">
        <v>2025</v>
      </c>
      <c r="N2136" t="s">
        <v>27</v>
      </c>
      <c r="O2136">
        <v>100</v>
      </c>
      <c r="P2136">
        <v>100</v>
      </c>
      <c r="R2136" s="3" t="str">
        <f>HYPERLINK("https://panda.att.com.mx/ODKServer/view/binaryData?blobKey=FSSuministroFluidosv3%5B%40version%3Dnull+and+%40uiVersion%3Dnull%5D%2Fdata%5B%40key%3Duuid%3Ae9e0cc1d-852b-4083-bbb4-1fd9aad291d5%5D%2FgroupInfoFuel%5B%40ordinal%3D1%5D%2FpicFuelRecibeInterno","Descargar")</f>
        <v>Descargar</v>
      </c>
    </row>
    <row r="2137" spans="1:18" x14ac:dyDescent="0.3">
      <c r="A2137">
        <v>1554410</v>
      </c>
      <c r="B2137" t="s">
        <v>18</v>
      </c>
      <c r="C2137" t="s">
        <v>34</v>
      </c>
      <c r="D2137" t="s">
        <v>53</v>
      </c>
      <c r="E2137" t="s">
        <v>1771</v>
      </c>
      <c r="F2137" t="s">
        <v>22</v>
      </c>
      <c r="G2137" t="s">
        <v>23</v>
      </c>
      <c r="H2137" t="s">
        <v>37</v>
      </c>
      <c r="I2137" t="s">
        <v>25</v>
      </c>
      <c r="J2137" s="2">
        <v>45817.789166666669</v>
      </c>
      <c r="K2137">
        <v>9</v>
      </c>
      <c r="L2137">
        <v>6</v>
      </c>
      <c r="M2137">
        <v>2025</v>
      </c>
      <c r="N2137" t="s">
        <v>27</v>
      </c>
      <c r="O2137">
        <v>150</v>
      </c>
      <c r="P2137">
        <v>150</v>
      </c>
      <c r="R2137" s="3" t="str">
        <f>HYPERLINK("https://panda.att.com.mx/ODKServer/view/binaryData?blobKey=FSSuministroFluidosv3%5B%40version%3Dnull+and+%40uiVersion%3Dnull%5D%2Fdata%5B%40key%3Duuid%3Aaf70f81d-5ef5-465a-a4fc-f0cb7720b715%5D%2FgroupInfoFuel%5B%40ordinal%3D1%5D%2FpicFuelRecibeInterno","Descargar")</f>
        <v>Descargar</v>
      </c>
    </row>
    <row r="2138" spans="1:18" x14ac:dyDescent="0.3">
      <c r="A2138">
        <v>1554409</v>
      </c>
      <c r="B2138" t="s">
        <v>18</v>
      </c>
      <c r="C2138" t="s">
        <v>34</v>
      </c>
      <c r="D2138" t="s">
        <v>53</v>
      </c>
      <c r="E2138" t="s">
        <v>1771</v>
      </c>
      <c r="F2138" t="s">
        <v>22</v>
      </c>
      <c r="G2138" t="s">
        <v>23</v>
      </c>
      <c r="H2138" t="s">
        <v>37</v>
      </c>
      <c r="I2138" t="s">
        <v>25</v>
      </c>
      <c r="J2138" s="2">
        <v>45817.783842592587</v>
      </c>
      <c r="K2138">
        <v>9</v>
      </c>
      <c r="L2138">
        <v>6</v>
      </c>
      <c r="M2138">
        <v>2025</v>
      </c>
      <c r="N2138" t="s">
        <v>27</v>
      </c>
      <c r="O2138">
        <v>450</v>
      </c>
      <c r="P2138">
        <v>450</v>
      </c>
      <c r="R2138" s="3" t="str">
        <f>HYPERLINK("https://panda.att.com.mx/ODKServer/view/binaryData?blobKey=FSSuministroFluidosv3%5B%40version%3Dnull+and+%40uiVersion%3Dnull%5D%2Fdata%5B%40key%3Duuid%3Ad03f7200-5ba3-4182-8509-2d3638916b4d%5D%2FgroupInfoFuel%5B%40ordinal%3D1%5D%2FpicFuelRecibeInterno","Descargar")</f>
        <v>Descargar</v>
      </c>
    </row>
    <row r="2139" spans="1:18" x14ac:dyDescent="0.3">
      <c r="A2139">
        <v>1554394</v>
      </c>
      <c r="B2139" t="s">
        <v>18</v>
      </c>
      <c r="C2139" t="s">
        <v>34</v>
      </c>
      <c r="D2139" t="s">
        <v>53</v>
      </c>
      <c r="E2139" t="s">
        <v>2016</v>
      </c>
      <c r="F2139" t="s">
        <v>22</v>
      </c>
      <c r="G2139" t="s">
        <v>23</v>
      </c>
      <c r="H2139" t="s">
        <v>37</v>
      </c>
      <c r="I2139" t="s">
        <v>25</v>
      </c>
      <c r="J2139" s="2">
        <v>45817.808599537027</v>
      </c>
      <c r="K2139">
        <v>9</v>
      </c>
      <c r="L2139">
        <v>6</v>
      </c>
      <c r="M2139">
        <v>2025</v>
      </c>
      <c r="N2139" t="s">
        <v>27</v>
      </c>
      <c r="O2139">
        <v>100</v>
      </c>
      <c r="P2139">
        <v>100</v>
      </c>
      <c r="R2139" s="3" t="str">
        <f>HYPERLINK("https://panda.att.com.mx/ODKServer/view/binaryData?blobKey=FSSuministroFluidosv3%5B%40version%3Dnull+and+%40uiVersion%3Dnull%5D%2Fdata%5B%40key%3Duuid%3A12be990b-19e8-43c2-842d-8656b42918b7%5D%2FgroupInfoFuel%5B%40ordinal%3D1%5D%2FpicFuelRecibeInterno","Descargar")</f>
        <v>Descargar</v>
      </c>
    </row>
    <row r="2140" spans="1:18" x14ac:dyDescent="0.3">
      <c r="A2140">
        <v>1554371</v>
      </c>
      <c r="B2140" t="s">
        <v>18</v>
      </c>
      <c r="C2140" t="s">
        <v>34</v>
      </c>
      <c r="D2140" t="s">
        <v>53</v>
      </c>
      <c r="E2140" t="s">
        <v>2017</v>
      </c>
      <c r="F2140" t="s">
        <v>22</v>
      </c>
      <c r="G2140" t="s">
        <v>23</v>
      </c>
      <c r="H2140" t="s">
        <v>37</v>
      </c>
      <c r="I2140" t="s">
        <v>25</v>
      </c>
      <c r="J2140" s="2">
        <v>45817.394085648149</v>
      </c>
      <c r="K2140">
        <v>9</v>
      </c>
      <c r="L2140">
        <v>6</v>
      </c>
      <c r="M2140">
        <v>2025</v>
      </c>
      <c r="N2140" t="s">
        <v>27</v>
      </c>
      <c r="O2140">
        <v>200</v>
      </c>
      <c r="P2140">
        <v>200</v>
      </c>
      <c r="R2140" s="3" t="str">
        <f>HYPERLINK("https://panda.att.com.mx/ODKServer/view/binaryData?blobKey=FSSuministroFluidosv3%5B%40version%3Dnull+and+%40uiVersion%3Dnull%5D%2Fdata%5B%40key%3Duuid%3A11af24a2-f413-4278-91f2-45bad54b81b3%5D%2FgroupInfoFuel%5B%40ordinal%3D1%5D%2FpicFuelRecibeInterno","Descargar")</f>
        <v>Descargar</v>
      </c>
    </row>
    <row r="2141" spans="1:18" x14ac:dyDescent="0.3">
      <c r="A2141">
        <v>1554191</v>
      </c>
      <c r="B2141" t="s">
        <v>18</v>
      </c>
      <c r="C2141" t="s">
        <v>55</v>
      </c>
      <c r="D2141" t="s">
        <v>56</v>
      </c>
      <c r="E2141" t="s">
        <v>1560</v>
      </c>
      <c r="F2141" t="s">
        <v>22</v>
      </c>
      <c r="G2141" t="s">
        <v>23</v>
      </c>
      <c r="H2141" t="s">
        <v>1763</v>
      </c>
      <c r="I2141" t="s">
        <v>25</v>
      </c>
      <c r="J2141" s="2">
        <v>45808.575648148151</v>
      </c>
      <c r="K2141">
        <v>31</v>
      </c>
      <c r="L2141">
        <v>5</v>
      </c>
      <c r="M2141">
        <v>2025</v>
      </c>
      <c r="N2141" t="s">
        <v>27</v>
      </c>
      <c r="O2141">
        <v>200</v>
      </c>
      <c r="P2141">
        <v>200</v>
      </c>
      <c r="R2141" s="3" t="str">
        <f>HYPERLINK("https://panda.att.com.mx/ODKServer/view/binaryData?blobKey=FSSuministroFluidosv3%5B%40version%3Dnull+and+%40uiVersion%3Dnull%5D%2Fdata%5B%40key%3Duuid%3Ac50bf421-0cce-4b49-a309-95ef8c23a9ad%5D%2FgroupInfoFuel%5B%40ordinal%3D1%5D%2FpicFuelRecibeInterno","Descargar")</f>
        <v>Descargar</v>
      </c>
    </row>
    <row r="2142" spans="1:18" x14ac:dyDescent="0.3">
      <c r="A2142">
        <v>1554177</v>
      </c>
      <c r="B2142" t="s">
        <v>18</v>
      </c>
      <c r="C2142" t="s">
        <v>28</v>
      </c>
      <c r="D2142" t="s">
        <v>31</v>
      </c>
      <c r="E2142" t="s">
        <v>32</v>
      </c>
      <c r="F2142" t="s">
        <v>33</v>
      </c>
      <c r="G2142" t="s">
        <v>23</v>
      </c>
      <c r="H2142" t="s">
        <v>24</v>
      </c>
      <c r="I2142" t="s">
        <v>25</v>
      </c>
      <c r="J2142" s="2">
        <v>45815.441296296303</v>
      </c>
      <c r="K2142">
        <v>7</v>
      </c>
      <c r="L2142">
        <v>6</v>
      </c>
      <c r="M2142">
        <v>2025</v>
      </c>
      <c r="N2142" t="s">
        <v>27</v>
      </c>
      <c r="O2142">
        <v>150</v>
      </c>
      <c r="P2142">
        <v>150</v>
      </c>
      <c r="R2142" s="3" t="str">
        <f>HYPERLINK("https://panda.att.com.mx/ODKServer/view/binaryData?blobKey=FSSuministroFluidosv3%5B%40version%3Dnull+and+%40uiVersion%3Dnull%5D%2Fdata%5B%40key%3Duuid%3Aadf38c4e-0698-4ffe-8c2f-3587919d56e6%5D%2FgroupInfoFuel%5B%40ordinal%3D1%5D%2FpicFuelRecibeInterno","Descargar")</f>
        <v>Descargar</v>
      </c>
    </row>
    <row r="2143" spans="1:18" x14ac:dyDescent="0.3">
      <c r="A2143">
        <v>1554118</v>
      </c>
      <c r="B2143" t="s">
        <v>18</v>
      </c>
      <c r="C2143" t="s">
        <v>19</v>
      </c>
      <c r="D2143" t="s">
        <v>45</v>
      </c>
      <c r="E2143" t="s">
        <v>692</v>
      </c>
      <c r="F2143" t="s">
        <v>22</v>
      </c>
      <c r="G2143" t="s">
        <v>23</v>
      </c>
      <c r="H2143" t="s">
        <v>24</v>
      </c>
      <c r="I2143" t="s">
        <v>25</v>
      </c>
      <c r="J2143" s="2">
        <v>45817.629837962973</v>
      </c>
      <c r="K2143">
        <v>9</v>
      </c>
      <c r="L2143">
        <v>6</v>
      </c>
      <c r="M2143">
        <v>2025</v>
      </c>
      <c r="N2143" t="s">
        <v>27</v>
      </c>
      <c r="O2143">
        <v>304</v>
      </c>
      <c r="P2143">
        <v>304</v>
      </c>
      <c r="R2143" s="3" t="str">
        <f>HYPERLINK("https://panda.att.com.mx/ODKServer/view/binaryData?blobKey=FSSuministroFluidosv3%5B%40version%3Dnull+and+%40uiVersion%3Dnull%5D%2Fdata%5B%40key%3Duuid%3Af7cc6056-ed63-4bb1-9526-433f4b6b258c%5D%2FgroupInfoFuel%5B%40ordinal%3D1%5D%2FpicFuelRecibeInterno","Descargar")</f>
        <v>Descargar</v>
      </c>
    </row>
    <row r="2144" spans="1:18" x14ac:dyDescent="0.3">
      <c r="A2144">
        <v>1554101</v>
      </c>
      <c r="B2144" t="s">
        <v>18</v>
      </c>
      <c r="C2144" t="s">
        <v>19</v>
      </c>
      <c r="D2144" t="s">
        <v>45</v>
      </c>
      <c r="E2144" t="s">
        <v>692</v>
      </c>
      <c r="F2144" t="s">
        <v>22</v>
      </c>
      <c r="G2144" t="s">
        <v>23</v>
      </c>
      <c r="H2144" t="s">
        <v>24</v>
      </c>
      <c r="I2144" t="s">
        <v>25</v>
      </c>
      <c r="J2144" s="2">
        <v>45817.617858796293</v>
      </c>
      <c r="K2144">
        <v>9</v>
      </c>
      <c r="L2144">
        <v>6</v>
      </c>
      <c r="M2144">
        <v>2025</v>
      </c>
      <c r="N2144" t="s">
        <v>27</v>
      </c>
      <c r="O2144">
        <v>300</v>
      </c>
      <c r="P2144">
        <v>300</v>
      </c>
      <c r="R2144" s="3" t="str">
        <f>HYPERLINK("https://panda.att.com.mx/ODKServer/view/binaryData?blobKey=FSSuministroFluidosv3%5B%40version%3Dnull+and+%40uiVersion%3Dnull%5D%2Fdata%5B%40key%3Duuid%3A46a4e1c7-dc95-48ab-a631-dc464b02cb3a%5D%2FgroupInfoFuel%5B%40ordinal%3D1%5D%2FpicFuelRecibeInterno","Descargar")</f>
        <v>Descargar</v>
      </c>
    </row>
    <row r="2145" spans="1:18" x14ac:dyDescent="0.3">
      <c r="A2145">
        <v>1554065</v>
      </c>
      <c r="B2145" t="s">
        <v>18</v>
      </c>
      <c r="C2145" t="s">
        <v>28</v>
      </c>
      <c r="D2145" t="s">
        <v>192</v>
      </c>
      <c r="E2145" t="s">
        <v>1678</v>
      </c>
      <c r="F2145" t="s">
        <v>22</v>
      </c>
      <c r="G2145" t="s">
        <v>23</v>
      </c>
      <c r="H2145" t="s">
        <v>24</v>
      </c>
      <c r="I2145" t="s">
        <v>25</v>
      </c>
      <c r="J2145" s="2">
        <v>45790.591365740736</v>
      </c>
      <c r="K2145">
        <v>13</v>
      </c>
      <c r="L2145">
        <v>5</v>
      </c>
      <c r="M2145">
        <v>2025</v>
      </c>
      <c r="N2145" t="s">
        <v>44</v>
      </c>
      <c r="O2145">
        <v>60</v>
      </c>
      <c r="P2145">
        <v>60</v>
      </c>
      <c r="R2145" s="3" t="str">
        <f>HYPERLINK("https://panda.att.com.mx/ODKServer/view/binaryData?blobKey=FSSuministroFluidosv3%5B%40version%3Dnull+and+%40uiVersion%3Dnull%5D%2Fdata%5B%40key%3Duuid%3A31e134cb-ffbd-4e77-a7b0-dbbb344aac07%5D%2FgroupInfoFuel%5B%40ordinal%3D1%5D%2FpicFuelRecibeInterno","Descargar")</f>
        <v>Descargar</v>
      </c>
    </row>
    <row r="2146" spans="1:18" x14ac:dyDescent="0.3">
      <c r="A2146">
        <v>1554025</v>
      </c>
      <c r="B2146" t="s">
        <v>18</v>
      </c>
      <c r="C2146" t="s">
        <v>59</v>
      </c>
      <c r="D2146" t="s">
        <v>597</v>
      </c>
      <c r="E2146" t="s">
        <v>1495</v>
      </c>
      <c r="F2146" t="s">
        <v>22</v>
      </c>
      <c r="G2146" t="s">
        <v>23</v>
      </c>
      <c r="H2146" t="s">
        <v>37</v>
      </c>
      <c r="I2146" t="s">
        <v>25</v>
      </c>
      <c r="J2146" s="2">
        <v>45817.497245370367</v>
      </c>
      <c r="K2146">
        <v>9</v>
      </c>
      <c r="L2146">
        <v>6</v>
      </c>
      <c r="M2146">
        <v>2025</v>
      </c>
      <c r="N2146" t="s">
        <v>44</v>
      </c>
      <c r="O2146">
        <v>60</v>
      </c>
      <c r="P2146">
        <v>60</v>
      </c>
      <c r="R2146" s="3" t="str">
        <f>HYPERLINK("https://panda.att.com.mx/ODKServer/view/binaryData?blobKey=FSSuministroFluidosv3%5B%40version%3Dnull+and+%40uiVersion%3Dnull%5D%2Fdata%5B%40key%3Duuid%3A0881d1d0-f380-40e6-bdf2-793d0cfff587%5D%2FgroupInfoFuel%5B%40ordinal%3D1%5D%2FpicFuelRecibeInterno","Descargar")</f>
        <v>Descargar</v>
      </c>
    </row>
    <row r="2147" spans="1:18" x14ac:dyDescent="0.3">
      <c r="A2147">
        <v>1553955</v>
      </c>
      <c r="B2147" t="s">
        <v>18</v>
      </c>
      <c r="C2147" t="s">
        <v>68</v>
      </c>
      <c r="D2147" t="s">
        <v>332</v>
      </c>
      <c r="E2147" t="s">
        <v>2018</v>
      </c>
      <c r="F2147" t="s">
        <v>22</v>
      </c>
      <c r="G2147" t="s">
        <v>23</v>
      </c>
      <c r="H2147" t="s">
        <v>37</v>
      </c>
      <c r="I2147" t="s">
        <v>25</v>
      </c>
      <c r="J2147" s="2">
        <v>45817.506828703707</v>
      </c>
      <c r="K2147">
        <v>9</v>
      </c>
      <c r="L2147">
        <v>6</v>
      </c>
      <c r="M2147">
        <v>2025</v>
      </c>
      <c r="N2147" t="s">
        <v>27</v>
      </c>
      <c r="O2147">
        <v>150</v>
      </c>
      <c r="P2147">
        <v>150</v>
      </c>
      <c r="R2147" s="3" t="str">
        <f>HYPERLINK("https://panda.att.com.mx/ODKServer/view/binaryData?blobKey=FSSuministroFluidosv3%5B%40version%3Dnull+and+%40uiVersion%3Dnull%5D%2Fdata%5B%40key%3Duuid%3Ab2618c5f-6d1a-4093-8652-fec56c984574%5D%2FgroupInfoFuel%5B%40ordinal%3D1%5D%2FpicFuelRecibeInterno","Descargar")</f>
        <v>Descargar</v>
      </c>
    </row>
    <row r="2148" spans="1:18" x14ac:dyDescent="0.3">
      <c r="A2148">
        <v>1553692</v>
      </c>
      <c r="B2148" t="s">
        <v>18</v>
      </c>
      <c r="C2148" t="s">
        <v>55</v>
      </c>
      <c r="D2148" t="s">
        <v>56</v>
      </c>
      <c r="E2148" t="s">
        <v>2019</v>
      </c>
      <c r="F2148" t="s">
        <v>22</v>
      </c>
      <c r="G2148" t="s">
        <v>23</v>
      </c>
      <c r="H2148" t="s">
        <v>1763</v>
      </c>
      <c r="I2148" t="s">
        <v>25</v>
      </c>
      <c r="J2148" s="2">
        <v>45809.648981481478</v>
      </c>
      <c r="K2148">
        <v>1</v>
      </c>
      <c r="L2148">
        <v>6</v>
      </c>
      <c r="M2148">
        <v>2025</v>
      </c>
      <c r="N2148" t="s">
        <v>27</v>
      </c>
      <c r="O2148">
        <v>100</v>
      </c>
      <c r="P2148">
        <v>100</v>
      </c>
      <c r="R2148" s="3" t="str">
        <f>HYPERLINK("https://panda.att.com.mx/ODKServer/view/binaryData?blobKey=FSSuministroFluidosv3%5B%40version%3Dnull+and+%40uiVersion%3Dnull%5D%2Fdata%5B%40key%3Duuid%3A1683514e-da33-448a-8d5a-9d77e32fb7c8%5D%2FgroupInfoFuel%5B%40ordinal%3D1%5D%2FpicFuelRecibeInterno","Descargar")</f>
        <v>Descargar</v>
      </c>
    </row>
    <row r="2149" spans="1:18" x14ac:dyDescent="0.3">
      <c r="A2149">
        <v>1553660</v>
      </c>
      <c r="B2149" t="s">
        <v>18</v>
      </c>
      <c r="C2149" t="s">
        <v>167</v>
      </c>
      <c r="D2149" t="s">
        <v>385</v>
      </c>
      <c r="E2149" t="s">
        <v>2020</v>
      </c>
      <c r="F2149" t="s">
        <v>22</v>
      </c>
      <c r="G2149" t="s">
        <v>23</v>
      </c>
      <c r="H2149" t="s">
        <v>58</v>
      </c>
      <c r="I2149" t="s">
        <v>25</v>
      </c>
      <c r="J2149" s="2">
        <v>45816.647037037037</v>
      </c>
      <c r="K2149">
        <v>8</v>
      </c>
      <c r="L2149">
        <v>6</v>
      </c>
      <c r="M2149">
        <v>2025</v>
      </c>
      <c r="N2149" t="s">
        <v>27</v>
      </c>
      <c r="O2149">
        <v>100</v>
      </c>
      <c r="P2149">
        <v>100</v>
      </c>
      <c r="R2149" s="3" t="str">
        <f>HYPERLINK("https://panda.att.com.mx/ODKServer/view/binaryData?blobKey=FSSuministroFluidosv3%5B%40version%3Dnull+and+%40uiVersion%3Dnull%5D%2Fdata%5B%40key%3Duuid%3A802feeeb-6042-4e57-a5c4-53e777556603%5D%2FgroupInfoFuel%5B%40ordinal%3D1%5D%2FpicFuelRecibeInterno","Descargar")</f>
        <v>Descargar</v>
      </c>
    </row>
    <row r="2150" spans="1:18" x14ac:dyDescent="0.3">
      <c r="A2150">
        <v>1553653</v>
      </c>
      <c r="B2150" t="s">
        <v>18</v>
      </c>
      <c r="C2150" t="s">
        <v>19</v>
      </c>
      <c r="D2150" t="s">
        <v>62</v>
      </c>
      <c r="E2150" t="s">
        <v>1139</v>
      </c>
      <c r="F2150" t="s">
        <v>22</v>
      </c>
      <c r="G2150" t="s">
        <v>23</v>
      </c>
      <c r="H2150" t="s">
        <v>24</v>
      </c>
      <c r="I2150" t="s">
        <v>25</v>
      </c>
      <c r="J2150" s="2">
        <v>45815.811516203707</v>
      </c>
      <c r="K2150">
        <v>7</v>
      </c>
      <c r="L2150">
        <v>6</v>
      </c>
      <c r="M2150">
        <v>2025</v>
      </c>
      <c r="N2150" t="s">
        <v>27</v>
      </c>
      <c r="O2150">
        <v>250</v>
      </c>
      <c r="P2150">
        <v>250</v>
      </c>
      <c r="R2150" s="3" t="str">
        <f>HYPERLINK("https://panda.att.com.mx/ODKServer/view/binaryData?blobKey=FSSuministroFluidosv3%5B%40version%3Dnull+and+%40uiVersion%3Dnull%5D%2Fdata%5B%40key%3Duuid%3A6b803970-4619-4e34-a198-c4895c000ef7%5D%2FgroupInfoFuel%5B%40ordinal%3D1%5D%2FpicFuelRecibeInterno","Descargar")</f>
        <v>Descargar</v>
      </c>
    </row>
    <row r="2151" spans="1:18" x14ac:dyDescent="0.3">
      <c r="A2151">
        <v>1553639</v>
      </c>
      <c r="B2151" t="s">
        <v>18</v>
      </c>
      <c r="C2151" t="s">
        <v>19</v>
      </c>
      <c r="D2151" t="s">
        <v>156</v>
      </c>
      <c r="E2151" t="s">
        <v>493</v>
      </c>
      <c r="F2151" t="s">
        <v>22</v>
      </c>
      <c r="G2151" t="s">
        <v>23</v>
      </c>
      <c r="H2151" t="s">
        <v>24</v>
      </c>
      <c r="I2151" t="s">
        <v>25</v>
      </c>
      <c r="J2151" s="2">
        <v>45807.871863425928</v>
      </c>
      <c r="K2151">
        <v>30</v>
      </c>
      <c r="L2151">
        <v>5</v>
      </c>
      <c r="M2151">
        <v>2025</v>
      </c>
      <c r="N2151" t="s">
        <v>44</v>
      </c>
      <c r="O2151">
        <v>21</v>
      </c>
      <c r="P2151">
        <v>21</v>
      </c>
      <c r="R2151" s="3" t="str">
        <f>HYPERLINK("https://panda.att.com.mx/ODKServer/view/binaryData?blobKey=FSSuministroFluidosv3%5B%40version%3Dnull+and+%40uiVersion%3Dnull%5D%2Fdata%5B%40key%3Duuid%3A8e40fe1d-e0d0-4503-a61c-2048f5638b80%5D%2FgroupInfoFuel%5B%40ordinal%3D1%5D%2FpicFuelRecibeInterno","Descargar")</f>
        <v>Descargar</v>
      </c>
    </row>
    <row r="2152" spans="1:18" x14ac:dyDescent="0.3">
      <c r="A2152">
        <v>1552724</v>
      </c>
      <c r="B2152" t="s">
        <v>18</v>
      </c>
      <c r="C2152" t="s">
        <v>55</v>
      </c>
      <c r="D2152" t="s">
        <v>1983</v>
      </c>
      <c r="E2152" t="s">
        <v>2021</v>
      </c>
      <c r="F2152" t="s">
        <v>22</v>
      </c>
      <c r="G2152" t="s">
        <v>23</v>
      </c>
      <c r="H2152" t="s">
        <v>1763</v>
      </c>
      <c r="I2152" t="s">
        <v>25</v>
      </c>
      <c r="J2152" s="2">
        <v>45804.568622685183</v>
      </c>
      <c r="K2152">
        <v>27</v>
      </c>
      <c r="L2152">
        <v>5</v>
      </c>
      <c r="M2152">
        <v>2025</v>
      </c>
      <c r="N2152" t="s">
        <v>27</v>
      </c>
      <c r="O2152">
        <v>70</v>
      </c>
      <c r="P2152">
        <v>70</v>
      </c>
      <c r="R2152" s="3" t="str">
        <f>HYPERLINK("https://panda.att.com.mx/ODKServer/view/binaryData?blobKey=FSSuministroFluidosv3%5B%40version%3Dnull+and+%40uiVersion%3Dnull%5D%2Fdata%5B%40key%3Duuid%3Af7b81f04-0ab9-4e55-9502-db512e6fbff0%5D%2FgroupInfoFuel%5B%40ordinal%3D1%5D%2FpicFuelRecibeInterno","Descargar")</f>
        <v>Descargar</v>
      </c>
    </row>
    <row r="2153" spans="1:18" x14ac:dyDescent="0.3">
      <c r="A2153">
        <v>1552652</v>
      </c>
      <c r="B2153" t="s">
        <v>18</v>
      </c>
      <c r="C2153" t="s">
        <v>19</v>
      </c>
      <c r="D2153" t="s">
        <v>170</v>
      </c>
      <c r="E2153" t="s">
        <v>2022</v>
      </c>
      <c r="F2153" t="s">
        <v>22</v>
      </c>
      <c r="G2153" t="s">
        <v>23</v>
      </c>
      <c r="H2153" t="s">
        <v>24</v>
      </c>
      <c r="I2153" t="s">
        <v>25</v>
      </c>
      <c r="J2153" s="2">
        <v>45813.715312499997</v>
      </c>
      <c r="K2153">
        <v>5</v>
      </c>
      <c r="L2153">
        <v>6</v>
      </c>
      <c r="M2153">
        <v>2025</v>
      </c>
      <c r="N2153" t="s">
        <v>27</v>
      </c>
      <c r="O2153">
        <v>100</v>
      </c>
      <c r="P2153">
        <v>100</v>
      </c>
      <c r="R2153" s="3" t="str">
        <f>HYPERLINK("https://panda.att.com.mx/ODKServer/view/binaryData?blobKey=FSSuministroFluidosv3%5B%40version%3Dnull+and+%40uiVersion%3Dnull%5D%2Fdata%5B%40key%3Duuid%3A0abc71fb-0f82-45e4-8b2e-0b9c2f68076b%5D%2FgroupInfoFuel%5B%40ordinal%3D1%5D%2FpicFuelRecibeInterno","Descargar")</f>
        <v>Descargar</v>
      </c>
    </row>
    <row r="2154" spans="1:18" x14ac:dyDescent="0.3">
      <c r="A2154">
        <v>1552648</v>
      </c>
      <c r="B2154" t="s">
        <v>18</v>
      </c>
      <c r="C2154" t="s">
        <v>19</v>
      </c>
      <c r="D2154" t="s">
        <v>170</v>
      </c>
      <c r="E2154" t="s">
        <v>171</v>
      </c>
      <c r="F2154" t="s">
        <v>22</v>
      </c>
      <c r="G2154" t="s">
        <v>23</v>
      </c>
      <c r="H2154" t="s">
        <v>24</v>
      </c>
      <c r="I2154" t="s">
        <v>25</v>
      </c>
      <c r="J2154" s="2">
        <v>45813.476701388892</v>
      </c>
      <c r="K2154">
        <v>5</v>
      </c>
      <c r="L2154">
        <v>6</v>
      </c>
      <c r="M2154">
        <v>2025</v>
      </c>
      <c r="N2154" t="s">
        <v>27</v>
      </c>
      <c r="O2154">
        <v>400</v>
      </c>
      <c r="P2154">
        <v>400</v>
      </c>
      <c r="R2154" s="3" t="str">
        <f>HYPERLINK("https://panda.att.com.mx/ODKServer/view/binaryData?blobKey=FSSuministroFluidosv3%5B%40version%3Dnull+and+%40uiVersion%3Dnull%5D%2Fdata%5B%40key%3Duuid%3Aaba1f210-db73-4754-b0c5-7678c6a86bff%5D%2FgroupInfoFuel%5B%40ordinal%3D1%5D%2FpicFuelRecibeInterno","Descargar")</f>
        <v>Descargar</v>
      </c>
    </row>
    <row r="2155" spans="1:18" x14ac:dyDescent="0.3">
      <c r="A2155">
        <v>1552647</v>
      </c>
      <c r="B2155" t="s">
        <v>18</v>
      </c>
      <c r="C2155" t="s">
        <v>19</v>
      </c>
      <c r="D2155" t="s">
        <v>170</v>
      </c>
      <c r="E2155" t="s">
        <v>171</v>
      </c>
      <c r="F2155" t="s">
        <v>22</v>
      </c>
      <c r="G2155" t="s">
        <v>23</v>
      </c>
      <c r="H2155" t="s">
        <v>24</v>
      </c>
      <c r="I2155" t="s">
        <v>25</v>
      </c>
      <c r="J2155" s="2">
        <v>45810.542268518519</v>
      </c>
      <c r="K2155">
        <v>2</v>
      </c>
      <c r="L2155">
        <v>6</v>
      </c>
      <c r="M2155">
        <v>2025</v>
      </c>
      <c r="N2155" t="s">
        <v>27</v>
      </c>
      <c r="O2155">
        <v>400</v>
      </c>
      <c r="P2155">
        <v>400</v>
      </c>
      <c r="R2155" s="3" t="str">
        <f>HYPERLINK("https://panda.att.com.mx/ODKServer/view/binaryData?blobKey=FSSuministroFluidosv3%5B%40version%3Dnull+and+%40uiVersion%3Dnull%5D%2Fdata%5B%40key%3Duuid%3A0d57f11c-35f5-4bf1-aff5-259c154a357f%5D%2FgroupInfoFuel%5B%40ordinal%3D1%5D%2FpicFuelRecibeInterno","Descargar")</f>
        <v>Descargar</v>
      </c>
    </row>
    <row r="2156" spans="1:18" x14ac:dyDescent="0.3">
      <c r="A2156">
        <v>1552646</v>
      </c>
      <c r="B2156" t="s">
        <v>18</v>
      </c>
      <c r="C2156" t="s">
        <v>68</v>
      </c>
      <c r="D2156" t="s">
        <v>461</v>
      </c>
      <c r="E2156" t="s">
        <v>975</v>
      </c>
      <c r="F2156" t="s">
        <v>22</v>
      </c>
      <c r="G2156" t="s">
        <v>23</v>
      </c>
      <c r="H2156" t="s">
        <v>37</v>
      </c>
      <c r="I2156" t="s">
        <v>25</v>
      </c>
      <c r="J2156" s="2">
        <v>45813.603368055563</v>
      </c>
      <c r="K2156">
        <v>5</v>
      </c>
      <c r="L2156">
        <v>6</v>
      </c>
      <c r="M2156">
        <v>2025</v>
      </c>
      <c r="N2156" t="s">
        <v>27</v>
      </c>
      <c r="O2156">
        <v>200</v>
      </c>
      <c r="Q2156">
        <v>200</v>
      </c>
      <c r="R2156" s="3" t="str">
        <f>HYPERLINK("https://panda.att.com.mx/ODKServer/view/binaryData?blobKey=FSSuministroFluidosv3%5B%40version%3Dnull+and+%40uiVersion%3Dnull%5D%2Fdata%5B%40key%3Duuid%3Ae16b7623-6171-49a8-935e-3d05a36caa4d%5D%2FgroupInfoFuel%5B%40ordinal%3D1%5D%2FpicFuelRecibeInterno","Descargar")</f>
        <v>Descargar</v>
      </c>
    </row>
    <row r="2157" spans="1:18" x14ac:dyDescent="0.3">
      <c r="A2157">
        <v>1552617</v>
      </c>
      <c r="B2157" t="s">
        <v>18</v>
      </c>
      <c r="C2157" t="s">
        <v>55</v>
      </c>
      <c r="D2157" t="s">
        <v>56</v>
      </c>
      <c r="E2157" t="s">
        <v>2023</v>
      </c>
      <c r="F2157" t="s">
        <v>22</v>
      </c>
      <c r="G2157" t="s">
        <v>23</v>
      </c>
      <c r="H2157" t="s">
        <v>1763</v>
      </c>
      <c r="I2157" t="s">
        <v>25</v>
      </c>
      <c r="J2157" s="2">
        <v>45804.624247685177</v>
      </c>
      <c r="K2157">
        <v>27</v>
      </c>
      <c r="L2157">
        <v>5</v>
      </c>
      <c r="M2157">
        <v>2025</v>
      </c>
      <c r="N2157" t="s">
        <v>27</v>
      </c>
      <c r="O2157">
        <v>100</v>
      </c>
      <c r="P2157">
        <v>100</v>
      </c>
      <c r="R2157" s="3" t="str">
        <f>HYPERLINK("https://panda.att.com.mx/ODKServer/view/binaryData?blobKey=FSSuministroFluidosv3%5B%40version%3Dnull+and+%40uiVersion%3Dnull%5D%2Fdata%5B%40key%3Duuid%3A16115d55-93f2-4448-9d78-478c4c479a9b%5D%2FgroupInfoFuel%5B%40ordinal%3D1%5D%2FpicFuelRecibeInterno","Descargar")</f>
        <v>Descargar</v>
      </c>
    </row>
    <row r="2158" spans="1:18" x14ac:dyDescent="0.3">
      <c r="A2158">
        <v>1552616</v>
      </c>
      <c r="B2158" t="s">
        <v>18</v>
      </c>
      <c r="C2158" t="s">
        <v>59</v>
      </c>
      <c r="D2158" t="s">
        <v>60</v>
      </c>
      <c r="E2158" t="s">
        <v>2024</v>
      </c>
      <c r="F2158" t="s">
        <v>22</v>
      </c>
      <c r="G2158" t="s">
        <v>23</v>
      </c>
      <c r="H2158" t="s">
        <v>37</v>
      </c>
      <c r="I2158" t="s">
        <v>25</v>
      </c>
      <c r="J2158" s="2">
        <v>45813.901307870372</v>
      </c>
      <c r="K2158">
        <v>5</v>
      </c>
      <c r="L2158">
        <v>6</v>
      </c>
      <c r="M2158">
        <v>2025</v>
      </c>
      <c r="N2158" t="s">
        <v>27</v>
      </c>
      <c r="O2158">
        <v>250</v>
      </c>
      <c r="Q2158">
        <v>250</v>
      </c>
      <c r="R2158" s="3" t="str">
        <f>HYPERLINK("https://panda.att.com.mx/ODKServer/view/binaryData?blobKey=FSSuministroFluidosv3%5B%40version%3Dnull+and+%40uiVersion%3Dnull%5D%2Fdata%5B%40key%3Duuid%3Ac93bb6b7-ce1f-4923-a526-7cc8bb843455%5D%2FgroupInfoFuel%5B%40ordinal%3D1%5D%2FpicFuelRecibeInterno","Descargar")</f>
        <v>Descargar</v>
      </c>
    </row>
    <row r="2159" spans="1:18" x14ac:dyDescent="0.3">
      <c r="A2159">
        <v>1552612</v>
      </c>
      <c r="B2159" t="s">
        <v>18</v>
      </c>
      <c r="C2159" t="s">
        <v>55</v>
      </c>
      <c r="D2159" t="s">
        <v>56</v>
      </c>
      <c r="E2159" t="s">
        <v>2025</v>
      </c>
      <c r="F2159" t="s">
        <v>22</v>
      </c>
      <c r="G2159" t="s">
        <v>23</v>
      </c>
      <c r="H2159" t="s">
        <v>1763</v>
      </c>
      <c r="I2159" t="s">
        <v>25</v>
      </c>
      <c r="J2159" s="2">
        <v>45804.647118055553</v>
      </c>
      <c r="K2159">
        <v>27</v>
      </c>
      <c r="L2159">
        <v>5</v>
      </c>
      <c r="M2159">
        <v>2025</v>
      </c>
      <c r="N2159" t="s">
        <v>27</v>
      </c>
      <c r="O2159">
        <v>100</v>
      </c>
      <c r="P2159">
        <v>100</v>
      </c>
      <c r="R2159" s="3" t="str">
        <f>HYPERLINK("https://panda.att.com.mx/ODKServer/view/binaryData?blobKey=FSSuministroFluidosv3%5B%40version%3Dnull+and+%40uiVersion%3Dnull%5D%2Fdata%5B%40key%3Duuid%3Ae7571086-6ef7-4f42-956d-67c81c069358%5D%2FgroupInfoFuel%5B%40ordinal%3D1%5D%2FpicFuelRecibeInterno","Descargar")</f>
        <v>Descargar</v>
      </c>
    </row>
    <row r="2160" spans="1:18" x14ac:dyDescent="0.3">
      <c r="A2160">
        <v>1552611</v>
      </c>
      <c r="B2160" t="s">
        <v>18</v>
      </c>
      <c r="C2160" t="s">
        <v>55</v>
      </c>
      <c r="D2160" t="s">
        <v>56</v>
      </c>
      <c r="E2160" t="s">
        <v>2026</v>
      </c>
      <c r="F2160" t="s">
        <v>22</v>
      </c>
      <c r="G2160" t="s">
        <v>23</v>
      </c>
      <c r="H2160" t="s">
        <v>1763</v>
      </c>
      <c r="I2160" t="s">
        <v>25</v>
      </c>
      <c r="J2160" s="2">
        <v>45809.505740740737</v>
      </c>
      <c r="K2160">
        <v>1</v>
      </c>
      <c r="L2160">
        <v>6</v>
      </c>
      <c r="M2160">
        <v>2025</v>
      </c>
      <c r="N2160" t="s">
        <v>27</v>
      </c>
      <c r="O2160">
        <v>100</v>
      </c>
      <c r="P2160">
        <v>100</v>
      </c>
      <c r="R2160" s="3" t="str">
        <f>HYPERLINK("https://panda.att.com.mx/ODKServer/view/binaryData?blobKey=FSSuministroFluidosv3%5B%40version%3Dnull+and+%40uiVersion%3Dnull%5D%2Fdata%5B%40key%3Duuid%3A928f0cb3-eefa-489e-89ff-287f58fa3894%5D%2FgroupInfoFuel%5B%40ordinal%3D1%5D%2FpicFuelRecibeInterno","Descargar")</f>
        <v>Descargar</v>
      </c>
    </row>
    <row r="2161" spans="1:18" x14ac:dyDescent="0.3">
      <c r="A2161">
        <v>1552601</v>
      </c>
      <c r="B2161" t="s">
        <v>18</v>
      </c>
      <c r="C2161" t="s">
        <v>59</v>
      </c>
      <c r="D2161" t="s">
        <v>60</v>
      </c>
      <c r="E2161" t="s">
        <v>2027</v>
      </c>
      <c r="F2161" t="s">
        <v>22</v>
      </c>
      <c r="G2161" t="s">
        <v>23</v>
      </c>
      <c r="H2161" t="s">
        <v>37</v>
      </c>
      <c r="I2161" t="s">
        <v>25</v>
      </c>
      <c r="J2161" s="2">
        <v>45813.867060185177</v>
      </c>
      <c r="K2161">
        <v>5</v>
      </c>
      <c r="L2161">
        <v>6</v>
      </c>
      <c r="M2161">
        <v>2025</v>
      </c>
      <c r="N2161" t="s">
        <v>27</v>
      </c>
      <c r="O2161">
        <v>250</v>
      </c>
      <c r="P2161">
        <v>250</v>
      </c>
      <c r="R2161" s="3" t="str">
        <f>HYPERLINK("https://panda.att.com.mx/ODKServer/view/binaryData?blobKey=FSSuministroFluidosv3%5B%40version%3Dnull+and+%40uiVersion%3Dnull%5D%2Fdata%5B%40key%3Duuid%3Ac5a661b5-8c63-4cb7-89fa-a7a1ccecd9f4%5D%2FgroupInfoFuel%5B%40ordinal%3D1%5D%2FpicFuelRecibeInterno","Descargar")</f>
        <v>Descargar</v>
      </c>
    </row>
    <row r="2162" spans="1:18" x14ac:dyDescent="0.3">
      <c r="A2162">
        <v>1552577</v>
      </c>
      <c r="B2162" t="s">
        <v>18</v>
      </c>
      <c r="C2162" t="s">
        <v>59</v>
      </c>
      <c r="D2162" t="s">
        <v>60</v>
      </c>
      <c r="E2162" t="s">
        <v>1710</v>
      </c>
      <c r="F2162" t="s">
        <v>22</v>
      </c>
      <c r="G2162" t="s">
        <v>23</v>
      </c>
      <c r="H2162" t="s">
        <v>37</v>
      </c>
      <c r="I2162" t="s">
        <v>25</v>
      </c>
      <c r="J2162" s="2">
        <v>45813.838217592587</v>
      </c>
      <c r="K2162">
        <v>5</v>
      </c>
      <c r="L2162">
        <v>6</v>
      </c>
      <c r="M2162">
        <v>2025</v>
      </c>
      <c r="N2162" t="s">
        <v>27</v>
      </c>
      <c r="O2162">
        <v>130</v>
      </c>
      <c r="P2162">
        <v>130</v>
      </c>
      <c r="R2162" s="3" t="str">
        <f>HYPERLINK("https://panda.att.com.mx/ODKServer/view/binaryData?blobKey=FSSuministroFluidosv3%5B%40version%3Dnull+and+%40uiVersion%3Dnull%5D%2Fdata%5B%40key%3Duuid%3A3624eab3-0e9f-4867-8904-ddda8677289f%5D%2FgroupInfoFuel%5B%40ordinal%3D1%5D%2FpicFuelRecibeInterno","Descargar")</f>
        <v>Descargar</v>
      </c>
    </row>
    <row r="2163" spans="1:18" x14ac:dyDescent="0.3">
      <c r="A2163">
        <v>1552568</v>
      </c>
      <c r="B2163" t="s">
        <v>18</v>
      </c>
      <c r="C2163" t="s">
        <v>59</v>
      </c>
      <c r="D2163" t="s">
        <v>60</v>
      </c>
      <c r="E2163" t="s">
        <v>1710</v>
      </c>
      <c r="F2163" t="s">
        <v>22</v>
      </c>
      <c r="G2163" t="s">
        <v>23</v>
      </c>
      <c r="H2163" t="s">
        <v>37</v>
      </c>
      <c r="I2163" t="s">
        <v>25</v>
      </c>
      <c r="J2163" s="2">
        <v>45812.831261574072</v>
      </c>
      <c r="K2163">
        <v>4</v>
      </c>
      <c r="L2163">
        <v>6</v>
      </c>
      <c r="M2163">
        <v>2025</v>
      </c>
      <c r="N2163" t="s">
        <v>27</v>
      </c>
      <c r="O2163">
        <v>130</v>
      </c>
      <c r="P2163">
        <v>130</v>
      </c>
      <c r="R2163" s="3" t="str">
        <f>HYPERLINK("https://panda.att.com.mx/ODKServer/view/binaryData?blobKey=FSSuministroFluidosv3%5B%40version%3Dnull+and+%40uiVersion%3Dnull%5D%2Fdata%5B%40key%3Duuid%3Aba76dfbf-b831-410c-90b9-80f6eeb7f73e%5D%2FgroupInfoFuel%5B%40ordinal%3D1%5D%2FpicFuelRecibeInterno","Descargar")</f>
        <v>Descargar</v>
      </c>
    </row>
    <row r="2164" spans="1:18" x14ac:dyDescent="0.3">
      <c r="A2164">
        <v>1552559</v>
      </c>
      <c r="B2164" t="s">
        <v>18</v>
      </c>
      <c r="C2164" t="s">
        <v>19</v>
      </c>
      <c r="D2164" t="s">
        <v>189</v>
      </c>
      <c r="E2164" t="s">
        <v>1081</v>
      </c>
      <c r="F2164" t="s">
        <v>22</v>
      </c>
      <c r="G2164" t="s">
        <v>23</v>
      </c>
      <c r="H2164" t="s">
        <v>24</v>
      </c>
      <c r="I2164" t="s">
        <v>25</v>
      </c>
      <c r="J2164" s="2">
        <v>45798.407025462962</v>
      </c>
      <c r="K2164">
        <v>21</v>
      </c>
      <c r="L2164">
        <v>5</v>
      </c>
      <c r="M2164">
        <v>2025</v>
      </c>
      <c r="N2164" t="s">
        <v>27</v>
      </c>
      <c r="O2164">
        <v>150</v>
      </c>
      <c r="P2164">
        <v>150</v>
      </c>
      <c r="R2164" s="3" t="str">
        <f>HYPERLINK("https://panda.att.com.mx/ODKServer/view/binaryData?blobKey=FSSuministroFluidosv3%5B%40version%3Dnull+and+%40uiVersion%3Dnull%5D%2Fdata%5B%40key%3Duuid%3Aab0caed5-6d71-4cf7-82f0-d50126ca3ce8%5D%2FgroupInfoFuel%5B%40ordinal%3D1%5D%2FpicFuelRecibeInterno","Descargar")</f>
        <v>Descargar</v>
      </c>
    </row>
    <row r="2165" spans="1:18" x14ac:dyDescent="0.3">
      <c r="A2165">
        <v>1552380</v>
      </c>
      <c r="B2165" t="s">
        <v>18</v>
      </c>
      <c r="C2165" t="s">
        <v>28</v>
      </c>
      <c r="D2165" t="s">
        <v>315</v>
      </c>
      <c r="E2165" t="s">
        <v>703</v>
      </c>
      <c r="F2165" t="s">
        <v>22</v>
      </c>
      <c r="G2165" t="s">
        <v>23</v>
      </c>
      <c r="H2165" t="s">
        <v>24</v>
      </c>
      <c r="I2165" t="s">
        <v>25</v>
      </c>
      <c r="J2165" s="2">
        <v>45813.349305555559</v>
      </c>
      <c r="K2165">
        <v>5</v>
      </c>
      <c r="L2165">
        <v>6</v>
      </c>
      <c r="M2165">
        <v>2025</v>
      </c>
      <c r="N2165" t="s">
        <v>27</v>
      </c>
      <c r="O2165">
        <v>300</v>
      </c>
      <c r="P2165">
        <v>300</v>
      </c>
      <c r="R2165" s="3" t="str">
        <f>HYPERLINK("https://panda.att.com.mx/ODKServer/view/binaryData?blobKey=FSSuministroFluidosv3%5B%40version%3Dnull+and+%40uiVersion%3Dnull%5D%2Fdata%5B%40key%3Duuid%3A135c7c3c-9944-4346-acd6-4b17d4bd8951%5D%2FgroupInfoFuel%5B%40ordinal%3D1%5D%2FpicFuelRecibeInterno","Descargar")</f>
        <v>Descargar</v>
      </c>
    </row>
    <row r="2166" spans="1:18" x14ac:dyDescent="0.3">
      <c r="A2166">
        <v>1552377</v>
      </c>
      <c r="B2166" t="s">
        <v>18</v>
      </c>
      <c r="C2166" t="s">
        <v>100</v>
      </c>
      <c r="D2166" t="s">
        <v>716</v>
      </c>
      <c r="E2166" t="s">
        <v>717</v>
      </c>
      <c r="F2166" t="s">
        <v>22</v>
      </c>
      <c r="G2166" t="s">
        <v>83</v>
      </c>
      <c r="H2166" t="s">
        <v>1781</v>
      </c>
      <c r="I2166" t="s">
        <v>25</v>
      </c>
      <c r="J2166" s="2">
        <v>45813.672986111109</v>
      </c>
      <c r="K2166">
        <v>5</v>
      </c>
      <c r="L2166">
        <v>6</v>
      </c>
      <c r="M2166">
        <v>2025</v>
      </c>
      <c r="N2166" t="s">
        <v>27</v>
      </c>
      <c r="O2166">
        <v>130</v>
      </c>
      <c r="P2166">
        <v>130</v>
      </c>
      <c r="R2166" s="3" t="str">
        <f>HYPERLINK("https://panda.att.com.mx/ODKServer/view/binaryData?blobKey=FSSuministroFluidosv3%5B%40version%3Dnull+and+%40uiVersion%3Dnull%5D%2Fdata%5B%40key%3Duuid%3A8367e71d-075a-409b-9723-34d581856d06%5D%2FgroupInfoFuel%5B%40ordinal%3D1%5D%2FpicFuelRecibeInterno","Descargar")</f>
        <v>Descargar</v>
      </c>
    </row>
    <row r="2167" spans="1:18" x14ac:dyDescent="0.3">
      <c r="A2167">
        <v>1552303</v>
      </c>
      <c r="B2167" t="s">
        <v>18</v>
      </c>
      <c r="C2167" t="s">
        <v>19</v>
      </c>
      <c r="D2167" t="s">
        <v>45</v>
      </c>
      <c r="E2167" t="s">
        <v>2028</v>
      </c>
      <c r="F2167" t="s">
        <v>22</v>
      </c>
      <c r="G2167" t="s">
        <v>23</v>
      </c>
      <c r="H2167" t="s">
        <v>24</v>
      </c>
      <c r="I2167" t="s">
        <v>25</v>
      </c>
      <c r="J2167" s="2">
        <v>45812.348460648151</v>
      </c>
      <c r="K2167">
        <v>4</v>
      </c>
      <c r="L2167">
        <v>6</v>
      </c>
      <c r="M2167">
        <v>2025</v>
      </c>
      <c r="N2167" t="s">
        <v>27</v>
      </c>
      <c r="O2167">
        <v>300</v>
      </c>
      <c r="P2167">
        <v>300</v>
      </c>
      <c r="R2167" s="3" t="str">
        <f>HYPERLINK("https://panda.att.com.mx/ODKServer/view/binaryData?blobKey=FSSuministroFluidosv3%5B%40version%3Dnull+and+%40uiVersion%3Dnull%5D%2Fdata%5B%40key%3Duuid%3A90e32986-14dc-4dfa-a3e5-a3641eef8c92%5D%2FgroupInfoFuel%5B%40ordinal%3D1%5D%2FpicFuelRecibeInterno","Descargar")</f>
        <v>Descargar</v>
      </c>
    </row>
    <row r="2168" spans="1:18" x14ac:dyDescent="0.3">
      <c r="A2168">
        <v>1552164</v>
      </c>
      <c r="B2168" t="s">
        <v>18</v>
      </c>
      <c r="C2168" t="s">
        <v>59</v>
      </c>
      <c r="D2168" t="s">
        <v>307</v>
      </c>
      <c r="E2168" t="s">
        <v>1907</v>
      </c>
      <c r="F2168" t="s">
        <v>22</v>
      </c>
      <c r="G2168" t="s">
        <v>23</v>
      </c>
      <c r="H2168" t="s">
        <v>37</v>
      </c>
      <c r="I2168" t="s">
        <v>25</v>
      </c>
      <c r="J2168" s="2">
        <v>45812.456493055557</v>
      </c>
      <c r="K2168">
        <v>4</v>
      </c>
      <c r="L2168">
        <v>6</v>
      </c>
      <c r="M2168">
        <v>2025</v>
      </c>
      <c r="N2168" t="s">
        <v>27</v>
      </c>
      <c r="O2168">
        <v>200</v>
      </c>
      <c r="Q2168">
        <v>200</v>
      </c>
      <c r="R2168" s="3" t="str">
        <f>HYPERLINK("https://panda.att.com.mx/ODKServer/view/binaryData?blobKey=FSSuministroFluidosv3%5B%40version%3Dnull+and+%40uiVersion%3Dnull%5D%2Fdata%5B%40key%3Duuid%3Ad7a83faa-2a59-4ded-a69a-6b44f6b21805%5D%2FgroupInfoFuel%5B%40ordinal%3D1%5D%2FpicFuelRecibeInterno","Descargar")</f>
        <v>Descargar</v>
      </c>
    </row>
    <row r="2169" spans="1:18" x14ac:dyDescent="0.3">
      <c r="A2169">
        <v>1552159</v>
      </c>
      <c r="B2169" t="s">
        <v>18</v>
      </c>
      <c r="C2169" t="s">
        <v>55</v>
      </c>
      <c r="D2169" t="s">
        <v>288</v>
      </c>
      <c r="E2169" t="s">
        <v>1821</v>
      </c>
      <c r="F2169" t="s">
        <v>22</v>
      </c>
      <c r="G2169" t="s">
        <v>23</v>
      </c>
      <c r="H2169" t="s">
        <v>1763</v>
      </c>
      <c r="I2169" t="s">
        <v>25</v>
      </c>
      <c r="J2169" s="2">
        <v>45813.517789351848</v>
      </c>
      <c r="K2169">
        <v>5</v>
      </c>
      <c r="L2169">
        <v>6</v>
      </c>
      <c r="M2169">
        <v>2025</v>
      </c>
      <c r="N2169" t="s">
        <v>27</v>
      </c>
      <c r="O2169">
        <v>250</v>
      </c>
      <c r="P2169">
        <v>250</v>
      </c>
      <c r="R2169" s="3" t="str">
        <f>HYPERLINK("https://panda.att.com.mx/ODKServer/view/binaryData?blobKey=FSSuministroFluidosv3%5B%40version%3Dnull+and+%40uiVersion%3Dnull%5D%2Fdata%5B%40key%3Duuid%3Ae01c2b17-a091-44a4-a370-3f5d7e2d39ad%5D%2FgroupInfoFuel%5B%40ordinal%3D1%5D%2FpicFuelRecibeInterno","Descargar")</f>
        <v>Descargar</v>
      </c>
    </row>
    <row r="2170" spans="1:18" x14ac:dyDescent="0.3">
      <c r="A2170">
        <v>1552128</v>
      </c>
      <c r="B2170" t="s">
        <v>18</v>
      </c>
      <c r="C2170" t="s">
        <v>34</v>
      </c>
      <c r="D2170" t="s">
        <v>121</v>
      </c>
      <c r="E2170" t="s">
        <v>2029</v>
      </c>
      <c r="F2170" t="s">
        <v>22</v>
      </c>
      <c r="G2170" t="s">
        <v>23</v>
      </c>
      <c r="H2170" t="s">
        <v>37</v>
      </c>
      <c r="I2170" t="s">
        <v>25</v>
      </c>
      <c r="J2170" s="2">
        <v>45813.393368055556</v>
      </c>
      <c r="K2170">
        <v>5</v>
      </c>
      <c r="L2170">
        <v>6</v>
      </c>
      <c r="M2170">
        <v>2025</v>
      </c>
      <c r="N2170" t="s">
        <v>27</v>
      </c>
      <c r="O2170">
        <v>200</v>
      </c>
      <c r="P2170">
        <v>200</v>
      </c>
      <c r="R2170" s="3" t="str">
        <f>HYPERLINK("https://panda.att.com.mx/ODKServer/view/binaryData?blobKey=FSSuministroFluidosv3%5B%40version%3Dnull+and+%40uiVersion%3Dnull%5D%2Fdata%5B%40key%3Duuid%3A13879162-2f46-43ce-b263-3a5304fc7187%5D%2FgroupInfoFuel%5B%40ordinal%3D1%5D%2FpicFuelRecibeInterno","Descargar")</f>
        <v>Descargar</v>
      </c>
    </row>
    <row r="2171" spans="1:18" x14ac:dyDescent="0.3">
      <c r="A2171">
        <v>1552110</v>
      </c>
      <c r="B2171" t="s">
        <v>18</v>
      </c>
      <c r="C2171" t="s">
        <v>150</v>
      </c>
      <c r="D2171" t="s">
        <v>230</v>
      </c>
      <c r="E2171" t="s">
        <v>1510</v>
      </c>
      <c r="F2171" t="s">
        <v>22</v>
      </c>
      <c r="G2171" t="s">
        <v>23</v>
      </c>
      <c r="H2171" t="s">
        <v>58</v>
      </c>
      <c r="I2171" t="s">
        <v>25</v>
      </c>
      <c r="J2171" s="2">
        <v>45813.442141203697</v>
      </c>
      <c r="K2171">
        <v>5</v>
      </c>
      <c r="L2171">
        <v>6</v>
      </c>
      <c r="M2171">
        <v>2025</v>
      </c>
      <c r="N2171" t="s">
        <v>27</v>
      </c>
      <c r="O2171">
        <v>300</v>
      </c>
      <c r="P2171">
        <v>300</v>
      </c>
      <c r="R2171" s="3" t="str">
        <f>HYPERLINK("https://panda.att.com.mx/ODKServer/view/binaryData?blobKey=FSSuministroFluidosv3%5B%40version%3Dnull+and+%40uiVersion%3Dnull%5D%2Fdata%5B%40key%3Duuid%3A77cc8d26-794f-47b5-a6f9-60d0b6161622%5D%2FgroupInfoFuel%5B%40ordinal%3D1%5D%2FpicFuelRecibeInterno","Descargar")</f>
        <v>Descargar</v>
      </c>
    </row>
    <row r="2172" spans="1:18" x14ac:dyDescent="0.3">
      <c r="A2172">
        <v>1552090</v>
      </c>
      <c r="B2172" t="s">
        <v>18</v>
      </c>
      <c r="C2172" t="s">
        <v>59</v>
      </c>
      <c r="D2172" t="s">
        <v>60</v>
      </c>
      <c r="E2172" t="s">
        <v>2030</v>
      </c>
      <c r="F2172" t="s">
        <v>22</v>
      </c>
      <c r="G2172" t="s">
        <v>23</v>
      </c>
      <c r="H2172" t="s">
        <v>37</v>
      </c>
      <c r="I2172" t="s">
        <v>25</v>
      </c>
      <c r="J2172" s="2">
        <v>45813.431944444441</v>
      </c>
      <c r="K2172">
        <v>5</v>
      </c>
      <c r="L2172">
        <v>6</v>
      </c>
      <c r="M2172">
        <v>2025</v>
      </c>
      <c r="N2172" t="s">
        <v>27</v>
      </c>
      <c r="O2172">
        <v>130</v>
      </c>
      <c r="P2172">
        <v>130</v>
      </c>
      <c r="R2172" s="3" t="str">
        <f>HYPERLINK("https://panda.att.com.mx/ODKServer/view/binaryData?blobKey=FSSuministroFluidosv3%5B%40version%3Dnull+and+%40uiVersion%3Dnull%5D%2Fdata%5B%40key%3Duuid%3A291b5de2-60d6-4a1e-a4e3-0cf0b47acf6f%5D%2FgroupInfoFuel%5B%40ordinal%3D1%5D%2FpicFuelRecibeInterno","Descargar")</f>
        <v>Descargar</v>
      </c>
    </row>
    <row r="2173" spans="1:18" x14ac:dyDescent="0.3">
      <c r="A2173">
        <v>1552039</v>
      </c>
      <c r="B2173" t="s">
        <v>18</v>
      </c>
      <c r="C2173" t="s">
        <v>55</v>
      </c>
      <c r="D2173" t="s">
        <v>56</v>
      </c>
      <c r="E2173" t="s">
        <v>2025</v>
      </c>
      <c r="F2173" t="s">
        <v>22</v>
      </c>
      <c r="G2173" t="s">
        <v>23</v>
      </c>
      <c r="H2173" t="s">
        <v>1763</v>
      </c>
      <c r="I2173" t="s">
        <v>25</v>
      </c>
      <c r="J2173" s="2">
        <v>45806.538668981477</v>
      </c>
      <c r="K2173">
        <v>29</v>
      </c>
      <c r="L2173">
        <v>5</v>
      </c>
      <c r="M2173">
        <v>2025</v>
      </c>
      <c r="N2173" t="s">
        <v>27</v>
      </c>
      <c r="O2173">
        <v>100</v>
      </c>
      <c r="P2173">
        <v>100</v>
      </c>
      <c r="R2173" s="3" t="str">
        <f>HYPERLINK("https://panda.att.com.mx/ODKServer/view/binaryData?blobKey=FSSuministroFluidosv3%5B%40version%3Dnull+and+%40uiVersion%3Dnull%5D%2Fdata%5B%40key%3Duuid%3A3f1f934d-fae2-4f80-b55d-ad491a79a46c%5D%2FgroupInfoFuel%5B%40ordinal%3D1%5D%2FpicFuelRecibeInterno","Descargar")</f>
        <v>Descargar</v>
      </c>
    </row>
    <row r="2174" spans="1:18" x14ac:dyDescent="0.3">
      <c r="A2174">
        <v>1552038</v>
      </c>
      <c r="B2174" t="s">
        <v>18</v>
      </c>
      <c r="C2174" t="s">
        <v>55</v>
      </c>
      <c r="D2174" t="s">
        <v>56</v>
      </c>
      <c r="E2174" t="s">
        <v>2023</v>
      </c>
      <c r="F2174" t="s">
        <v>22</v>
      </c>
      <c r="G2174" t="s">
        <v>23</v>
      </c>
      <c r="H2174" t="s">
        <v>1763</v>
      </c>
      <c r="I2174" t="s">
        <v>25</v>
      </c>
      <c r="J2174" s="2">
        <v>45806.499016203707</v>
      </c>
      <c r="K2174">
        <v>29</v>
      </c>
      <c r="L2174">
        <v>5</v>
      </c>
      <c r="M2174">
        <v>2025</v>
      </c>
      <c r="N2174" t="s">
        <v>27</v>
      </c>
      <c r="O2174">
        <v>100</v>
      </c>
      <c r="P2174">
        <v>100</v>
      </c>
      <c r="R2174" s="3" t="str">
        <f>HYPERLINK("https://panda.att.com.mx/ODKServer/view/binaryData?blobKey=FSSuministroFluidosv3%5B%40version%3Dnull+and+%40uiVersion%3Dnull%5D%2Fdata%5B%40key%3Duuid%3Ac6e2728e-b2f4-4e8e-870c-6860fbed4cd4%5D%2FgroupInfoFuel%5B%40ordinal%3D1%5D%2FpicFuelRecibeInterno","Descargar")</f>
        <v>Descargar</v>
      </c>
    </row>
    <row r="2175" spans="1:18" x14ac:dyDescent="0.3">
      <c r="A2175">
        <v>1552037</v>
      </c>
      <c r="B2175" t="s">
        <v>18</v>
      </c>
      <c r="C2175" t="s">
        <v>55</v>
      </c>
      <c r="D2175" t="s">
        <v>56</v>
      </c>
      <c r="E2175" t="s">
        <v>2025</v>
      </c>
      <c r="F2175" t="s">
        <v>22</v>
      </c>
      <c r="G2175" t="s">
        <v>23</v>
      </c>
      <c r="H2175" t="s">
        <v>1763</v>
      </c>
      <c r="I2175" t="s">
        <v>25</v>
      </c>
      <c r="J2175" s="2">
        <v>45805.578842592593</v>
      </c>
      <c r="K2175">
        <v>28</v>
      </c>
      <c r="L2175">
        <v>5</v>
      </c>
      <c r="M2175">
        <v>2025</v>
      </c>
      <c r="N2175" t="s">
        <v>27</v>
      </c>
      <c r="O2175">
        <v>100</v>
      </c>
      <c r="P2175">
        <v>100</v>
      </c>
      <c r="R2175" s="3" t="str">
        <f>HYPERLINK("https://panda.att.com.mx/ODKServer/view/binaryData?blobKey=FSSuministroFluidosv3%5B%40version%3Dnull+and+%40uiVersion%3Dnull%5D%2Fdata%5B%40key%3Duuid%3A8ceceb81-a60d-4ef9-a14f-41e61b12d630%5D%2FgroupInfoFuel%5B%40ordinal%3D1%5D%2FpicFuelRecibeInterno","Descargar")</f>
        <v>Descargar</v>
      </c>
    </row>
    <row r="2176" spans="1:18" x14ac:dyDescent="0.3">
      <c r="A2176">
        <v>1552035</v>
      </c>
      <c r="B2176" t="s">
        <v>18</v>
      </c>
      <c r="C2176" t="s">
        <v>55</v>
      </c>
      <c r="D2176" t="s">
        <v>56</v>
      </c>
      <c r="E2176" t="s">
        <v>2023</v>
      </c>
      <c r="F2176" t="s">
        <v>22</v>
      </c>
      <c r="G2176" t="s">
        <v>23</v>
      </c>
      <c r="H2176" t="s">
        <v>1763</v>
      </c>
      <c r="I2176" t="s">
        <v>25</v>
      </c>
      <c r="J2176" s="2">
        <v>45805.560914351852</v>
      </c>
      <c r="K2176">
        <v>28</v>
      </c>
      <c r="L2176">
        <v>5</v>
      </c>
      <c r="M2176">
        <v>2025</v>
      </c>
      <c r="N2176" t="s">
        <v>27</v>
      </c>
      <c r="O2176">
        <v>100</v>
      </c>
      <c r="P2176">
        <v>100</v>
      </c>
      <c r="R2176" s="3" t="str">
        <f>HYPERLINK("https://panda.att.com.mx/ODKServer/view/binaryData?blobKey=FSSuministroFluidosv3%5B%40version%3Dnull+and+%40uiVersion%3Dnull%5D%2Fdata%5B%40key%3Duuid%3A526bd15b-6008-4134-9ee1-150b22e7f2f6%5D%2FgroupInfoFuel%5B%40ordinal%3D1%5D%2FpicFuelRecibeInterno","Descargar")</f>
        <v>Descargar</v>
      </c>
    </row>
    <row r="2177" spans="1:18" x14ac:dyDescent="0.3">
      <c r="A2177">
        <v>1553427</v>
      </c>
      <c r="B2177" t="s">
        <v>18</v>
      </c>
      <c r="C2177" t="s">
        <v>34</v>
      </c>
      <c r="D2177" t="s">
        <v>121</v>
      </c>
      <c r="E2177" t="s">
        <v>1561</v>
      </c>
      <c r="F2177" t="s">
        <v>22</v>
      </c>
      <c r="G2177" t="s">
        <v>23</v>
      </c>
      <c r="H2177" t="s">
        <v>37</v>
      </c>
      <c r="I2177" t="s">
        <v>25</v>
      </c>
      <c r="J2177" s="2">
        <v>45815.446331018517</v>
      </c>
      <c r="K2177">
        <v>7</v>
      </c>
      <c r="L2177">
        <v>6</v>
      </c>
      <c r="M2177">
        <v>2025</v>
      </c>
      <c r="N2177" t="s">
        <v>44</v>
      </c>
      <c r="O2177">
        <v>38</v>
      </c>
      <c r="P2177">
        <v>38</v>
      </c>
      <c r="R2177" s="3" t="str">
        <f>HYPERLINK("https://panda.att.com.mx/ODKServer/view/binaryData?blobKey=FSSuministroFluidosv3%5B%40version%3Dnull+and+%40uiVersion%3Dnull%5D%2Fdata%5B%40key%3Duuid%3A8fcb78e8-1c29-4544-8f28-67bed1bbb291%5D%2FgroupInfoFuel%5B%40ordinal%3D1%5D%2FpicFuelRecibeInterno","Descargar")</f>
        <v>Descargar</v>
      </c>
    </row>
    <row r="2178" spans="1:18" x14ac:dyDescent="0.3">
      <c r="A2178">
        <v>1553417</v>
      </c>
      <c r="B2178" t="s">
        <v>18</v>
      </c>
      <c r="C2178" t="s">
        <v>28</v>
      </c>
      <c r="D2178" t="s">
        <v>467</v>
      </c>
      <c r="E2178" t="s">
        <v>2031</v>
      </c>
      <c r="F2178" t="s">
        <v>22</v>
      </c>
      <c r="G2178" t="s">
        <v>23</v>
      </c>
      <c r="H2178" t="s">
        <v>24</v>
      </c>
      <c r="I2178" t="s">
        <v>25</v>
      </c>
      <c r="J2178" s="2">
        <v>45814.677268518521</v>
      </c>
      <c r="K2178">
        <v>6</v>
      </c>
      <c r="L2178">
        <v>6</v>
      </c>
      <c r="M2178">
        <v>2025</v>
      </c>
      <c r="N2178" t="s">
        <v>44</v>
      </c>
      <c r="O2178">
        <v>60</v>
      </c>
      <c r="P2178">
        <v>60</v>
      </c>
      <c r="R2178" s="3" t="str">
        <f>HYPERLINK("https://panda.att.com.mx/ODKServer/view/binaryData?blobKey=FSSuministroFluidosv3%5B%40version%3Dnull+and+%40uiVersion%3Dnull%5D%2Fdata%5B%40key%3Duuid%3Ada756cdc-25e1-46b4-a273-ce354c4b8e77%5D%2FgroupInfoFuel%5B%40ordinal%3D1%5D%2FpicFuelRecibeInterno","Descargar")</f>
        <v>Descargar</v>
      </c>
    </row>
    <row r="2179" spans="1:18" x14ac:dyDescent="0.3">
      <c r="A2179">
        <v>1553401</v>
      </c>
      <c r="B2179" t="s">
        <v>18</v>
      </c>
      <c r="C2179" t="s">
        <v>55</v>
      </c>
      <c r="D2179" t="s">
        <v>56</v>
      </c>
      <c r="E2179" t="s">
        <v>1560</v>
      </c>
      <c r="F2179" t="s">
        <v>22</v>
      </c>
      <c r="G2179" t="s">
        <v>23</v>
      </c>
      <c r="H2179" t="s">
        <v>1763</v>
      </c>
      <c r="I2179" t="s">
        <v>25</v>
      </c>
      <c r="J2179" s="2">
        <v>45810.73</v>
      </c>
      <c r="K2179">
        <v>2</v>
      </c>
      <c r="L2179">
        <v>6</v>
      </c>
      <c r="M2179">
        <v>2025</v>
      </c>
      <c r="N2179" t="s">
        <v>27</v>
      </c>
      <c r="O2179">
        <v>212</v>
      </c>
      <c r="P2179">
        <v>212</v>
      </c>
      <c r="R2179" s="3" t="str">
        <f>HYPERLINK("https://panda.att.com.mx/ODKServer/view/binaryData?blobKey=FSSuministroFluidosv3%5B%40version%3Dnull+and+%40uiVersion%3Dnull%5D%2Fdata%5B%40key%3Duuid%3A2120bfac-c008-4be2-9ac3-1014cbe2c2c7%5D%2FgroupInfoFuel%5B%40ordinal%3D1%5D%2FpicFuelRecibeInterno","Descargar")</f>
        <v>Descargar</v>
      </c>
    </row>
    <row r="2180" spans="1:18" x14ac:dyDescent="0.3">
      <c r="A2180">
        <v>1553398</v>
      </c>
      <c r="B2180" t="s">
        <v>18</v>
      </c>
      <c r="C2180" t="s">
        <v>28</v>
      </c>
      <c r="D2180" t="s">
        <v>118</v>
      </c>
      <c r="E2180" t="s">
        <v>2032</v>
      </c>
      <c r="F2180" t="s">
        <v>22</v>
      </c>
      <c r="G2180" t="s">
        <v>23</v>
      </c>
      <c r="H2180" t="s">
        <v>24</v>
      </c>
      <c r="I2180" t="s">
        <v>25</v>
      </c>
      <c r="J2180" s="2">
        <v>45814.508726851847</v>
      </c>
      <c r="K2180">
        <v>6</v>
      </c>
      <c r="L2180">
        <v>6</v>
      </c>
      <c r="M2180">
        <v>2025</v>
      </c>
      <c r="N2180" t="s">
        <v>44</v>
      </c>
      <c r="O2180">
        <v>40</v>
      </c>
      <c r="Q2180">
        <v>40</v>
      </c>
      <c r="R2180" s="3" t="str">
        <f>HYPERLINK("https://panda.att.com.mx/ODKServer/view/binaryData?blobKey=FSSuministroFluidosv3%5B%40version%3Dnull+and+%40uiVersion%3Dnull%5D%2Fdata%5B%40key%3Duuid%3A2ea9bf54-4f5c-45c7-9130-92bf7e5e6a66%5D%2FgroupInfoFuel%5B%40ordinal%3D1%5D%2FpicFuelRecibeInterno","Descargar")</f>
        <v>Descargar</v>
      </c>
    </row>
    <row r="2181" spans="1:18" x14ac:dyDescent="0.3">
      <c r="A2181">
        <v>1553395</v>
      </c>
      <c r="B2181" t="s">
        <v>18</v>
      </c>
      <c r="C2181" t="s">
        <v>183</v>
      </c>
      <c r="D2181" t="s">
        <v>688</v>
      </c>
      <c r="E2181" t="s">
        <v>689</v>
      </c>
      <c r="F2181" t="s">
        <v>22</v>
      </c>
      <c r="G2181" t="s">
        <v>23</v>
      </c>
      <c r="H2181" t="s">
        <v>37</v>
      </c>
      <c r="I2181" t="s">
        <v>25</v>
      </c>
      <c r="J2181" s="2">
        <v>45815.421782407408</v>
      </c>
      <c r="K2181">
        <v>7</v>
      </c>
      <c r="L2181">
        <v>6</v>
      </c>
      <c r="M2181">
        <v>2025</v>
      </c>
      <c r="N2181" t="s">
        <v>27</v>
      </c>
      <c r="O2181">
        <v>100</v>
      </c>
      <c r="P2181">
        <v>100</v>
      </c>
      <c r="R2181" s="3" t="str">
        <f>HYPERLINK("https://panda.att.com.mx/ODKServer/view/binaryData?blobKey=FSSuministroFluidosv3%5B%40version%3Dnull+and+%40uiVersion%3Dnull%5D%2Fdata%5B%40key%3Duuid%3A4b7fda96-b639-498a-aee8-ec98b71b64c4%5D%2FgroupInfoFuel%5B%40ordinal%3D1%5D%2FpicFuelRecibeInterno","Descargar")</f>
        <v>Descargar</v>
      </c>
    </row>
    <row r="2182" spans="1:18" x14ac:dyDescent="0.3">
      <c r="A2182">
        <v>1553394</v>
      </c>
      <c r="B2182" t="s">
        <v>18</v>
      </c>
      <c r="C2182" t="s">
        <v>34</v>
      </c>
      <c r="D2182" t="s">
        <v>53</v>
      </c>
      <c r="E2182" t="s">
        <v>144</v>
      </c>
      <c r="F2182" t="s">
        <v>22</v>
      </c>
      <c r="G2182" t="s">
        <v>23</v>
      </c>
      <c r="H2182" t="s">
        <v>37</v>
      </c>
      <c r="I2182" t="s">
        <v>25</v>
      </c>
      <c r="J2182" s="2">
        <v>45814.85796296296</v>
      </c>
      <c r="K2182">
        <v>6</v>
      </c>
      <c r="L2182">
        <v>6</v>
      </c>
      <c r="M2182">
        <v>2025</v>
      </c>
      <c r="N2182" t="s">
        <v>27</v>
      </c>
      <c r="O2182">
        <v>350</v>
      </c>
      <c r="P2182">
        <v>350</v>
      </c>
      <c r="R2182" s="3" t="str">
        <f>HYPERLINK("https://panda.att.com.mx/ODKServer/view/binaryData?blobKey=FSSuministroFluidosv3%5B%40version%3Dnull+and+%40uiVersion%3Dnull%5D%2Fdata%5B%40key%3Duuid%3A01f62587-a202-41d6-a297-24284fdc2f43%5D%2FgroupInfoFuel%5B%40ordinal%3D1%5D%2FpicFuelRecibeInterno","Descargar")</f>
        <v>Descargar</v>
      </c>
    </row>
    <row r="2183" spans="1:18" x14ac:dyDescent="0.3">
      <c r="A2183">
        <v>1553364</v>
      </c>
      <c r="B2183" t="s">
        <v>18</v>
      </c>
      <c r="C2183" t="s">
        <v>34</v>
      </c>
      <c r="D2183" t="s">
        <v>53</v>
      </c>
      <c r="E2183" t="s">
        <v>1979</v>
      </c>
      <c r="F2183" t="s">
        <v>22</v>
      </c>
      <c r="G2183" t="s">
        <v>23</v>
      </c>
      <c r="H2183" t="s">
        <v>37</v>
      </c>
      <c r="I2183" t="s">
        <v>25</v>
      </c>
      <c r="J2183" s="2">
        <v>45815.577060185176</v>
      </c>
      <c r="K2183">
        <v>7</v>
      </c>
      <c r="L2183">
        <v>6</v>
      </c>
      <c r="M2183">
        <v>2025</v>
      </c>
      <c r="N2183" t="s">
        <v>27</v>
      </c>
      <c r="O2183">
        <v>300</v>
      </c>
      <c r="P2183">
        <v>300</v>
      </c>
      <c r="R2183" s="3" t="str">
        <f>HYPERLINK("https://panda.att.com.mx/ODKServer/view/binaryData?blobKey=FSSuministroFluidosv3%5B%40version%3Dnull+and+%40uiVersion%3Dnull%5D%2Fdata%5B%40key%3Duuid%3Af86820f6-e252-4b7d-908b-f63dbbdf2324%5D%2FgroupInfoFuel%5B%40ordinal%3D1%5D%2FpicFuelRecibeInterno","Descargar")</f>
        <v>Descargar</v>
      </c>
    </row>
    <row r="2184" spans="1:18" x14ac:dyDescent="0.3">
      <c r="A2184">
        <v>1553362</v>
      </c>
      <c r="B2184" t="s">
        <v>18</v>
      </c>
      <c r="C2184" t="s">
        <v>34</v>
      </c>
      <c r="D2184" t="s">
        <v>53</v>
      </c>
      <c r="E2184" t="s">
        <v>1979</v>
      </c>
      <c r="F2184" t="s">
        <v>22</v>
      </c>
      <c r="G2184" t="s">
        <v>23</v>
      </c>
      <c r="H2184" t="s">
        <v>37</v>
      </c>
      <c r="I2184" t="s">
        <v>25</v>
      </c>
      <c r="J2184" s="2">
        <v>45815.564513888887</v>
      </c>
      <c r="K2184">
        <v>7</v>
      </c>
      <c r="L2184">
        <v>6</v>
      </c>
      <c r="M2184">
        <v>2025</v>
      </c>
      <c r="N2184" t="s">
        <v>27</v>
      </c>
      <c r="O2184">
        <v>250</v>
      </c>
      <c r="P2184">
        <v>250</v>
      </c>
      <c r="R2184" s="3" t="str">
        <f>HYPERLINK("https://panda.att.com.mx/ODKServer/view/binaryData?blobKey=FSSuministroFluidosv3%5B%40version%3Dnull+and+%40uiVersion%3Dnull%5D%2Fdata%5B%40key%3Duuid%3Ac6a9090c-52d9-45e7-901f-c7fb2bc89c93%5D%2FgroupInfoFuel%5B%40ordinal%3D1%5D%2FpicFuelRecibeInterno","Descargar")</f>
        <v>Descargar</v>
      </c>
    </row>
    <row r="2185" spans="1:18" x14ac:dyDescent="0.3">
      <c r="A2185">
        <v>1553349</v>
      </c>
      <c r="B2185" t="s">
        <v>18</v>
      </c>
      <c r="C2185" t="s">
        <v>59</v>
      </c>
      <c r="D2185" t="s">
        <v>60</v>
      </c>
      <c r="E2185" t="s">
        <v>2033</v>
      </c>
      <c r="F2185" t="s">
        <v>22</v>
      </c>
      <c r="G2185" t="s">
        <v>23</v>
      </c>
      <c r="H2185" t="s">
        <v>1816</v>
      </c>
      <c r="I2185" t="s">
        <v>25</v>
      </c>
      <c r="J2185" s="2">
        <v>45815.47760416667</v>
      </c>
      <c r="K2185">
        <v>7</v>
      </c>
      <c r="L2185">
        <v>6</v>
      </c>
      <c r="M2185">
        <v>2025</v>
      </c>
      <c r="N2185" t="s">
        <v>27</v>
      </c>
      <c r="O2185">
        <v>53.5</v>
      </c>
      <c r="P2185">
        <v>53.5</v>
      </c>
      <c r="R2185" s="3" t="str">
        <f>HYPERLINK("https://panda.att.com.mx/ODKServer/view/binaryData?blobKey=FSSuministroFluidosv3%5B%40version%3Dnull+and+%40uiVersion%3Dnull%5D%2Fdata%5B%40key%3Duuid%3Adf5081fb-3b43-4bbb-8fa3-5655e339dd5f%5D%2FgroupInfoFuel%5B%40ordinal%3D1%5D%2FpicFuelRecibeInterno","Descargar")</f>
        <v>Descargar</v>
      </c>
    </row>
    <row r="2186" spans="1:18" x14ac:dyDescent="0.3">
      <c r="A2186">
        <v>1553348</v>
      </c>
      <c r="B2186" t="s">
        <v>18</v>
      </c>
      <c r="C2186" t="s">
        <v>59</v>
      </c>
      <c r="D2186" t="s">
        <v>60</v>
      </c>
      <c r="E2186" t="s">
        <v>2034</v>
      </c>
      <c r="F2186" t="s">
        <v>22</v>
      </c>
      <c r="G2186" t="s">
        <v>23</v>
      </c>
      <c r="H2186" t="s">
        <v>1816</v>
      </c>
      <c r="I2186" t="s">
        <v>25</v>
      </c>
      <c r="J2186" s="2">
        <v>45812.855196759258</v>
      </c>
      <c r="K2186">
        <v>4</v>
      </c>
      <c r="L2186">
        <v>6</v>
      </c>
      <c r="M2186">
        <v>2025</v>
      </c>
      <c r="N2186" t="s">
        <v>27</v>
      </c>
      <c r="O2186">
        <v>304.8</v>
      </c>
      <c r="P2186">
        <v>304.8</v>
      </c>
      <c r="R2186" s="3" t="str">
        <f>HYPERLINK("https://panda.att.com.mx/ODKServer/view/binaryData?blobKey=FSSuministroFluidosv3%5B%40version%3Dnull+and+%40uiVersion%3Dnull%5D%2Fdata%5B%40key%3Duuid%3A0f62361d-cda7-40db-862b-fd5d8f70d276%5D%2FgroupInfoFuel%5B%40ordinal%3D1%5D%2FpicFuelRecibeInterno","Descargar")</f>
        <v>Descargar</v>
      </c>
    </row>
    <row r="2187" spans="1:18" x14ac:dyDescent="0.3">
      <c r="A2187">
        <v>1553309</v>
      </c>
      <c r="B2187" t="s">
        <v>18</v>
      </c>
      <c r="C2187" t="s">
        <v>28</v>
      </c>
      <c r="D2187" t="s">
        <v>181</v>
      </c>
      <c r="E2187" t="s">
        <v>277</v>
      </c>
      <c r="F2187" t="s">
        <v>22</v>
      </c>
      <c r="G2187" t="s">
        <v>23</v>
      </c>
      <c r="H2187" t="s">
        <v>24</v>
      </c>
      <c r="I2187" t="s">
        <v>25</v>
      </c>
      <c r="J2187" s="2">
        <v>45812.420636574083</v>
      </c>
      <c r="K2187">
        <v>4</v>
      </c>
      <c r="L2187">
        <v>6</v>
      </c>
      <c r="M2187">
        <v>2025</v>
      </c>
      <c r="N2187" t="s">
        <v>44</v>
      </c>
      <c r="O2187">
        <v>30</v>
      </c>
      <c r="P2187">
        <v>30</v>
      </c>
      <c r="R2187" s="3" t="str">
        <f>HYPERLINK("https://panda.att.com.mx/ODKServer/view/binaryData?blobKey=FSSuministroFluidosv3%5B%40version%3Dnull+and+%40uiVersion%3Dnull%5D%2Fdata%5B%40key%3Duuid%3A3074b118-479e-4328-b2bc-9507722f4755%5D%2FgroupInfoFuel%5B%40ordinal%3D1%5D%2FpicFuelRecibeInterno","Descargar")</f>
        <v>Descargar</v>
      </c>
    </row>
    <row r="2188" spans="1:18" x14ac:dyDescent="0.3">
      <c r="A2188">
        <v>1553278</v>
      </c>
      <c r="B2188" t="s">
        <v>18</v>
      </c>
      <c r="C2188" t="s">
        <v>68</v>
      </c>
      <c r="D2188" t="s">
        <v>69</v>
      </c>
      <c r="E2188" t="s">
        <v>2035</v>
      </c>
      <c r="F2188" t="s">
        <v>22</v>
      </c>
      <c r="G2188" t="s">
        <v>23</v>
      </c>
      <c r="H2188" t="s">
        <v>37</v>
      </c>
      <c r="I2188" t="s">
        <v>25</v>
      </c>
      <c r="J2188" s="2">
        <v>45813.844398148147</v>
      </c>
      <c r="K2188">
        <v>5</v>
      </c>
      <c r="L2188">
        <v>6</v>
      </c>
      <c r="M2188">
        <v>2025</v>
      </c>
      <c r="N2188" t="s">
        <v>27</v>
      </c>
      <c r="O2188">
        <v>200</v>
      </c>
      <c r="P2188">
        <v>200</v>
      </c>
      <c r="R2188" s="3" t="str">
        <f>HYPERLINK("https://panda.att.com.mx/ODKServer/view/binaryData?blobKey=FSSuministroFluidosv3%5B%40version%3Dnull+and+%40uiVersion%3Dnull%5D%2Fdata%5B%40key%3Duuid%3A589023fa-af38-41fe-847f-47d197f31b50%5D%2FgroupInfoFuel%5B%40ordinal%3D1%5D%2FpicFuelRecibeInterno","Descargar")</f>
        <v>Descargar</v>
      </c>
    </row>
    <row r="2189" spans="1:18" x14ac:dyDescent="0.3">
      <c r="A2189">
        <v>1553275</v>
      </c>
      <c r="B2189" t="s">
        <v>18</v>
      </c>
      <c r="C2189" t="s">
        <v>19</v>
      </c>
      <c r="D2189" t="s">
        <v>347</v>
      </c>
      <c r="E2189" t="s">
        <v>2036</v>
      </c>
      <c r="F2189" t="s">
        <v>22</v>
      </c>
      <c r="G2189" t="s">
        <v>23</v>
      </c>
      <c r="H2189" t="s">
        <v>24</v>
      </c>
      <c r="I2189" t="s">
        <v>25</v>
      </c>
      <c r="J2189" s="2">
        <v>45813.394895833328</v>
      </c>
      <c r="K2189">
        <v>5</v>
      </c>
      <c r="L2189">
        <v>6</v>
      </c>
      <c r="M2189">
        <v>2025</v>
      </c>
      <c r="N2189" t="s">
        <v>27</v>
      </c>
      <c r="O2189">
        <v>200</v>
      </c>
      <c r="P2189">
        <v>200</v>
      </c>
      <c r="R2189" s="3" t="str">
        <f>HYPERLINK("https://panda.att.com.mx/ODKServer/view/binaryData?blobKey=FSSuministroFluidosv3%5B%40version%3Dnull+and+%40uiVersion%3Dnull%5D%2Fdata%5B%40key%3Duuid%3Aa1a79f7d-5572-45fd-ae0b-124893a0e396%5D%2FgroupInfoFuel%5B%40ordinal%3D1%5D%2FpicFuelRecibeInterno","Descargar")</f>
        <v>Descargar</v>
      </c>
    </row>
    <row r="2190" spans="1:18" x14ac:dyDescent="0.3">
      <c r="A2190">
        <v>1553270</v>
      </c>
      <c r="B2190" t="s">
        <v>18</v>
      </c>
      <c r="C2190" t="s">
        <v>100</v>
      </c>
      <c r="D2190" t="s">
        <v>101</v>
      </c>
      <c r="E2190" t="s">
        <v>126</v>
      </c>
      <c r="F2190" t="s">
        <v>22</v>
      </c>
      <c r="G2190" t="s">
        <v>83</v>
      </c>
      <c r="H2190" t="s">
        <v>58</v>
      </c>
      <c r="I2190" t="s">
        <v>25</v>
      </c>
      <c r="J2190" s="2">
        <v>45814.705729166657</v>
      </c>
      <c r="K2190">
        <v>6</v>
      </c>
      <c r="L2190">
        <v>6</v>
      </c>
      <c r="M2190">
        <v>2025</v>
      </c>
      <c r="N2190" t="s">
        <v>27</v>
      </c>
      <c r="O2190">
        <v>313</v>
      </c>
      <c r="P2190">
        <v>313</v>
      </c>
      <c r="R2190" s="3" t="str">
        <f>HYPERLINK("https://panda.att.com.mx/ODKServer/view/binaryData?blobKey=FSSuministroFluidosv3%5B%40version%3Dnull+and+%40uiVersion%3Dnull%5D%2Fdata%5B%40key%3Duuid%3Aef5ddcf9-ff43-4d24-a406-f6e619cff683%5D%2FgroupInfoFuel%5B%40ordinal%3D1%5D%2FpicFuelRecibeInterno","Descargar")</f>
        <v>Descargar</v>
      </c>
    </row>
    <row r="2191" spans="1:18" x14ac:dyDescent="0.3">
      <c r="A2191">
        <v>1553269</v>
      </c>
      <c r="B2191" t="s">
        <v>18</v>
      </c>
      <c r="C2191" t="s">
        <v>100</v>
      </c>
      <c r="D2191" t="s">
        <v>101</v>
      </c>
      <c r="E2191" t="s">
        <v>2037</v>
      </c>
      <c r="F2191" t="s">
        <v>22</v>
      </c>
      <c r="G2191" t="s">
        <v>83</v>
      </c>
      <c r="H2191" t="s">
        <v>58</v>
      </c>
      <c r="I2191" t="s">
        <v>25</v>
      </c>
      <c r="J2191" s="2">
        <v>45814.694305555553</v>
      </c>
      <c r="K2191">
        <v>6</v>
      </c>
      <c r="L2191">
        <v>6</v>
      </c>
      <c r="M2191">
        <v>2025</v>
      </c>
      <c r="N2191" t="s">
        <v>27</v>
      </c>
      <c r="O2191">
        <v>248</v>
      </c>
      <c r="P2191">
        <v>248</v>
      </c>
      <c r="R2191" s="3" t="str">
        <f>HYPERLINK("https://panda.att.com.mx/ODKServer/view/binaryData?blobKey=FSSuministroFluidosv3%5B%40version%3Dnull+and+%40uiVersion%3Dnull%5D%2Fdata%5B%40key%3Duuid%3Aab6938b2-7cbc-45eb-8e6c-9527815b3c8d%5D%2FgroupInfoFuel%5B%40ordinal%3D1%5D%2FpicFuelRecibeInterno","Descargar")</f>
        <v>Descargar</v>
      </c>
    </row>
    <row r="2192" spans="1:18" x14ac:dyDescent="0.3">
      <c r="A2192">
        <v>1553214</v>
      </c>
      <c r="B2192" t="s">
        <v>18</v>
      </c>
      <c r="C2192" t="s">
        <v>59</v>
      </c>
      <c r="D2192" t="s">
        <v>233</v>
      </c>
      <c r="E2192" t="s">
        <v>1847</v>
      </c>
      <c r="F2192" t="s">
        <v>22</v>
      </c>
      <c r="G2192" t="s">
        <v>83</v>
      </c>
      <c r="H2192" t="s">
        <v>37</v>
      </c>
      <c r="I2192" t="s">
        <v>25</v>
      </c>
      <c r="J2192" s="2">
        <v>45814.370069444441</v>
      </c>
      <c r="K2192">
        <v>6</v>
      </c>
      <c r="L2192">
        <v>6</v>
      </c>
      <c r="M2192">
        <v>2025</v>
      </c>
      <c r="N2192" t="s">
        <v>27</v>
      </c>
      <c r="O2192">
        <v>600</v>
      </c>
      <c r="Q2192">
        <v>600</v>
      </c>
      <c r="R2192" s="3" t="str">
        <f>HYPERLINK("https://panda.att.com.mx/ODKServer/view/binaryData?blobKey=FSSuministroFluidosv3%5B%40version%3Dnull+and+%40uiVersion%3Dnull%5D%2Fdata%5B%40key%3Duuid%3A4a91f27c-065f-472a-a7ad-3c0e6b6f43d2%5D%2FgroupInfoFuel%5B%40ordinal%3D1%5D%2FpicFuelRecibeInterno","Descargar")</f>
        <v>Descargar</v>
      </c>
    </row>
    <row r="2193" spans="1:18" x14ac:dyDescent="0.3">
      <c r="A2193">
        <v>1553197</v>
      </c>
      <c r="B2193" t="s">
        <v>18</v>
      </c>
      <c r="C2193" t="s">
        <v>68</v>
      </c>
      <c r="D2193" t="s">
        <v>91</v>
      </c>
      <c r="E2193" t="s">
        <v>2038</v>
      </c>
      <c r="F2193" t="s">
        <v>22</v>
      </c>
      <c r="G2193" t="s">
        <v>23</v>
      </c>
      <c r="H2193" t="s">
        <v>37</v>
      </c>
      <c r="I2193" t="s">
        <v>25</v>
      </c>
      <c r="J2193" s="2">
        <v>45814.774953703702</v>
      </c>
      <c r="K2193">
        <v>6</v>
      </c>
      <c r="L2193">
        <v>6</v>
      </c>
      <c r="M2193">
        <v>2025</v>
      </c>
      <c r="N2193" t="s">
        <v>27</v>
      </c>
      <c r="O2193">
        <v>100</v>
      </c>
      <c r="P2193">
        <v>100</v>
      </c>
      <c r="R2193" s="3" t="str">
        <f>HYPERLINK("https://panda.att.com.mx/ODKServer/view/binaryData?blobKey=FSSuministroFluidosv3%5B%40version%3Dnull+and+%40uiVersion%3Dnull%5D%2Fdata%5B%40key%3Duuid%3A7cf5364a-03f9-4cff-bbca-e8c4ff13a36a%5D%2FgroupInfoFuel%5B%40ordinal%3D1%5D%2FpicFuelRecibeInterno","Descargar")</f>
        <v>Descargar</v>
      </c>
    </row>
    <row r="2194" spans="1:18" x14ac:dyDescent="0.3">
      <c r="A2194">
        <v>1553091</v>
      </c>
      <c r="B2194" t="s">
        <v>18</v>
      </c>
      <c r="C2194" t="s">
        <v>34</v>
      </c>
      <c r="D2194" t="s">
        <v>53</v>
      </c>
      <c r="E2194" t="s">
        <v>1771</v>
      </c>
      <c r="F2194" t="s">
        <v>22</v>
      </c>
      <c r="G2194" t="s">
        <v>23</v>
      </c>
      <c r="H2194" t="s">
        <v>37</v>
      </c>
      <c r="I2194" t="s">
        <v>25</v>
      </c>
      <c r="J2194" s="2">
        <v>45814.653599537043</v>
      </c>
      <c r="K2194">
        <v>6</v>
      </c>
      <c r="L2194">
        <v>6</v>
      </c>
      <c r="M2194">
        <v>2025</v>
      </c>
      <c r="N2194" t="s">
        <v>27</v>
      </c>
      <c r="O2194">
        <v>350</v>
      </c>
      <c r="P2194">
        <v>350</v>
      </c>
      <c r="R2194" s="3" t="str">
        <f>HYPERLINK("https://panda.att.com.mx/ODKServer/view/binaryData?blobKey=FSSuministroFluidosv3%5B%40version%3Dnull+and+%40uiVersion%3Dnull%5D%2Fdata%5B%40key%3Duuid%3A78dbdea6-ddf5-4b05-a4db-af8d57fd45fd%5D%2FgroupInfoFuel%5B%40ordinal%3D1%5D%2FpicFuelRecibeInterno","Descargar")</f>
        <v>Descargar</v>
      </c>
    </row>
    <row r="2195" spans="1:18" x14ac:dyDescent="0.3">
      <c r="A2195">
        <v>1553078</v>
      </c>
      <c r="B2195" t="s">
        <v>18</v>
      </c>
      <c r="C2195" t="s">
        <v>59</v>
      </c>
      <c r="D2195" t="s">
        <v>636</v>
      </c>
      <c r="E2195" t="s">
        <v>929</v>
      </c>
      <c r="F2195" t="s">
        <v>22</v>
      </c>
      <c r="G2195" t="s">
        <v>23</v>
      </c>
      <c r="H2195" t="s">
        <v>37</v>
      </c>
      <c r="I2195" t="s">
        <v>25</v>
      </c>
      <c r="J2195" s="2">
        <v>45814.673217592594</v>
      </c>
      <c r="K2195">
        <v>6</v>
      </c>
      <c r="L2195">
        <v>6</v>
      </c>
      <c r="M2195">
        <v>2025</v>
      </c>
      <c r="N2195" t="s">
        <v>27</v>
      </c>
      <c r="O2195">
        <v>280</v>
      </c>
      <c r="P2195">
        <v>280</v>
      </c>
      <c r="R2195" s="3" t="str">
        <f>HYPERLINK("https://panda.att.com.mx/ODKServer/view/binaryData?blobKey=FSSuministroFluidosv3%5B%40version%3Dnull+and+%40uiVersion%3Dnull%5D%2Fdata%5B%40key%3Duuid%3Ae70cd9b9-a9a8-4146-88b1-0486800b6623%5D%2FgroupInfoFuel%5B%40ordinal%3D1%5D%2FpicFuelRecibeInterno","Descargar")</f>
        <v>Descargar</v>
      </c>
    </row>
    <row r="2196" spans="1:18" x14ac:dyDescent="0.3">
      <c r="A2196">
        <v>1552982</v>
      </c>
      <c r="B2196" t="s">
        <v>18</v>
      </c>
      <c r="C2196" t="s">
        <v>34</v>
      </c>
      <c r="D2196" t="s">
        <v>292</v>
      </c>
      <c r="E2196" t="s">
        <v>293</v>
      </c>
      <c r="F2196" t="s">
        <v>22</v>
      </c>
      <c r="G2196" t="s">
        <v>2039</v>
      </c>
      <c r="H2196" t="s">
        <v>37</v>
      </c>
      <c r="I2196" t="s">
        <v>25</v>
      </c>
      <c r="J2196" s="2">
        <v>45813.897037037037</v>
      </c>
      <c r="K2196">
        <v>5</v>
      </c>
      <c r="L2196">
        <v>6</v>
      </c>
      <c r="M2196">
        <v>2025</v>
      </c>
      <c r="N2196" t="s">
        <v>27</v>
      </c>
      <c r="O2196">
        <v>600</v>
      </c>
      <c r="P2196">
        <v>600</v>
      </c>
      <c r="R2196" s="3" t="str">
        <f>HYPERLINK("https://panda.att.com.mx/ODKServer/view/binaryData?blobKey=FSSuministroFluidosv3%5B%40version%3Dnull+and+%40uiVersion%3Dnull%5D%2Fdata%5B%40key%3Duuid%3Afe932727-bda1-4956-ab9c-6cee38fbe972%5D%2FgroupInfoFuel%5B%40ordinal%3D1%5D%2FpicFuelRecibeInterno","Descargar")</f>
        <v>Descargar</v>
      </c>
    </row>
    <row r="2197" spans="1:18" x14ac:dyDescent="0.3">
      <c r="A2197">
        <v>1552973</v>
      </c>
      <c r="B2197" t="s">
        <v>18</v>
      </c>
      <c r="C2197" t="s">
        <v>150</v>
      </c>
      <c r="D2197" t="s">
        <v>164</v>
      </c>
      <c r="E2197" t="s">
        <v>165</v>
      </c>
      <c r="F2197" t="s">
        <v>22</v>
      </c>
      <c r="G2197" t="s">
        <v>23</v>
      </c>
      <c r="H2197" t="s">
        <v>58</v>
      </c>
      <c r="I2197" t="s">
        <v>25</v>
      </c>
      <c r="J2197" s="2">
        <v>45814.380902777782</v>
      </c>
      <c r="K2197">
        <v>6</v>
      </c>
      <c r="L2197">
        <v>6</v>
      </c>
      <c r="M2197">
        <v>2025</v>
      </c>
      <c r="N2197" t="s">
        <v>27</v>
      </c>
      <c r="O2197">
        <v>400</v>
      </c>
      <c r="P2197">
        <v>400</v>
      </c>
      <c r="R2197" s="3" t="str">
        <f>HYPERLINK("https://panda.att.com.mx/ODKServer/view/binaryData?blobKey=FSSuministroFluidosv3%5B%40version%3Dnull+and+%40uiVersion%3Dnull%5D%2Fdata%5B%40key%3Duuid%3Ab4d82646-a2f6-46fc-8145-2ad25fe8bfcf%5D%2FgroupInfoFuel%5B%40ordinal%3D1%5D%2FpicFuelRecibeInterno","Descargar")</f>
        <v>Descargar</v>
      </c>
    </row>
    <row r="2198" spans="1:18" x14ac:dyDescent="0.3">
      <c r="A2198">
        <v>1552815</v>
      </c>
      <c r="B2198" t="s">
        <v>18</v>
      </c>
      <c r="C2198" t="s">
        <v>28</v>
      </c>
      <c r="D2198" t="s">
        <v>118</v>
      </c>
      <c r="E2198" t="s">
        <v>120</v>
      </c>
      <c r="F2198" t="s">
        <v>22</v>
      </c>
      <c r="G2198" t="s">
        <v>23</v>
      </c>
      <c r="H2198" t="s">
        <v>24</v>
      </c>
      <c r="I2198" t="s">
        <v>25</v>
      </c>
      <c r="J2198" s="2">
        <v>45814.400659722232</v>
      </c>
      <c r="K2198">
        <v>6</v>
      </c>
      <c r="L2198">
        <v>6</v>
      </c>
      <c r="M2198">
        <v>2025</v>
      </c>
      <c r="N2198" t="s">
        <v>44</v>
      </c>
      <c r="O2198">
        <v>30</v>
      </c>
      <c r="Q2198">
        <v>30</v>
      </c>
      <c r="R2198" s="3" t="str">
        <f>HYPERLINK("https://panda.att.com.mx/ODKServer/view/binaryData?blobKey=FSSuministroFluidosv3%5B%40version%3Dnull+and+%40uiVersion%3Dnull%5D%2Fdata%5B%40key%3Duuid%3A99124826-e94f-4854-a332-7f313913b1d5%5D%2FgroupInfoFuel%5B%40ordinal%3D1%5D%2FpicFuelRecibeInterno","Descargar")</f>
        <v>Descargar</v>
      </c>
    </row>
    <row r="2199" spans="1:18" x14ac:dyDescent="0.3">
      <c r="A2199">
        <v>1552814</v>
      </c>
      <c r="B2199" t="s">
        <v>18</v>
      </c>
      <c r="C2199" t="s">
        <v>28</v>
      </c>
      <c r="D2199" t="s">
        <v>118</v>
      </c>
      <c r="E2199" t="s">
        <v>119</v>
      </c>
      <c r="F2199" t="s">
        <v>22</v>
      </c>
      <c r="G2199" t="s">
        <v>23</v>
      </c>
      <c r="H2199" t="s">
        <v>24</v>
      </c>
      <c r="I2199" t="s">
        <v>25</v>
      </c>
      <c r="J2199" s="2">
        <v>45814.293576388889</v>
      </c>
      <c r="K2199">
        <v>6</v>
      </c>
      <c r="L2199">
        <v>6</v>
      </c>
      <c r="M2199">
        <v>2025</v>
      </c>
      <c r="N2199" t="s">
        <v>44</v>
      </c>
      <c r="O2199">
        <v>40</v>
      </c>
      <c r="Q2199">
        <v>40</v>
      </c>
      <c r="R2199" s="3" t="str">
        <f>HYPERLINK("https://panda.att.com.mx/ODKServer/view/binaryData?blobKey=FSSuministroFluidosv3%5B%40version%3Dnull+and+%40uiVersion%3Dnull%5D%2Fdata%5B%40key%3Duuid%3A583b7eb4-8754-46c8-af2a-e94bfe600e09%5D%2FgroupInfoFuel%5B%40ordinal%3D1%5D%2FpicFuelRecibeInterno","Descargar")</f>
        <v>Descargar</v>
      </c>
    </row>
    <row r="2200" spans="1:18" x14ac:dyDescent="0.3">
      <c r="A2200">
        <v>1552748</v>
      </c>
      <c r="B2200" t="s">
        <v>18</v>
      </c>
      <c r="C2200" t="s">
        <v>34</v>
      </c>
      <c r="D2200" t="s">
        <v>51</v>
      </c>
      <c r="E2200" t="s">
        <v>631</v>
      </c>
      <c r="F2200" t="s">
        <v>22</v>
      </c>
      <c r="G2200" t="s">
        <v>23</v>
      </c>
      <c r="H2200" t="s">
        <v>24</v>
      </c>
      <c r="I2200" t="s">
        <v>25</v>
      </c>
      <c r="J2200" s="2">
        <v>45813.596076388887</v>
      </c>
      <c r="K2200">
        <v>5</v>
      </c>
      <c r="L2200">
        <v>6</v>
      </c>
      <c r="M2200">
        <v>2025</v>
      </c>
      <c r="N2200" t="s">
        <v>27</v>
      </c>
      <c r="O2200">
        <v>350</v>
      </c>
      <c r="P2200">
        <v>350</v>
      </c>
      <c r="R2200" s="3" t="str">
        <f>HYPERLINK("https://panda.att.com.mx/ODKServer/view/binaryData?blobKey=FSSuministroFluidosv3%5B%40version%3Dnull+and+%40uiVersion%3Dnull%5D%2Fdata%5B%40key%3Duuid%3Ae6e2880e-a729-4109-9e37-e1c5c247b358%5D%2FgroupInfoFuel%5B%40ordinal%3D1%5D%2FpicFuelRecibeInterno","Descargar")</f>
        <v>Descargar</v>
      </c>
    </row>
    <row r="2201" spans="1:18" x14ac:dyDescent="0.3">
      <c r="A2201">
        <v>1552726</v>
      </c>
      <c r="B2201" t="s">
        <v>18</v>
      </c>
      <c r="C2201" t="s">
        <v>150</v>
      </c>
      <c r="D2201" t="s">
        <v>151</v>
      </c>
      <c r="E2201" t="s">
        <v>152</v>
      </c>
      <c r="F2201" t="s">
        <v>22</v>
      </c>
      <c r="G2201" t="s">
        <v>23</v>
      </c>
      <c r="H2201" t="s">
        <v>58</v>
      </c>
      <c r="I2201" t="s">
        <v>25</v>
      </c>
      <c r="J2201" s="2">
        <v>45813.487326388888</v>
      </c>
      <c r="K2201">
        <v>5</v>
      </c>
      <c r="L2201">
        <v>6</v>
      </c>
      <c r="M2201">
        <v>2025</v>
      </c>
      <c r="N2201" t="s">
        <v>27</v>
      </c>
      <c r="O2201">
        <v>120</v>
      </c>
      <c r="P2201">
        <v>120</v>
      </c>
      <c r="R2201" s="3" t="str">
        <f>HYPERLINK("https://panda.att.com.mx/ODKServer/view/binaryData?blobKey=FSSuministroFluidosv3%5B%40version%3Dnull+and+%40uiVersion%3Dnull%5D%2Fdata%5B%40key%3Duuid%3Acb5f65cd-2145-461e-ac90-5a9a66c51817%5D%2FgroupInfoFuel%5B%40ordinal%3D1%5D%2FpicFuelRecibeInterno","Descargar")</f>
        <v>Descargar</v>
      </c>
    </row>
    <row r="2202" spans="1:18" x14ac:dyDescent="0.3">
      <c r="A2202">
        <v>1553634</v>
      </c>
      <c r="B2202" t="s">
        <v>18</v>
      </c>
      <c r="C2202" t="s">
        <v>19</v>
      </c>
      <c r="D2202" t="s">
        <v>156</v>
      </c>
      <c r="E2202" t="s">
        <v>157</v>
      </c>
      <c r="F2202" t="s">
        <v>22</v>
      </c>
      <c r="G2202" t="s">
        <v>23</v>
      </c>
      <c r="H2202" t="s">
        <v>24</v>
      </c>
      <c r="I2202" t="s">
        <v>25</v>
      </c>
      <c r="J2202" s="2">
        <v>45814.480937499997</v>
      </c>
      <c r="K2202">
        <v>6</v>
      </c>
      <c r="L2202">
        <v>6</v>
      </c>
      <c r="M2202">
        <v>2025</v>
      </c>
      <c r="N2202" t="s">
        <v>44</v>
      </c>
      <c r="O2202">
        <v>54</v>
      </c>
      <c r="P2202">
        <v>54</v>
      </c>
      <c r="R2202" s="3" t="str">
        <f>HYPERLINK("https://panda.att.com.mx/ODKServer/view/binaryData?blobKey=FSSuministroFluidosv3%5B%40version%3Dnull+and+%40uiVersion%3Dnull%5D%2Fdata%5B%40key%3Duuid%3A0f35ac2c-61f0-4d7b-b00a-3b70163e431c%5D%2FgroupInfoFuel%5B%40ordinal%3D1%5D%2FpicFuelRecibeInterno","Descargar")</f>
        <v>Descargar</v>
      </c>
    </row>
    <row r="2203" spans="1:18" x14ac:dyDescent="0.3">
      <c r="A2203">
        <v>1553629</v>
      </c>
      <c r="B2203" t="s">
        <v>18</v>
      </c>
      <c r="C2203" t="s">
        <v>167</v>
      </c>
      <c r="D2203" t="s">
        <v>168</v>
      </c>
      <c r="E2203" t="s">
        <v>2040</v>
      </c>
      <c r="F2203" t="s">
        <v>22</v>
      </c>
      <c r="G2203" t="s">
        <v>23</v>
      </c>
      <c r="H2203" t="s">
        <v>58</v>
      </c>
      <c r="I2203" t="s">
        <v>25</v>
      </c>
      <c r="J2203" s="2">
        <v>45814.809050925927</v>
      </c>
      <c r="K2203">
        <v>6</v>
      </c>
      <c r="L2203">
        <v>6</v>
      </c>
      <c r="M2203">
        <v>2025</v>
      </c>
      <c r="N2203" t="s">
        <v>27</v>
      </c>
      <c r="O2203">
        <v>300</v>
      </c>
      <c r="P2203">
        <v>300</v>
      </c>
      <c r="R2203" s="3" t="str">
        <f>HYPERLINK("https://panda.att.com.mx/ODKServer/view/binaryData?blobKey=FSSuministroFluidosv3%5B%40version%3Dnull+and+%40uiVersion%3Dnull%5D%2Fdata%5B%40key%3Duuid%3Af5b84646-607f-4d16-8540-1d196aca2593%5D%2FgroupInfoFuel%5B%40ordinal%3D1%5D%2FpicFuelRecibeInterno","Descargar")</f>
        <v>Descargar</v>
      </c>
    </row>
    <row r="2204" spans="1:18" x14ac:dyDescent="0.3">
      <c r="A2204">
        <v>1553624</v>
      </c>
      <c r="B2204" t="s">
        <v>18</v>
      </c>
      <c r="C2204" t="s">
        <v>59</v>
      </c>
      <c r="D2204" t="s">
        <v>446</v>
      </c>
      <c r="E2204" t="s">
        <v>922</v>
      </c>
      <c r="F2204" t="s">
        <v>33</v>
      </c>
      <c r="G2204" t="s">
        <v>2041</v>
      </c>
      <c r="H2204" t="s">
        <v>37</v>
      </c>
      <c r="I2204" t="s">
        <v>25</v>
      </c>
      <c r="J2204" s="2">
        <v>45814.410381944443</v>
      </c>
      <c r="K2204">
        <v>6</v>
      </c>
      <c r="L2204">
        <v>6</v>
      </c>
      <c r="M2204">
        <v>2025</v>
      </c>
      <c r="N2204" t="s">
        <v>27</v>
      </c>
      <c r="O2204">
        <v>250</v>
      </c>
      <c r="Q2204">
        <v>250</v>
      </c>
      <c r="R2204" s="3" t="str">
        <f>HYPERLINK("https://panda.att.com.mx/ODKServer/view/binaryData?blobKey=FSSuministroFluidosv3%5B%40version%3Dnull+and+%40uiVersion%3Dnull%5D%2Fdata%5B%40key%3Duuid%3Aa6656e00-bc80-4963-80d4-be0f49ff2ade%5D%2FgroupInfoFuel%5B%40ordinal%3D1%5D%2FpicFuelRecibeInterno","Descargar")</f>
        <v>Descargar</v>
      </c>
    </row>
    <row r="2205" spans="1:18" x14ac:dyDescent="0.3">
      <c r="A2205">
        <v>1553610</v>
      </c>
      <c r="B2205" t="s">
        <v>18</v>
      </c>
      <c r="C2205" t="s">
        <v>19</v>
      </c>
      <c r="D2205" t="s">
        <v>45</v>
      </c>
      <c r="E2205" t="s">
        <v>752</v>
      </c>
      <c r="F2205" t="s">
        <v>22</v>
      </c>
      <c r="G2205" t="s">
        <v>23</v>
      </c>
      <c r="H2205" t="s">
        <v>24</v>
      </c>
      <c r="I2205" t="s">
        <v>25</v>
      </c>
      <c r="J2205" s="2">
        <v>45815.440092592587</v>
      </c>
      <c r="K2205">
        <v>7</v>
      </c>
      <c r="L2205">
        <v>6</v>
      </c>
      <c r="M2205">
        <v>2025</v>
      </c>
      <c r="N2205" t="s">
        <v>27</v>
      </c>
      <c r="O2205">
        <v>300</v>
      </c>
      <c r="P2205">
        <v>300</v>
      </c>
      <c r="R2205" s="3" t="str">
        <f>HYPERLINK("https://panda.att.com.mx/ODKServer/view/binaryData?blobKey=FSSuministroFluidosv3%5B%40version%3Dnull+and+%40uiVersion%3Dnull%5D%2Fdata%5B%40key%3Duuid%3A01a938ea-8257-451e-8e7a-5a2b3a670b77%5D%2FgroupInfoFuel%5B%40ordinal%3D1%5D%2FpicFuelRecibeInterno","Descargar")</f>
        <v>Descargar</v>
      </c>
    </row>
    <row r="2206" spans="1:18" x14ac:dyDescent="0.3">
      <c r="A2206">
        <v>1553601</v>
      </c>
      <c r="B2206" t="s">
        <v>18</v>
      </c>
      <c r="C2206" t="s">
        <v>59</v>
      </c>
      <c r="D2206" t="s">
        <v>597</v>
      </c>
      <c r="E2206" t="s">
        <v>1495</v>
      </c>
      <c r="F2206" t="s">
        <v>22</v>
      </c>
      <c r="G2206" t="s">
        <v>23</v>
      </c>
      <c r="H2206" t="s">
        <v>37</v>
      </c>
      <c r="I2206" t="s">
        <v>25</v>
      </c>
      <c r="J2206" s="2">
        <v>45816.62127314815</v>
      </c>
      <c r="K2206">
        <v>8</v>
      </c>
      <c r="L2206">
        <v>6</v>
      </c>
      <c r="M2206">
        <v>2025</v>
      </c>
      <c r="N2206" t="s">
        <v>44</v>
      </c>
      <c r="O2206">
        <v>60</v>
      </c>
      <c r="P2206">
        <v>60</v>
      </c>
      <c r="R2206" s="3" t="str">
        <f>HYPERLINK("https://panda.att.com.mx/ODKServer/view/binaryData?blobKey=FSSuministroFluidosv3%5B%40version%3Dnull+and+%40uiVersion%3Dnull%5D%2Fdata%5B%40key%3Duuid%3Af5387916-a60b-4e45-b890-78896f318c4f%5D%2FgroupInfoFuel%5B%40ordinal%3D1%5D%2FpicFuelRecibeInterno","Descargar")</f>
        <v>Descargar</v>
      </c>
    </row>
    <row r="2207" spans="1:18" x14ac:dyDescent="0.3">
      <c r="A2207">
        <v>1553586</v>
      </c>
      <c r="B2207" t="s">
        <v>18</v>
      </c>
      <c r="C2207" t="s">
        <v>19</v>
      </c>
      <c r="D2207" t="s">
        <v>170</v>
      </c>
      <c r="E2207" t="s">
        <v>2042</v>
      </c>
      <c r="F2207" t="s">
        <v>22</v>
      </c>
      <c r="G2207" t="s">
        <v>23</v>
      </c>
      <c r="H2207" t="s">
        <v>24</v>
      </c>
      <c r="I2207" t="s">
        <v>25</v>
      </c>
      <c r="J2207" s="2">
        <v>45814.4065625</v>
      </c>
      <c r="K2207">
        <v>6</v>
      </c>
      <c r="L2207">
        <v>6</v>
      </c>
      <c r="M2207">
        <v>2025</v>
      </c>
      <c r="N2207" t="s">
        <v>27</v>
      </c>
      <c r="O2207">
        <v>150</v>
      </c>
      <c r="P2207">
        <v>150</v>
      </c>
      <c r="R2207" s="3" t="str">
        <f>HYPERLINK("https://panda.att.com.mx/ODKServer/view/binaryData?blobKey=FSSuministroFluidosv3%5B%40version%3Dnull+and+%40uiVersion%3Dnull%5D%2Fdata%5B%40key%3Duuid%3A4ff0bf46-3368-4d8a-a287-dd72685a87e5%5D%2FgroupInfoFuel%5B%40ordinal%3D1%5D%2FpicFuelRecibeInterno","Descargar")</f>
        <v>Descargar</v>
      </c>
    </row>
    <row r="2208" spans="1:18" x14ac:dyDescent="0.3">
      <c r="A2208">
        <v>1553585</v>
      </c>
      <c r="B2208" t="s">
        <v>18</v>
      </c>
      <c r="C2208" t="s">
        <v>19</v>
      </c>
      <c r="D2208" t="s">
        <v>170</v>
      </c>
      <c r="E2208" t="s">
        <v>171</v>
      </c>
      <c r="F2208" t="s">
        <v>22</v>
      </c>
      <c r="G2208" t="s">
        <v>23</v>
      </c>
      <c r="H2208" t="s">
        <v>24</v>
      </c>
      <c r="I2208" t="s">
        <v>25</v>
      </c>
      <c r="J2208" s="2">
        <v>45807.598738425928</v>
      </c>
      <c r="K2208">
        <v>30</v>
      </c>
      <c r="L2208">
        <v>5</v>
      </c>
      <c r="M2208">
        <v>2025</v>
      </c>
      <c r="N2208" t="s">
        <v>27</v>
      </c>
      <c r="O2208">
        <v>350</v>
      </c>
      <c r="P2208">
        <v>350</v>
      </c>
      <c r="R2208" s="3" t="str">
        <f>HYPERLINK("https://panda.att.com.mx/ODKServer/view/binaryData?blobKey=FSSuministroFluidosv3%5B%40version%3Dnull+and+%40uiVersion%3Dnull%5D%2Fdata%5B%40key%3Duuid%3A23b9d815-7186-49ea-bc67-4b647f5a2ba3%5D%2FgroupInfoFuel%5B%40ordinal%3D1%5D%2FpicFuelRecibeInterno","Descargar")</f>
        <v>Descargar</v>
      </c>
    </row>
    <row r="2209" spans="1:18" x14ac:dyDescent="0.3">
      <c r="A2209">
        <v>1553584</v>
      </c>
      <c r="B2209" t="s">
        <v>18</v>
      </c>
      <c r="C2209" t="s">
        <v>19</v>
      </c>
      <c r="D2209" t="s">
        <v>170</v>
      </c>
      <c r="E2209" t="s">
        <v>171</v>
      </c>
      <c r="F2209" t="s">
        <v>22</v>
      </c>
      <c r="G2209" t="s">
        <v>23</v>
      </c>
      <c r="H2209" t="s">
        <v>24</v>
      </c>
      <c r="I2209" t="s">
        <v>25</v>
      </c>
      <c r="J2209" s="2">
        <v>45806.930509259262</v>
      </c>
      <c r="K2209">
        <v>29</v>
      </c>
      <c r="L2209">
        <v>5</v>
      </c>
      <c r="M2209">
        <v>2025</v>
      </c>
      <c r="N2209" t="s">
        <v>27</v>
      </c>
      <c r="O2209">
        <v>100</v>
      </c>
      <c r="P2209">
        <v>100</v>
      </c>
      <c r="R2209" s="3" t="str">
        <f>HYPERLINK("https://panda.att.com.mx/ODKServer/view/binaryData?blobKey=FSSuministroFluidosv3%5B%40version%3Dnull+and+%40uiVersion%3Dnull%5D%2Fdata%5B%40key%3Duuid%3A15b6d15e-2fda-4d06-9461-180779e26cf3%5D%2FgroupInfoFuel%5B%40ordinal%3D1%5D%2FpicFuelRecibeInterno","Descargar")</f>
        <v>Descargar</v>
      </c>
    </row>
    <row r="2210" spans="1:18" x14ac:dyDescent="0.3">
      <c r="A2210">
        <v>1553568</v>
      </c>
      <c r="B2210" t="s">
        <v>18</v>
      </c>
      <c r="C2210" t="s">
        <v>59</v>
      </c>
      <c r="D2210" t="s">
        <v>60</v>
      </c>
      <c r="E2210" t="s">
        <v>1710</v>
      </c>
      <c r="F2210" t="s">
        <v>22</v>
      </c>
      <c r="G2210" t="s">
        <v>47</v>
      </c>
      <c r="H2210" t="s">
        <v>37</v>
      </c>
      <c r="I2210" t="s">
        <v>25</v>
      </c>
      <c r="J2210" s="2">
        <v>45814.896099537043</v>
      </c>
      <c r="K2210">
        <v>6</v>
      </c>
      <c r="L2210">
        <v>6</v>
      </c>
      <c r="M2210">
        <v>2025</v>
      </c>
      <c r="N2210" t="s">
        <v>27</v>
      </c>
      <c r="O2210">
        <v>85.5</v>
      </c>
      <c r="P2210">
        <v>85.5</v>
      </c>
      <c r="R2210" s="3" t="str">
        <f>HYPERLINK("https://panda.att.com.mx/ODKServer/view/binaryData?blobKey=FSSuministroFluidosv3%5B%40version%3Dnull+and+%40uiVersion%3Dnull%5D%2Fdata%5B%40key%3Duuid%3Ab20eedfa-7d0c-4bb8-bfd3-a15f32182da2%5D%2FgroupInfoFuel%5B%40ordinal%3D1%5D%2FpicFuelRecibeInterno","Descargar")</f>
        <v>Descargar</v>
      </c>
    </row>
    <row r="2211" spans="1:18" x14ac:dyDescent="0.3">
      <c r="A2211">
        <v>1553564</v>
      </c>
      <c r="B2211" t="s">
        <v>18</v>
      </c>
      <c r="C2211" t="s">
        <v>100</v>
      </c>
      <c r="D2211" t="s">
        <v>716</v>
      </c>
      <c r="E2211" t="s">
        <v>2043</v>
      </c>
      <c r="F2211" t="s">
        <v>22</v>
      </c>
      <c r="G2211" t="s">
        <v>23</v>
      </c>
      <c r="H2211" t="s">
        <v>58</v>
      </c>
      <c r="I2211" t="s">
        <v>25</v>
      </c>
      <c r="J2211" s="2">
        <v>45816.548356481479</v>
      </c>
      <c r="K2211">
        <v>8</v>
      </c>
      <c r="L2211">
        <v>6</v>
      </c>
      <c r="M2211">
        <v>2025</v>
      </c>
      <c r="N2211" t="s">
        <v>27</v>
      </c>
      <c r="O2211">
        <v>105</v>
      </c>
      <c r="P2211">
        <v>105</v>
      </c>
      <c r="R2211" s="3" t="str">
        <f>HYPERLINK("https://panda.att.com.mx/ODKServer/view/binaryData?blobKey=FSSuministroFluidosv3%5B%40version%3Dnull+and+%40uiVersion%3Dnull%5D%2Fdata%5B%40key%3Duuid%3A35b7cd29-8f22-4a9c-a120-8d311863036a%5D%2FgroupInfoFuel%5B%40ordinal%3D1%5D%2FpicFuelRecibeInterno","Descargar")</f>
        <v>Descargar</v>
      </c>
    </row>
    <row r="2212" spans="1:18" x14ac:dyDescent="0.3">
      <c r="A2212">
        <v>1553523</v>
      </c>
      <c r="B2212" t="s">
        <v>18</v>
      </c>
      <c r="C2212" t="s">
        <v>150</v>
      </c>
      <c r="D2212" t="s">
        <v>230</v>
      </c>
      <c r="E2212" t="s">
        <v>1510</v>
      </c>
      <c r="F2212" t="s">
        <v>22</v>
      </c>
      <c r="G2212" t="s">
        <v>23</v>
      </c>
      <c r="H2212" t="s">
        <v>58</v>
      </c>
      <c r="I2212" t="s">
        <v>25</v>
      </c>
      <c r="J2212" s="2">
        <v>45816.403587962966</v>
      </c>
      <c r="K2212">
        <v>8</v>
      </c>
      <c r="L2212">
        <v>6</v>
      </c>
      <c r="M2212">
        <v>2025</v>
      </c>
      <c r="N2212" t="s">
        <v>27</v>
      </c>
      <c r="O2212">
        <v>250</v>
      </c>
      <c r="P2212">
        <v>250</v>
      </c>
      <c r="R2212" s="3" t="str">
        <f>HYPERLINK("https://panda.att.com.mx/ODKServer/view/binaryData?blobKey=FSSuministroFluidosv3%5B%40version%3Dnull+and+%40uiVersion%3Dnull%5D%2Fdata%5B%40key%3Duuid%3A9daa6c20-c007-4811-902b-afa22c7eeac3%5D%2FgroupInfoFuel%5B%40ordinal%3D1%5D%2FpicFuelRecibeInterno","Descargar")</f>
        <v>Descargar</v>
      </c>
    </row>
    <row r="2213" spans="1:18" x14ac:dyDescent="0.3">
      <c r="A2213">
        <v>1553510</v>
      </c>
      <c r="B2213" t="s">
        <v>18</v>
      </c>
      <c r="C2213" t="s">
        <v>19</v>
      </c>
      <c r="D2213" t="s">
        <v>189</v>
      </c>
      <c r="E2213" t="s">
        <v>2044</v>
      </c>
      <c r="F2213" t="s">
        <v>22</v>
      </c>
      <c r="G2213" t="s">
        <v>23</v>
      </c>
      <c r="H2213" t="s">
        <v>24</v>
      </c>
      <c r="I2213" t="s">
        <v>25</v>
      </c>
      <c r="J2213" s="2">
        <v>45801.508912037039</v>
      </c>
      <c r="K2213">
        <v>24</v>
      </c>
      <c r="L2213">
        <v>5</v>
      </c>
      <c r="M2213">
        <v>2025</v>
      </c>
      <c r="N2213" t="s">
        <v>44</v>
      </c>
      <c r="O2213">
        <v>40</v>
      </c>
      <c r="P2213">
        <v>40</v>
      </c>
      <c r="R2213" s="3" t="str">
        <f>HYPERLINK("https://panda.att.com.mx/ODKServer/view/binaryData?blobKey=FSSuministroFluidosv3%5B%40version%3Dnull+and+%40uiVersion%3Dnull%5D%2Fdata%5B%40key%3Duuid%3A25335f50-e3aa-4767-b15e-c8e9dd217a33%5D%2FgroupInfoFuel%5B%40ordinal%3D1%5D%2FpicFuelRecibeInterno","Descargar")</f>
        <v>Descargar</v>
      </c>
    </row>
    <row r="2214" spans="1:18" x14ac:dyDescent="0.3">
      <c r="A2214">
        <v>1553509</v>
      </c>
      <c r="B2214" t="s">
        <v>18</v>
      </c>
      <c r="C2214" t="s">
        <v>28</v>
      </c>
      <c r="D2214" t="s">
        <v>118</v>
      </c>
      <c r="E2214" t="s">
        <v>401</v>
      </c>
      <c r="F2214" t="s">
        <v>22</v>
      </c>
      <c r="G2214" t="s">
        <v>23</v>
      </c>
      <c r="H2214" t="s">
        <v>24</v>
      </c>
      <c r="I2214" t="s">
        <v>25</v>
      </c>
      <c r="J2214" s="2">
        <v>45816.339988425927</v>
      </c>
      <c r="K2214">
        <v>8</v>
      </c>
      <c r="L2214">
        <v>6</v>
      </c>
      <c r="M2214">
        <v>2025</v>
      </c>
      <c r="N2214" t="s">
        <v>27</v>
      </c>
      <c r="O2214">
        <v>100</v>
      </c>
      <c r="P2214">
        <v>100</v>
      </c>
      <c r="R2214" s="3" t="str">
        <f>HYPERLINK("https://panda.att.com.mx/ODKServer/view/binaryData?blobKey=FSSuministroFluidosv3%5B%40version%3Dnull+and+%40uiVersion%3Dnull%5D%2Fdata%5B%40key%3Duuid%3A2602f3d6-5e79-454a-b618-739be5f07c7e%5D%2FgroupInfoFuel%5B%40ordinal%3D1%5D%2FpicFuelRecibeInterno","Descargar")</f>
        <v>Descargar</v>
      </c>
    </row>
    <row r="2215" spans="1:18" x14ac:dyDescent="0.3">
      <c r="A2215">
        <v>1553490</v>
      </c>
      <c r="B2215" t="s">
        <v>18</v>
      </c>
      <c r="C2215" t="s">
        <v>183</v>
      </c>
      <c r="D2215" t="s">
        <v>305</v>
      </c>
      <c r="E2215" t="s">
        <v>1879</v>
      </c>
      <c r="F2215" t="s">
        <v>22</v>
      </c>
      <c r="G2215" t="s">
        <v>23</v>
      </c>
      <c r="H2215" t="s">
        <v>24</v>
      </c>
      <c r="I2215" t="s">
        <v>25</v>
      </c>
      <c r="J2215" s="2">
        <v>45814.194895833331</v>
      </c>
      <c r="K2215">
        <v>6</v>
      </c>
      <c r="L2215">
        <v>6</v>
      </c>
      <c r="M2215">
        <v>2025</v>
      </c>
      <c r="N2215" t="s">
        <v>44</v>
      </c>
      <c r="O2215">
        <v>54</v>
      </c>
      <c r="P2215">
        <v>54</v>
      </c>
      <c r="R2215" s="3" t="str">
        <f>HYPERLINK("https://panda.att.com.mx/ODKServer/view/binaryData?blobKey=FSSuministroFluidosv3%5B%40version%3Dnull+and+%40uiVersion%3Dnull%5D%2Fdata%5B%40key%3Duuid%3A11a16279-d4db-4de4-a0d6-9a7aa1174818%5D%2FgroupInfoFuel%5B%40ordinal%3D1%5D%2FpicFuelRecibeInterno","Descargar")</f>
        <v>Descargar</v>
      </c>
    </row>
    <row r="2216" spans="1:18" x14ac:dyDescent="0.3">
      <c r="A2216">
        <v>1553489</v>
      </c>
      <c r="B2216" t="s">
        <v>18</v>
      </c>
      <c r="C2216" t="s">
        <v>183</v>
      </c>
      <c r="D2216" t="s">
        <v>305</v>
      </c>
      <c r="E2216" t="s">
        <v>1882</v>
      </c>
      <c r="F2216" t="s">
        <v>22</v>
      </c>
      <c r="G2216" t="s">
        <v>23</v>
      </c>
      <c r="H2216" t="s">
        <v>24</v>
      </c>
      <c r="I2216" t="s">
        <v>25</v>
      </c>
      <c r="J2216" s="2">
        <v>45813.403009259258</v>
      </c>
      <c r="K2216">
        <v>5</v>
      </c>
      <c r="L2216">
        <v>6</v>
      </c>
      <c r="M2216">
        <v>2025</v>
      </c>
      <c r="N2216" t="s">
        <v>44</v>
      </c>
      <c r="O2216">
        <v>54</v>
      </c>
      <c r="P2216">
        <v>54</v>
      </c>
      <c r="R2216" s="3" t="str">
        <f>HYPERLINK("https://panda.att.com.mx/ODKServer/view/binaryData?blobKey=FSSuministroFluidosv3%5B%40version%3Dnull+and+%40uiVersion%3Dnull%5D%2Fdata%5B%40key%3Duuid%3A83c4ed80-5ae4-40de-a60f-131083ec28b3%5D%2FgroupInfoFuel%5B%40ordinal%3D1%5D%2FpicFuelRecibeInterno","Descargar")</f>
        <v>Descargar</v>
      </c>
    </row>
    <row r="2217" spans="1:18" x14ac:dyDescent="0.3">
      <c r="A2217">
        <v>1553488</v>
      </c>
      <c r="B2217" t="s">
        <v>18</v>
      </c>
      <c r="C2217" t="s">
        <v>183</v>
      </c>
      <c r="D2217" t="s">
        <v>305</v>
      </c>
      <c r="E2217" t="s">
        <v>1879</v>
      </c>
      <c r="F2217" t="s">
        <v>22</v>
      </c>
      <c r="G2217" t="s">
        <v>23</v>
      </c>
      <c r="H2217" t="s">
        <v>24</v>
      </c>
      <c r="I2217" t="s">
        <v>25</v>
      </c>
      <c r="J2217" s="2">
        <v>45813.333425925928</v>
      </c>
      <c r="K2217">
        <v>5</v>
      </c>
      <c r="L2217">
        <v>6</v>
      </c>
      <c r="M2217">
        <v>2025</v>
      </c>
      <c r="N2217" t="s">
        <v>44</v>
      </c>
      <c r="O2217">
        <v>54</v>
      </c>
      <c r="P2217">
        <v>54</v>
      </c>
      <c r="R2217" s="3" t="str">
        <f>HYPERLINK("https://panda.att.com.mx/ODKServer/view/binaryData?blobKey=FSSuministroFluidosv3%5B%40version%3Dnull+and+%40uiVersion%3Dnull%5D%2Fdata%5B%40key%3Duuid%3A73687f0b-38b9-400d-8e7e-5c48f79729ae%5D%2FgroupInfoFuel%5B%40ordinal%3D1%5D%2FpicFuelRecibeInterno","Descargar")</f>
        <v>Descargar</v>
      </c>
    </row>
    <row r="2218" spans="1:18" x14ac:dyDescent="0.3">
      <c r="A2218">
        <v>1553483</v>
      </c>
      <c r="B2218" t="s">
        <v>18</v>
      </c>
      <c r="C2218" t="s">
        <v>19</v>
      </c>
      <c r="D2218" t="s">
        <v>156</v>
      </c>
      <c r="E2218" t="s">
        <v>2045</v>
      </c>
      <c r="F2218" t="s">
        <v>22</v>
      </c>
      <c r="G2218" t="s">
        <v>23</v>
      </c>
      <c r="H2218" t="s">
        <v>24</v>
      </c>
      <c r="I2218" t="s">
        <v>25</v>
      </c>
      <c r="J2218" s="2">
        <v>45811.478310185194</v>
      </c>
      <c r="K2218">
        <v>3</v>
      </c>
      <c r="L2218">
        <v>6</v>
      </c>
      <c r="M2218">
        <v>2025</v>
      </c>
      <c r="N2218" t="s">
        <v>44</v>
      </c>
      <c r="O2218">
        <v>25</v>
      </c>
      <c r="P2218">
        <v>25</v>
      </c>
      <c r="R2218" s="3" t="str">
        <f>HYPERLINK("https://panda.att.com.mx/ODKServer/view/binaryData?blobKey=FSSuministroFluidosv3%5B%40version%3Dnull+and+%40uiVersion%3Dnull%5D%2Fdata%5B%40key%3Duuid%3A5e4f0f13-7b21-402b-b0bd-81e8e34e6f28%5D%2FgroupInfoFuel%5B%40ordinal%3D1%5D%2FpicFuelRecibeInterno","Descargar")</f>
        <v>Descargar</v>
      </c>
    </row>
    <row r="2219" spans="1:18" x14ac:dyDescent="0.3">
      <c r="A2219">
        <v>1553482</v>
      </c>
      <c r="B2219" t="s">
        <v>18</v>
      </c>
      <c r="C2219" t="s">
        <v>183</v>
      </c>
      <c r="D2219" t="s">
        <v>305</v>
      </c>
      <c r="E2219" t="s">
        <v>1882</v>
      </c>
      <c r="F2219" t="s">
        <v>22</v>
      </c>
      <c r="G2219" t="s">
        <v>23</v>
      </c>
      <c r="H2219" t="s">
        <v>24</v>
      </c>
      <c r="I2219" t="s">
        <v>25</v>
      </c>
      <c r="J2219" s="2">
        <v>45805.446770833332</v>
      </c>
      <c r="K2219">
        <v>28</v>
      </c>
      <c r="L2219">
        <v>5</v>
      </c>
      <c r="M2219">
        <v>2025</v>
      </c>
      <c r="N2219" t="s">
        <v>44</v>
      </c>
      <c r="O2219">
        <v>54</v>
      </c>
      <c r="P2219">
        <v>54</v>
      </c>
      <c r="R2219" s="3" t="str">
        <f>HYPERLINK("https://panda.att.com.mx/ODKServer/view/binaryData?blobKey=FSSuministroFluidosv3%5B%40version%3Dnull+and+%40uiVersion%3Dnull%5D%2Fdata%5B%40key%3Duuid%3Adabca611-dc05-4d8a-89c1-4eda1f8534a0%5D%2FgroupInfoFuel%5B%40ordinal%3D1%5D%2FpicFuelRecibeInterno","Descargar")</f>
        <v>Descargar</v>
      </c>
    </row>
    <row r="2220" spans="1:18" x14ac:dyDescent="0.3">
      <c r="A2220">
        <v>1553478</v>
      </c>
      <c r="B2220" t="s">
        <v>18</v>
      </c>
      <c r="C2220" t="s">
        <v>19</v>
      </c>
      <c r="D2220" t="s">
        <v>156</v>
      </c>
      <c r="E2220" t="s">
        <v>477</v>
      </c>
      <c r="F2220" t="s">
        <v>22</v>
      </c>
      <c r="G2220" t="s">
        <v>23</v>
      </c>
      <c r="H2220" t="s">
        <v>24</v>
      </c>
      <c r="I2220" t="s">
        <v>25</v>
      </c>
      <c r="J2220" s="2">
        <v>45814.978993055563</v>
      </c>
      <c r="K2220">
        <v>6</v>
      </c>
      <c r="L2220">
        <v>6</v>
      </c>
      <c r="M2220">
        <v>2025</v>
      </c>
      <c r="N2220" t="s">
        <v>27</v>
      </c>
      <c r="O2220">
        <v>70</v>
      </c>
      <c r="P2220">
        <v>70</v>
      </c>
      <c r="R2220" s="3" t="str">
        <f>HYPERLINK("https://panda.att.com.mx/ODKServer/view/binaryData?blobKey=FSSuministroFluidosv3%5B%40version%3Dnull+and+%40uiVersion%3Dnull%5D%2Fdata%5B%40key%3Duuid%3A2ed3ea58-b7e2-47ae-aeae-5ddfda7bafbf%5D%2FgroupInfoFuel%5B%40ordinal%3D1%5D%2FpicFuelRecibeInterno","Descargar")</f>
        <v>Descargar</v>
      </c>
    </row>
    <row r="2221" spans="1:18" x14ac:dyDescent="0.3">
      <c r="A2221">
        <v>1553476</v>
      </c>
      <c r="B2221" t="s">
        <v>18</v>
      </c>
      <c r="C2221" t="s">
        <v>34</v>
      </c>
      <c r="D2221" t="s">
        <v>187</v>
      </c>
      <c r="E2221" t="s">
        <v>2046</v>
      </c>
      <c r="F2221" t="s">
        <v>22</v>
      </c>
      <c r="G2221" t="s">
        <v>23</v>
      </c>
      <c r="H2221" t="s">
        <v>24</v>
      </c>
      <c r="I2221" t="s">
        <v>25</v>
      </c>
      <c r="J2221" s="2">
        <v>45815.450601851851</v>
      </c>
      <c r="K2221">
        <v>7</v>
      </c>
      <c r="L2221">
        <v>6</v>
      </c>
      <c r="M2221">
        <v>2025</v>
      </c>
      <c r="N2221" t="s">
        <v>27</v>
      </c>
      <c r="O2221">
        <v>120</v>
      </c>
      <c r="P2221">
        <v>120</v>
      </c>
      <c r="R2221" s="3" t="str">
        <f>HYPERLINK("https://panda.att.com.mx/ODKServer/view/binaryData?blobKey=FSSuministroFluidosv3%5B%40version%3Dnull+and+%40uiVersion%3Dnull%5D%2Fdata%5B%40key%3Duuid%3Aa6d3e3a2-120c-4c58-b745-fe3c20475482%5D%2FgroupInfoFuel%5B%40ordinal%3D1%5D%2FpicFuelRecibeInterno","Descargar")</f>
        <v>Descargar</v>
      </c>
    </row>
    <row r="2222" spans="1:18" x14ac:dyDescent="0.3">
      <c r="A2222">
        <v>1553473</v>
      </c>
      <c r="B2222" t="s">
        <v>18</v>
      </c>
      <c r="C2222" t="s">
        <v>19</v>
      </c>
      <c r="D2222" t="s">
        <v>156</v>
      </c>
      <c r="E2222" t="s">
        <v>2047</v>
      </c>
      <c r="F2222" t="s">
        <v>22</v>
      </c>
      <c r="G2222" t="s">
        <v>23</v>
      </c>
      <c r="H2222" t="s">
        <v>24</v>
      </c>
      <c r="I2222" t="s">
        <v>25</v>
      </c>
      <c r="J2222" s="2">
        <v>45812.311018518521</v>
      </c>
      <c r="K2222">
        <v>4</v>
      </c>
      <c r="L2222">
        <v>6</v>
      </c>
      <c r="M2222">
        <v>2025</v>
      </c>
      <c r="N2222" t="s">
        <v>44</v>
      </c>
      <c r="O2222">
        <v>17</v>
      </c>
      <c r="P2222">
        <v>17</v>
      </c>
      <c r="R2222" s="3" t="str">
        <f>HYPERLINK("https://panda.att.com.mx/ODKServer/view/binaryData?blobKey=FSSuministroFluidosv3%5B%40version%3Dnull+and+%40uiVersion%3Dnull%5D%2Fdata%5B%40key%3Duuid%3A80f7a86f-d1d7-44b2-a2b1-71e8f2f11957%5D%2FgroupInfoFuel%5B%40ordinal%3D1%5D%2FpicFuelRecibeInterno","Descargar")</f>
        <v>Descargar</v>
      </c>
    </row>
    <row r="2223" spans="1:18" x14ac:dyDescent="0.3">
      <c r="A2223">
        <v>1553470</v>
      </c>
      <c r="B2223" t="s">
        <v>18</v>
      </c>
      <c r="C2223" t="s">
        <v>100</v>
      </c>
      <c r="D2223" t="s">
        <v>716</v>
      </c>
      <c r="E2223" t="s">
        <v>717</v>
      </c>
      <c r="F2223" t="s">
        <v>22</v>
      </c>
      <c r="G2223" t="s">
        <v>83</v>
      </c>
      <c r="H2223" t="s">
        <v>58</v>
      </c>
      <c r="I2223" t="s">
        <v>25</v>
      </c>
      <c r="J2223" s="2">
        <v>45815.883101851847</v>
      </c>
      <c r="K2223">
        <v>7</v>
      </c>
      <c r="L2223">
        <v>6</v>
      </c>
      <c r="M2223">
        <v>2025</v>
      </c>
      <c r="N2223" t="s">
        <v>27</v>
      </c>
      <c r="O2223">
        <v>147</v>
      </c>
      <c r="P2223">
        <v>147</v>
      </c>
      <c r="R2223" s="3" t="str">
        <f>HYPERLINK("https://panda.att.com.mx/ODKServer/view/binaryData?blobKey=FSSuministroFluidosv3%5B%40version%3Dnull+and+%40uiVersion%3Dnull%5D%2Fdata%5B%40key%3Duuid%3Affb4d532-6897-48e6-8ab7-2e56a54a76fa%5D%2FgroupInfoFuel%5B%40ordinal%3D1%5D%2FpicFuelRecibeInterno","Descargar")</f>
        <v>Descargar</v>
      </c>
    </row>
    <row r="2224" spans="1:18" x14ac:dyDescent="0.3">
      <c r="A2224">
        <v>1553442</v>
      </c>
      <c r="B2224" t="s">
        <v>18</v>
      </c>
      <c r="C2224" t="s">
        <v>28</v>
      </c>
      <c r="D2224" t="s">
        <v>66</v>
      </c>
      <c r="E2224" t="s">
        <v>1141</v>
      </c>
      <c r="F2224" t="s">
        <v>22</v>
      </c>
      <c r="G2224" t="s">
        <v>23</v>
      </c>
      <c r="H2224" t="s">
        <v>24</v>
      </c>
      <c r="I2224" t="s">
        <v>25</v>
      </c>
      <c r="J2224" s="2">
        <v>45815.7965625</v>
      </c>
      <c r="K2224">
        <v>7</v>
      </c>
      <c r="L2224">
        <v>6</v>
      </c>
      <c r="M2224">
        <v>2025</v>
      </c>
      <c r="N2224" t="s">
        <v>27</v>
      </c>
      <c r="O2224">
        <v>600</v>
      </c>
      <c r="P2224">
        <v>600</v>
      </c>
      <c r="R2224" s="3" t="str">
        <f>HYPERLINK("https://panda.att.com.mx/ODKServer/view/binaryData?blobKey=FSSuministroFluidosv3%5B%40version%3Dnull+and+%40uiVersion%3Dnull%5D%2Fdata%5B%40key%3Duuid%3A8e253f21-bb1a-4251-93b4-c88d2f8654e4%5D%2FgroupInfoFuel%5B%40ordinal%3D1%5D%2FpicFuelRecibeInterno","Descargar")</f>
        <v>Descargar</v>
      </c>
    </row>
    <row r="2225" spans="1:18" x14ac:dyDescent="0.3">
      <c r="A2225">
        <v>1553441</v>
      </c>
      <c r="B2225" t="s">
        <v>18</v>
      </c>
      <c r="C2225" t="s">
        <v>19</v>
      </c>
      <c r="D2225" t="s">
        <v>156</v>
      </c>
      <c r="E2225" t="s">
        <v>477</v>
      </c>
      <c r="F2225" t="s">
        <v>22</v>
      </c>
      <c r="G2225" t="s">
        <v>23</v>
      </c>
      <c r="H2225" t="s">
        <v>24</v>
      </c>
      <c r="I2225" t="s">
        <v>25</v>
      </c>
      <c r="J2225" s="2">
        <v>45811.978009259263</v>
      </c>
      <c r="K2225">
        <v>3</v>
      </c>
      <c r="L2225">
        <v>6</v>
      </c>
      <c r="M2225">
        <v>2025</v>
      </c>
      <c r="N2225" t="s">
        <v>27</v>
      </c>
      <c r="O2225">
        <v>110</v>
      </c>
      <c r="P2225">
        <v>110</v>
      </c>
      <c r="R2225" s="3" t="str">
        <f>HYPERLINK("https://panda.att.com.mx/ODKServer/view/binaryData?blobKey=FSSuministroFluidosv3%5B%40version%3Dnull+and+%40uiVersion%3Dnull%5D%2Fdata%5B%40key%3Duuid%3Ab7a9d03c-dd04-4be1-9442-4be1bd1e88d4%5D%2FgroupInfoFuel%5B%40ordinal%3D1%5D%2FpicFuelRecibeInterno","Descargar")</f>
        <v>Descargar</v>
      </c>
    </row>
    <row r="2226" spans="1:18" x14ac:dyDescent="0.3">
      <c r="A2226">
        <v>1553440</v>
      </c>
      <c r="B2226" t="s">
        <v>18</v>
      </c>
      <c r="C2226" t="s">
        <v>19</v>
      </c>
      <c r="D2226" t="s">
        <v>156</v>
      </c>
      <c r="E2226" t="s">
        <v>493</v>
      </c>
      <c r="F2226" t="s">
        <v>22</v>
      </c>
      <c r="G2226" t="s">
        <v>23</v>
      </c>
      <c r="H2226" t="s">
        <v>24</v>
      </c>
      <c r="I2226" t="s">
        <v>25</v>
      </c>
      <c r="J2226" s="2">
        <v>45810.683125000003</v>
      </c>
      <c r="K2226">
        <v>2</v>
      </c>
      <c r="L2226">
        <v>6</v>
      </c>
      <c r="M2226">
        <v>2025</v>
      </c>
      <c r="N2226" t="s">
        <v>27</v>
      </c>
      <c r="O2226">
        <v>58</v>
      </c>
      <c r="P2226">
        <v>58</v>
      </c>
      <c r="R2226" s="3" t="str">
        <f>HYPERLINK("https://panda.att.com.mx/ODKServer/view/binaryData?blobKey=FSSuministroFluidosv3%5B%40version%3Dnull+and+%40uiVersion%3Dnull%5D%2Fdata%5B%40key%3Duuid%3A0e9685bc-2a37-4e40-a1b6-f5705e292b30%5D%2FgroupInfoFuel%5B%40ordinal%3D1%5D%2FpicFuelRecibeInterno","Descargar")</f>
        <v>Descargar</v>
      </c>
    </row>
    <row r="2227" spans="1:18" x14ac:dyDescent="0.3">
      <c r="A2227">
        <v>1555430</v>
      </c>
      <c r="B2227" t="s">
        <v>18</v>
      </c>
      <c r="C2227" t="s">
        <v>34</v>
      </c>
      <c r="D2227" t="s">
        <v>53</v>
      </c>
      <c r="E2227" t="s">
        <v>1979</v>
      </c>
      <c r="F2227" t="s">
        <v>22</v>
      </c>
      <c r="G2227" t="s">
        <v>23</v>
      </c>
      <c r="H2227" t="s">
        <v>37</v>
      </c>
      <c r="I2227" t="s">
        <v>25</v>
      </c>
      <c r="J2227" s="2">
        <v>45818.899641203701</v>
      </c>
      <c r="K2227">
        <v>10</v>
      </c>
      <c r="L2227">
        <v>6</v>
      </c>
      <c r="M2227">
        <v>2025</v>
      </c>
      <c r="N2227" t="s">
        <v>27</v>
      </c>
      <c r="O2227">
        <v>300</v>
      </c>
      <c r="P2227">
        <v>300</v>
      </c>
      <c r="R2227" s="3" t="str">
        <f>HYPERLINK("https://panda.att.com.mx/ODKServer/view/binaryData?blobKey=FSSuministroFluidosv3%5B%40version%3Dnull+and+%40uiVersion%3Dnull%5D%2Fdata%5B%40key%3Duuid%3A37777ab9-8208-4911-8e82-08c5da5e3fd3%5D%2FgroupInfoFuel%5B%40ordinal%3D1%5D%2FpicFuelRecibeInterno","Descargar")</f>
        <v>Descargar</v>
      </c>
    </row>
    <row r="2228" spans="1:18" x14ac:dyDescent="0.3">
      <c r="A2228">
        <v>1555389</v>
      </c>
      <c r="B2228" t="s">
        <v>18</v>
      </c>
      <c r="C2228" t="s">
        <v>183</v>
      </c>
      <c r="D2228" t="s">
        <v>697</v>
      </c>
      <c r="E2228" t="s">
        <v>698</v>
      </c>
      <c r="F2228" t="s">
        <v>22</v>
      </c>
      <c r="G2228" t="s">
        <v>23</v>
      </c>
      <c r="H2228" t="s">
        <v>24</v>
      </c>
      <c r="I2228" t="s">
        <v>25</v>
      </c>
      <c r="J2228" s="2">
        <v>45805.632268518522</v>
      </c>
      <c r="K2228">
        <v>28</v>
      </c>
      <c r="L2228">
        <v>5</v>
      </c>
      <c r="M2228">
        <v>2025</v>
      </c>
      <c r="N2228" t="s">
        <v>44</v>
      </c>
      <c r="O2228">
        <v>27</v>
      </c>
      <c r="P2228">
        <v>27</v>
      </c>
      <c r="R2228" s="3" t="str">
        <f>HYPERLINK("https://panda.att.com.mx/ODKServer/view/binaryData?blobKey=FSSuministroFluidosv3%5B%40version%3Dnull+and+%40uiVersion%3Dnull%5D%2Fdata%5B%40key%3Duuid%3Ac0662879-4633-409a-91a7-d2f200217f3f%5D%2FgroupInfoFuel%5B%40ordinal%3D1%5D%2FpicFuelRecibeInterno","Descargar")</f>
        <v>Descargar</v>
      </c>
    </row>
    <row r="2229" spans="1:18" x14ac:dyDescent="0.3">
      <c r="A2229">
        <v>1555359</v>
      </c>
      <c r="B2229" t="s">
        <v>18</v>
      </c>
      <c r="C2229" t="s">
        <v>68</v>
      </c>
      <c r="D2229" t="s">
        <v>132</v>
      </c>
      <c r="E2229" t="s">
        <v>2048</v>
      </c>
      <c r="F2229" t="s">
        <v>22</v>
      </c>
      <c r="G2229" t="s">
        <v>23</v>
      </c>
      <c r="H2229" t="s">
        <v>37</v>
      </c>
      <c r="I2229" t="s">
        <v>25</v>
      </c>
      <c r="J2229" s="2">
        <v>45818.962893518517</v>
      </c>
      <c r="K2229">
        <v>10</v>
      </c>
      <c r="L2229">
        <v>6</v>
      </c>
      <c r="M2229">
        <v>2025</v>
      </c>
      <c r="N2229" t="s">
        <v>27</v>
      </c>
      <c r="O2229">
        <v>70</v>
      </c>
      <c r="P2229">
        <v>70</v>
      </c>
      <c r="R2229" s="3" t="str">
        <f>HYPERLINK("https://panda.att.com.mx/ODKServer/view/binaryData?blobKey=FSSuministroFluidosv3%5B%40version%3Dnull+and+%40uiVersion%3Dnull%5D%2Fdata%5B%40key%3Duuid%3A352090fe-2752-4125-aa0c-16fc08237891%5D%2FgroupInfoFuel%5B%40ordinal%3D1%5D%2FpicFuelRecibeInterno","Descargar")</f>
        <v>Descargar</v>
      </c>
    </row>
    <row r="2230" spans="1:18" x14ac:dyDescent="0.3">
      <c r="A2230">
        <v>1555358</v>
      </c>
      <c r="B2230" t="s">
        <v>18</v>
      </c>
      <c r="C2230" t="s">
        <v>34</v>
      </c>
      <c r="D2230" t="s">
        <v>51</v>
      </c>
      <c r="E2230" t="s">
        <v>2049</v>
      </c>
      <c r="F2230" t="s">
        <v>22</v>
      </c>
      <c r="G2230" t="s">
        <v>47</v>
      </c>
      <c r="H2230" t="s">
        <v>24</v>
      </c>
      <c r="I2230" t="s">
        <v>25</v>
      </c>
      <c r="J2230" s="2">
        <v>45818.535891203697</v>
      </c>
      <c r="K2230">
        <v>10</v>
      </c>
      <c r="L2230">
        <v>6</v>
      </c>
      <c r="M2230">
        <v>2025</v>
      </c>
      <c r="N2230" t="s">
        <v>27</v>
      </c>
      <c r="O2230">
        <v>400</v>
      </c>
      <c r="Q2230">
        <v>400</v>
      </c>
      <c r="R2230" s="3" t="str">
        <f>HYPERLINK("https://panda.att.com.mx/ODKServer/view/binaryData?blobKey=FSSuministroFluidosv3%5B%40version%3Dnull+and+%40uiVersion%3Dnull%5D%2Fdata%5B%40key%3Duuid%3A042e050d-2f6f-4c4b-a1db-7f168576a32e%5D%2FgroupInfoFuel%5B%40ordinal%3D1%5D%2FpicFuelRecibeInterno","Descargar")</f>
        <v>Descargar</v>
      </c>
    </row>
    <row r="2231" spans="1:18" x14ac:dyDescent="0.3">
      <c r="A2231">
        <v>1555357</v>
      </c>
      <c r="B2231" t="s">
        <v>18</v>
      </c>
      <c r="C2231" t="s">
        <v>28</v>
      </c>
      <c r="D2231" t="s">
        <v>895</v>
      </c>
      <c r="E2231" t="s">
        <v>2050</v>
      </c>
      <c r="F2231" t="s">
        <v>22</v>
      </c>
      <c r="G2231" t="s">
        <v>47</v>
      </c>
      <c r="H2231" t="s">
        <v>24</v>
      </c>
      <c r="I2231" t="s">
        <v>25</v>
      </c>
      <c r="J2231" s="2">
        <v>45818.679444444453</v>
      </c>
      <c r="K2231">
        <v>10</v>
      </c>
      <c r="L2231">
        <v>6</v>
      </c>
      <c r="M2231">
        <v>2025</v>
      </c>
      <c r="N2231" t="s">
        <v>27</v>
      </c>
      <c r="O2231">
        <v>70</v>
      </c>
      <c r="P2231">
        <v>70</v>
      </c>
      <c r="R2231" s="3" t="str">
        <f>HYPERLINK("https://panda.att.com.mx/ODKServer/view/binaryData?blobKey=FSSuministroFluidosv3%5B%40version%3Dnull+and+%40uiVersion%3Dnull%5D%2Fdata%5B%40key%3Duuid%3Abb5d5c73-ef61-4778-8c8e-970c54810ff5%5D%2FgroupInfoFuel%5B%40ordinal%3D1%5D%2FpicFuelRecibeInterno","Descargar")</f>
        <v>Descargar</v>
      </c>
    </row>
    <row r="2232" spans="1:18" x14ac:dyDescent="0.3">
      <c r="A2232">
        <v>1555323</v>
      </c>
      <c r="B2232" t="s">
        <v>18</v>
      </c>
      <c r="C2232" t="s">
        <v>19</v>
      </c>
      <c r="D2232" t="s">
        <v>62</v>
      </c>
      <c r="E2232" t="s">
        <v>2051</v>
      </c>
      <c r="F2232" t="s">
        <v>22</v>
      </c>
      <c r="G2232" t="s">
        <v>23</v>
      </c>
      <c r="H2232" t="s">
        <v>24</v>
      </c>
      <c r="I2232" t="s">
        <v>25</v>
      </c>
      <c r="J2232" s="2">
        <v>45818.922673611109</v>
      </c>
      <c r="K2232">
        <v>10</v>
      </c>
      <c r="L2232">
        <v>6</v>
      </c>
      <c r="M2232">
        <v>2025</v>
      </c>
      <c r="N2232" t="s">
        <v>44</v>
      </c>
      <c r="O2232">
        <v>15</v>
      </c>
      <c r="P2232">
        <v>15</v>
      </c>
      <c r="R2232" s="3" t="str">
        <f>HYPERLINK("https://panda.att.com.mx/ODKServer/view/binaryData?blobKey=FSSuministroFluidosv3%5B%40version%3Dnull+and+%40uiVersion%3Dnull%5D%2Fdata%5B%40key%3Duuid%3A51b60194-aa42-42ae-ab9d-41d67a9ad3dc%5D%2FgroupInfoFuel%5B%40ordinal%3D1%5D%2FpicFuelRecibeInterno","Descargar")</f>
        <v>Descargar</v>
      </c>
    </row>
    <row r="2233" spans="1:18" x14ac:dyDescent="0.3">
      <c r="A2233">
        <v>1555277</v>
      </c>
      <c r="B2233" t="s">
        <v>18</v>
      </c>
      <c r="C2233" t="s">
        <v>34</v>
      </c>
      <c r="D2233" t="s">
        <v>53</v>
      </c>
      <c r="E2233" t="s">
        <v>2052</v>
      </c>
      <c r="F2233" t="s">
        <v>22</v>
      </c>
      <c r="G2233" t="s">
        <v>23</v>
      </c>
      <c r="H2233" t="s">
        <v>37</v>
      </c>
      <c r="I2233" t="s">
        <v>25</v>
      </c>
      <c r="J2233" s="2">
        <v>45818.429548611108</v>
      </c>
      <c r="K2233">
        <v>10</v>
      </c>
      <c r="L2233">
        <v>6</v>
      </c>
      <c r="M2233">
        <v>2025</v>
      </c>
      <c r="N2233" t="s">
        <v>27</v>
      </c>
      <c r="O2233">
        <v>150</v>
      </c>
      <c r="P2233">
        <v>150</v>
      </c>
      <c r="R2233" s="3" t="str">
        <f>HYPERLINK("https://panda.att.com.mx/ODKServer/view/binaryData?blobKey=FSSuministroFluidosv3%5B%40version%3Dnull+and+%40uiVersion%3Dnull%5D%2Fdata%5B%40key%3Duuid%3Ab1c2d7df-e968-4d7c-a62b-c77714682fc0%5D%2FgroupInfoFuel%5B%40ordinal%3D1%5D%2FpicFuelRecibeInterno","Descargar")</f>
        <v>Descargar</v>
      </c>
    </row>
    <row r="2234" spans="1:18" x14ac:dyDescent="0.3">
      <c r="A2234">
        <v>1555266</v>
      </c>
      <c r="B2234" t="s">
        <v>18</v>
      </c>
      <c r="C2234" t="s">
        <v>34</v>
      </c>
      <c r="D2234" t="s">
        <v>51</v>
      </c>
      <c r="E2234" t="s">
        <v>631</v>
      </c>
      <c r="F2234" t="s">
        <v>22</v>
      </c>
      <c r="G2234" t="s">
        <v>23</v>
      </c>
      <c r="H2234" t="s">
        <v>24</v>
      </c>
      <c r="I2234" t="s">
        <v>25</v>
      </c>
      <c r="J2234" s="2">
        <v>45818.436585648153</v>
      </c>
      <c r="K2234">
        <v>10</v>
      </c>
      <c r="L2234">
        <v>6</v>
      </c>
      <c r="M2234">
        <v>2025</v>
      </c>
      <c r="N2234" t="s">
        <v>27</v>
      </c>
      <c r="O2234">
        <v>350</v>
      </c>
      <c r="P2234">
        <v>350</v>
      </c>
      <c r="R2234" s="3" t="str">
        <f>HYPERLINK("https://panda.att.com.mx/ODKServer/view/binaryData?blobKey=FSSuministroFluidosv3%5B%40version%3Dnull+and+%40uiVersion%3Dnull%5D%2Fdata%5B%40key%3Duuid%3Ae7a00b15-c9b5-4e23-b738-41e01d7ef987%5D%2FgroupInfoFuel%5B%40ordinal%3D1%5D%2FpicFuelRecibeInterno","Descargar")</f>
        <v>Descargar</v>
      </c>
    </row>
    <row r="2235" spans="1:18" x14ac:dyDescent="0.3">
      <c r="A2235">
        <v>1555265</v>
      </c>
      <c r="B2235" t="s">
        <v>18</v>
      </c>
      <c r="C2235" t="s">
        <v>28</v>
      </c>
      <c r="D2235" t="s">
        <v>31</v>
      </c>
      <c r="E2235" t="s">
        <v>2053</v>
      </c>
      <c r="F2235" t="s">
        <v>22</v>
      </c>
      <c r="G2235" t="s">
        <v>23</v>
      </c>
      <c r="H2235" t="s">
        <v>24</v>
      </c>
      <c r="I2235" t="s">
        <v>25</v>
      </c>
      <c r="J2235" s="2">
        <v>45814.492210648154</v>
      </c>
      <c r="K2235">
        <v>6</v>
      </c>
      <c r="L2235">
        <v>6</v>
      </c>
      <c r="M2235">
        <v>2025</v>
      </c>
      <c r="N2235" t="s">
        <v>27</v>
      </c>
      <c r="O2235">
        <v>300</v>
      </c>
      <c r="Q2235">
        <v>300</v>
      </c>
      <c r="R2235" s="3" t="str">
        <f>HYPERLINK("https://panda.att.com.mx/ODKServer/view/binaryData?blobKey=FSSuministroFluidosv3%5B%40version%3Dnull+and+%40uiVersion%3Dnull%5D%2Fdata%5B%40key%3Duuid%3A7558619c-bd04-41f8-ae42-2d00b0e99004%5D%2FgroupInfoFuel%5B%40ordinal%3D1%5D%2FpicFuelRecibeInterno","Descargar")</f>
        <v>Descargar</v>
      </c>
    </row>
    <row r="2236" spans="1:18" x14ac:dyDescent="0.3">
      <c r="A2236">
        <v>1555248</v>
      </c>
      <c r="B2236" t="s">
        <v>18</v>
      </c>
      <c r="C2236" t="s">
        <v>28</v>
      </c>
      <c r="D2236" t="s">
        <v>1036</v>
      </c>
      <c r="E2236" t="s">
        <v>1718</v>
      </c>
      <c r="F2236" t="s">
        <v>22</v>
      </c>
      <c r="G2236" t="s">
        <v>47</v>
      </c>
      <c r="H2236" t="s">
        <v>37</v>
      </c>
      <c r="I2236" t="s">
        <v>25</v>
      </c>
      <c r="J2236" s="2">
        <v>45818.705914351849</v>
      </c>
      <c r="K2236">
        <v>10</v>
      </c>
      <c r="L2236">
        <v>6</v>
      </c>
      <c r="M2236">
        <v>2025</v>
      </c>
      <c r="N2236" t="s">
        <v>44</v>
      </c>
      <c r="O2236">
        <v>60</v>
      </c>
      <c r="P2236">
        <v>60</v>
      </c>
      <c r="R2236" s="3" t="str">
        <f>HYPERLINK("https://panda.att.com.mx/ODKServer/view/binaryData?blobKey=FSSuministroFluidosv3%5B%40version%3Dnull+and+%40uiVersion%3Dnull%5D%2Fdata%5B%40key%3Duuid%3A406e837d-5872-4a21-8741-4e7111e44bf4%5D%2FgroupInfoFuel%5B%40ordinal%3D1%5D%2FpicFuelRecibeInterno","Descargar")</f>
        <v>Descargar</v>
      </c>
    </row>
    <row r="2237" spans="1:18" x14ac:dyDescent="0.3">
      <c r="A2237">
        <v>1555241</v>
      </c>
      <c r="B2237" t="s">
        <v>18</v>
      </c>
      <c r="C2237" t="s">
        <v>28</v>
      </c>
      <c r="D2237" t="s">
        <v>1036</v>
      </c>
      <c r="E2237" t="s">
        <v>1718</v>
      </c>
      <c r="F2237" t="s">
        <v>22</v>
      </c>
      <c r="G2237" t="s">
        <v>47</v>
      </c>
      <c r="H2237" t="s">
        <v>37</v>
      </c>
      <c r="I2237" t="s">
        <v>25</v>
      </c>
      <c r="J2237" s="2">
        <v>45818.295358796298</v>
      </c>
      <c r="K2237">
        <v>10</v>
      </c>
      <c r="L2237">
        <v>6</v>
      </c>
      <c r="M2237">
        <v>2025</v>
      </c>
      <c r="N2237" t="s">
        <v>44</v>
      </c>
      <c r="O2237">
        <v>60</v>
      </c>
      <c r="P2237">
        <v>60</v>
      </c>
      <c r="R2237" s="3" t="str">
        <f>HYPERLINK("https://panda.att.com.mx/ODKServer/view/binaryData?blobKey=FSSuministroFluidosv3%5B%40version%3Dnull+and+%40uiVersion%3Dnull%5D%2Fdata%5B%40key%3Duuid%3A610039c4-c06a-40a8-a42b-9e9a5fcc0f54%5D%2FgroupInfoFuel%5B%40ordinal%3D1%5D%2FpicFuelRecibeInterno","Descargar")</f>
        <v>Descargar</v>
      </c>
    </row>
    <row r="2238" spans="1:18" x14ac:dyDescent="0.3">
      <c r="A2238">
        <v>1555232</v>
      </c>
      <c r="B2238" t="s">
        <v>18</v>
      </c>
      <c r="C2238" t="s">
        <v>34</v>
      </c>
      <c r="D2238" t="s">
        <v>123</v>
      </c>
      <c r="E2238" t="s">
        <v>2054</v>
      </c>
      <c r="F2238" t="s">
        <v>22</v>
      </c>
      <c r="G2238" t="s">
        <v>23</v>
      </c>
      <c r="H2238" t="s">
        <v>37</v>
      </c>
      <c r="I2238" t="s">
        <v>25</v>
      </c>
      <c r="J2238" s="2">
        <v>45818.57613425926</v>
      </c>
      <c r="K2238">
        <v>10</v>
      </c>
      <c r="L2238">
        <v>6</v>
      </c>
      <c r="M2238">
        <v>2025</v>
      </c>
      <c r="N2238" t="s">
        <v>27</v>
      </c>
      <c r="O2238">
        <v>300</v>
      </c>
      <c r="P2238">
        <v>300</v>
      </c>
      <c r="R2238" s="3" t="str">
        <f>HYPERLINK("https://panda.att.com.mx/ODKServer/view/binaryData?blobKey=FSSuministroFluidosv3%5B%40version%3Dnull+and+%40uiVersion%3Dnull%5D%2Fdata%5B%40key%3Duuid%3A1bff89dd-4691-4875-84d3-7606bb17e032%5D%2FgroupInfoFuel%5B%40ordinal%3D1%5D%2FpicFuelRecibeInterno","Descargar")</f>
        <v>Descargar</v>
      </c>
    </row>
    <row r="2239" spans="1:18" x14ac:dyDescent="0.3">
      <c r="A2239">
        <v>1555218</v>
      </c>
      <c r="B2239" t="s">
        <v>18</v>
      </c>
      <c r="C2239" t="s">
        <v>34</v>
      </c>
      <c r="D2239" t="s">
        <v>53</v>
      </c>
      <c r="E2239" t="s">
        <v>1973</v>
      </c>
      <c r="F2239" t="s">
        <v>22</v>
      </c>
      <c r="G2239" t="s">
        <v>83</v>
      </c>
      <c r="H2239" t="s">
        <v>390</v>
      </c>
      <c r="I2239" t="s">
        <v>25</v>
      </c>
      <c r="J2239" s="2">
        <v>45818.676886574067</v>
      </c>
      <c r="K2239">
        <v>10</v>
      </c>
      <c r="L2239">
        <v>6</v>
      </c>
      <c r="M2239">
        <v>2025</v>
      </c>
      <c r="N2239" t="s">
        <v>27</v>
      </c>
      <c r="O2239">
        <v>100</v>
      </c>
      <c r="P2239">
        <v>100</v>
      </c>
      <c r="R2239" s="3" t="str">
        <f>HYPERLINK("https://panda.att.com.mx/ODKServer/view/binaryData?blobKey=FSSuministroFluidosv3%5B%40version%3Dnull+and+%40uiVersion%3Dnull%5D%2Fdata%5B%40key%3Duuid%3A7fe39c12-8ac1-4485-8c9b-60f5b28a8631%5D%2FgroupInfoFuel%5B%40ordinal%3D1%5D%2FpicFuelRecibeInterno","Descargar")</f>
        <v>Descargar</v>
      </c>
    </row>
    <row r="2240" spans="1:18" x14ac:dyDescent="0.3">
      <c r="A2240">
        <v>1555217</v>
      </c>
      <c r="B2240" t="s">
        <v>18</v>
      </c>
      <c r="C2240" t="s">
        <v>34</v>
      </c>
      <c r="D2240" t="s">
        <v>53</v>
      </c>
      <c r="E2240" t="s">
        <v>206</v>
      </c>
      <c r="F2240" t="s">
        <v>22</v>
      </c>
      <c r="G2240" t="s">
        <v>47</v>
      </c>
      <c r="H2240" t="s">
        <v>390</v>
      </c>
      <c r="I2240" t="s">
        <v>25</v>
      </c>
      <c r="J2240" s="2">
        <v>45818.61078703704</v>
      </c>
      <c r="K2240">
        <v>10</v>
      </c>
      <c r="L2240">
        <v>6</v>
      </c>
      <c r="M2240">
        <v>2025</v>
      </c>
      <c r="N2240" t="s">
        <v>27</v>
      </c>
      <c r="O2240">
        <v>100</v>
      </c>
      <c r="P2240">
        <v>100</v>
      </c>
      <c r="R2240" s="3" t="str">
        <f>HYPERLINK("https://panda.att.com.mx/ODKServer/view/binaryData?blobKey=FSSuministroFluidosv3%5B%40version%3Dnull+and+%40uiVersion%3Dnull%5D%2Fdata%5B%40key%3Duuid%3A00ad4bda-0cce-4af6-bdcf-11e7e807952e%5D%2FgroupInfoFuel%5B%40ordinal%3D1%5D%2FpicFuelRecibeInterno","Descargar")</f>
        <v>Descargar</v>
      </c>
    </row>
    <row r="2241" spans="1:18" x14ac:dyDescent="0.3">
      <c r="A2241">
        <v>1555216</v>
      </c>
      <c r="B2241" t="s">
        <v>18</v>
      </c>
      <c r="C2241" t="s">
        <v>34</v>
      </c>
      <c r="D2241" t="s">
        <v>53</v>
      </c>
      <c r="E2241" t="s">
        <v>593</v>
      </c>
      <c r="F2241" t="s">
        <v>22</v>
      </c>
      <c r="G2241" t="s">
        <v>83</v>
      </c>
      <c r="H2241" t="s">
        <v>390</v>
      </c>
      <c r="I2241" t="s">
        <v>25</v>
      </c>
      <c r="J2241" s="2">
        <v>45818.568391203713</v>
      </c>
      <c r="K2241">
        <v>10</v>
      </c>
      <c r="L2241">
        <v>6</v>
      </c>
      <c r="M2241">
        <v>2025</v>
      </c>
      <c r="N2241" t="s">
        <v>27</v>
      </c>
      <c r="O2241">
        <v>300</v>
      </c>
      <c r="P2241">
        <v>300</v>
      </c>
      <c r="R2241" s="3" t="str">
        <f>HYPERLINK("https://panda.att.com.mx/ODKServer/view/binaryData?blobKey=FSSuministroFluidosv3%5B%40version%3Dnull+and+%40uiVersion%3Dnull%5D%2Fdata%5B%40key%3Duuid%3A7d7182f3-b6f1-493d-bb21-ff27318deca4%5D%2FgroupInfoFuel%5B%40ordinal%3D1%5D%2FpicFuelRecibeInterno","Descargar")</f>
        <v>Descargar</v>
      </c>
    </row>
    <row r="2242" spans="1:18" x14ac:dyDescent="0.3">
      <c r="A2242">
        <v>1555215</v>
      </c>
      <c r="B2242" t="s">
        <v>18</v>
      </c>
      <c r="C2242" t="s">
        <v>34</v>
      </c>
      <c r="D2242" t="s">
        <v>53</v>
      </c>
      <c r="E2242" t="s">
        <v>2055</v>
      </c>
      <c r="F2242" t="s">
        <v>22</v>
      </c>
      <c r="G2242" t="s">
        <v>83</v>
      </c>
      <c r="H2242" t="s">
        <v>390</v>
      </c>
      <c r="I2242" t="s">
        <v>25</v>
      </c>
      <c r="J2242" s="2">
        <v>45818.47246527778</v>
      </c>
      <c r="K2242">
        <v>10</v>
      </c>
      <c r="L2242">
        <v>6</v>
      </c>
      <c r="M2242">
        <v>2025</v>
      </c>
      <c r="N2242" t="s">
        <v>27</v>
      </c>
      <c r="O2242">
        <v>250</v>
      </c>
      <c r="P2242">
        <v>250</v>
      </c>
      <c r="R2242" s="3" t="str">
        <f>HYPERLINK("https://panda.att.com.mx/ODKServer/view/binaryData?blobKey=FSSuministroFluidosv3%5B%40version%3Dnull+and+%40uiVersion%3Dnull%5D%2Fdata%5B%40key%3Duuid%3A4e7a0778-c404-4e6b-903b-43a265243423%5D%2FgroupInfoFuel%5B%40ordinal%3D1%5D%2FpicFuelRecibeInterno","Descargar")</f>
        <v>Descargar</v>
      </c>
    </row>
    <row r="2243" spans="1:18" x14ac:dyDescent="0.3">
      <c r="A2243">
        <v>1555012</v>
      </c>
      <c r="B2243" t="s">
        <v>18</v>
      </c>
      <c r="C2243" t="s">
        <v>55</v>
      </c>
      <c r="D2243" t="s">
        <v>56</v>
      </c>
      <c r="E2243" t="s">
        <v>862</v>
      </c>
      <c r="F2243" t="s">
        <v>22</v>
      </c>
      <c r="G2243" t="s">
        <v>83</v>
      </c>
      <c r="H2243" t="s">
        <v>58</v>
      </c>
      <c r="I2243" t="s">
        <v>25</v>
      </c>
      <c r="J2243" s="2">
        <v>45818.645636574067</v>
      </c>
      <c r="K2243">
        <v>10</v>
      </c>
      <c r="L2243">
        <v>6</v>
      </c>
      <c r="M2243">
        <v>2025</v>
      </c>
      <c r="N2243" t="s">
        <v>27</v>
      </c>
      <c r="O2243">
        <v>400</v>
      </c>
      <c r="P2243">
        <v>400</v>
      </c>
      <c r="R2243" s="3" t="str">
        <f>HYPERLINK("https://panda.att.com.mx/ODKServer/view/binaryData?blobKey=FSSuministroFluidosv3%5B%40version%3Dnull+and+%40uiVersion%3Dnull%5D%2Fdata%5B%40key%3Duuid%3A564758f5-2916-4f30-8567-0617d3e08503%5D%2FgroupInfoFuel%5B%40ordinal%3D1%5D%2FpicFuelRecibeInterno","Descargar")</f>
        <v>Descargar</v>
      </c>
    </row>
    <row r="2244" spans="1:18" x14ac:dyDescent="0.3">
      <c r="A2244">
        <v>1554985</v>
      </c>
      <c r="B2244" t="s">
        <v>18</v>
      </c>
      <c r="C2244" t="s">
        <v>55</v>
      </c>
      <c r="D2244" t="s">
        <v>288</v>
      </c>
      <c r="E2244" t="s">
        <v>2056</v>
      </c>
      <c r="F2244" t="s">
        <v>22</v>
      </c>
      <c r="G2244" t="s">
        <v>23</v>
      </c>
      <c r="H2244" t="s">
        <v>1763</v>
      </c>
      <c r="I2244" t="s">
        <v>25</v>
      </c>
      <c r="J2244" s="2">
        <v>45815.445150462961</v>
      </c>
      <c r="K2244">
        <v>7</v>
      </c>
      <c r="L2244">
        <v>6</v>
      </c>
      <c r="M2244">
        <v>2025</v>
      </c>
      <c r="N2244" t="s">
        <v>27</v>
      </c>
      <c r="O2244">
        <v>250</v>
      </c>
      <c r="P2244">
        <v>250</v>
      </c>
      <c r="R2244" s="3" t="str">
        <f>HYPERLINK("https://panda.att.com.mx/ODKServer/view/binaryData?blobKey=FSSuministroFluidosv3%5B%40version%3Dnull+and+%40uiVersion%3Dnull%5D%2Fdata%5B%40key%3Duuid%3A386aa91f-7f31-40ef-9e9c-a6337e3e8f2f%5D%2FgroupInfoFuel%5B%40ordinal%3D1%5D%2FpicFuelRecibeInterno","Descargar")</f>
        <v>Descargar</v>
      </c>
    </row>
    <row r="2245" spans="1:18" x14ac:dyDescent="0.3">
      <c r="A2245">
        <v>1554916</v>
      </c>
      <c r="B2245" t="s">
        <v>18</v>
      </c>
      <c r="C2245" t="s">
        <v>100</v>
      </c>
      <c r="D2245" t="s">
        <v>854</v>
      </c>
      <c r="E2245" t="s">
        <v>993</v>
      </c>
      <c r="F2245" t="s">
        <v>22</v>
      </c>
      <c r="G2245" t="s">
        <v>83</v>
      </c>
      <c r="H2245" t="s">
        <v>58</v>
      </c>
      <c r="I2245" t="s">
        <v>25</v>
      </c>
      <c r="J2245" s="2">
        <v>45818.437210648153</v>
      </c>
      <c r="K2245">
        <v>10</v>
      </c>
      <c r="L2245">
        <v>6</v>
      </c>
      <c r="M2245">
        <v>2025</v>
      </c>
      <c r="N2245" t="s">
        <v>27</v>
      </c>
      <c r="O2245">
        <v>200</v>
      </c>
      <c r="P2245">
        <v>200</v>
      </c>
      <c r="R2245" s="3" t="str">
        <f>HYPERLINK("https://panda.att.com.mx/ODKServer/view/binaryData?blobKey=FSSuministroFluidosv3%5B%40version%3Dnull+and+%40uiVersion%3Dnull%5D%2Fdata%5B%40key%3Duuid%3Acbe823f5-3545-471c-bafb-d2309517217b%5D%2FgroupInfoFuel%5B%40ordinal%3D1%5D%2FpicFuelRecibeInterno","Descargar")</f>
        <v>Descargar</v>
      </c>
    </row>
    <row r="2246" spans="1:18" x14ac:dyDescent="0.3">
      <c r="A2246">
        <v>1554839</v>
      </c>
      <c r="B2246" t="s">
        <v>18</v>
      </c>
      <c r="C2246" t="s">
        <v>59</v>
      </c>
      <c r="D2246" t="s">
        <v>597</v>
      </c>
      <c r="E2246" t="s">
        <v>1495</v>
      </c>
      <c r="F2246" t="s">
        <v>22</v>
      </c>
      <c r="G2246" t="s">
        <v>23</v>
      </c>
      <c r="H2246" t="s">
        <v>37</v>
      </c>
      <c r="I2246" t="s">
        <v>25</v>
      </c>
      <c r="J2246" s="2">
        <v>45818.515775462962</v>
      </c>
      <c r="K2246">
        <v>10</v>
      </c>
      <c r="L2246">
        <v>6</v>
      </c>
      <c r="M2246">
        <v>2025</v>
      </c>
      <c r="N2246" t="s">
        <v>44</v>
      </c>
      <c r="O2246">
        <v>60</v>
      </c>
      <c r="P2246">
        <v>60</v>
      </c>
      <c r="R2246" s="3" t="str">
        <f>HYPERLINK("https://panda.att.com.mx/ODKServer/view/binaryData?blobKey=FSSuministroFluidosv3%5B%40version%3Dnull+and+%40uiVersion%3Dnull%5D%2Fdata%5B%40key%3Duuid%3A2178c4b4-fa29-4cc4-bd81-1cc726ae7a95%5D%2FgroupInfoFuel%5B%40ordinal%3D1%5D%2FpicFuelRecibeInterno","Descargar")</f>
        <v>Descargar</v>
      </c>
    </row>
    <row r="2247" spans="1:18" x14ac:dyDescent="0.3">
      <c r="A2247">
        <v>1554811</v>
      </c>
      <c r="B2247" t="s">
        <v>18</v>
      </c>
      <c r="C2247" t="s">
        <v>59</v>
      </c>
      <c r="D2247" t="s">
        <v>574</v>
      </c>
      <c r="E2247" t="s">
        <v>2057</v>
      </c>
      <c r="F2247" t="s">
        <v>22</v>
      </c>
      <c r="G2247" t="s">
        <v>23</v>
      </c>
      <c r="H2247" t="s">
        <v>37</v>
      </c>
      <c r="I2247" t="s">
        <v>25</v>
      </c>
      <c r="J2247" s="2">
        <v>45818.510451388887</v>
      </c>
      <c r="K2247">
        <v>10</v>
      </c>
      <c r="L2247">
        <v>6</v>
      </c>
      <c r="M2247">
        <v>2025</v>
      </c>
      <c r="N2247" t="s">
        <v>27</v>
      </c>
      <c r="O2247">
        <v>300</v>
      </c>
      <c r="P2247">
        <v>300</v>
      </c>
      <c r="R2247" s="3" t="str">
        <f>HYPERLINK("https://panda.att.com.mx/ODKServer/view/binaryData?blobKey=FSSuministroFluidosv3%5B%40version%3Dnull+and+%40uiVersion%3Dnull%5D%2Fdata%5B%40key%3Duuid%3Ad05f5bb3-4e8f-49ff-b1a0-872cd0882647%5D%2FgroupInfoFuel%5B%40ordinal%3D1%5D%2FpicFuelRecibeInterno","Descargar")</f>
        <v>Descargar</v>
      </c>
    </row>
    <row r="2248" spans="1:18" x14ac:dyDescent="0.3">
      <c r="A2248">
        <v>1554781</v>
      </c>
      <c r="B2248" t="s">
        <v>18</v>
      </c>
      <c r="C2248" t="s">
        <v>55</v>
      </c>
      <c r="D2248" t="s">
        <v>288</v>
      </c>
      <c r="E2248" t="s">
        <v>1954</v>
      </c>
      <c r="F2248" t="s">
        <v>22</v>
      </c>
      <c r="G2248" t="s">
        <v>23</v>
      </c>
      <c r="H2248" t="s">
        <v>1763</v>
      </c>
      <c r="I2248" t="s">
        <v>25</v>
      </c>
      <c r="J2248" s="2">
        <v>45818.380046296297</v>
      </c>
      <c r="K2248">
        <v>10</v>
      </c>
      <c r="L2248">
        <v>6</v>
      </c>
      <c r="M2248">
        <v>2025</v>
      </c>
      <c r="N2248" t="s">
        <v>27</v>
      </c>
      <c r="O2248">
        <v>300</v>
      </c>
      <c r="P2248">
        <v>300</v>
      </c>
      <c r="R2248" s="3" t="str">
        <f>HYPERLINK("https://panda.att.com.mx/ODKServer/view/binaryData?blobKey=FSSuministroFluidosv3%5B%40version%3Dnull+and+%40uiVersion%3Dnull%5D%2Fdata%5B%40key%3Duuid%3Ad5dbb3bc-de1b-44a8-82c3-b27cf0fd1a27%5D%2FgroupInfoFuel%5B%40ordinal%3D1%5D%2FpicFuelRecibeInterno","Descargar")</f>
        <v>Descargar</v>
      </c>
    </row>
    <row r="2249" spans="1:18" x14ac:dyDescent="0.3">
      <c r="A2249">
        <v>1554742</v>
      </c>
      <c r="B2249" t="s">
        <v>18</v>
      </c>
      <c r="C2249" t="s">
        <v>68</v>
      </c>
      <c r="D2249" t="s">
        <v>91</v>
      </c>
      <c r="E2249" t="s">
        <v>147</v>
      </c>
      <c r="F2249" t="s">
        <v>22</v>
      </c>
      <c r="G2249" t="s">
        <v>23</v>
      </c>
      <c r="H2249" t="s">
        <v>37</v>
      </c>
      <c r="I2249" t="s">
        <v>25</v>
      </c>
      <c r="J2249" s="2">
        <v>45818.443368055552</v>
      </c>
      <c r="K2249">
        <v>10</v>
      </c>
      <c r="L2249">
        <v>6</v>
      </c>
      <c r="M2249">
        <v>2025</v>
      </c>
      <c r="N2249" t="s">
        <v>27</v>
      </c>
      <c r="O2249">
        <v>100</v>
      </c>
      <c r="P2249">
        <v>100</v>
      </c>
      <c r="R2249" s="3" t="str">
        <f>HYPERLINK("https://panda.att.com.mx/ODKServer/view/binaryData?blobKey=FSSuministroFluidosv3%5B%40version%3Dnull+and+%40uiVersion%3Dnull%5D%2Fdata%5B%40key%3Duuid%3Af3643703-cf72-4124-8683-3e0b63b563dc%5D%2FgroupInfoFuel%5B%40ordinal%3D1%5D%2FpicFuelRecibeInterno","Descargar")</f>
        <v>Descargar</v>
      </c>
    </row>
    <row r="2250" spans="1:18" x14ac:dyDescent="0.3">
      <c r="A2250">
        <v>1554504</v>
      </c>
      <c r="B2250" t="s">
        <v>18</v>
      </c>
      <c r="C2250" t="s">
        <v>19</v>
      </c>
      <c r="D2250" t="s">
        <v>175</v>
      </c>
      <c r="E2250" t="s">
        <v>2058</v>
      </c>
      <c r="F2250" t="s">
        <v>22</v>
      </c>
      <c r="G2250" t="s">
        <v>23</v>
      </c>
      <c r="H2250" t="s">
        <v>24</v>
      </c>
      <c r="I2250" t="s">
        <v>25</v>
      </c>
      <c r="J2250" s="2">
        <v>45794.644872685189</v>
      </c>
      <c r="K2250">
        <v>17</v>
      </c>
      <c r="L2250">
        <v>5</v>
      </c>
      <c r="M2250">
        <v>2025</v>
      </c>
      <c r="N2250" t="s">
        <v>44</v>
      </c>
      <c r="O2250">
        <v>40</v>
      </c>
      <c r="P2250">
        <v>40</v>
      </c>
      <c r="R2250" s="3" t="str">
        <f>HYPERLINK("https://panda.att.com.mx/ODKServer/view/binaryData?blobKey=FSSuministroFluidosv3%5B%40version%3Dnull+and+%40uiVersion%3Dnull%5D%2Fdata%5B%40key%3Duuid%3A43dbf6ab-ed54-4bdd-8824-d45271081d76%5D%2FgroupInfoFuel%5B%40ordinal%3D1%5D%2FpicFuelRecibeInterno","Descargar")</f>
        <v>Descargar</v>
      </c>
    </row>
    <row r="2251" spans="1:18" x14ac:dyDescent="0.3">
      <c r="A2251">
        <v>1554485</v>
      </c>
      <c r="B2251" t="s">
        <v>18</v>
      </c>
      <c r="C2251" t="s">
        <v>100</v>
      </c>
      <c r="D2251" t="s">
        <v>101</v>
      </c>
      <c r="E2251" t="s">
        <v>102</v>
      </c>
      <c r="F2251" t="s">
        <v>22</v>
      </c>
      <c r="G2251" t="s">
        <v>83</v>
      </c>
      <c r="H2251" t="s">
        <v>58</v>
      </c>
      <c r="I2251" t="s">
        <v>25</v>
      </c>
      <c r="J2251" s="2">
        <v>45818.149629629632</v>
      </c>
      <c r="K2251">
        <v>10</v>
      </c>
      <c r="L2251">
        <v>6</v>
      </c>
      <c r="M2251">
        <v>2025</v>
      </c>
      <c r="N2251" t="s">
        <v>44</v>
      </c>
      <c r="O2251">
        <v>60</v>
      </c>
      <c r="P2251">
        <v>60</v>
      </c>
      <c r="R2251" s="3" t="str">
        <f>HYPERLINK("https://panda.att.com.mx/ODKServer/view/binaryData?blobKey=FSSuministroFluidosv3%5B%40version%3Dnull+and+%40uiVersion%3Dnull%5D%2Fdata%5B%40key%3Duuid%3Ad33f7f75-15c6-4185-9310-794c93e76d11%5D%2FgroupInfoFuel%5B%40ordinal%3D1%5D%2FpicFuelRecibeInterno","Descargar")</f>
        <v>Descargar</v>
      </c>
    </row>
    <row r="2252" spans="1:18" x14ac:dyDescent="0.3">
      <c r="A2252">
        <v>1551209</v>
      </c>
      <c r="B2252" t="s">
        <v>18</v>
      </c>
      <c r="C2252" t="s">
        <v>34</v>
      </c>
      <c r="D2252" t="s">
        <v>53</v>
      </c>
      <c r="E2252" t="s">
        <v>457</v>
      </c>
      <c r="F2252" t="s">
        <v>22</v>
      </c>
      <c r="G2252" t="s">
        <v>83</v>
      </c>
      <c r="H2252" t="s">
        <v>390</v>
      </c>
      <c r="I2252" t="s">
        <v>25</v>
      </c>
      <c r="J2252" s="2">
        <v>45811.486643518518</v>
      </c>
      <c r="K2252">
        <v>3</v>
      </c>
      <c r="L2252">
        <v>6</v>
      </c>
      <c r="M2252">
        <v>2025</v>
      </c>
      <c r="N2252" t="s">
        <v>27</v>
      </c>
      <c r="O2252">
        <v>450</v>
      </c>
      <c r="P2252">
        <v>450</v>
      </c>
      <c r="R2252" s="3" t="str">
        <f>HYPERLINK("https://panda.att.com.mx/ODKServer/view/binaryData?blobKey=FSSuministroFluidosv3%5B%40version%3Dnull+and+%40uiVersion%3Dnull%5D%2Fdata%5B%40key%3Duuid%3A04512e3b-aba3-4a5d-b502-9bfa805fddd6%5D%2FgroupInfoFuel%5B%40ordinal%3D1%5D%2FpicFuelRecibeInterno","Descargar")</f>
        <v>Descargar</v>
      </c>
    </row>
    <row r="2253" spans="1:18" x14ac:dyDescent="0.3">
      <c r="A2253">
        <v>1551166</v>
      </c>
      <c r="B2253" t="s">
        <v>18</v>
      </c>
      <c r="C2253" t="s">
        <v>100</v>
      </c>
      <c r="D2253" t="s">
        <v>651</v>
      </c>
      <c r="E2253" t="s">
        <v>2059</v>
      </c>
      <c r="F2253" t="s">
        <v>22</v>
      </c>
      <c r="G2253" t="s">
        <v>23</v>
      </c>
      <c r="H2253" t="s">
        <v>1781</v>
      </c>
      <c r="I2253" t="s">
        <v>25</v>
      </c>
      <c r="J2253" s="2">
        <v>45811.705717592587</v>
      </c>
      <c r="K2253">
        <v>3</v>
      </c>
      <c r="L2253">
        <v>6</v>
      </c>
      <c r="M2253">
        <v>2025</v>
      </c>
      <c r="N2253" t="s">
        <v>27</v>
      </c>
      <c r="O2253">
        <v>100</v>
      </c>
      <c r="P2253">
        <v>100</v>
      </c>
      <c r="R2253" s="3" t="str">
        <f>HYPERLINK("https://panda.att.com.mx/ODKServer/view/binaryData?blobKey=FSSuministroFluidosv3%5B%40version%3Dnull+and+%40uiVersion%3Dnull%5D%2Fdata%5B%40key%3Duuid%3A7d3fcff9-62d7-4add-9db3-13713214d823%5D%2FgroupInfoFuel%5B%40ordinal%3D1%5D%2FpicFuelRecibeInterno","Descargar")</f>
        <v>Descargar</v>
      </c>
    </row>
    <row r="2254" spans="1:18" x14ac:dyDescent="0.3">
      <c r="A2254">
        <v>1551066</v>
      </c>
      <c r="B2254" t="s">
        <v>18</v>
      </c>
      <c r="C2254" t="s">
        <v>19</v>
      </c>
      <c r="D2254" t="s">
        <v>62</v>
      </c>
      <c r="E2254" t="s">
        <v>2060</v>
      </c>
      <c r="F2254" t="s">
        <v>22</v>
      </c>
      <c r="G2254" t="s">
        <v>23</v>
      </c>
      <c r="H2254" t="s">
        <v>24</v>
      </c>
      <c r="I2254" t="s">
        <v>25</v>
      </c>
      <c r="J2254" s="2">
        <v>45811.677557870367</v>
      </c>
      <c r="K2254">
        <v>3</v>
      </c>
      <c r="L2254">
        <v>6</v>
      </c>
      <c r="M2254">
        <v>2025</v>
      </c>
      <c r="N2254" t="s">
        <v>44</v>
      </c>
      <c r="O2254">
        <v>60</v>
      </c>
      <c r="P2254">
        <v>60</v>
      </c>
      <c r="R2254" s="3" t="str">
        <f>HYPERLINK("https://panda.att.com.mx/ODKServer/view/binaryData?blobKey=FSSuministroFluidosv3%5B%40version%3Dnull+and+%40uiVersion%3Dnull%5D%2Fdata%5B%40key%3Duuid%3A32e21fa7-d420-42ea-9582-8601d98981ab%5D%2FgroupInfoFuel%5B%40ordinal%3D1%5D%2FpicFuelRecibeInterno","Descargar")</f>
        <v>Descargar</v>
      </c>
    </row>
    <row r="2255" spans="1:18" x14ac:dyDescent="0.3">
      <c r="A2255">
        <v>1550996</v>
      </c>
      <c r="B2255" t="s">
        <v>18</v>
      </c>
      <c r="C2255" t="s">
        <v>19</v>
      </c>
      <c r="D2255" t="s">
        <v>45</v>
      </c>
      <c r="E2255" t="s">
        <v>2028</v>
      </c>
      <c r="F2255" t="s">
        <v>22</v>
      </c>
      <c r="G2255" t="s">
        <v>23</v>
      </c>
      <c r="H2255" t="s">
        <v>24</v>
      </c>
      <c r="I2255" t="s">
        <v>25</v>
      </c>
      <c r="J2255" s="2">
        <v>45809.741898148153</v>
      </c>
      <c r="K2255">
        <v>1</v>
      </c>
      <c r="L2255">
        <v>6</v>
      </c>
      <c r="M2255">
        <v>2025</v>
      </c>
      <c r="N2255" t="s">
        <v>27</v>
      </c>
      <c r="O2255">
        <v>200</v>
      </c>
      <c r="P2255">
        <v>200</v>
      </c>
      <c r="R2255" s="3" t="str">
        <f>HYPERLINK("https://panda.att.com.mx/ODKServer/view/binaryData?blobKey=FSSuministroFluidosv3%5B%40version%3Dnull+and+%40uiVersion%3Dnull%5D%2Fdata%5B%40key%3Duuid%3A6b433a54-89ec-4d8c-b431-c7f725414a6e%5D%2FgroupInfoFuel%5B%40ordinal%3D1%5D%2FpicFuelRecibeInterno","Descargar")</f>
        <v>Descargar</v>
      </c>
    </row>
    <row r="2256" spans="1:18" x14ac:dyDescent="0.3">
      <c r="A2256">
        <v>1550896</v>
      </c>
      <c r="B2256" t="s">
        <v>18</v>
      </c>
      <c r="C2256" t="s">
        <v>28</v>
      </c>
      <c r="D2256" t="s">
        <v>66</v>
      </c>
      <c r="E2256" t="s">
        <v>707</v>
      </c>
      <c r="F2256" t="s">
        <v>22</v>
      </c>
      <c r="G2256" t="s">
        <v>23</v>
      </c>
      <c r="H2256" t="s">
        <v>24</v>
      </c>
      <c r="I2256" t="s">
        <v>25</v>
      </c>
      <c r="J2256" s="2">
        <v>45808.569548611107</v>
      </c>
      <c r="K2256">
        <v>31</v>
      </c>
      <c r="L2256">
        <v>5</v>
      </c>
      <c r="M2256">
        <v>2025</v>
      </c>
      <c r="N2256" t="s">
        <v>44</v>
      </c>
      <c r="O2256">
        <v>40</v>
      </c>
      <c r="Q2256">
        <v>40</v>
      </c>
      <c r="R2256" s="3" t="str">
        <f>HYPERLINK("https://panda.att.com.mx/ODKServer/view/binaryData?blobKey=FSSuministroFluidosv3%5B%40version%3Dnull+and+%40uiVersion%3Dnull%5D%2Fdata%5B%40key%3Duuid%3A50d49843-76f8-438d-94b4-6090e4945497%5D%2FgroupInfoFuel%5B%40ordinal%3D1%5D%2FpicFuelRecibeInterno","Descargar")</f>
        <v>Descargar</v>
      </c>
    </row>
    <row r="2257" spans="1:18" x14ac:dyDescent="0.3">
      <c r="A2257">
        <v>1550870</v>
      </c>
      <c r="B2257" t="s">
        <v>18</v>
      </c>
      <c r="C2257" t="s">
        <v>19</v>
      </c>
      <c r="D2257" t="s">
        <v>347</v>
      </c>
      <c r="E2257" t="s">
        <v>2061</v>
      </c>
      <c r="F2257" t="s">
        <v>22</v>
      </c>
      <c r="G2257" t="s">
        <v>23</v>
      </c>
      <c r="H2257" t="s">
        <v>24</v>
      </c>
      <c r="I2257" t="s">
        <v>25</v>
      </c>
      <c r="J2257" s="2">
        <v>45804.647499999999</v>
      </c>
      <c r="K2257">
        <v>27</v>
      </c>
      <c r="L2257">
        <v>5</v>
      </c>
      <c r="M2257">
        <v>2025</v>
      </c>
      <c r="N2257" t="s">
        <v>44</v>
      </c>
      <c r="O2257">
        <v>40</v>
      </c>
      <c r="P2257">
        <v>40</v>
      </c>
      <c r="R2257" s="3" t="str">
        <f>HYPERLINK("https://panda.att.com.mx/ODKServer/view/binaryData?blobKey=FSSuministroFluidosv3%5B%40version%3Dnull+and+%40uiVersion%3Dnull%5D%2Fdata%5B%40key%3Duuid%3A94e1aaee-7a9b-4b8f-b3fd-c14c0017ecff%5D%2FgroupInfoFuel%5B%40ordinal%3D1%5D%2FpicFuelRecibeInterno","Descargar")</f>
        <v>Descargar</v>
      </c>
    </row>
    <row r="2258" spans="1:18" x14ac:dyDescent="0.3">
      <c r="A2258">
        <v>1550784</v>
      </c>
      <c r="B2258" t="s">
        <v>18</v>
      </c>
      <c r="C2258" t="s">
        <v>19</v>
      </c>
      <c r="D2258" t="s">
        <v>20</v>
      </c>
      <c r="E2258" t="s">
        <v>143</v>
      </c>
      <c r="F2258" t="s">
        <v>22</v>
      </c>
      <c r="G2258" t="s">
        <v>23</v>
      </c>
      <c r="H2258" t="s">
        <v>24</v>
      </c>
      <c r="I2258" t="s">
        <v>25</v>
      </c>
      <c r="J2258" s="2">
        <v>45811.501030092593</v>
      </c>
      <c r="K2258">
        <v>3</v>
      </c>
      <c r="L2258">
        <v>6</v>
      </c>
      <c r="M2258">
        <v>2025</v>
      </c>
      <c r="N2258" t="s">
        <v>27</v>
      </c>
      <c r="O2258">
        <v>200</v>
      </c>
      <c r="P2258">
        <v>200</v>
      </c>
      <c r="R2258" s="3" t="str">
        <f>HYPERLINK("https://panda.att.com.mx/ODKServer/view/binaryData?blobKey=FSSuministroFluidosv3%5B%40version%3Dnull+and+%40uiVersion%3Dnull%5D%2Fdata%5B%40key%3Duuid%3A1a2f8085-1cf8-41f8-99c3-0bd1b8cfdf9f%5D%2FgroupInfoFuel%5B%40ordinal%3D1%5D%2FpicFuelRecibeInterno","Descargar")</f>
        <v>Descargar</v>
      </c>
    </row>
    <row r="2259" spans="1:18" x14ac:dyDescent="0.3">
      <c r="A2259">
        <v>1550769</v>
      </c>
      <c r="B2259" t="s">
        <v>18</v>
      </c>
      <c r="C2259" t="s">
        <v>55</v>
      </c>
      <c r="D2259" t="s">
        <v>56</v>
      </c>
      <c r="E2259" t="s">
        <v>1842</v>
      </c>
      <c r="F2259" t="s">
        <v>22</v>
      </c>
      <c r="G2259" t="s">
        <v>23</v>
      </c>
      <c r="H2259" t="s">
        <v>1763</v>
      </c>
      <c r="I2259" t="s">
        <v>25</v>
      </c>
      <c r="J2259" s="2">
        <v>45806.752349537041</v>
      </c>
      <c r="K2259">
        <v>29</v>
      </c>
      <c r="L2259">
        <v>5</v>
      </c>
      <c r="M2259">
        <v>2025</v>
      </c>
      <c r="N2259" t="s">
        <v>27</v>
      </c>
      <c r="O2259">
        <v>100</v>
      </c>
      <c r="P2259">
        <v>100</v>
      </c>
      <c r="R2259" s="3" t="str">
        <f>HYPERLINK("https://panda.att.com.mx/ODKServer/view/binaryData?blobKey=FSSuministroFluidosv3%5B%40version%3Dnull+and+%40uiVersion%3Dnull%5D%2Fdata%5B%40key%3Duuid%3Aa3fbd743-aa81-4eed-a996-1ddd51deceb2%5D%2FgroupInfoFuel%5B%40ordinal%3D1%5D%2FpicFuelRecibeInterno","Descargar")</f>
        <v>Descargar</v>
      </c>
    </row>
    <row r="2260" spans="1:18" x14ac:dyDescent="0.3">
      <c r="A2260">
        <v>1550736</v>
      </c>
      <c r="B2260" t="s">
        <v>18</v>
      </c>
      <c r="C2260" t="s">
        <v>100</v>
      </c>
      <c r="D2260" t="s">
        <v>716</v>
      </c>
      <c r="E2260" t="s">
        <v>717</v>
      </c>
      <c r="F2260" t="s">
        <v>22</v>
      </c>
      <c r="G2260" t="s">
        <v>83</v>
      </c>
      <c r="H2260" t="s">
        <v>1781</v>
      </c>
      <c r="I2260" t="s">
        <v>25</v>
      </c>
      <c r="J2260" s="2">
        <v>45811.548020833332</v>
      </c>
      <c r="K2260">
        <v>3</v>
      </c>
      <c r="L2260">
        <v>6</v>
      </c>
      <c r="M2260">
        <v>2025</v>
      </c>
      <c r="N2260" t="s">
        <v>27</v>
      </c>
      <c r="O2260">
        <v>135</v>
      </c>
      <c r="P2260">
        <v>135</v>
      </c>
      <c r="R2260" s="3" t="str">
        <f>HYPERLINK("https://panda.att.com.mx/ODKServer/view/binaryData?blobKey=FSSuministroFluidosv3%5B%40version%3Dnull+and+%40uiVersion%3Dnull%5D%2Fdata%5B%40key%3Duuid%3A0705ed3e-7dcd-42f7-8ff1-da1eefe7c04a%5D%2FgroupInfoFuel%5B%40ordinal%3D1%5D%2FpicFuelRecibeInterno","Descargar")</f>
        <v>Descargar</v>
      </c>
    </row>
    <row r="2261" spans="1:18" x14ac:dyDescent="0.3">
      <c r="A2261">
        <v>1550687</v>
      </c>
      <c r="B2261" t="s">
        <v>18</v>
      </c>
      <c r="C2261" t="s">
        <v>34</v>
      </c>
      <c r="D2261" t="s">
        <v>187</v>
      </c>
      <c r="E2261" t="s">
        <v>742</v>
      </c>
      <c r="F2261" t="s">
        <v>22</v>
      </c>
      <c r="G2261" t="s">
        <v>47</v>
      </c>
      <c r="H2261" t="s">
        <v>24</v>
      </c>
      <c r="I2261" t="s">
        <v>25</v>
      </c>
      <c r="J2261" s="2">
        <v>45810.619340277779</v>
      </c>
      <c r="K2261">
        <v>2</v>
      </c>
      <c r="L2261">
        <v>6</v>
      </c>
      <c r="M2261">
        <v>2025</v>
      </c>
      <c r="N2261" t="s">
        <v>44</v>
      </c>
      <c r="O2261">
        <v>50</v>
      </c>
      <c r="P2261">
        <v>50</v>
      </c>
      <c r="R2261" s="3" t="str">
        <f>HYPERLINK("https://panda.att.com.mx/ODKServer/view/binaryData?blobKey=FSSuministroFluidosv3%5B%40version%3Dnull+and+%40uiVersion%3Dnull%5D%2Fdata%5B%40key%3Duuid%3Aeb8fce0d-76bf-448b-ad80-d1e7e7a1e848%5D%2FgroupInfoFuel%5B%40ordinal%3D1%5D%2FpicFuelRecibeInterno","Descargar")</f>
        <v>Descargar</v>
      </c>
    </row>
    <row r="2262" spans="1:18" x14ac:dyDescent="0.3">
      <c r="A2262">
        <v>1550634</v>
      </c>
      <c r="B2262" t="s">
        <v>18</v>
      </c>
      <c r="C2262" t="s">
        <v>100</v>
      </c>
      <c r="D2262" t="s">
        <v>854</v>
      </c>
      <c r="E2262" t="s">
        <v>993</v>
      </c>
      <c r="F2262" t="s">
        <v>22</v>
      </c>
      <c r="G2262" t="s">
        <v>83</v>
      </c>
      <c r="H2262" t="s">
        <v>1781</v>
      </c>
      <c r="I2262" t="s">
        <v>25</v>
      </c>
      <c r="J2262" s="2">
        <v>45811.541539351849</v>
      </c>
      <c r="K2262">
        <v>3</v>
      </c>
      <c r="L2262">
        <v>6</v>
      </c>
      <c r="M2262">
        <v>2025</v>
      </c>
      <c r="N2262" t="s">
        <v>27</v>
      </c>
      <c r="O2262">
        <v>200</v>
      </c>
      <c r="P2262">
        <v>200</v>
      </c>
      <c r="R2262" s="3" t="str">
        <f>HYPERLINK("https://panda.att.com.mx/ODKServer/view/binaryData?blobKey=FSSuministroFluidosv3%5B%40version%3Dnull+and+%40uiVersion%3Dnull%5D%2Fdata%5B%40key%3Duuid%3Af82cb23b-7cec-47da-8f3d-d9cd18840c34%5D%2FgroupInfoFuel%5B%40ordinal%3D1%5D%2FpicFuelRecibeInterno","Descargar")</f>
        <v>Descargar</v>
      </c>
    </row>
    <row r="2263" spans="1:18" x14ac:dyDescent="0.3">
      <c r="A2263">
        <v>1550621</v>
      </c>
      <c r="B2263" t="s">
        <v>18</v>
      </c>
      <c r="C2263" t="s">
        <v>167</v>
      </c>
      <c r="D2263" t="s">
        <v>168</v>
      </c>
      <c r="E2263" t="s">
        <v>2062</v>
      </c>
      <c r="F2263" t="s">
        <v>22</v>
      </c>
      <c r="G2263" t="s">
        <v>23</v>
      </c>
      <c r="H2263" t="s">
        <v>58</v>
      </c>
      <c r="I2263" t="s">
        <v>25</v>
      </c>
      <c r="J2263" s="2">
        <v>45811.534594907411</v>
      </c>
      <c r="K2263">
        <v>3</v>
      </c>
      <c r="L2263">
        <v>6</v>
      </c>
      <c r="M2263">
        <v>2025</v>
      </c>
      <c r="N2263" t="s">
        <v>27</v>
      </c>
      <c r="O2263">
        <v>120</v>
      </c>
      <c r="P2263">
        <v>120</v>
      </c>
      <c r="R2263" s="3" t="str">
        <f>HYPERLINK("https://panda.att.com.mx/ODKServer/view/binaryData?blobKey=FSSuministroFluidosv3%5B%40version%3Dnull+and+%40uiVersion%3Dnull%5D%2Fdata%5B%40key%3Duuid%3A119b5603-ec11-4e02-9d67-222548a6c9a3%5D%2FgroupInfoFuel%5B%40ordinal%3D1%5D%2FpicFuelRecibeInterno","Descargar")</f>
        <v>Descargar</v>
      </c>
    </row>
    <row r="2264" spans="1:18" x14ac:dyDescent="0.3">
      <c r="A2264">
        <v>1550605</v>
      </c>
      <c r="B2264" t="s">
        <v>18</v>
      </c>
      <c r="C2264" t="s">
        <v>68</v>
      </c>
      <c r="D2264" t="s">
        <v>258</v>
      </c>
      <c r="E2264" t="s">
        <v>2063</v>
      </c>
      <c r="F2264" t="s">
        <v>22</v>
      </c>
      <c r="G2264" t="s">
        <v>23</v>
      </c>
      <c r="H2264" t="s">
        <v>37</v>
      </c>
      <c r="I2264" t="s">
        <v>25</v>
      </c>
      <c r="J2264" s="2">
        <v>45811.409710648149</v>
      </c>
      <c r="K2264">
        <v>3</v>
      </c>
      <c r="L2264">
        <v>6</v>
      </c>
      <c r="M2264">
        <v>2025</v>
      </c>
      <c r="N2264" t="s">
        <v>44</v>
      </c>
      <c r="O2264">
        <v>40</v>
      </c>
      <c r="P2264">
        <v>40</v>
      </c>
      <c r="R2264" s="3" t="str">
        <f>HYPERLINK("https://panda.att.com.mx/ODKServer/view/binaryData?blobKey=FSSuministroFluidosv3%5B%40version%3Dnull+and+%40uiVersion%3Dnull%5D%2Fdata%5B%40key%3Duuid%3Af42fda05-8bb5-44be-829b-a1743d3d7afb%5D%2FgroupInfoFuel%5B%40ordinal%3D1%5D%2FpicFuelRecibeInterno","Descargar")</f>
        <v>Descargar</v>
      </c>
    </row>
    <row r="2265" spans="1:18" x14ac:dyDescent="0.3">
      <c r="A2265">
        <v>1550539</v>
      </c>
      <c r="B2265" t="s">
        <v>18</v>
      </c>
      <c r="C2265" t="s">
        <v>167</v>
      </c>
      <c r="D2265" t="s">
        <v>168</v>
      </c>
      <c r="E2265" t="s">
        <v>875</v>
      </c>
      <c r="F2265" t="s">
        <v>22</v>
      </c>
      <c r="G2265" t="s">
        <v>23</v>
      </c>
      <c r="H2265" t="s">
        <v>58</v>
      </c>
      <c r="I2265" t="s">
        <v>25</v>
      </c>
      <c r="J2265" s="2">
        <v>45811.489849537043</v>
      </c>
      <c r="K2265">
        <v>3</v>
      </c>
      <c r="L2265">
        <v>6</v>
      </c>
      <c r="M2265">
        <v>2025</v>
      </c>
      <c r="N2265" t="s">
        <v>27</v>
      </c>
      <c r="O2265">
        <v>100</v>
      </c>
      <c r="P2265">
        <v>100</v>
      </c>
      <c r="R2265" s="3" t="str">
        <f>HYPERLINK("https://panda.att.com.mx/ODKServer/view/binaryData?blobKey=FSSuministroFluidosv3%5B%40version%3Dnull+and+%40uiVersion%3Dnull%5D%2Fdata%5B%40key%3Duuid%3A956d8e68-10bc-4065-8d70-b6b7a920ff2a%5D%2FgroupInfoFuel%5B%40ordinal%3D1%5D%2FpicFuelRecibeInterno","Descargar")</f>
        <v>Descargar</v>
      </c>
    </row>
    <row r="2266" spans="1:18" x14ac:dyDescent="0.3">
      <c r="A2266">
        <v>1550511</v>
      </c>
      <c r="B2266" t="s">
        <v>18</v>
      </c>
      <c r="C2266" t="s">
        <v>100</v>
      </c>
      <c r="D2266" t="s">
        <v>101</v>
      </c>
      <c r="E2266" t="s">
        <v>2037</v>
      </c>
      <c r="F2266" t="s">
        <v>22</v>
      </c>
      <c r="G2266" t="s">
        <v>83</v>
      </c>
      <c r="H2266" t="s">
        <v>1781</v>
      </c>
      <c r="I2266" t="s">
        <v>25</v>
      </c>
      <c r="J2266" s="2">
        <v>45811.442766203712</v>
      </c>
      <c r="K2266">
        <v>3</v>
      </c>
      <c r="L2266">
        <v>6</v>
      </c>
      <c r="M2266">
        <v>2025</v>
      </c>
      <c r="N2266" t="s">
        <v>27</v>
      </c>
      <c r="O2266">
        <v>240</v>
      </c>
      <c r="P2266">
        <v>240</v>
      </c>
      <c r="R2266" s="3" t="str">
        <f>HYPERLINK("https://panda.att.com.mx/ODKServer/view/binaryData?blobKey=FSSuministroFluidosv3%5B%40version%3Dnull+and+%40uiVersion%3Dnull%5D%2Fdata%5B%40key%3Duuid%3A688f198a-ad2e-468e-980e-3a3db73e294c%5D%2FgroupInfoFuel%5B%40ordinal%3D1%5D%2FpicFuelRecibeInterno","Descargar")</f>
        <v>Descargar</v>
      </c>
    </row>
    <row r="2267" spans="1:18" x14ac:dyDescent="0.3">
      <c r="A2267">
        <v>1550486</v>
      </c>
      <c r="B2267" t="s">
        <v>18</v>
      </c>
      <c r="C2267" t="s">
        <v>68</v>
      </c>
      <c r="D2267" t="s">
        <v>419</v>
      </c>
      <c r="E2267" t="s">
        <v>420</v>
      </c>
      <c r="F2267" t="s">
        <v>22</v>
      </c>
      <c r="G2267" t="s">
        <v>23</v>
      </c>
      <c r="H2267" t="s">
        <v>37</v>
      </c>
      <c r="I2267" t="s">
        <v>25</v>
      </c>
      <c r="J2267" s="2">
        <v>45810.874814814822</v>
      </c>
      <c r="K2267">
        <v>2</v>
      </c>
      <c r="L2267">
        <v>6</v>
      </c>
      <c r="M2267">
        <v>2025</v>
      </c>
      <c r="N2267" t="s">
        <v>27</v>
      </c>
      <c r="O2267">
        <v>100</v>
      </c>
      <c r="P2267">
        <v>100</v>
      </c>
      <c r="R2267" s="3" t="str">
        <f>HYPERLINK("https://panda.att.com.mx/ODKServer/view/binaryData?blobKey=FSSuministroFluidosv3%5B%40version%3Dnull+and+%40uiVersion%3Dnull%5D%2Fdata%5B%40key%3Duuid%3A0eb9b3ed-2af4-41c0-8f81-b43ca5c9b1db%5D%2FgroupInfoFuel%5B%40ordinal%3D1%5D%2FpicFuelRecibeInterno","Descargar")</f>
        <v>Descargar</v>
      </c>
    </row>
    <row r="2268" spans="1:18" x14ac:dyDescent="0.3">
      <c r="A2268">
        <v>1550477</v>
      </c>
      <c r="B2268" t="s">
        <v>18</v>
      </c>
      <c r="C2268" t="s">
        <v>59</v>
      </c>
      <c r="D2268" t="s">
        <v>60</v>
      </c>
      <c r="E2268" t="s">
        <v>2064</v>
      </c>
      <c r="F2268" t="s">
        <v>22</v>
      </c>
      <c r="G2268" t="s">
        <v>23</v>
      </c>
      <c r="H2268" t="s">
        <v>1816</v>
      </c>
      <c r="I2268" t="s">
        <v>25</v>
      </c>
      <c r="J2268" s="2">
        <v>45805.796701388892</v>
      </c>
      <c r="K2268">
        <v>28</v>
      </c>
      <c r="L2268">
        <v>5</v>
      </c>
      <c r="M2268">
        <v>2025</v>
      </c>
      <c r="N2268" t="s">
        <v>27</v>
      </c>
      <c r="O2268">
        <v>202.4</v>
      </c>
      <c r="P2268">
        <v>202.4</v>
      </c>
      <c r="R2268" s="3" t="str">
        <f>HYPERLINK("https://panda.att.com.mx/ODKServer/view/binaryData?blobKey=FSSuministroFluidosv3%5B%40version%3Dnull+and+%40uiVersion%3Dnull%5D%2Fdata%5B%40key%3Duuid%3A4909cecc-a2be-490c-a878-bce6a5b570e5%5D%2FgroupInfoFuel%5B%40ordinal%3D1%5D%2FpicFuelRecibeInterno","Descargar")</f>
        <v>Descargar</v>
      </c>
    </row>
    <row r="2269" spans="1:18" x14ac:dyDescent="0.3">
      <c r="A2269">
        <v>1550472</v>
      </c>
      <c r="B2269" t="s">
        <v>18</v>
      </c>
      <c r="C2269" t="s">
        <v>150</v>
      </c>
      <c r="D2269" t="s">
        <v>164</v>
      </c>
      <c r="E2269" t="s">
        <v>165</v>
      </c>
      <c r="F2269" t="s">
        <v>22</v>
      </c>
      <c r="G2269" t="s">
        <v>23</v>
      </c>
      <c r="H2269" t="s">
        <v>58</v>
      </c>
      <c r="I2269" t="s">
        <v>25</v>
      </c>
      <c r="J2269" s="2">
        <v>45811.370439814818</v>
      </c>
      <c r="K2269">
        <v>3</v>
      </c>
      <c r="L2269">
        <v>6</v>
      </c>
      <c r="M2269">
        <v>2025</v>
      </c>
      <c r="N2269" t="s">
        <v>27</v>
      </c>
      <c r="O2269">
        <v>400</v>
      </c>
      <c r="P2269">
        <v>400</v>
      </c>
      <c r="R2269" s="3" t="str">
        <f>HYPERLINK("https://panda.att.com.mx/ODKServer/view/binaryData?blobKey=FSSuministroFluidosv3%5B%40version%3Dnull+and+%40uiVersion%3Dnull%5D%2Fdata%5B%40key%3Duuid%3Ab7fda329-9c5f-43ad-9a07-a8210a5287d0%5D%2FgroupInfoFuel%5B%40ordinal%3D1%5D%2FpicFuelRecibeInterno","Descargar")</f>
        <v>Descargar</v>
      </c>
    </row>
    <row r="2270" spans="1:18" x14ac:dyDescent="0.3">
      <c r="A2270">
        <v>1550471</v>
      </c>
      <c r="B2270" t="s">
        <v>18</v>
      </c>
      <c r="C2270" t="s">
        <v>55</v>
      </c>
      <c r="D2270" t="s">
        <v>288</v>
      </c>
      <c r="E2270" t="s">
        <v>440</v>
      </c>
      <c r="F2270" t="s">
        <v>22</v>
      </c>
      <c r="G2270" t="s">
        <v>23</v>
      </c>
      <c r="H2270" t="s">
        <v>1763</v>
      </c>
      <c r="I2270" t="s">
        <v>25</v>
      </c>
      <c r="J2270" s="2">
        <v>45811.429803240739</v>
      </c>
      <c r="K2270">
        <v>3</v>
      </c>
      <c r="L2270">
        <v>6</v>
      </c>
      <c r="M2270">
        <v>2025</v>
      </c>
      <c r="N2270" t="s">
        <v>27</v>
      </c>
      <c r="O2270">
        <v>300</v>
      </c>
      <c r="P2270">
        <v>300</v>
      </c>
      <c r="R2270" s="3" t="str">
        <f>HYPERLINK("https://panda.att.com.mx/ODKServer/view/binaryData?blobKey=FSSuministroFluidosv3%5B%40version%3Dnull+and+%40uiVersion%3Dnull%5D%2Fdata%5B%40key%3Duuid%3A3eb52c3b-37ef-4d33-88d9-8d54dbac372d%5D%2FgroupInfoFuel%5B%40ordinal%3D1%5D%2FpicFuelRecibeInterno","Descargar")</f>
        <v>Descargar</v>
      </c>
    </row>
    <row r="2271" spans="1:18" x14ac:dyDescent="0.3">
      <c r="A2271">
        <v>1550468</v>
      </c>
      <c r="B2271" t="s">
        <v>18</v>
      </c>
      <c r="C2271" t="s">
        <v>59</v>
      </c>
      <c r="D2271" t="s">
        <v>574</v>
      </c>
      <c r="E2271" t="s">
        <v>1388</v>
      </c>
      <c r="F2271" t="s">
        <v>22</v>
      </c>
      <c r="G2271" t="s">
        <v>23</v>
      </c>
      <c r="H2271" t="s">
        <v>37</v>
      </c>
      <c r="I2271" t="s">
        <v>25</v>
      </c>
      <c r="J2271" s="2">
        <v>45808.53869212963</v>
      </c>
      <c r="K2271">
        <v>31</v>
      </c>
      <c r="L2271">
        <v>5</v>
      </c>
      <c r="M2271">
        <v>2025</v>
      </c>
      <c r="N2271" t="s">
        <v>27</v>
      </c>
      <c r="O2271">
        <v>180</v>
      </c>
      <c r="P2271">
        <v>180</v>
      </c>
      <c r="R2271" s="3" t="str">
        <f>HYPERLINK("https://panda.att.com.mx/ODKServer/view/binaryData?blobKey=FSSuministroFluidosv3%5B%40version%3Dnull+and+%40uiVersion%3Dnull%5D%2Fdata%5B%40key%3Duuid%3Aeaccf07d-380e-4ccb-8867-bbfa6034bc08%5D%2FgroupInfoFuel%5B%40ordinal%3D1%5D%2FpicFuelRecibeInterno","Descargar")</f>
        <v>Descargar</v>
      </c>
    </row>
    <row r="2272" spans="1:18" x14ac:dyDescent="0.3">
      <c r="A2272">
        <v>1550445</v>
      </c>
      <c r="B2272" t="s">
        <v>18</v>
      </c>
      <c r="C2272" t="s">
        <v>55</v>
      </c>
      <c r="D2272" t="s">
        <v>288</v>
      </c>
      <c r="E2272" t="s">
        <v>1164</v>
      </c>
      <c r="F2272" t="s">
        <v>22</v>
      </c>
      <c r="G2272" t="s">
        <v>23</v>
      </c>
      <c r="H2272" t="s">
        <v>1763</v>
      </c>
      <c r="I2272" t="s">
        <v>25</v>
      </c>
      <c r="J2272" s="2">
        <v>45811.347986111112</v>
      </c>
      <c r="K2272">
        <v>3</v>
      </c>
      <c r="L2272">
        <v>6</v>
      </c>
      <c r="M2272">
        <v>2025</v>
      </c>
      <c r="N2272" t="s">
        <v>27</v>
      </c>
      <c r="O2272">
        <v>100</v>
      </c>
      <c r="P2272">
        <v>100</v>
      </c>
      <c r="R2272" s="3" t="str">
        <f>HYPERLINK("https://panda.att.com.mx/ODKServer/view/binaryData?blobKey=FSSuministroFluidosv3%5B%40version%3Dnull+and+%40uiVersion%3Dnull%5D%2Fdata%5B%40key%3Duuid%3A563f6b0d-d478-4197-aadf-e199bccf62dc%5D%2FgroupInfoFuel%5B%40ordinal%3D1%5D%2FpicFuelRecibeInterno","Descargar")</f>
        <v>Descargar</v>
      </c>
    </row>
    <row r="2273" spans="1:18" x14ac:dyDescent="0.3">
      <c r="A2273">
        <v>1550396</v>
      </c>
      <c r="B2273" t="s">
        <v>18</v>
      </c>
      <c r="C2273" t="s">
        <v>55</v>
      </c>
      <c r="D2273" t="s">
        <v>56</v>
      </c>
      <c r="E2273" t="s">
        <v>1670</v>
      </c>
      <c r="F2273" t="s">
        <v>22</v>
      </c>
      <c r="G2273" t="s">
        <v>23</v>
      </c>
      <c r="H2273" t="s">
        <v>1763</v>
      </c>
      <c r="I2273" t="s">
        <v>25</v>
      </c>
      <c r="J2273" s="2">
        <v>45808.892789351848</v>
      </c>
      <c r="K2273">
        <v>31</v>
      </c>
      <c r="L2273">
        <v>5</v>
      </c>
      <c r="M2273">
        <v>2025</v>
      </c>
      <c r="N2273" t="s">
        <v>27</v>
      </c>
      <c r="O2273">
        <v>220</v>
      </c>
      <c r="P2273">
        <v>220</v>
      </c>
      <c r="R2273" s="3" t="str">
        <f>HYPERLINK("https://panda.att.com.mx/ODKServer/view/binaryData?blobKey=FSSuministroFluidosv3%5B%40version%3Dnull+and+%40uiVersion%3Dnull%5D%2Fdata%5B%40key%3Duuid%3A6f75266d-1c9d-4a36-815d-8e0e7c7ad4e7%5D%2FgroupInfoFuel%5B%40ordinal%3D1%5D%2FpicFuelRecibeInterno","Descargar")</f>
        <v>Descargar</v>
      </c>
    </row>
    <row r="2274" spans="1:18" x14ac:dyDescent="0.3">
      <c r="A2274">
        <v>1550383</v>
      </c>
      <c r="B2274" t="s">
        <v>18</v>
      </c>
      <c r="C2274" t="s">
        <v>55</v>
      </c>
      <c r="D2274" t="s">
        <v>288</v>
      </c>
      <c r="E2274" t="s">
        <v>1164</v>
      </c>
      <c r="F2274" t="s">
        <v>22</v>
      </c>
      <c r="G2274" t="s">
        <v>23</v>
      </c>
      <c r="H2274" t="s">
        <v>1763</v>
      </c>
      <c r="I2274" t="s">
        <v>25</v>
      </c>
      <c r="J2274" s="2">
        <v>45811.316620370373</v>
      </c>
      <c r="K2274">
        <v>3</v>
      </c>
      <c r="L2274">
        <v>6</v>
      </c>
      <c r="M2274">
        <v>2025</v>
      </c>
      <c r="N2274" t="s">
        <v>27</v>
      </c>
      <c r="O2274">
        <v>100</v>
      </c>
      <c r="P2274">
        <v>100</v>
      </c>
      <c r="R2274" s="3" t="str">
        <f>HYPERLINK("https://panda.att.com.mx/ODKServer/view/binaryData?blobKey=FSSuministroFluidosv3%5B%40version%3Dnull+and+%40uiVersion%3Dnull%5D%2Fdata%5B%40key%3Duuid%3A2101ab12-aaf1-4910-ba6f-ae417be07f68%5D%2FgroupInfoFuel%5B%40ordinal%3D1%5D%2FpicFuelRecibeInterno","Descargar")</f>
        <v>Descargar</v>
      </c>
    </row>
    <row r="2275" spans="1:18" x14ac:dyDescent="0.3">
      <c r="A2275">
        <v>1550370</v>
      </c>
      <c r="B2275" t="s">
        <v>18</v>
      </c>
      <c r="C2275" t="s">
        <v>59</v>
      </c>
      <c r="D2275" t="s">
        <v>233</v>
      </c>
      <c r="E2275" t="s">
        <v>1847</v>
      </c>
      <c r="F2275" t="s">
        <v>22</v>
      </c>
      <c r="G2275" t="s">
        <v>83</v>
      </c>
      <c r="H2275" t="s">
        <v>37</v>
      </c>
      <c r="I2275" t="s">
        <v>25</v>
      </c>
      <c r="J2275" s="2">
        <v>45810.528287037043</v>
      </c>
      <c r="K2275">
        <v>2</v>
      </c>
      <c r="L2275">
        <v>6</v>
      </c>
      <c r="M2275">
        <v>2025</v>
      </c>
      <c r="N2275" t="s">
        <v>27</v>
      </c>
      <c r="O2275">
        <v>600</v>
      </c>
      <c r="Q2275">
        <v>600</v>
      </c>
      <c r="R2275" s="3" t="str">
        <f>HYPERLINK("https://panda.att.com.mx/ODKServer/view/binaryData?blobKey=FSSuministroFluidosv3%5B%40version%3Dnull+and+%40uiVersion%3Dnull%5D%2Fdata%5B%40key%3Duuid%3A85655188-93fa-42bf-8ce0-4e5e458defdc%5D%2FgroupInfoFuel%5B%40ordinal%3D1%5D%2FpicFuelRecibeInterno","Descargar")</f>
        <v>Descargar</v>
      </c>
    </row>
    <row r="2276" spans="1:18" x14ac:dyDescent="0.3">
      <c r="A2276">
        <v>1550352</v>
      </c>
      <c r="B2276" t="s">
        <v>18</v>
      </c>
      <c r="C2276" t="s">
        <v>19</v>
      </c>
      <c r="D2276" t="s">
        <v>156</v>
      </c>
      <c r="E2276" t="s">
        <v>480</v>
      </c>
      <c r="F2276" t="s">
        <v>22</v>
      </c>
      <c r="G2276" t="s">
        <v>23</v>
      </c>
      <c r="H2276" t="s">
        <v>24</v>
      </c>
      <c r="I2276" t="s">
        <v>25</v>
      </c>
      <c r="J2276" s="2">
        <v>45808.531180555547</v>
      </c>
      <c r="K2276">
        <v>31</v>
      </c>
      <c r="L2276">
        <v>5</v>
      </c>
      <c r="M2276">
        <v>2025</v>
      </c>
      <c r="N2276" t="s">
        <v>27</v>
      </c>
      <c r="O2276">
        <v>180</v>
      </c>
      <c r="Q2276">
        <v>180</v>
      </c>
      <c r="R2276" s="3" t="str">
        <f>HYPERLINK("https://panda.att.com.mx/ODKServer/view/binaryData?blobKey=FSSuministroFluidosv3%5B%40version%3Dnull+and+%40uiVersion%3Dnull%5D%2Fdata%5B%40key%3Duuid%3A1b7e76f1-2a8f-4767-a558-76b6394dcbf9%5D%2FgroupInfoFuel%5B%40ordinal%3D1%5D%2FpicFuelRecibeInterno","Descargar")</f>
        <v>Descargar</v>
      </c>
    </row>
    <row r="2277" spans="1:18" x14ac:dyDescent="0.3">
      <c r="A2277">
        <v>1552034</v>
      </c>
      <c r="B2277" t="s">
        <v>18</v>
      </c>
      <c r="C2277" t="s">
        <v>55</v>
      </c>
      <c r="D2277" t="s">
        <v>56</v>
      </c>
      <c r="E2277" t="s">
        <v>1730</v>
      </c>
      <c r="F2277" t="s">
        <v>22</v>
      </c>
      <c r="G2277" t="s">
        <v>23</v>
      </c>
      <c r="H2277" t="s">
        <v>1763</v>
      </c>
      <c r="I2277" t="s">
        <v>25</v>
      </c>
      <c r="J2277" s="2">
        <v>45805.419317129628</v>
      </c>
      <c r="K2277">
        <v>28</v>
      </c>
      <c r="L2277">
        <v>5</v>
      </c>
      <c r="M2277">
        <v>2025</v>
      </c>
      <c r="N2277" t="s">
        <v>27</v>
      </c>
      <c r="O2277">
        <v>200</v>
      </c>
      <c r="P2277">
        <v>200</v>
      </c>
      <c r="R2277" s="3" t="str">
        <f>HYPERLINK("https://panda.att.com.mx/ODKServer/view/binaryData?blobKey=FSSuministroFluidosv3%5B%40version%3Dnull+and+%40uiVersion%3Dnull%5D%2Fdata%5B%40key%3Duuid%3A93c1a879-5fed-4d9e-88a4-f34a7d29da87%5D%2FgroupInfoFuel%5B%40ordinal%3D1%5D%2FpicFuelRecibeInterno","Descargar")</f>
        <v>Descargar</v>
      </c>
    </row>
    <row r="2278" spans="1:18" x14ac:dyDescent="0.3">
      <c r="A2278">
        <v>1551891</v>
      </c>
      <c r="B2278" t="s">
        <v>18</v>
      </c>
      <c r="C2278" t="s">
        <v>19</v>
      </c>
      <c r="D2278" t="s">
        <v>45</v>
      </c>
      <c r="E2278" t="s">
        <v>2065</v>
      </c>
      <c r="F2278" t="s">
        <v>22</v>
      </c>
      <c r="G2278" t="s">
        <v>23</v>
      </c>
      <c r="H2278" t="s">
        <v>24</v>
      </c>
      <c r="I2278" t="s">
        <v>25</v>
      </c>
      <c r="J2278" s="2">
        <v>45812.955694444441</v>
      </c>
      <c r="K2278">
        <v>4</v>
      </c>
      <c r="L2278">
        <v>6</v>
      </c>
      <c r="M2278">
        <v>2025</v>
      </c>
      <c r="N2278" t="s">
        <v>27</v>
      </c>
      <c r="O2278">
        <v>300</v>
      </c>
      <c r="P2278">
        <v>300</v>
      </c>
      <c r="R2278" s="3" t="str">
        <f>HYPERLINK("https://panda.att.com.mx/ODKServer/view/binaryData?blobKey=FSSuministroFluidosv3%5B%40version%3Dnull+and+%40uiVersion%3Dnull%5D%2Fdata%5B%40key%3Duuid%3Acbb6cd34-6b1f-4308-9020-53c739e95b72%5D%2FgroupInfoFuel%5B%40ordinal%3D1%5D%2FpicFuelRecibeInterno","Descargar")</f>
        <v>Descargar</v>
      </c>
    </row>
    <row r="2279" spans="1:18" x14ac:dyDescent="0.3">
      <c r="A2279">
        <v>1551873</v>
      </c>
      <c r="B2279" t="s">
        <v>18</v>
      </c>
      <c r="C2279" t="s">
        <v>68</v>
      </c>
      <c r="D2279" t="s">
        <v>78</v>
      </c>
      <c r="E2279" t="s">
        <v>2066</v>
      </c>
      <c r="F2279" t="s">
        <v>22</v>
      </c>
      <c r="G2279" t="s">
        <v>83</v>
      </c>
      <c r="H2279" t="s">
        <v>37</v>
      </c>
      <c r="I2279" t="s">
        <v>25</v>
      </c>
      <c r="J2279" s="2">
        <v>45812.753148148149</v>
      </c>
      <c r="K2279">
        <v>4</v>
      </c>
      <c r="L2279">
        <v>6</v>
      </c>
      <c r="M2279">
        <v>2025</v>
      </c>
      <c r="N2279" t="s">
        <v>27</v>
      </c>
      <c r="O2279">
        <v>200</v>
      </c>
      <c r="P2279">
        <v>200</v>
      </c>
      <c r="R2279" s="3" t="str">
        <f>HYPERLINK("https://panda.att.com.mx/ODKServer/view/binaryData?blobKey=FSSuministroFluidosv3%5B%40version%3Dnull+and+%40uiVersion%3Dnull%5D%2Fdata%5B%40key%3Duuid%3Aea8537f6-de54-422a-b792-57752700cdae%5D%2FgroupInfoFuel%5B%40ordinal%3D1%5D%2FpicFuelRecibeInterno","Descargar")</f>
        <v>Descargar</v>
      </c>
    </row>
    <row r="2280" spans="1:18" x14ac:dyDescent="0.3">
      <c r="A2280">
        <v>1551872</v>
      </c>
      <c r="B2280" t="s">
        <v>18</v>
      </c>
      <c r="C2280" t="s">
        <v>68</v>
      </c>
      <c r="D2280" t="s">
        <v>258</v>
      </c>
      <c r="E2280" t="s">
        <v>2067</v>
      </c>
      <c r="F2280" t="s">
        <v>22</v>
      </c>
      <c r="G2280" t="s">
        <v>23</v>
      </c>
      <c r="H2280" t="s">
        <v>37</v>
      </c>
      <c r="I2280" t="s">
        <v>25</v>
      </c>
      <c r="J2280" s="2">
        <v>45812.464259259257</v>
      </c>
      <c r="K2280">
        <v>4</v>
      </c>
      <c r="L2280">
        <v>6</v>
      </c>
      <c r="M2280">
        <v>2025</v>
      </c>
      <c r="N2280" t="s">
        <v>44</v>
      </c>
      <c r="O2280">
        <v>20</v>
      </c>
      <c r="P2280">
        <v>20</v>
      </c>
      <c r="R2280" s="3" t="str">
        <f>HYPERLINK("https://panda.att.com.mx/ODKServer/view/binaryData?blobKey=FSSuministroFluidosv3%5B%40version%3Dnull+and+%40uiVersion%3Dnull%5D%2Fdata%5B%40key%3Duuid%3A19a386e6-3fb5-4a0b-ab8f-2a3176f2a433%5D%2FgroupInfoFuel%5B%40ordinal%3D1%5D%2FpicFuelRecibeInterno","Descargar")</f>
        <v>Descargar</v>
      </c>
    </row>
    <row r="2281" spans="1:18" x14ac:dyDescent="0.3">
      <c r="A2281">
        <v>1551850</v>
      </c>
      <c r="B2281" t="s">
        <v>18</v>
      </c>
      <c r="C2281" t="s">
        <v>19</v>
      </c>
      <c r="D2281" t="s">
        <v>45</v>
      </c>
      <c r="E2281" t="s">
        <v>752</v>
      </c>
      <c r="F2281" t="s">
        <v>22</v>
      </c>
      <c r="G2281" t="s">
        <v>23</v>
      </c>
      <c r="H2281" t="s">
        <v>24</v>
      </c>
      <c r="I2281" t="s">
        <v>25</v>
      </c>
      <c r="J2281" s="2">
        <v>45812.420972222222</v>
      </c>
      <c r="K2281">
        <v>4</v>
      </c>
      <c r="L2281">
        <v>6</v>
      </c>
      <c r="M2281">
        <v>2025</v>
      </c>
      <c r="N2281" t="s">
        <v>27</v>
      </c>
      <c r="O2281">
        <v>300</v>
      </c>
      <c r="P2281">
        <v>300</v>
      </c>
      <c r="R2281" s="3" t="str">
        <f>HYPERLINK("https://panda.att.com.mx/ODKServer/view/binaryData?blobKey=FSSuministroFluidosv3%5B%40version%3Dnull+and+%40uiVersion%3Dnull%5D%2Fdata%5B%40key%3Duuid%3Ac7872a5d-7a32-44d4-82d5-16e0a4288d30%5D%2FgroupInfoFuel%5B%40ordinal%3D1%5D%2FpicFuelRecibeInterno","Descargar")</f>
        <v>Descargar</v>
      </c>
    </row>
    <row r="2282" spans="1:18" x14ac:dyDescent="0.3">
      <c r="A2282">
        <v>1551821</v>
      </c>
      <c r="B2282" t="s">
        <v>18</v>
      </c>
      <c r="C2282" t="s">
        <v>34</v>
      </c>
      <c r="D2282" t="s">
        <v>53</v>
      </c>
      <c r="E2282" t="s">
        <v>2068</v>
      </c>
      <c r="F2282" t="s">
        <v>22</v>
      </c>
      <c r="G2282" t="s">
        <v>23</v>
      </c>
      <c r="H2282" t="s">
        <v>37</v>
      </c>
      <c r="I2282" t="s">
        <v>25</v>
      </c>
      <c r="J2282" s="2">
        <v>45812.778796296298</v>
      </c>
      <c r="K2282">
        <v>4</v>
      </c>
      <c r="L2282">
        <v>6</v>
      </c>
      <c r="M2282">
        <v>2025</v>
      </c>
      <c r="N2282" t="s">
        <v>27</v>
      </c>
      <c r="O2282">
        <v>350</v>
      </c>
      <c r="P2282">
        <v>350</v>
      </c>
      <c r="R2282" s="3" t="str">
        <f>HYPERLINK("https://panda.att.com.mx/ODKServer/view/binaryData?blobKey=FSSuministroFluidosv3%5B%40version%3Dnull+and+%40uiVersion%3Dnull%5D%2Fdata%5B%40key%3Duuid%3A49875e00-67d9-4c29-9197-8f2371ff3125%5D%2FgroupInfoFuel%5B%40ordinal%3D1%5D%2FpicFuelRecibeInterno","Descargar")</f>
        <v>Descargar</v>
      </c>
    </row>
    <row r="2283" spans="1:18" x14ac:dyDescent="0.3">
      <c r="A2283">
        <v>1551816</v>
      </c>
      <c r="B2283" t="s">
        <v>18</v>
      </c>
      <c r="C2283" t="s">
        <v>183</v>
      </c>
      <c r="D2283" t="s">
        <v>688</v>
      </c>
      <c r="E2283" t="s">
        <v>689</v>
      </c>
      <c r="F2283" t="s">
        <v>22</v>
      </c>
      <c r="G2283" t="s">
        <v>23</v>
      </c>
      <c r="H2283" t="s">
        <v>37</v>
      </c>
      <c r="I2283" t="s">
        <v>25</v>
      </c>
      <c r="J2283" s="2">
        <v>45812.772060185183</v>
      </c>
      <c r="K2283">
        <v>4</v>
      </c>
      <c r="L2283">
        <v>6</v>
      </c>
      <c r="M2283">
        <v>2025</v>
      </c>
      <c r="N2283" t="s">
        <v>27</v>
      </c>
      <c r="O2283">
        <v>100</v>
      </c>
      <c r="P2283">
        <v>100</v>
      </c>
      <c r="R2283" s="3" t="str">
        <f>HYPERLINK("https://panda.att.com.mx/ODKServer/view/binaryData?blobKey=FSSuministroFluidosv3%5B%40version%3Dnull+and+%40uiVersion%3Dnull%5D%2Fdata%5B%40key%3Duuid%3A66569d79-232d-4ae2-bf18-e6b05b19c955%5D%2FgroupInfoFuel%5B%40ordinal%3D1%5D%2FpicFuelRecibeInterno","Descargar")</f>
        <v>Descargar</v>
      </c>
    </row>
    <row r="2284" spans="1:18" x14ac:dyDescent="0.3">
      <c r="A2284">
        <v>1551806</v>
      </c>
      <c r="B2284" t="s">
        <v>18</v>
      </c>
      <c r="C2284" t="s">
        <v>19</v>
      </c>
      <c r="D2284" t="s">
        <v>175</v>
      </c>
      <c r="E2284" t="s">
        <v>1536</v>
      </c>
      <c r="F2284" t="s">
        <v>22</v>
      </c>
      <c r="G2284" t="s">
        <v>23</v>
      </c>
      <c r="H2284" t="s">
        <v>24</v>
      </c>
      <c r="I2284" t="s">
        <v>25</v>
      </c>
      <c r="J2284" s="2">
        <v>45812.792731481481</v>
      </c>
      <c r="K2284">
        <v>4</v>
      </c>
      <c r="L2284">
        <v>6</v>
      </c>
      <c r="M2284">
        <v>2025</v>
      </c>
      <c r="N2284" t="s">
        <v>44</v>
      </c>
      <c r="O2284">
        <v>40</v>
      </c>
      <c r="P2284">
        <v>40</v>
      </c>
      <c r="R2284" s="3" t="str">
        <f>HYPERLINK("https://panda.att.com.mx/ODKServer/view/binaryData?blobKey=FSSuministroFluidosv3%5B%40version%3Dnull+and+%40uiVersion%3Dnull%5D%2Fdata%5B%40key%3Duuid%3Aa0f8ffc7-1523-47a5-b833-dcde2b6184b7%5D%2FgroupInfoFuel%5B%40ordinal%3D1%5D%2FpicFuelRecibeInterno","Descargar")</f>
        <v>Descargar</v>
      </c>
    </row>
    <row r="2285" spans="1:18" x14ac:dyDescent="0.3">
      <c r="A2285">
        <v>1551779</v>
      </c>
      <c r="B2285" t="s">
        <v>18</v>
      </c>
      <c r="C2285" t="s">
        <v>34</v>
      </c>
      <c r="D2285" t="s">
        <v>53</v>
      </c>
      <c r="E2285" t="s">
        <v>396</v>
      </c>
      <c r="F2285" t="s">
        <v>33</v>
      </c>
      <c r="G2285" t="s">
        <v>47</v>
      </c>
      <c r="H2285" t="s">
        <v>24</v>
      </c>
      <c r="I2285" t="s">
        <v>25</v>
      </c>
      <c r="J2285" s="2">
        <v>45812.604432870372</v>
      </c>
      <c r="K2285">
        <v>4</v>
      </c>
      <c r="L2285">
        <v>6</v>
      </c>
      <c r="M2285">
        <v>2025</v>
      </c>
      <c r="N2285" t="s">
        <v>27</v>
      </c>
      <c r="O2285">
        <v>400</v>
      </c>
      <c r="Q2285">
        <v>400</v>
      </c>
      <c r="R2285" s="3" t="str">
        <f>HYPERLINK("https://panda.att.com.mx/ODKServer/view/binaryData?blobKey=FSSuministroFluidosv3%5B%40version%3Dnull+and+%40uiVersion%3Dnull%5D%2Fdata%5B%40key%3Duuid%3A99d9af23-4563-4907-8d8f-97facfb42311%5D%2FgroupInfoFuel%5B%40ordinal%3D1%5D%2FpicFuelRecibeInterno","Descargar")</f>
        <v>Descargar</v>
      </c>
    </row>
    <row r="2286" spans="1:18" x14ac:dyDescent="0.3">
      <c r="A2286">
        <v>1551778</v>
      </c>
      <c r="B2286" t="s">
        <v>18</v>
      </c>
      <c r="C2286" t="s">
        <v>34</v>
      </c>
      <c r="D2286" t="s">
        <v>51</v>
      </c>
      <c r="E2286" t="s">
        <v>394</v>
      </c>
      <c r="F2286" t="s">
        <v>22</v>
      </c>
      <c r="G2286" t="s">
        <v>47</v>
      </c>
      <c r="H2286" t="s">
        <v>24</v>
      </c>
      <c r="I2286" t="s">
        <v>25</v>
      </c>
      <c r="J2286" s="2">
        <v>45812.480254629627</v>
      </c>
      <c r="K2286">
        <v>4</v>
      </c>
      <c r="L2286">
        <v>6</v>
      </c>
      <c r="M2286">
        <v>2025</v>
      </c>
      <c r="N2286" t="s">
        <v>27</v>
      </c>
      <c r="O2286">
        <v>200</v>
      </c>
      <c r="Q2286">
        <v>200</v>
      </c>
      <c r="R2286" s="3" t="str">
        <f>HYPERLINK("https://panda.att.com.mx/ODKServer/view/binaryData?blobKey=FSSuministroFluidosv3%5B%40version%3Dnull+and+%40uiVersion%3Dnull%5D%2Fdata%5B%40key%3Duuid%3Adb066c75-88bd-4dcd-b40d-1f602374c5f4%5D%2FgroupInfoFuel%5B%40ordinal%3D1%5D%2FpicFuelRecibeInterno","Descargar")</f>
        <v>Descargar</v>
      </c>
    </row>
    <row r="2287" spans="1:18" x14ac:dyDescent="0.3">
      <c r="A2287">
        <v>1551777</v>
      </c>
      <c r="B2287" t="s">
        <v>18</v>
      </c>
      <c r="C2287" t="s">
        <v>34</v>
      </c>
      <c r="D2287" t="s">
        <v>53</v>
      </c>
      <c r="E2287" t="s">
        <v>299</v>
      </c>
      <c r="F2287" t="s">
        <v>22</v>
      </c>
      <c r="G2287" t="s">
        <v>23</v>
      </c>
      <c r="H2287" t="s">
        <v>24</v>
      </c>
      <c r="I2287" t="s">
        <v>25</v>
      </c>
      <c r="J2287" s="2">
        <v>45812.458993055552</v>
      </c>
      <c r="K2287">
        <v>4</v>
      </c>
      <c r="L2287">
        <v>6</v>
      </c>
      <c r="M2287">
        <v>2025</v>
      </c>
      <c r="N2287" t="s">
        <v>27</v>
      </c>
      <c r="O2287">
        <v>200</v>
      </c>
      <c r="Q2287">
        <v>200</v>
      </c>
      <c r="R2287" s="3" t="str">
        <f>HYPERLINK("https://panda.att.com.mx/ODKServer/view/binaryData?blobKey=FSSuministroFluidosv3%5B%40version%3Dnull+and+%40uiVersion%3Dnull%5D%2Fdata%5B%40key%3Duuid%3Afd1a0647-0261-4738-ab73-9092a0113f9c%5D%2FgroupInfoFuel%5B%40ordinal%3D1%5D%2FpicFuelRecibeInterno","Descargar")</f>
        <v>Descargar</v>
      </c>
    </row>
    <row r="2288" spans="1:18" x14ac:dyDescent="0.3">
      <c r="A2288">
        <v>1551661</v>
      </c>
      <c r="B2288" t="s">
        <v>18</v>
      </c>
      <c r="C2288" t="s">
        <v>55</v>
      </c>
      <c r="D2288" t="s">
        <v>628</v>
      </c>
      <c r="E2288" t="s">
        <v>2069</v>
      </c>
      <c r="F2288" t="s">
        <v>22</v>
      </c>
      <c r="G2288" t="s">
        <v>23</v>
      </c>
      <c r="H2288" t="s">
        <v>1781</v>
      </c>
      <c r="I2288" t="s">
        <v>25</v>
      </c>
      <c r="J2288" s="2">
        <v>45812.636238425926</v>
      </c>
      <c r="K2288">
        <v>4</v>
      </c>
      <c r="L2288">
        <v>6</v>
      </c>
      <c r="M2288">
        <v>2025</v>
      </c>
      <c r="N2288" t="s">
        <v>44</v>
      </c>
      <c r="O2288">
        <v>50</v>
      </c>
      <c r="P2288">
        <v>50</v>
      </c>
      <c r="R2288" s="3" t="str">
        <f>HYPERLINK("https://panda.att.com.mx/ODKServer/view/binaryData?blobKey=FSSuministroFluidosv3%5B%40version%3Dnull+and+%40uiVersion%3Dnull%5D%2Fdata%5B%40key%3Duuid%3A7613982c-ac06-4fc0-b156-349019a69228%5D%2FgroupInfoFuel%5B%40ordinal%3D1%5D%2FpicFuelRecibeInterno","Descargar")</f>
        <v>Descargar</v>
      </c>
    </row>
    <row r="2289" spans="1:18" x14ac:dyDescent="0.3">
      <c r="A2289">
        <v>1551408</v>
      </c>
      <c r="B2289" t="s">
        <v>18</v>
      </c>
      <c r="C2289" t="s">
        <v>55</v>
      </c>
      <c r="D2289" t="s">
        <v>628</v>
      </c>
      <c r="E2289" t="s">
        <v>629</v>
      </c>
      <c r="F2289" t="s">
        <v>22</v>
      </c>
      <c r="G2289" t="s">
        <v>23</v>
      </c>
      <c r="H2289" t="s">
        <v>1781</v>
      </c>
      <c r="I2289" t="s">
        <v>25</v>
      </c>
      <c r="J2289" s="2">
        <v>45811.92287037037</v>
      </c>
      <c r="K2289">
        <v>3</v>
      </c>
      <c r="L2289">
        <v>6</v>
      </c>
      <c r="M2289">
        <v>2025</v>
      </c>
      <c r="N2289" t="s">
        <v>44</v>
      </c>
      <c r="O2289">
        <v>20.86</v>
      </c>
      <c r="P2289">
        <v>20.86</v>
      </c>
      <c r="R2289" s="3" t="str">
        <f>HYPERLINK("https://panda.att.com.mx/ODKServer/view/binaryData?blobKey=FSSuministroFluidosv3%5B%40version%3Dnull+and+%40uiVersion%3Dnull%5D%2Fdata%5B%40key%3Duuid%3Ab096e9df-6136-4ddf-bfc8-3b9a9feb9025%5D%2FgroupInfoFuel%5B%40ordinal%3D1%5D%2FpicFuelRecibeInterno","Descargar")</f>
        <v>Descargar</v>
      </c>
    </row>
    <row r="2290" spans="1:18" x14ac:dyDescent="0.3">
      <c r="A2290">
        <v>1551369</v>
      </c>
      <c r="B2290" t="s">
        <v>18</v>
      </c>
      <c r="C2290" t="s">
        <v>19</v>
      </c>
      <c r="D2290" t="s">
        <v>140</v>
      </c>
      <c r="E2290" t="s">
        <v>2070</v>
      </c>
      <c r="F2290" t="s">
        <v>22</v>
      </c>
      <c r="G2290" t="s">
        <v>23</v>
      </c>
      <c r="H2290" t="s">
        <v>24</v>
      </c>
      <c r="I2290" t="s">
        <v>25</v>
      </c>
      <c r="J2290" s="2">
        <v>45812.481666666667</v>
      </c>
      <c r="K2290">
        <v>4</v>
      </c>
      <c r="L2290">
        <v>6</v>
      </c>
      <c r="M2290">
        <v>2025</v>
      </c>
      <c r="N2290" t="s">
        <v>27</v>
      </c>
      <c r="O2290">
        <v>180</v>
      </c>
      <c r="P2290">
        <v>180</v>
      </c>
      <c r="R2290" s="3" t="str">
        <f>HYPERLINK("https://panda.att.com.mx/ODKServer/view/binaryData?blobKey=FSSuministroFluidosv3%5B%40version%3Dnull+and+%40uiVersion%3Dnull%5D%2Fdata%5B%40key%3Duuid%3A312ea056-04e1-4ce9-9817-028ed100207d%5D%2FgroupInfoFuel%5B%40ordinal%3D1%5D%2FpicFuelRecibeInterno","Descargar")</f>
        <v>Descargar</v>
      </c>
    </row>
    <row r="2291" spans="1:18" x14ac:dyDescent="0.3">
      <c r="A2291">
        <v>1551352</v>
      </c>
      <c r="B2291" t="s">
        <v>18</v>
      </c>
      <c r="C2291" t="s">
        <v>68</v>
      </c>
      <c r="D2291" t="s">
        <v>2071</v>
      </c>
      <c r="E2291" t="s">
        <v>2072</v>
      </c>
      <c r="F2291" t="s">
        <v>22</v>
      </c>
      <c r="G2291" t="s">
        <v>83</v>
      </c>
      <c r="H2291" t="s">
        <v>37</v>
      </c>
      <c r="I2291" t="s">
        <v>25</v>
      </c>
      <c r="J2291" s="2">
        <v>45811.420023148137</v>
      </c>
      <c r="K2291">
        <v>3</v>
      </c>
      <c r="L2291">
        <v>6</v>
      </c>
      <c r="M2291">
        <v>2025</v>
      </c>
      <c r="N2291" t="s">
        <v>27</v>
      </c>
      <c r="O2291">
        <v>200</v>
      </c>
      <c r="P2291">
        <v>200</v>
      </c>
      <c r="R2291" s="3" t="str">
        <f>HYPERLINK("https://panda.att.com.mx/ODKServer/view/binaryData?blobKey=FSSuministroFluidosv3%5B%40version%3Dnull+and+%40uiVersion%3Dnull%5D%2Fdata%5B%40key%3Duuid%3A4527ca96-dee9-4026-bfca-e55378efb8e6%5D%2FgroupInfoFuel%5B%40ordinal%3D1%5D%2FpicFuelRecibeInterno","Descargar")</f>
        <v>Descargar</v>
      </c>
    </row>
    <row r="2292" spans="1:18" x14ac:dyDescent="0.3">
      <c r="A2292">
        <v>1551313</v>
      </c>
      <c r="B2292" t="s">
        <v>18</v>
      </c>
      <c r="C2292" t="s">
        <v>28</v>
      </c>
      <c r="D2292" t="s">
        <v>181</v>
      </c>
      <c r="E2292" t="s">
        <v>277</v>
      </c>
      <c r="F2292" t="s">
        <v>22</v>
      </c>
      <c r="G2292" t="s">
        <v>23</v>
      </c>
      <c r="H2292" t="s">
        <v>24</v>
      </c>
      <c r="I2292" t="s">
        <v>25</v>
      </c>
      <c r="J2292" s="2">
        <v>45811.661574074067</v>
      </c>
      <c r="K2292">
        <v>3</v>
      </c>
      <c r="L2292">
        <v>6</v>
      </c>
      <c r="M2292">
        <v>2025</v>
      </c>
      <c r="N2292" t="s">
        <v>44</v>
      </c>
      <c r="O2292">
        <v>50</v>
      </c>
      <c r="P2292">
        <v>50</v>
      </c>
      <c r="R2292" s="3" t="str">
        <f>HYPERLINK("https://panda.att.com.mx/ODKServer/view/binaryData?blobKey=FSSuministroFluidosv3%5B%40version%3Dnull+and+%40uiVersion%3Dnull%5D%2Fdata%5B%40key%3Duuid%3A8eb75200-356e-4da0-b16f-bd20c2d4dce7%5D%2FgroupInfoFuel%5B%40ordinal%3D1%5D%2FpicFuelRecibeInterno","Descargar")</f>
        <v>Descargar</v>
      </c>
    </row>
    <row r="2293" spans="1:18" x14ac:dyDescent="0.3">
      <c r="A2293">
        <v>1551269</v>
      </c>
      <c r="B2293" t="s">
        <v>18</v>
      </c>
      <c r="C2293" t="s">
        <v>19</v>
      </c>
      <c r="D2293" t="s">
        <v>20</v>
      </c>
      <c r="E2293" t="s">
        <v>143</v>
      </c>
      <c r="F2293" t="s">
        <v>22</v>
      </c>
      <c r="G2293" t="s">
        <v>23</v>
      </c>
      <c r="H2293" t="s">
        <v>24</v>
      </c>
      <c r="I2293" t="s">
        <v>25</v>
      </c>
      <c r="J2293" s="2">
        <v>45812.36996527778</v>
      </c>
      <c r="K2293">
        <v>4</v>
      </c>
      <c r="L2293">
        <v>6</v>
      </c>
      <c r="M2293">
        <v>2025</v>
      </c>
      <c r="N2293" t="s">
        <v>27</v>
      </c>
      <c r="O2293">
        <v>150</v>
      </c>
      <c r="P2293">
        <v>150</v>
      </c>
      <c r="R2293" s="3" t="str">
        <f>HYPERLINK("https://panda.att.com.mx/ODKServer/view/binaryData?blobKey=FSSuministroFluidosv3%5B%40version%3Dnull+and+%40uiVersion%3Dnull%5D%2Fdata%5B%40key%3Duuid%3A4fe53933-ba46-425a-880b-6e72c8bf439e%5D%2FgroupInfoFuel%5B%40ordinal%3D1%5D%2FpicFuelRecibeInterno","Descargar")</f>
        <v>Descargar</v>
      </c>
    </row>
    <row r="2294" spans="1:18" x14ac:dyDescent="0.3">
      <c r="A2294">
        <v>1551249</v>
      </c>
      <c r="B2294" t="s">
        <v>18</v>
      </c>
      <c r="C2294" t="s">
        <v>183</v>
      </c>
      <c r="D2294" t="s">
        <v>305</v>
      </c>
      <c r="E2294" t="s">
        <v>2073</v>
      </c>
      <c r="F2294" t="s">
        <v>22</v>
      </c>
      <c r="G2294" t="s">
        <v>23</v>
      </c>
      <c r="H2294" t="s">
        <v>24</v>
      </c>
      <c r="I2294" t="s">
        <v>25</v>
      </c>
      <c r="J2294" s="2">
        <v>45811.498541666668</v>
      </c>
      <c r="K2294">
        <v>3</v>
      </c>
      <c r="L2294">
        <v>6</v>
      </c>
      <c r="M2294">
        <v>2025</v>
      </c>
      <c r="N2294" t="s">
        <v>44</v>
      </c>
      <c r="O2294">
        <v>31</v>
      </c>
      <c r="P2294">
        <v>31</v>
      </c>
      <c r="R2294" s="3" t="str">
        <f>HYPERLINK("https://panda.att.com.mx/ODKServer/view/binaryData?blobKey=FSSuministroFluidosv3%5B%40version%3Dnull+and+%40uiVersion%3Dnull%5D%2Fdata%5B%40key%3Duuid%3A201b83cb-c880-4e6b-812f-1b7ace12cf96%5D%2FgroupInfoFuel%5B%40ordinal%3D1%5D%2FpicFuelRecibeInterno","Descargar")</f>
        <v>Descargar</v>
      </c>
    </row>
    <row r="2295" spans="1:18" x14ac:dyDescent="0.3">
      <c r="A2295">
        <v>1551241</v>
      </c>
      <c r="B2295" t="s">
        <v>18</v>
      </c>
      <c r="C2295" t="s">
        <v>34</v>
      </c>
      <c r="D2295" t="s">
        <v>53</v>
      </c>
      <c r="E2295" t="s">
        <v>298</v>
      </c>
      <c r="F2295" t="s">
        <v>22</v>
      </c>
      <c r="G2295" t="s">
        <v>23</v>
      </c>
      <c r="H2295" t="s">
        <v>37</v>
      </c>
      <c r="I2295" t="s">
        <v>25</v>
      </c>
      <c r="J2295" s="2">
        <v>45811.664942129632</v>
      </c>
      <c r="K2295">
        <v>3</v>
      </c>
      <c r="L2295">
        <v>6</v>
      </c>
      <c r="M2295">
        <v>2025</v>
      </c>
      <c r="N2295" t="s">
        <v>27</v>
      </c>
      <c r="O2295">
        <v>300</v>
      </c>
      <c r="Q2295">
        <v>300</v>
      </c>
      <c r="R2295" s="3" t="str">
        <f>HYPERLINK("https://panda.att.com.mx/ODKServer/view/binaryData?blobKey=FSSuministroFluidosv3%5B%40version%3Dnull+and+%40uiVersion%3Dnull%5D%2Fdata%5B%40key%3Duuid%3A0e1939a9-9f31-4065-839b-9f2246455460%5D%2FgroupInfoFuel%5B%40ordinal%3D1%5D%2FpicFuelRecibeInterno","Descargar")</f>
        <v>Descargar</v>
      </c>
    </row>
    <row r="2296" spans="1:18" x14ac:dyDescent="0.3">
      <c r="A2296">
        <v>1551239</v>
      </c>
      <c r="B2296" t="s">
        <v>18</v>
      </c>
      <c r="C2296" t="s">
        <v>34</v>
      </c>
      <c r="D2296" t="s">
        <v>121</v>
      </c>
      <c r="E2296" t="s">
        <v>912</v>
      </c>
      <c r="F2296" t="s">
        <v>22</v>
      </c>
      <c r="G2296" t="s">
        <v>23</v>
      </c>
      <c r="H2296" t="s">
        <v>37</v>
      </c>
      <c r="I2296" t="s">
        <v>25</v>
      </c>
      <c r="J2296" s="2">
        <v>45811.61546296296</v>
      </c>
      <c r="K2296">
        <v>3</v>
      </c>
      <c r="L2296">
        <v>6</v>
      </c>
      <c r="M2296">
        <v>2025</v>
      </c>
      <c r="N2296" t="s">
        <v>27</v>
      </c>
      <c r="O2296">
        <v>300</v>
      </c>
      <c r="P2296">
        <v>300</v>
      </c>
      <c r="R2296" s="3" t="str">
        <f>HYPERLINK("https://panda.att.com.mx/ODKServer/view/binaryData?blobKey=FSSuministroFluidosv3%5B%40version%3Dnull+and+%40uiVersion%3Dnull%5D%2Fdata%5B%40key%3Duuid%3A4db641f3-4a6e-4d90-a6e0-5d76a64d6f6a%5D%2FgroupInfoFuel%5B%40ordinal%3D1%5D%2FpicFuelRecibeInterno","Descargar")</f>
        <v>Descargar</v>
      </c>
    </row>
    <row r="2297" spans="1:18" x14ac:dyDescent="0.3">
      <c r="A2297">
        <v>1551238</v>
      </c>
      <c r="B2297" t="s">
        <v>18</v>
      </c>
      <c r="C2297" t="s">
        <v>34</v>
      </c>
      <c r="D2297" t="s">
        <v>51</v>
      </c>
      <c r="E2297" t="s">
        <v>52</v>
      </c>
      <c r="F2297" t="s">
        <v>22</v>
      </c>
      <c r="G2297" t="s">
        <v>47</v>
      </c>
      <c r="H2297" t="s">
        <v>24</v>
      </c>
      <c r="I2297" t="s">
        <v>25</v>
      </c>
      <c r="J2297" s="2">
        <v>45811.735266203701</v>
      </c>
      <c r="K2297">
        <v>3</v>
      </c>
      <c r="L2297">
        <v>6</v>
      </c>
      <c r="M2297">
        <v>2025</v>
      </c>
      <c r="N2297" t="s">
        <v>27</v>
      </c>
      <c r="O2297">
        <v>50</v>
      </c>
      <c r="P2297">
        <v>50</v>
      </c>
      <c r="R2297" s="3" t="str">
        <f>HYPERLINK("https://panda.att.com.mx/ODKServer/view/binaryData?blobKey=FSSuministroFluidosv3%5B%40version%3Dnull+and+%40uiVersion%3Dnull%5D%2Fdata%5B%40key%3Duuid%3A66f813a1-0d5d-4e52-aa9f-bf5cfcdea447%5D%2FgroupInfoFuel%5B%40ordinal%3D1%5D%2FpicFuelRecibeInterno","Descargar")</f>
        <v>Descargar</v>
      </c>
    </row>
    <row r="2298" spans="1:18" x14ac:dyDescent="0.3">
      <c r="A2298">
        <v>1551237</v>
      </c>
      <c r="B2298" t="s">
        <v>18</v>
      </c>
      <c r="C2298" t="s">
        <v>34</v>
      </c>
      <c r="D2298" t="s">
        <v>187</v>
      </c>
      <c r="E2298" t="s">
        <v>2074</v>
      </c>
      <c r="F2298" t="s">
        <v>22</v>
      </c>
      <c r="G2298" t="s">
        <v>47</v>
      </c>
      <c r="H2298" t="s">
        <v>24</v>
      </c>
      <c r="I2298" t="s">
        <v>25</v>
      </c>
      <c r="J2298" s="2">
        <v>45811.647800925923</v>
      </c>
      <c r="K2298">
        <v>3</v>
      </c>
      <c r="L2298">
        <v>6</v>
      </c>
      <c r="M2298">
        <v>2025</v>
      </c>
      <c r="N2298" t="s">
        <v>27</v>
      </c>
      <c r="O2298">
        <v>100</v>
      </c>
      <c r="P2298">
        <v>100</v>
      </c>
      <c r="R2298" s="3" t="str">
        <f>HYPERLINK("https://panda.att.com.mx/ODKServer/view/binaryData?blobKey=FSSuministroFluidosv3%5B%40version%3Dnull+and+%40uiVersion%3Dnull%5D%2Fdata%5B%40key%3Duuid%3A99c0f17a-3f47-43fc-a3e9-22f98010f67b%5D%2FgroupInfoFuel%5B%40ordinal%3D1%5D%2FpicFuelRecibeInterno","Descargar")</f>
        <v>Descargar</v>
      </c>
    </row>
    <row r="2299" spans="1:18" x14ac:dyDescent="0.3">
      <c r="A2299">
        <v>1551232</v>
      </c>
      <c r="B2299" t="s">
        <v>18</v>
      </c>
      <c r="C2299" t="s">
        <v>34</v>
      </c>
      <c r="D2299" t="s">
        <v>187</v>
      </c>
      <c r="E2299" t="s">
        <v>2075</v>
      </c>
      <c r="F2299" t="s">
        <v>22</v>
      </c>
      <c r="G2299" t="s">
        <v>47</v>
      </c>
      <c r="H2299" t="s">
        <v>24</v>
      </c>
      <c r="I2299" t="s">
        <v>25</v>
      </c>
      <c r="J2299" s="2">
        <v>45811.60297453704</v>
      </c>
      <c r="K2299">
        <v>3</v>
      </c>
      <c r="L2299">
        <v>6</v>
      </c>
      <c r="M2299">
        <v>2025</v>
      </c>
      <c r="N2299" t="s">
        <v>27</v>
      </c>
      <c r="O2299">
        <v>200</v>
      </c>
      <c r="P2299">
        <v>200</v>
      </c>
      <c r="R2299" s="3" t="str">
        <f>HYPERLINK("https://panda.att.com.mx/ODKServer/view/binaryData?blobKey=FSSuministroFluidosv3%5B%40version%3Dnull+and+%40uiVersion%3Dnull%5D%2Fdata%5B%40key%3Duuid%3Aa63bf8f5-4795-4edd-ba13-70339819856a%5D%2FgroupInfoFuel%5B%40ordinal%3D1%5D%2FpicFuelRecibeInterno","Descargar")</f>
        <v>Descargar</v>
      </c>
    </row>
    <row r="2300" spans="1:18" x14ac:dyDescent="0.3">
      <c r="A2300">
        <v>1551231</v>
      </c>
      <c r="B2300" t="s">
        <v>18</v>
      </c>
      <c r="C2300" t="s">
        <v>34</v>
      </c>
      <c r="D2300" t="s">
        <v>51</v>
      </c>
      <c r="E2300" t="s">
        <v>52</v>
      </c>
      <c r="F2300" t="s">
        <v>22</v>
      </c>
      <c r="G2300" t="s">
        <v>47</v>
      </c>
      <c r="H2300" t="s">
        <v>24</v>
      </c>
      <c r="I2300" t="s">
        <v>25</v>
      </c>
      <c r="J2300" s="2">
        <v>45811.311886574083</v>
      </c>
      <c r="K2300">
        <v>3</v>
      </c>
      <c r="L2300">
        <v>6</v>
      </c>
      <c r="M2300">
        <v>2025</v>
      </c>
      <c r="N2300" t="s">
        <v>27</v>
      </c>
      <c r="O2300">
        <v>150</v>
      </c>
      <c r="P2300">
        <v>150</v>
      </c>
      <c r="R2300" s="3" t="str">
        <f>HYPERLINK("https://panda.att.com.mx/ODKServer/view/binaryData?blobKey=FSSuministroFluidosv3%5B%40version%3Dnull+and+%40uiVersion%3Dnull%5D%2Fdata%5B%40key%3Duuid%3A94d04a5d-cb6b-43ba-b92a-6fa1202fba5d%5D%2FgroupInfoFuel%5B%40ordinal%3D1%5D%2FpicFuelRecibeInterno","Descargar")</f>
        <v>Descargar</v>
      </c>
    </row>
    <row r="2301" spans="1:18" x14ac:dyDescent="0.3">
      <c r="A2301">
        <v>1551210</v>
      </c>
      <c r="B2301" t="s">
        <v>18</v>
      </c>
      <c r="C2301" t="s">
        <v>34</v>
      </c>
      <c r="D2301" t="s">
        <v>53</v>
      </c>
      <c r="E2301" t="s">
        <v>459</v>
      </c>
      <c r="F2301" t="s">
        <v>22</v>
      </c>
      <c r="G2301" t="s">
        <v>83</v>
      </c>
      <c r="H2301" t="s">
        <v>390</v>
      </c>
      <c r="I2301" t="s">
        <v>25</v>
      </c>
      <c r="J2301" s="2">
        <v>45811.548437500001</v>
      </c>
      <c r="K2301">
        <v>3</v>
      </c>
      <c r="L2301">
        <v>6</v>
      </c>
      <c r="M2301">
        <v>2025</v>
      </c>
      <c r="N2301" t="s">
        <v>27</v>
      </c>
      <c r="O2301">
        <v>450</v>
      </c>
      <c r="P2301">
        <v>450</v>
      </c>
      <c r="R2301" s="3" t="str">
        <f>HYPERLINK("https://panda.att.com.mx/ODKServer/view/binaryData?blobKey=FSSuministroFluidosv3%5B%40version%3Dnull+and+%40uiVersion%3Dnull%5D%2Fdata%5B%40key%3Duuid%3Ab0830ab8-bcd0-4c2f-b71a-073548361734%5D%2FgroupInfoFuel%5B%40ordinal%3D1%5D%2FpicFuelRecibeInterno","Descargar")</f>
        <v>Descargar</v>
      </c>
    </row>
    <row r="2302" spans="1:18" x14ac:dyDescent="0.3">
      <c r="A2302">
        <v>1549316</v>
      </c>
      <c r="B2302" t="s">
        <v>18</v>
      </c>
      <c r="C2302" t="s">
        <v>55</v>
      </c>
      <c r="D2302" t="s">
        <v>128</v>
      </c>
      <c r="E2302" t="s">
        <v>2076</v>
      </c>
      <c r="F2302" t="s">
        <v>22</v>
      </c>
      <c r="G2302" t="s">
        <v>23</v>
      </c>
      <c r="H2302" t="s">
        <v>1763</v>
      </c>
      <c r="I2302" t="s">
        <v>25</v>
      </c>
      <c r="J2302" s="2">
        <v>45808.676249999997</v>
      </c>
      <c r="K2302">
        <v>31</v>
      </c>
      <c r="L2302">
        <v>5</v>
      </c>
      <c r="M2302">
        <v>2025</v>
      </c>
      <c r="N2302" t="s">
        <v>27</v>
      </c>
      <c r="O2302">
        <v>100</v>
      </c>
      <c r="P2302">
        <v>100</v>
      </c>
      <c r="R2302" s="3" t="str">
        <f>HYPERLINK("https://panda.att.com.mx/ODKServer/view/binaryData?blobKey=FSSuministroFluidosv3%5B%40version%3Dnull+and+%40uiVersion%3Dnull%5D%2Fdata%5B%40key%3Duuid%3A832e0427-6ae5-4a54-a9f0-47b5ff0ee647%5D%2FgroupInfoFuel%5B%40ordinal%3D1%5D%2FpicFuelRecibeInterno","Descargar")</f>
        <v>Descargar</v>
      </c>
    </row>
    <row r="2303" spans="1:18" x14ac:dyDescent="0.3">
      <c r="A2303">
        <v>1549312</v>
      </c>
      <c r="B2303" t="s">
        <v>18</v>
      </c>
      <c r="C2303" t="s">
        <v>34</v>
      </c>
      <c r="D2303" t="s">
        <v>53</v>
      </c>
      <c r="E2303" t="s">
        <v>2077</v>
      </c>
      <c r="F2303" t="s">
        <v>22</v>
      </c>
      <c r="G2303" t="s">
        <v>23</v>
      </c>
      <c r="H2303" t="s">
        <v>37</v>
      </c>
      <c r="I2303" t="s">
        <v>25</v>
      </c>
      <c r="J2303" s="2">
        <v>45806.513553240737</v>
      </c>
      <c r="K2303">
        <v>29</v>
      </c>
      <c r="L2303">
        <v>5</v>
      </c>
      <c r="M2303">
        <v>2025</v>
      </c>
      <c r="N2303" t="s">
        <v>27</v>
      </c>
      <c r="O2303">
        <v>250</v>
      </c>
      <c r="P2303">
        <v>250</v>
      </c>
      <c r="R2303" s="3" t="str">
        <f>HYPERLINK("https://panda.att.com.mx/ODKServer/view/binaryData?blobKey=FSSuministroFluidosv3%5B%40version%3Dnull+and+%40uiVersion%3Dnull%5D%2Fdata%5B%40key%3Duuid%3A020f82e9-55ac-4335-8589-21bd38313304%5D%2FgroupInfoFuel%5B%40ordinal%3D1%5D%2FpicFuelRecibeInterno","Descargar")</f>
        <v>Descargar</v>
      </c>
    </row>
    <row r="2304" spans="1:18" x14ac:dyDescent="0.3">
      <c r="A2304">
        <v>1549310</v>
      </c>
      <c r="B2304" t="s">
        <v>18</v>
      </c>
      <c r="C2304" t="s">
        <v>28</v>
      </c>
      <c r="D2304" t="s">
        <v>181</v>
      </c>
      <c r="E2304" t="s">
        <v>2078</v>
      </c>
      <c r="F2304" t="s">
        <v>22</v>
      </c>
      <c r="G2304" t="s">
        <v>23</v>
      </c>
      <c r="H2304" t="s">
        <v>24</v>
      </c>
      <c r="I2304" t="s">
        <v>25</v>
      </c>
      <c r="J2304" s="2">
        <v>45798.493981481479</v>
      </c>
      <c r="K2304">
        <v>21</v>
      </c>
      <c r="L2304">
        <v>5</v>
      </c>
      <c r="M2304">
        <v>2025</v>
      </c>
      <c r="N2304" t="s">
        <v>27</v>
      </c>
      <c r="O2304">
        <v>300</v>
      </c>
      <c r="P2304">
        <v>300</v>
      </c>
      <c r="R2304" s="3" t="str">
        <f>HYPERLINK("https://panda.att.com.mx/ODKServer/view/binaryData?blobKey=FSSuministroFluidosv3%5B%40version%3Dnull+and+%40uiVersion%3Dnull%5D%2Fdata%5B%40key%3Duuid%3A256b2474-6e5e-4026-bdf2-df264db29f1d%5D%2FgroupInfoFuel%5B%40ordinal%3D1%5D%2FpicFuelRecibeInterno","Descargar")</f>
        <v>Descargar</v>
      </c>
    </row>
    <row r="2305" spans="1:18" x14ac:dyDescent="0.3">
      <c r="A2305">
        <v>1549299</v>
      </c>
      <c r="B2305" t="s">
        <v>18</v>
      </c>
      <c r="C2305" t="s">
        <v>100</v>
      </c>
      <c r="D2305" t="s">
        <v>101</v>
      </c>
      <c r="E2305" t="s">
        <v>126</v>
      </c>
      <c r="F2305" t="s">
        <v>22</v>
      </c>
      <c r="G2305" t="s">
        <v>83</v>
      </c>
      <c r="H2305" t="s">
        <v>1781</v>
      </c>
      <c r="I2305" t="s">
        <v>25</v>
      </c>
      <c r="J2305" s="2">
        <v>45808.599722222221</v>
      </c>
      <c r="K2305">
        <v>31</v>
      </c>
      <c r="L2305">
        <v>5</v>
      </c>
      <c r="M2305">
        <v>2025</v>
      </c>
      <c r="N2305" t="s">
        <v>27</v>
      </c>
      <c r="O2305">
        <v>300</v>
      </c>
      <c r="P2305">
        <v>300</v>
      </c>
      <c r="R2305" s="3" t="str">
        <f>HYPERLINK("https://panda.att.com.mx/ODKServer/view/binaryData?blobKey=FSSuministroFluidosv3%5B%40version%3Dnull+and+%40uiVersion%3Dnull%5D%2Fdata%5B%40key%3Duuid%3A1531a140-0844-41eb-b634-f3d8011a8a21%5D%2FgroupInfoFuel%5B%40ordinal%3D1%5D%2FpicFuelRecibeInterno","Descargar")</f>
        <v>Descargar</v>
      </c>
    </row>
    <row r="2306" spans="1:18" x14ac:dyDescent="0.3">
      <c r="A2306">
        <v>1549295</v>
      </c>
      <c r="B2306" t="s">
        <v>18</v>
      </c>
      <c r="C2306" t="s">
        <v>28</v>
      </c>
      <c r="D2306" t="s">
        <v>66</v>
      </c>
      <c r="E2306" t="s">
        <v>276</v>
      </c>
      <c r="F2306" t="s">
        <v>22</v>
      </c>
      <c r="G2306" t="s">
        <v>23</v>
      </c>
      <c r="H2306" t="s">
        <v>24</v>
      </c>
      <c r="I2306" t="s">
        <v>25</v>
      </c>
      <c r="J2306" s="2">
        <v>45807.524513888893</v>
      </c>
      <c r="K2306">
        <v>30</v>
      </c>
      <c r="L2306">
        <v>5</v>
      </c>
      <c r="M2306">
        <v>2025</v>
      </c>
      <c r="N2306" t="s">
        <v>44</v>
      </c>
      <c r="O2306">
        <v>30</v>
      </c>
      <c r="Q2306">
        <v>30</v>
      </c>
      <c r="R2306" s="3" t="str">
        <f>HYPERLINK("https://panda.att.com.mx/ODKServer/view/binaryData?blobKey=FSSuministroFluidosv3%5B%40version%3Dnull+and+%40uiVersion%3Dnull%5D%2Fdata%5B%40key%3Duuid%3Ad036f009-8b2c-4bb7-a9f5-c48354594625%5D%2FgroupInfoFuel%5B%40ordinal%3D1%5D%2FpicFuelRecibeInterno","Descargar")</f>
        <v>Descargar</v>
      </c>
    </row>
    <row r="2307" spans="1:18" x14ac:dyDescent="0.3">
      <c r="A2307">
        <v>1549276</v>
      </c>
      <c r="B2307" t="s">
        <v>18</v>
      </c>
      <c r="C2307" t="s">
        <v>55</v>
      </c>
      <c r="D2307" t="s">
        <v>366</v>
      </c>
      <c r="E2307" t="s">
        <v>367</v>
      </c>
      <c r="F2307" t="s">
        <v>22</v>
      </c>
      <c r="G2307" t="s">
        <v>83</v>
      </c>
      <c r="H2307" t="s">
        <v>1781</v>
      </c>
      <c r="I2307" t="s">
        <v>25</v>
      </c>
      <c r="J2307" s="2">
        <v>45808.546435185177</v>
      </c>
      <c r="K2307">
        <v>31</v>
      </c>
      <c r="L2307">
        <v>5</v>
      </c>
      <c r="M2307">
        <v>2025</v>
      </c>
      <c r="N2307" t="s">
        <v>27</v>
      </c>
      <c r="O2307">
        <v>171</v>
      </c>
      <c r="P2307">
        <v>171</v>
      </c>
      <c r="R2307" s="3" t="str">
        <f>HYPERLINK("https://panda.att.com.mx/ODKServer/view/binaryData?blobKey=FSSuministroFluidosv3%5B%40version%3Dnull+and+%40uiVersion%3Dnull%5D%2Fdata%5B%40key%3Duuid%3Aa7ffad5c-44ba-4ecd-8d4f-40289e15261a%5D%2FgroupInfoFuel%5B%40ordinal%3D1%5D%2FpicFuelRecibeInterno","Descargar")</f>
        <v>Descargar</v>
      </c>
    </row>
    <row r="2308" spans="1:18" x14ac:dyDescent="0.3">
      <c r="A2308">
        <v>1549275</v>
      </c>
      <c r="B2308" t="s">
        <v>18</v>
      </c>
      <c r="C2308" t="s">
        <v>59</v>
      </c>
      <c r="D2308" t="s">
        <v>636</v>
      </c>
      <c r="E2308" t="s">
        <v>929</v>
      </c>
      <c r="F2308" t="s">
        <v>22</v>
      </c>
      <c r="G2308" t="s">
        <v>23</v>
      </c>
      <c r="H2308" t="s">
        <v>37</v>
      </c>
      <c r="I2308" t="s">
        <v>25</v>
      </c>
      <c r="J2308" s="2">
        <v>45807.648125</v>
      </c>
      <c r="K2308">
        <v>30</v>
      </c>
      <c r="L2308">
        <v>5</v>
      </c>
      <c r="M2308">
        <v>2025</v>
      </c>
      <c r="N2308" t="s">
        <v>27</v>
      </c>
      <c r="O2308">
        <v>200</v>
      </c>
      <c r="P2308">
        <v>200</v>
      </c>
      <c r="R2308" s="3" t="str">
        <f>HYPERLINK("https://panda.att.com.mx/ODKServer/view/binaryData?blobKey=FSSuministroFluidosv3%5B%40version%3Dnull+and+%40uiVersion%3Dnull%5D%2Fdata%5B%40key%3Duuid%3A372d5fcf-7914-49ff-945a-55c9cc07f420%5D%2FgroupInfoFuel%5B%40ordinal%3D1%5D%2FpicFuelRecibeInterno","Descargar")</f>
        <v>Descargar</v>
      </c>
    </row>
    <row r="2309" spans="1:18" x14ac:dyDescent="0.3">
      <c r="A2309">
        <v>1549258</v>
      </c>
      <c r="B2309" t="s">
        <v>18</v>
      </c>
      <c r="C2309" t="s">
        <v>28</v>
      </c>
      <c r="D2309" t="s">
        <v>181</v>
      </c>
      <c r="E2309" t="s">
        <v>1609</v>
      </c>
      <c r="F2309" t="s">
        <v>22</v>
      </c>
      <c r="G2309" t="s">
        <v>23</v>
      </c>
      <c r="H2309" t="s">
        <v>24</v>
      </c>
      <c r="I2309" t="s">
        <v>25</v>
      </c>
      <c r="J2309" s="2">
        <v>45793.370636574073</v>
      </c>
      <c r="K2309">
        <v>16</v>
      </c>
      <c r="L2309">
        <v>5</v>
      </c>
      <c r="M2309">
        <v>2025</v>
      </c>
      <c r="N2309" t="s">
        <v>27</v>
      </c>
      <c r="O2309">
        <v>100</v>
      </c>
      <c r="P2309">
        <v>100</v>
      </c>
      <c r="R2309" s="3" t="str">
        <f>HYPERLINK("https://panda.att.com.mx/ODKServer/view/binaryData?blobKey=FSSuministroFluidosv3%5B%40version%3Dnull+and+%40uiVersion%3Dnull%5D%2Fdata%5B%40key%3Duuid%3A8ba50c8c-28e5-47e8-a034-9bbb4e3e1f88%5D%2FgroupInfoFuel%5B%40ordinal%3D1%5D%2FpicFuelRecibeInterno","Descargar")</f>
        <v>Descargar</v>
      </c>
    </row>
    <row r="2310" spans="1:18" x14ac:dyDescent="0.3">
      <c r="A2310">
        <v>1549254</v>
      </c>
      <c r="B2310" t="s">
        <v>18</v>
      </c>
      <c r="C2310" t="s">
        <v>55</v>
      </c>
      <c r="D2310" t="s">
        <v>56</v>
      </c>
      <c r="E2310" t="s">
        <v>2026</v>
      </c>
      <c r="F2310" t="s">
        <v>22</v>
      </c>
      <c r="G2310" t="s">
        <v>23</v>
      </c>
      <c r="H2310" t="s">
        <v>1763</v>
      </c>
      <c r="I2310" t="s">
        <v>25</v>
      </c>
      <c r="J2310" s="2">
        <v>45808.474502314813</v>
      </c>
      <c r="K2310">
        <v>31</v>
      </c>
      <c r="L2310">
        <v>5</v>
      </c>
      <c r="M2310">
        <v>2025</v>
      </c>
      <c r="N2310" t="s">
        <v>27</v>
      </c>
      <c r="O2310">
        <v>100</v>
      </c>
      <c r="P2310">
        <v>100</v>
      </c>
      <c r="R2310" s="3" t="str">
        <f>HYPERLINK("https://panda.att.com.mx/ODKServer/view/binaryData?blobKey=FSSuministroFluidosv3%5B%40version%3Dnull+and+%40uiVersion%3Dnull%5D%2Fdata%5B%40key%3Duuid%3A5725ff8e-2379-4a07-935b-28062994f9e7%5D%2FgroupInfoFuel%5B%40ordinal%3D1%5D%2FpicFuelRecibeInterno","Descargar")</f>
        <v>Descargar</v>
      </c>
    </row>
    <row r="2311" spans="1:18" x14ac:dyDescent="0.3">
      <c r="A2311">
        <v>1549202</v>
      </c>
      <c r="B2311" t="s">
        <v>18</v>
      </c>
      <c r="C2311" t="s">
        <v>19</v>
      </c>
      <c r="D2311" t="s">
        <v>156</v>
      </c>
      <c r="E2311" t="s">
        <v>2079</v>
      </c>
      <c r="F2311" t="s">
        <v>22</v>
      </c>
      <c r="G2311" t="s">
        <v>23</v>
      </c>
      <c r="H2311" t="s">
        <v>24</v>
      </c>
      <c r="I2311" t="s">
        <v>25</v>
      </c>
      <c r="J2311" s="2">
        <v>45808.449976851851</v>
      </c>
      <c r="K2311">
        <v>31</v>
      </c>
      <c r="L2311">
        <v>5</v>
      </c>
      <c r="M2311">
        <v>2025</v>
      </c>
      <c r="N2311" t="s">
        <v>44</v>
      </c>
      <c r="O2311">
        <v>12</v>
      </c>
      <c r="P2311">
        <v>12</v>
      </c>
      <c r="R2311" s="3" t="str">
        <f>HYPERLINK("https://panda.att.com.mx/ODKServer/view/binaryData?blobKey=FSSuministroFluidosv3%5B%40version%3Dnull+and+%40uiVersion%3Dnull%5D%2Fdata%5B%40key%3Duuid%3Aa0ae8414-9994-4df1-99ff-285645c643f1%5D%2FgroupInfoFuel%5B%40ordinal%3D1%5D%2FpicFuelRecibeInterno","Descargar")</f>
        <v>Descargar</v>
      </c>
    </row>
    <row r="2312" spans="1:18" x14ac:dyDescent="0.3">
      <c r="A2312">
        <v>1549176</v>
      </c>
      <c r="B2312" t="s">
        <v>18</v>
      </c>
      <c r="C2312" t="s">
        <v>34</v>
      </c>
      <c r="D2312" t="s">
        <v>292</v>
      </c>
      <c r="E2312" t="s">
        <v>2080</v>
      </c>
      <c r="F2312" t="s">
        <v>22</v>
      </c>
      <c r="G2312" t="s">
        <v>23</v>
      </c>
      <c r="H2312" t="s">
        <v>37</v>
      </c>
      <c r="I2312" t="s">
        <v>25</v>
      </c>
      <c r="J2312" s="2">
        <v>45808.533067129632</v>
      </c>
      <c r="K2312">
        <v>31</v>
      </c>
      <c r="L2312">
        <v>5</v>
      </c>
      <c r="M2312">
        <v>2025</v>
      </c>
      <c r="N2312" t="s">
        <v>27</v>
      </c>
      <c r="O2312">
        <v>250</v>
      </c>
      <c r="P2312">
        <v>250</v>
      </c>
      <c r="R2312" s="3" t="str">
        <f>HYPERLINK("https://panda.att.com.mx/ODKServer/view/binaryData?blobKey=FSSuministroFluidosv3%5B%40version%3Dnull+and+%40uiVersion%3Dnull%5D%2Fdata%5B%40key%3Duuid%3Ac7fff712-f70e-43fe-b3eb-e5abefedca3f%5D%2FgroupInfoFuel%5B%40ordinal%3D1%5D%2FpicFuelRecibeInterno","Descargar")</f>
        <v>Descargar</v>
      </c>
    </row>
    <row r="2313" spans="1:18" x14ac:dyDescent="0.3">
      <c r="A2313">
        <v>1549032</v>
      </c>
      <c r="B2313" t="s">
        <v>18</v>
      </c>
      <c r="C2313" t="s">
        <v>19</v>
      </c>
      <c r="D2313" t="s">
        <v>42</v>
      </c>
      <c r="E2313" t="s">
        <v>982</v>
      </c>
      <c r="F2313" t="s">
        <v>22</v>
      </c>
      <c r="G2313" t="s">
        <v>23</v>
      </c>
      <c r="H2313" t="s">
        <v>24</v>
      </c>
      <c r="I2313" t="s">
        <v>25</v>
      </c>
      <c r="J2313" s="2">
        <v>45806.826840277783</v>
      </c>
      <c r="K2313">
        <v>29</v>
      </c>
      <c r="L2313">
        <v>5</v>
      </c>
      <c r="M2313">
        <v>2025</v>
      </c>
      <c r="N2313" t="s">
        <v>44</v>
      </c>
      <c r="O2313">
        <v>55</v>
      </c>
      <c r="P2313">
        <v>55</v>
      </c>
      <c r="R2313" s="3" t="str">
        <f>HYPERLINK("https://panda.att.com.mx/ODKServer/view/binaryData?blobKey=FSSuministroFluidosv3%5B%40version%3Dnull+and+%40uiVersion%3Dnull%5D%2Fdata%5B%40key%3Duuid%3A8eed4e08-9acf-4d44-a574-a92d8eb377bd%5D%2FgroupInfoFuel%5B%40ordinal%3D1%5D%2FpicFuelRecibeInterno","Descargar")</f>
        <v>Descargar</v>
      </c>
    </row>
    <row r="2314" spans="1:18" x14ac:dyDescent="0.3">
      <c r="A2314">
        <v>1548998</v>
      </c>
      <c r="B2314" t="s">
        <v>18</v>
      </c>
      <c r="C2314" t="s">
        <v>34</v>
      </c>
      <c r="D2314" t="s">
        <v>53</v>
      </c>
      <c r="E2314" t="s">
        <v>144</v>
      </c>
      <c r="F2314" t="s">
        <v>22</v>
      </c>
      <c r="G2314" t="s">
        <v>23</v>
      </c>
      <c r="H2314" t="s">
        <v>37</v>
      </c>
      <c r="I2314" t="s">
        <v>25</v>
      </c>
      <c r="J2314" s="2">
        <v>45807.607673611114</v>
      </c>
      <c r="K2314">
        <v>30</v>
      </c>
      <c r="L2314">
        <v>5</v>
      </c>
      <c r="M2314">
        <v>2025</v>
      </c>
      <c r="N2314" t="s">
        <v>27</v>
      </c>
      <c r="O2314">
        <v>350</v>
      </c>
      <c r="P2314">
        <v>350</v>
      </c>
      <c r="R2314" s="3" t="str">
        <f>HYPERLINK("https://panda.att.com.mx/ODKServer/view/binaryData?blobKey=FSSuministroFluidosv3%5B%40version%3Dnull+and+%40uiVersion%3Dnull%5D%2Fdata%5B%40key%3Duuid%3A01698ec8-5ae3-405a-8e84-a91a357d3956%5D%2FgroupInfoFuel%5B%40ordinal%3D1%5D%2FpicFuelRecibeInterno","Descargar")</f>
        <v>Descargar</v>
      </c>
    </row>
    <row r="2315" spans="1:18" x14ac:dyDescent="0.3">
      <c r="A2315">
        <v>1548990</v>
      </c>
      <c r="B2315" t="s">
        <v>18</v>
      </c>
      <c r="C2315" t="s">
        <v>100</v>
      </c>
      <c r="D2315" t="s">
        <v>101</v>
      </c>
      <c r="E2315" t="s">
        <v>2037</v>
      </c>
      <c r="F2315" t="s">
        <v>22</v>
      </c>
      <c r="G2315" t="s">
        <v>83</v>
      </c>
      <c r="H2315" t="s">
        <v>1781</v>
      </c>
      <c r="I2315" t="s">
        <v>25</v>
      </c>
      <c r="J2315" s="2">
        <v>45808.061122685183</v>
      </c>
      <c r="K2315">
        <v>31</v>
      </c>
      <c r="L2315">
        <v>5</v>
      </c>
      <c r="M2315">
        <v>2025</v>
      </c>
      <c r="N2315" t="s">
        <v>27</v>
      </c>
      <c r="O2315">
        <v>115</v>
      </c>
      <c r="P2315">
        <v>115</v>
      </c>
      <c r="R2315" s="3" t="str">
        <f>HYPERLINK("https://panda.att.com.mx/ODKServer/view/binaryData?blobKey=FSSuministroFluidosv3%5B%40version%3Dnull+and+%40uiVersion%3Dnull%5D%2Fdata%5B%40key%3Duuid%3Ad2b0abf0-d01c-4b6d-9dac-cbb9f48ed948%5D%2FgroupInfoFuel%5B%40ordinal%3D1%5D%2FpicFuelRecibeInterno","Descargar")</f>
        <v>Descargar</v>
      </c>
    </row>
    <row r="2316" spans="1:18" x14ac:dyDescent="0.3">
      <c r="A2316">
        <v>1548965</v>
      </c>
      <c r="B2316" t="s">
        <v>18</v>
      </c>
      <c r="C2316" t="s">
        <v>100</v>
      </c>
      <c r="D2316" t="s">
        <v>651</v>
      </c>
      <c r="E2316" t="s">
        <v>2081</v>
      </c>
      <c r="F2316" t="s">
        <v>22</v>
      </c>
      <c r="G2316" t="s">
        <v>23</v>
      </c>
      <c r="H2316" t="s">
        <v>1781</v>
      </c>
      <c r="I2316" t="s">
        <v>25</v>
      </c>
      <c r="J2316" s="2">
        <v>45807.953321759262</v>
      </c>
      <c r="K2316">
        <v>30</v>
      </c>
      <c r="L2316">
        <v>5</v>
      </c>
      <c r="M2316">
        <v>2025</v>
      </c>
      <c r="N2316" t="s">
        <v>27</v>
      </c>
      <c r="O2316">
        <v>73</v>
      </c>
      <c r="P2316">
        <v>73</v>
      </c>
      <c r="R2316" s="3" t="str">
        <f>HYPERLINK("https://panda.att.com.mx/ODKServer/view/binaryData?blobKey=FSSuministroFluidosv3%5B%40version%3Dnull+and+%40uiVersion%3Dnull%5D%2Fdata%5B%40key%3Duuid%3Abae451da-1472-42b8-a8b8-e20774560b6f%5D%2FgroupInfoFuel%5B%40ordinal%3D1%5D%2FpicFuelRecibeInterno","Descargar")</f>
        <v>Descargar</v>
      </c>
    </row>
    <row r="2317" spans="1:18" x14ac:dyDescent="0.3">
      <c r="A2317">
        <v>1548918</v>
      </c>
      <c r="B2317" t="s">
        <v>18</v>
      </c>
      <c r="C2317" t="s">
        <v>19</v>
      </c>
      <c r="D2317" t="s">
        <v>156</v>
      </c>
      <c r="E2317" t="s">
        <v>2082</v>
      </c>
      <c r="F2317" t="s">
        <v>22</v>
      </c>
      <c r="G2317" t="s">
        <v>23</v>
      </c>
      <c r="H2317" t="s">
        <v>24</v>
      </c>
      <c r="I2317" t="s">
        <v>25</v>
      </c>
      <c r="J2317" s="2">
        <v>45807.485775462963</v>
      </c>
      <c r="K2317">
        <v>30</v>
      </c>
      <c r="L2317">
        <v>5</v>
      </c>
      <c r="M2317">
        <v>2025</v>
      </c>
      <c r="N2317" t="s">
        <v>44</v>
      </c>
      <c r="O2317">
        <v>50</v>
      </c>
      <c r="P2317">
        <v>50</v>
      </c>
      <c r="R2317" s="3" t="str">
        <f>HYPERLINK("https://panda.att.com.mx/ODKServer/view/binaryData?blobKey=FSSuministroFluidosv3%5B%40version%3Dnull+and+%40uiVersion%3Dnull%5D%2Fdata%5B%40key%3Duuid%3Aa4cade77-4ecf-484e-9413-9a8dfc7e3131%5D%2FgroupInfoFuel%5B%40ordinal%3D1%5D%2FpicFuelRecibeInterno","Descargar")</f>
        <v>Descargar</v>
      </c>
    </row>
    <row r="2318" spans="1:18" x14ac:dyDescent="0.3">
      <c r="A2318">
        <v>1548917</v>
      </c>
      <c r="B2318" t="s">
        <v>18</v>
      </c>
      <c r="C2318" t="s">
        <v>19</v>
      </c>
      <c r="D2318" t="s">
        <v>156</v>
      </c>
      <c r="E2318" t="s">
        <v>2082</v>
      </c>
      <c r="F2318" t="s">
        <v>22</v>
      </c>
      <c r="G2318" t="s">
        <v>23</v>
      </c>
      <c r="H2318" t="s">
        <v>24</v>
      </c>
      <c r="I2318" t="s">
        <v>25</v>
      </c>
      <c r="J2318" s="2">
        <v>45807.837245370371</v>
      </c>
      <c r="K2318">
        <v>30</v>
      </c>
      <c r="L2318">
        <v>5</v>
      </c>
      <c r="M2318">
        <v>2025</v>
      </c>
      <c r="N2318" t="s">
        <v>44</v>
      </c>
      <c r="O2318">
        <v>40</v>
      </c>
      <c r="P2318">
        <v>40</v>
      </c>
      <c r="R2318" s="3" t="str">
        <f>HYPERLINK("https://panda.att.com.mx/ODKServer/view/binaryData?blobKey=FSSuministroFluidosv3%5B%40version%3Dnull+and+%40uiVersion%3Dnull%5D%2Fdata%5B%40key%3Duuid%3Ad3e32f7e-8480-420a-8203-72ea75d65079%5D%2FgroupInfoFuel%5B%40ordinal%3D1%5D%2FpicFuelRecibeInterno","Descargar")</f>
        <v>Descargar</v>
      </c>
    </row>
    <row r="2319" spans="1:18" x14ac:dyDescent="0.3">
      <c r="A2319">
        <v>1548916</v>
      </c>
      <c r="B2319" t="s">
        <v>18</v>
      </c>
      <c r="C2319" t="s">
        <v>55</v>
      </c>
      <c r="D2319" t="s">
        <v>56</v>
      </c>
      <c r="E2319" t="s">
        <v>2083</v>
      </c>
      <c r="F2319" t="s">
        <v>22</v>
      </c>
      <c r="G2319" t="s">
        <v>23</v>
      </c>
      <c r="H2319" t="s">
        <v>1763</v>
      </c>
      <c r="I2319" t="s">
        <v>25</v>
      </c>
      <c r="J2319" s="2">
        <v>45807.904282407413</v>
      </c>
      <c r="K2319">
        <v>30</v>
      </c>
      <c r="L2319">
        <v>5</v>
      </c>
      <c r="M2319">
        <v>2025</v>
      </c>
      <c r="N2319" t="s">
        <v>27</v>
      </c>
      <c r="O2319">
        <v>100</v>
      </c>
      <c r="P2319">
        <v>100</v>
      </c>
      <c r="R2319" s="3" t="str">
        <f>HYPERLINK("https://panda.att.com.mx/ODKServer/view/binaryData?blobKey=FSSuministroFluidosv3%5B%40version%3Dnull+and+%40uiVersion%3Dnull%5D%2Fdata%5B%40key%3Duuid%3A87509407-6d36-4691-b073-947cc4d442e1%5D%2FgroupInfoFuel%5B%40ordinal%3D1%5D%2FpicFuelRecibeInterno","Descargar")</f>
        <v>Descargar</v>
      </c>
    </row>
    <row r="2320" spans="1:18" x14ac:dyDescent="0.3">
      <c r="A2320">
        <v>1548914</v>
      </c>
      <c r="B2320" t="s">
        <v>18</v>
      </c>
      <c r="C2320" t="s">
        <v>55</v>
      </c>
      <c r="D2320" t="s">
        <v>56</v>
      </c>
      <c r="E2320" t="s">
        <v>2083</v>
      </c>
      <c r="F2320" t="s">
        <v>22</v>
      </c>
      <c r="G2320" t="s">
        <v>23</v>
      </c>
      <c r="H2320" t="s">
        <v>1763</v>
      </c>
      <c r="I2320" t="s">
        <v>25</v>
      </c>
      <c r="J2320" s="2">
        <v>45807.89675925926</v>
      </c>
      <c r="K2320">
        <v>30</v>
      </c>
      <c r="L2320">
        <v>5</v>
      </c>
      <c r="M2320">
        <v>2025</v>
      </c>
      <c r="N2320" t="s">
        <v>27</v>
      </c>
      <c r="O2320">
        <v>100</v>
      </c>
      <c r="P2320">
        <v>100</v>
      </c>
      <c r="R2320" s="3" t="str">
        <f>HYPERLINK("https://panda.att.com.mx/ODKServer/view/binaryData?blobKey=FSSuministroFluidosv3%5B%40version%3Dnull+and+%40uiVersion%3Dnull%5D%2Fdata%5B%40key%3Duuid%3A19a399f2-7579-4c77-9657-01266f0d9a1c%5D%2FgroupInfoFuel%5B%40ordinal%3D1%5D%2FpicFuelRecibeInterno","Descargar")</f>
        <v>Descargar</v>
      </c>
    </row>
    <row r="2321" spans="1:18" x14ac:dyDescent="0.3">
      <c r="A2321">
        <v>1548906</v>
      </c>
      <c r="B2321" t="s">
        <v>18</v>
      </c>
      <c r="C2321" t="s">
        <v>55</v>
      </c>
      <c r="D2321" t="s">
        <v>56</v>
      </c>
      <c r="E2321" t="s">
        <v>2084</v>
      </c>
      <c r="F2321" t="s">
        <v>22</v>
      </c>
      <c r="G2321" t="s">
        <v>23</v>
      </c>
      <c r="H2321" t="s">
        <v>1763</v>
      </c>
      <c r="I2321" t="s">
        <v>25</v>
      </c>
      <c r="J2321" s="2">
        <v>45807.868738425917</v>
      </c>
      <c r="K2321">
        <v>30</v>
      </c>
      <c r="L2321">
        <v>5</v>
      </c>
      <c r="M2321">
        <v>2025</v>
      </c>
      <c r="N2321" t="s">
        <v>27</v>
      </c>
      <c r="O2321">
        <v>70</v>
      </c>
      <c r="P2321">
        <v>70</v>
      </c>
      <c r="R2321" s="3" t="str">
        <f>HYPERLINK("https://panda.att.com.mx/ODKServer/view/binaryData?blobKey=FSSuministroFluidosv3%5B%40version%3Dnull+and+%40uiVersion%3Dnull%5D%2Fdata%5B%40key%3Duuid%3A85173f09-27b4-4666-89b5-b957dbd73f91%5D%2FgroupInfoFuel%5B%40ordinal%3D1%5D%2FpicFuelRecibeInterno","Descargar")</f>
        <v>Descargar</v>
      </c>
    </row>
    <row r="2322" spans="1:18" x14ac:dyDescent="0.3">
      <c r="A2322">
        <v>1548898</v>
      </c>
      <c r="B2322" t="s">
        <v>18</v>
      </c>
      <c r="C2322" t="s">
        <v>28</v>
      </c>
      <c r="D2322" t="s">
        <v>467</v>
      </c>
      <c r="E2322" t="s">
        <v>2085</v>
      </c>
      <c r="F2322" t="s">
        <v>22</v>
      </c>
      <c r="G2322" t="s">
        <v>23</v>
      </c>
      <c r="H2322" t="s">
        <v>24</v>
      </c>
      <c r="I2322" t="s">
        <v>25</v>
      </c>
      <c r="J2322" s="2">
        <v>45807.535555555558</v>
      </c>
      <c r="K2322">
        <v>30</v>
      </c>
      <c r="L2322">
        <v>5</v>
      </c>
      <c r="M2322">
        <v>2025</v>
      </c>
      <c r="N2322" t="s">
        <v>44</v>
      </c>
      <c r="O2322">
        <v>60</v>
      </c>
      <c r="P2322">
        <v>60</v>
      </c>
      <c r="R2322" s="3" t="str">
        <f>HYPERLINK("https://panda.att.com.mx/ODKServer/view/binaryData?blobKey=FSSuministroFluidosv3%5B%40version%3Dnull+and+%40uiVersion%3Dnull%5D%2Fdata%5B%40key%3Duuid%3A04c85e49-a988-4523-80cc-e1c87ee8a68c%5D%2FgroupInfoFuel%5B%40ordinal%3D1%5D%2FpicFuelRecibeInterno","Descargar")</f>
        <v>Descargar</v>
      </c>
    </row>
    <row r="2323" spans="1:18" x14ac:dyDescent="0.3">
      <c r="A2323">
        <v>1548846</v>
      </c>
      <c r="B2323" t="s">
        <v>18</v>
      </c>
      <c r="C2323" t="s">
        <v>34</v>
      </c>
      <c r="D2323" t="s">
        <v>53</v>
      </c>
      <c r="E2323" t="s">
        <v>2086</v>
      </c>
      <c r="F2323" t="s">
        <v>22</v>
      </c>
      <c r="G2323" t="s">
        <v>23</v>
      </c>
      <c r="H2323" t="s">
        <v>37</v>
      </c>
      <c r="I2323" t="s">
        <v>25</v>
      </c>
      <c r="J2323" s="2">
        <v>45807.75172453704</v>
      </c>
      <c r="K2323">
        <v>30</v>
      </c>
      <c r="L2323">
        <v>5</v>
      </c>
      <c r="M2323">
        <v>2025</v>
      </c>
      <c r="N2323" t="s">
        <v>27</v>
      </c>
      <c r="O2323">
        <v>400</v>
      </c>
      <c r="P2323">
        <v>400</v>
      </c>
      <c r="R2323" s="3" t="str">
        <f>HYPERLINK("https://panda.att.com.mx/ODKServer/view/binaryData?blobKey=FSSuministroFluidosv3%5B%40version%3Dnull+and+%40uiVersion%3Dnull%5D%2Fdata%5B%40key%3Duuid%3A7375c1e5-f04b-43b7-9203-d31a183ff809%5D%2FgroupInfoFuel%5B%40ordinal%3D1%5D%2FpicFuelRecibeInterno","Descargar")</f>
        <v>Descargar</v>
      </c>
    </row>
    <row r="2324" spans="1:18" x14ac:dyDescent="0.3">
      <c r="A2324">
        <v>1548838</v>
      </c>
      <c r="B2324" t="s">
        <v>18</v>
      </c>
      <c r="C2324" t="s">
        <v>19</v>
      </c>
      <c r="D2324" t="s">
        <v>170</v>
      </c>
      <c r="E2324" t="s">
        <v>171</v>
      </c>
      <c r="F2324" t="s">
        <v>22</v>
      </c>
      <c r="G2324" t="s">
        <v>23</v>
      </c>
      <c r="H2324" t="s">
        <v>24</v>
      </c>
      <c r="I2324" t="s">
        <v>25</v>
      </c>
      <c r="J2324" s="2">
        <v>45803.675787037027</v>
      </c>
      <c r="K2324">
        <v>26</v>
      </c>
      <c r="L2324">
        <v>5</v>
      </c>
      <c r="M2324">
        <v>2025</v>
      </c>
      <c r="N2324" t="s">
        <v>27</v>
      </c>
      <c r="O2324">
        <v>400</v>
      </c>
      <c r="P2324">
        <v>400</v>
      </c>
      <c r="R2324" s="3" t="str">
        <f>HYPERLINK("https://panda.att.com.mx/ODKServer/view/binaryData?blobKey=FSSuministroFluidosv3%5B%40version%3Dnull+and+%40uiVersion%3Dnull%5D%2Fdata%5B%40key%3Duuid%3A28633762-d6e7-43b7-846f-f20fd4ea78a3%5D%2FgroupInfoFuel%5B%40ordinal%3D1%5D%2FpicFuelRecibeInterno","Descargar")</f>
        <v>Descargar</v>
      </c>
    </row>
    <row r="2325" spans="1:18" x14ac:dyDescent="0.3">
      <c r="A2325">
        <v>1548837</v>
      </c>
      <c r="B2325" t="s">
        <v>18</v>
      </c>
      <c r="C2325" t="s">
        <v>19</v>
      </c>
      <c r="D2325" t="s">
        <v>170</v>
      </c>
      <c r="E2325" t="s">
        <v>171</v>
      </c>
      <c r="F2325" t="s">
        <v>22</v>
      </c>
      <c r="G2325" t="s">
        <v>23</v>
      </c>
      <c r="H2325" t="s">
        <v>24</v>
      </c>
      <c r="I2325" t="s">
        <v>25</v>
      </c>
      <c r="J2325" s="2">
        <v>45800.39502314815</v>
      </c>
      <c r="K2325">
        <v>23</v>
      </c>
      <c r="L2325">
        <v>5</v>
      </c>
      <c r="M2325">
        <v>2025</v>
      </c>
      <c r="N2325" t="s">
        <v>27</v>
      </c>
      <c r="O2325">
        <v>400</v>
      </c>
      <c r="P2325">
        <v>400</v>
      </c>
      <c r="R2325" s="3" t="str">
        <f>HYPERLINK("https://panda.att.com.mx/ODKServer/view/binaryData?blobKey=FSSuministroFluidosv3%5B%40version%3Dnull+and+%40uiVersion%3Dnull%5D%2Fdata%5B%40key%3Duuid%3A258bbfeb-953c-4edc-9229-bcc4a2efc674%5D%2FgroupInfoFuel%5B%40ordinal%3D1%5D%2FpicFuelRecibeInterno","Descargar")</f>
        <v>Descargar</v>
      </c>
    </row>
    <row r="2326" spans="1:18" x14ac:dyDescent="0.3">
      <c r="A2326">
        <v>1548836</v>
      </c>
      <c r="B2326" t="s">
        <v>18</v>
      </c>
      <c r="C2326" t="s">
        <v>19</v>
      </c>
      <c r="D2326" t="s">
        <v>170</v>
      </c>
      <c r="E2326" t="s">
        <v>171</v>
      </c>
      <c r="F2326" t="s">
        <v>22</v>
      </c>
      <c r="G2326" t="s">
        <v>23</v>
      </c>
      <c r="H2326" t="s">
        <v>24</v>
      </c>
      <c r="I2326" t="s">
        <v>25</v>
      </c>
      <c r="J2326" s="2">
        <v>45797.686064814807</v>
      </c>
      <c r="K2326">
        <v>20</v>
      </c>
      <c r="L2326">
        <v>5</v>
      </c>
      <c r="M2326">
        <v>2025</v>
      </c>
      <c r="N2326" t="s">
        <v>27</v>
      </c>
      <c r="O2326">
        <v>400</v>
      </c>
      <c r="P2326">
        <v>400</v>
      </c>
      <c r="R2326" s="3" t="str">
        <f>HYPERLINK("https://panda.att.com.mx/ODKServer/view/binaryData?blobKey=FSSuministroFluidosv3%5B%40version%3Dnull+and+%40uiVersion%3Dnull%5D%2Fdata%5B%40key%3Duuid%3Ae0af0cda-ea25-43c5-98fb-43605f6db8cc%5D%2FgroupInfoFuel%5B%40ordinal%3D1%5D%2FpicFuelRecibeInterno","Descargar")</f>
        <v>Descargar</v>
      </c>
    </row>
    <row r="2327" spans="1:18" x14ac:dyDescent="0.3">
      <c r="A2327">
        <v>1550345</v>
      </c>
      <c r="B2327" t="s">
        <v>18</v>
      </c>
      <c r="C2327" t="s">
        <v>59</v>
      </c>
      <c r="D2327" t="s">
        <v>60</v>
      </c>
      <c r="E2327" t="s">
        <v>1710</v>
      </c>
      <c r="F2327" t="s">
        <v>22</v>
      </c>
      <c r="G2327" t="s">
        <v>23</v>
      </c>
      <c r="H2327" t="s">
        <v>37</v>
      </c>
      <c r="I2327" t="s">
        <v>25</v>
      </c>
      <c r="J2327" s="2">
        <v>45810.855185185188</v>
      </c>
      <c r="K2327">
        <v>2</v>
      </c>
      <c r="L2327">
        <v>6</v>
      </c>
      <c r="M2327">
        <v>2025</v>
      </c>
      <c r="N2327" t="s">
        <v>27</v>
      </c>
      <c r="O2327">
        <v>130</v>
      </c>
      <c r="P2327">
        <v>130</v>
      </c>
      <c r="R2327" s="3" t="str">
        <f>HYPERLINK("https://panda.att.com.mx/ODKServer/view/binaryData?blobKey=FSSuministroFluidosv3%5B%40version%3Dnull+and+%40uiVersion%3Dnull%5D%2Fdata%5B%40key%3Duuid%3Aae8b87e2-137a-4a31-a353-f59c07f368d3%5D%2FgroupInfoFuel%5B%40ordinal%3D1%5D%2FpicFuelRecibeInterno","Descargar")</f>
        <v>Descargar</v>
      </c>
    </row>
    <row r="2328" spans="1:18" x14ac:dyDescent="0.3">
      <c r="A2328">
        <v>1550341</v>
      </c>
      <c r="B2328" t="s">
        <v>18</v>
      </c>
      <c r="C2328" t="s">
        <v>59</v>
      </c>
      <c r="D2328" t="s">
        <v>60</v>
      </c>
      <c r="E2328" t="s">
        <v>1710</v>
      </c>
      <c r="F2328" t="s">
        <v>22</v>
      </c>
      <c r="G2328" t="s">
        <v>23</v>
      </c>
      <c r="H2328" t="s">
        <v>37</v>
      </c>
      <c r="I2328" t="s">
        <v>25</v>
      </c>
      <c r="J2328" s="2">
        <v>45809.952766203707</v>
      </c>
      <c r="K2328">
        <v>1</v>
      </c>
      <c r="L2328">
        <v>6</v>
      </c>
      <c r="M2328">
        <v>2025</v>
      </c>
      <c r="N2328" t="s">
        <v>27</v>
      </c>
      <c r="O2328">
        <v>130</v>
      </c>
      <c r="P2328">
        <v>130</v>
      </c>
      <c r="R2328" s="3" t="str">
        <f>HYPERLINK("https://panda.att.com.mx/ODKServer/view/binaryData?blobKey=FSSuministroFluidosv3%5B%40version%3Dnull+and+%40uiVersion%3Dnull%5D%2Fdata%5B%40key%3Duuid%3Aeb96fd96-338e-4efd-92c1-01b870945b4f%5D%2FgroupInfoFuel%5B%40ordinal%3D1%5D%2FpicFuelRecibeInterno","Descargar")</f>
        <v>Descargar</v>
      </c>
    </row>
    <row r="2329" spans="1:18" x14ac:dyDescent="0.3">
      <c r="A2329">
        <v>1550336</v>
      </c>
      <c r="B2329" t="s">
        <v>18</v>
      </c>
      <c r="C2329" t="s">
        <v>167</v>
      </c>
      <c r="D2329" t="s">
        <v>168</v>
      </c>
      <c r="E2329" t="s">
        <v>169</v>
      </c>
      <c r="F2329" t="s">
        <v>22</v>
      </c>
      <c r="G2329" t="s">
        <v>83</v>
      </c>
      <c r="H2329" t="s">
        <v>58</v>
      </c>
      <c r="I2329" t="s">
        <v>25</v>
      </c>
      <c r="J2329" s="2">
        <v>45810.901331018518</v>
      </c>
      <c r="K2329">
        <v>2</v>
      </c>
      <c r="L2329">
        <v>6</v>
      </c>
      <c r="M2329">
        <v>2025</v>
      </c>
      <c r="N2329" t="s">
        <v>27</v>
      </c>
      <c r="O2329">
        <v>450</v>
      </c>
      <c r="P2329">
        <v>450</v>
      </c>
      <c r="R2329" s="3" t="str">
        <f>HYPERLINK("https://panda.att.com.mx/ODKServer/view/binaryData?blobKey=FSSuministroFluidosv3%5B%40version%3Dnull+and+%40uiVersion%3Dnull%5D%2Fdata%5B%40key%3Duuid%3A7c6a44bb-90db-4675-8a91-25e818c4c3f0%5D%2FgroupInfoFuel%5B%40ordinal%3D1%5D%2FpicFuelRecibeInterno","Descargar")</f>
        <v>Descargar</v>
      </c>
    </row>
    <row r="2330" spans="1:18" x14ac:dyDescent="0.3">
      <c r="A2330">
        <v>1550335</v>
      </c>
      <c r="B2330" t="s">
        <v>18</v>
      </c>
      <c r="C2330" t="s">
        <v>34</v>
      </c>
      <c r="D2330" t="s">
        <v>51</v>
      </c>
      <c r="E2330" t="s">
        <v>631</v>
      </c>
      <c r="F2330" t="s">
        <v>22</v>
      </c>
      <c r="G2330" t="s">
        <v>23</v>
      </c>
      <c r="H2330" t="s">
        <v>24</v>
      </c>
      <c r="I2330" t="s">
        <v>25</v>
      </c>
      <c r="J2330" s="2">
        <v>45810.738923611112</v>
      </c>
      <c r="K2330">
        <v>2</v>
      </c>
      <c r="L2330">
        <v>6</v>
      </c>
      <c r="M2330">
        <v>2025</v>
      </c>
      <c r="N2330" t="s">
        <v>27</v>
      </c>
      <c r="O2330">
        <v>350</v>
      </c>
      <c r="P2330">
        <v>350</v>
      </c>
      <c r="R2330" s="3" t="str">
        <f>HYPERLINK("https://panda.att.com.mx/ODKServer/view/binaryData?blobKey=FSSuministroFluidosv3%5B%40version%3Dnull+and+%40uiVersion%3Dnull%5D%2Fdata%5B%40key%3Duuid%3A207bc6f7-84e7-4745-bd4a-bc07cfd19212%5D%2FgroupInfoFuel%5B%40ordinal%3D1%5D%2FpicFuelRecibeInterno","Descargar")</f>
        <v>Descargar</v>
      </c>
    </row>
    <row r="2331" spans="1:18" x14ac:dyDescent="0.3">
      <c r="A2331">
        <v>1550329</v>
      </c>
      <c r="B2331" t="s">
        <v>18</v>
      </c>
      <c r="C2331" t="s">
        <v>59</v>
      </c>
      <c r="D2331" t="s">
        <v>60</v>
      </c>
      <c r="E2331" t="s">
        <v>1710</v>
      </c>
      <c r="F2331" t="s">
        <v>22</v>
      </c>
      <c r="G2331" t="s">
        <v>23</v>
      </c>
      <c r="H2331" t="s">
        <v>37</v>
      </c>
      <c r="I2331" t="s">
        <v>25</v>
      </c>
      <c r="J2331" s="2">
        <v>45807.322222222218</v>
      </c>
      <c r="K2331">
        <v>30</v>
      </c>
      <c r="L2331">
        <v>5</v>
      </c>
      <c r="M2331">
        <v>2025</v>
      </c>
      <c r="N2331" t="s">
        <v>27</v>
      </c>
      <c r="O2331">
        <v>120</v>
      </c>
      <c r="P2331">
        <v>120</v>
      </c>
      <c r="R2331" s="3" t="str">
        <f>HYPERLINK("https://panda.att.com.mx/ODKServer/view/binaryData?blobKey=FSSuministroFluidosv3%5B%40version%3Dnull+and+%40uiVersion%3Dnull%5D%2Fdata%5B%40key%3Duuid%3A10d8678e-bb51-4a88-8227-bff0c33bb073%5D%2FgroupInfoFuel%5B%40ordinal%3D1%5D%2FpicFuelRecibeInterno","Descargar")</f>
        <v>Descargar</v>
      </c>
    </row>
    <row r="2332" spans="1:18" x14ac:dyDescent="0.3">
      <c r="A2332">
        <v>1550288</v>
      </c>
      <c r="B2332" t="s">
        <v>18</v>
      </c>
      <c r="C2332" t="s">
        <v>34</v>
      </c>
      <c r="D2332" t="s">
        <v>121</v>
      </c>
      <c r="E2332" t="s">
        <v>122</v>
      </c>
      <c r="F2332" t="s">
        <v>22</v>
      </c>
      <c r="G2332" t="s">
        <v>23</v>
      </c>
      <c r="H2332" t="s">
        <v>37</v>
      </c>
      <c r="I2332" t="s">
        <v>25</v>
      </c>
      <c r="J2332" s="2">
        <v>45810.436469907407</v>
      </c>
      <c r="K2332">
        <v>2</v>
      </c>
      <c r="L2332">
        <v>6</v>
      </c>
      <c r="M2332">
        <v>2025</v>
      </c>
      <c r="N2332" t="s">
        <v>27</v>
      </c>
      <c r="O2332">
        <v>150</v>
      </c>
      <c r="P2332">
        <v>150</v>
      </c>
      <c r="R2332" s="3" t="str">
        <f>HYPERLINK("https://panda.att.com.mx/ODKServer/view/binaryData?blobKey=FSSuministroFluidosv3%5B%40version%3Dnull+and+%40uiVersion%3Dnull%5D%2Fdata%5B%40key%3Duuid%3A2f420328-b3b5-432b-8a4a-cf2758bcb2ac%5D%2FgroupInfoFuel%5B%40ordinal%3D1%5D%2FpicFuelRecibeInterno","Descargar")</f>
        <v>Descargar</v>
      </c>
    </row>
    <row r="2333" spans="1:18" x14ac:dyDescent="0.3">
      <c r="A2333">
        <v>1550276</v>
      </c>
      <c r="B2333" t="s">
        <v>18</v>
      </c>
      <c r="C2333" t="s">
        <v>28</v>
      </c>
      <c r="D2333" t="s">
        <v>513</v>
      </c>
      <c r="E2333" t="s">
        <v>2087</v>
      </c>
      <c r="F2333" t="s">
        <v>22</v>
      </c>
      <c r="G2333" t="s">
        <v>23</v>
      </c>
      <c r="H2333" t="s">
        <v>24</v>
      </c>
      <c r="I2333" t="s">
        <v>25</v>
      </c>
      <c r="J2333" s="2">
        <v>45810.813611111109</v>
      </c>
      <c r="K2333">
        <v>2</v>
      </c>
      <c r="L2333">
        <v>6</v>
      </c>
      <c r="M2333">
        <v>2025</v>
      </c>
      <c r="N2333" t="s">
        <v>44</v>
      </c>
      <c r="O2333">
        <v>25</v>
      </c>
      <c r="P2333">
        <v>25</v>
      </c>
      <c r="R2333" s="3" t="str">
        <f>HYPERLINK("https://panda.att.com.mx/ODKServer/view/binaryData?blobKey=FSSuministroFluidosv3%5B%40version%3Dnull+and+%40uiVersion%3Dnull%5D%2Fdata%5B%40key%3Duuid%3Afb914d93-cfa8-4c90-9958-3291d0e4be3f%5D%2FgroupInfoFuel%5B%40ordinal%3D1%5D%2FpicFuelRecibeInterno","Descargar")</f>
        <v>Descargar</v>
      </c>
    </row>
    <row r="2334" spans="1:18" x14ac:dyDescent="0.3">
      <c r="A2334">
        <v>1550259</v>
      </c>
      <c r="B2334" t="s">
        <v>18</v>
      </c>
      <c r="C2334" t="s">
        <v>68</v>
      </c>
      <c r="D2334" t="s">
        <v>219</v>
      </c>
      <c r="E2334" t="s">
        <v>2088</v>
      </c>
      <c r="F2334" t="s">
        <v>22</v>
      </c>
      <c r="G2334" t="s">
        <v>23</v>
      </c>
      <c r="H2334" t="s">
        <v>37</v>
      </c>
      <c r="I2334" t="s">
        <v>25</v>
      </c>
      <c r="J2334" s="2">
        <v>45810.607893518521</v>
      </c>
      <c r="K2334">
        <v>2</v>
      </c>
      <c r="L2334">
        <v>6</v>
      </c>
      <c r="M2334">
        <v>2025</v>
      </c>
      <c r="N2334" t="s">
        <v>44</v>
      </c>
      <c r="O2334">
        <v>50</v>
      </c>
      <c r="P2334">
        <v>50</v>
      </c>
      <c r="R2334" s="3" t="str">
        <f>HYPERLINK("https://panda.att.com.mx/ODKServer/view/binaryData?blobKey=FSSuministroFluidosv3%5B%40version%3Dnull+and+%40uiVersion%3Dnull%5D%2Fdata%5B%40key%3Duuid%3Aa1176f24-74d2-4b31-9d40-dde7b96844b0%5D%2FgroupInfoFuel%5B%40ordinal%3D1%5D%2FpicFuelRecibeInterno","Descargar")</f>
        <v>Descargar</v>
      </c>
    </row>
    <row r="2335" spans="1:18" x14ac:dyDescent="0.3">
      <c r="A2335">
        <v>1550191</v>
      </c>
      <c r="B2335" t="s">
        <v>18</v>
      </c>
      <c r="C2335" t="s">
        <v>167</v>
      </c>
      <c r="D2335" t="s">
        <v>215</v>
      </c>
      <c r="E2335" t="s">
        <v>674</v>
      </c>
      <c r="F2335" t="s">
        <v>22</v>
      </c>
      <c r="G2335" t="s">
        <v>23</v>
      </c>
      <c r="H2335" t="s">
        <v>58</v>
      </c>
      <c r="I2335" t="s">
        <v>25</v>
      </c>
      <c r="J2335" s="2">
        <v>45810.7346875</v>
      </c>
      <c r="K2335">
        <v>2</v>
      </c>
      <c r="L2335">
        <v>6</v>
      </c>
      <c r="M2335">
        <v>2025</v>
      </c>
      <c r="N2335" t="s">
        <v>27</v>
      </c>
      <c r="O2335">
        <v>80</v>
      </c>
      <c r="P2335">
        <v>80</v>
      </c>
      <c r="R2335" s="3" t="str">
        <f>HYPERLINK("https://panda.att.com.mx/ODKServer/view/binaryData?blobKey=FSSuministroFluidosv3%5B%40version%3Dnull+and+%40uiVersion%3Dnull%5D%2Fdata%5B%40key%3Duuid%3A8d9ecfaa-bb87-44b8-832c-292cbb147f60%5D%2FgroupInfoFuel%5B%40ordinal%3D1%5D%2FpicFuelRecibeInterno","Descargar")</f>
        <v>Descargar</v>
      </c>
    </row>
    <row r="2336" spans="1:18" x14ac:dyDescent="0.3">
      <c r="A2336">
        <v>1550127</v>
      </c>
      <c r="B2336" t="s">
        <v>18</v>
      </c>
      <c r="C2336" t="s">
        <v>55</v>
      </c>
      <c r="D2336" t="s">
        <v>56</v>
      </c>
      <c r="E2336" t="s">
        <v>1842</v>
      </c>
      <c r="F2336" t="s">
        <v>22</v>
      </c>
      <c r="G2336" t="s">
        <v>23</v>
      </c>
      <c r="H2336" t="s">
        <v>1763</v>
      </c>
      <c r="I2336" t="s">
        <v>25</v>
      </c>
      <c r="J2336" s="2">
        <v>45809.580300925933</v>
      </c>
      <c r="K2336">
        <v>1</v>
      </c>
      <c r="L2336">
        <v>6</v>
      </c>
      <c r="M2336">
        <v>2025</v>
      </c>
      <c r="N2336" t="s">
        <v>27</v>
      </c>
      <c r="O2336">
        <v>300</v>
      </c>
      <c r="P2336">
        <v>300</v>
      </c>
      <c r="R2336" s="3" t="str">
        <f>HYPERLINK("https://panda.att.com.mx/ODKServer/view/binaryData?blobKey=FSSuministroFluidosv3%5B%40version%3Dnull+and+%40uiVersion%3Dnull%5D%2Fdata%5B%40key%3Duuid%3Aa207d698-d5d3-4931-a302-be0716158ec9%5D%2FgroupInfoFuel%5B%40ordinal%3D1%5D%2FpicFuelRecibeInterno","Descargar")</f>
        <v>Descargar</v>
      </c>
    </row>
    <row r="2337" spans="1:18" x14ac:dyDescent="0.3">
      <c r="A2337">
        <v>1550122</v>
      </c>
      <c r="B2337" t="s">
        <v>18</v>
      </c>
      <c r="C2337" t="s">
        <v>55</v>
      </c>
      <c r="D2337" t="s">
        <v>56</v>
      </c>
      <c r="E2337" t="s">
        <v>2089</v>
      </c>
      <c r="F2337" t="s">
        <v>22</v>
      </c>
      <c r="G2337" t="s">
        <v>23</v>
      </c>
      <c r="H2337" t="s">
        <v>1763</v>
      </c>
      <c r="I2337" t="s">
        <v>25</v>
      </c>
      <c r="J2337" s="2">
        <v>45809.462465277778</v>
      </c>
      <c r="K2337">
        <v>1</v>
      </c>
      <c r="L2337">
        <v>6</v>
      </c>
      <c r="M2337">
        <v>2025</v>
      </c>
      <c r="N2337" t="s">
        <v>27</v>
      </c>
      <c r="O2337">
        <v>300</v>
      </c>
      <c r="P2337">
        <v>300</v>
      </c>
      <c r="R2337" s="3" t="str">
        <f>HYPERLINK("https://panda.att.com.mx/ODKServer/view/binaryData?blobKey=FSSuministroFluidosv3%5B%40version%3Dnull+and+%40uiVersion%3Dnull%5D%2Fdata%5B%40key%3Duuid%3A1888e03a-1373-4f6b-bd20-0652acdf6451%5D%2FgroupInfoFuel%5B%40ordinal%3D1%5D%2FpicFuelRecibeInterno","Descargar")</f>
        <v>Descargar</v>
      </c>
    </row>
    <row r="2338" spans="1:18" x14ac:dyDescent="0.3">
      <c r="A2338">
        <v>1550116</v>
      </c>
      <c r="B2338" t="s">
        <v>18</v>
      </c>
      <c r="C2338" t="s">
        <v>55</v>
      </c>
      <c r="D2338" t="s">
        <v>56</v>
      </c>
      <c r="E2338" t="s">
        <v>1555</v>
      </c>
      <c r="F2338" t="s">
        <v>22</v>
      </c>
      <c r="G2338" t="s">
        <v>23</v>
      </c>
      <c r="H2338" t="s">
        <v>1763</v>
      </c>
      <c r="I2338" t="s">
        <v>25</v>
      </c>
      <c r="J2338" s="2">
        <v>45809.631527777783</v>
      </c>
      <c r="K2338">
        <v>1</v>
      </c>
      <c r="L2338">
        <v>6</v>
      </c>
      <c r="M2338">
        <v>2025</v>
      </c>
      <c r="N2338" t="s">
        <v>27</v>
      </c>
      <c r="O2338">
        <v>100</v>
      </c>
      <c r="P2338">
        <v>100</v>
      </c>
      <c r="R2338" s="3" t="str">
        <f>HYPERLINK("https://panda.att.com.mx/ODKServer/view/binaryData?blobKey=FSSuministroFluidosv3%5B%40version%3Dnull+and+%40uiVersion%3Dnull%5D%2Fdata%5B%40key%3Duuid%3Aae541f3c-410a-4aea-9374-65d31447b9f9%5D%2FgroupInfoFuel%5B%40ordinal%3D1%5D%2FpicFuelRecibeInterno","Descargar")</f>
        <v>Descargar</v>
      </c>
    </row>
    <row r="2339" spans="1:18" x14ac:dyDescent="0.3">
      <c r="A2339">
        <v>1550096</v>
      </c>
      <c r="B2339" t="s">
        <v>18</v>
      </c>
      <c r="C2339" t="s">
        <v>19</v>
      </c>
      <c r="D2339" t="s">
        <v>62</v>
      </c>
      <c r="E2339" t="s">
        <v>2090</v>
      </c>
      <c r="F2339" t="s">
        <v>22</v>
      </c>
      <c r="G2339" t="s">
        <v>23</v>
      </c>
      <c r="H2339" t="s">
        <v>24</v>
      </c>
      <c r="I2339" t="s">
        <v>25</v>
      </c>
      <c r="J2339" s="2">
        <v>45810.422743055547</v>
      </c>
      <c r="K2339">
        <v>2</v>
      </c>
      <c r="L2339">
        <v>6</v>
      </c>
      <c r="M2339">
        <v>2025</v>
      </c>
      <c r="N2339" t="s">
        <v>44</v>
      </c>
      <c r="O2339">
        <v>45</v>
      </c>
      <c r="P2339">
        <v>45</v>
      </c>
      <c r="R2339" s="3" t="str">
        <f>HYPERLINK("https://panda.att.com.mx/ODKServer/view/binaryData?blobKey=FSSuministroFluidosv3%5B%40version%3Dnull+and+%40uiVersion%3Dnull%5D%2Fdata%5B%40key%3Duuid%3A7a0c99dd-ad13-4648-a99a-77a81735e17b%5D%2FgroupInfoFuel%5B%40ordinal%3D1%5D%2FpicFuelRecibeInterno","Descargar")</f>
        <v>Descargar</v>
      </c>
    </row>
    <row r="2340" spans="1:18" x14ac:dyDescent="0.3">
      <c r="A2340">
        <v>1550089</v>
      </c>
      <c r="B2340" t="s">
        <v>18</v>
      </c>
      <c r="C2340" t="s">
        <v>55</v>
      </c>
      <c r="D2340" t="s">
        <v>366</v>
      </c>
      <c r="E2340" t="s">
        <v>367</v>
      </c>
      <c r="F2340" t="s">
        <v>22</v>
      </c>
      <c r="G2340" t="s">
        <v>83</v>
      </c>
      <c r="H2340" t="s">
        <v>1781</v>
      </c>
      <c r="I2340" t="s">
        <v>25</v>
      </c>
      <c r="J2340" s="2">
        <v>45810.65525462963</v>
      </c>
      <c r="K2340">
        <v>2</v>
      </c>
      <c r="L2340">
        <v>6</v>
      </c>
      <c r="M2340">
        <v>2025</v>
      </c>
      <c r="N2340" t="s">
        <v>27</v>
      </c>
      <c r="O2340">
        <v>107</v>
      </c>
      <c r="P2340">
        <v>107</v>
      </c>
      <c r="R2340" s="3" t="str">
        <f>HYPERLINK("https://panda.att.com.mx/ODKServer/view/binaryData?blobKey=FSSuministroFluidosv3%5B%40version%3Dnull+and+%40uiVersion%3Dnull%5D%2Fdata%5B%40key%3Duuid%3A6536a97f-5b9d-40e4-81dc-a073c9ee2c08%5D%2FgroupInfoFuel%5B%40ordinal%3D1%5D%2FpicFuelRecibeInterno","Descargar")</f>
        <v>Descargar</v>
      </c>
    </row>
    <row r="2341" spans="1:18" x14ac:dyDescent="0.3">
      <c r="A2341">
        <v>1550042</v>
      </c>
      <c r="B2341" t="s">
        <v>18</v>
      </c>
      <c r="C2341" t="s">
        <v>55</v>
      </c>
      <c r="D2341" t="s">
        <v>128</v>
      </c>
      <c r="E2341" t="s">
        <v>2076</v>
      </c>
      <c r="F2341" t="s">
        <v>22</v>
      </c>
      <c r="G2341" t="s">
        <v>23</v>
      </c>
      <c r="H2341" t="s">
        <v>1763</v>
      </c>
      <c r="I2341" t="s">
        <v>25</v>
      </c>
      <c r="J2341" s="2">
        <v>45810.63417824074</v>
      </c>
      <c r="K2341">
        <v>2</v>
      </c>
      <c r="L2341">
        <v>6</v>
      </c>
      <c r="M2341">
        <v>2025</v>
      </c>
      <c r="N2341" t="s">
        <v>27</v>
      </c>
      <c r="O2341">
        <v>120</v>
      </c>
      <c r="P2341">
        <v>120</v>
      </c>
      <c r="R2341" s="3" t="str">
        <f>HYPERLINK("https://panda.att.com.mx/ODKServer/view/binaryData?blobKey=FSSuministroFluidosv3%5B%40version%3Dnull+and+%40uiVersion%3Dnull%5D%2Fdata%5B%40key%3Duuid%3A26900f9d-293e-4189-83c4-ca416aefdda2%5D%2FgroupInfoFuel%5B%40ordinal%3D1%5D%2FpicFuelRecibeInterno","Descargar")</f>
        <v>Descargar</v>
      </c>
    </row>
    <row r="2342" spans="1:18" x14ac:dyDescent="0.3">
      <c r="A2342">
        <v>1550011</v>
      </c>
      <c r="B2342" t="s">
        <v>18</v>
      </c>
      <c r="C2342" t="s">
        <v>19</v>
      </c>
      <c r="D2342" t="s">
        <v>62</v>
      </c>
      <c r="E2342" t="s">
        <v>2091</v>
      </c>
      <c r="F2342" t="s">
        <v>22</v>
      </c>
      <c r="G2342" t="s">
        <v>23</v>
      </c>
      <c r="H2342" t="s">
        <v>24</v>
      </c>
      <c r="I2342" t="s">
        <v>25</v>
      </c>
      <c r="J2342" s="2">
        <v>45810.610300925917</v>
      </c>
      <c r="K2342">
        <v>2</v>
      </c>
      <c r="L2342">
        <v>6</v>
      </c>
      <c r="M2342">
        <v>2025</v>
      </c>
      <c r="N2342" t="s">
        <v>27</v>
      </c>
      <c r="O2342">
        <v>100</v>
      </c>
      <c r="P2342">
        <v>100</v>
      </c>
      <c r="R2342" s="3" t="str">
        <f>HYPERLINK("https://panda.att.com.mx/ODKServer/view/binaryData?blobKey=FSSuministroFluidosv3%5B%40version%3Dnull+and+%40uiVersion%3Dnull%5D%2Fdata%5B%40key%3Duuid%3Ae7a540ba-32e0-42f8-92a7-d815c7615d21%5D%2FgroupInfoFuel%5B%40ordinal%3D1%5D%2FpicFuelRecibeInterno","Descargar")</f>
        <v>Descargar</v>
      </c>
    </row>
    <row r="2343" spans="1:18" x14ac:dyDescent="0.3">
      <c r="A2343">
        <v>1550007</v>
      </c>
      <c r="B2343" t="s">
        <v>18</v>
      </c>
      <c r="C2343" t="s">
        <v>19</v>
      </c>
      <c r="D2343" t="s">
        <v>45</v>
      </c>
      <c r="E2343" t="s">
        <v>752</v>
      </c>
      <c r="F2343" t="s">
        <v>22</v>
      </c>
      <c r="G2343" t="s">
        <v>23</v>
      </c>
      <c r="H2343" t="s">
        <v>24</v>
      </c>
      <c r="I2343" t="s">
        <v>25</v>
      </c>
      <c r="J2343" s="2">
        <v>45808.378796296303</v>
      </c>
      <c r="K2343">
        <v>31</v>
      </c>
      <c r="L2343">
        <v>5</v>
      </c>
      <c r="M2343">
        <v>2025</v>
      </c>
      <c r="N2343" t="s">
        <v>27</v>
      </c>
      <c r="O2343">
        <v>300</v>
      </c>
      <c r="P2343">
        <v>300</v>
      </c>
      <c r="R2343" s="3" t="str">
        <f>HYPERLINK("https://panda.att.com.mx/ODKServer/view/binaryData?blobKey=FSSuministroFluidosv3%5B%40version%3Dnull+and+%40uiVersion%3Dnull%5D%2Fdata%5B%40key%3Duuid%3Afdee6b00-3392-45db-81da-be2b8eabb571%5D%2FgroupInfoFuel%5B%40ordinal%3D1%5D%2FpicFuelRecibeInterno","Descargar")</f>
        <v>Descargar</v>
      </c>
    </row>
    <row r="2344" spans="1:18" x14ac:dyDescent="0.3">
      <c r="A2344">
        <v>1549977</v>
      </c>
      <c r="B2344" t="s">
        <v>18</v>
      </c>
      <c r="C2344" t="s">
        <v>34</v>
      </c>
      <c r="D2344" t="s">
        <v>53</v>
      </c>
      <c r="E2344" t="s">
        <v>1771</v>
      </c>
      <c r="F2344" t="s">
        <v>22</v>
      </c>
      <c r="G2344" t="s">
        <v>23</v>
      </c>
      <c r="H2344" t="s">
        <v>37</v>
      </c>
      <c r="I2344" t="s">
        <v>25</v>
      </c>
      <c r="J2344" s="2">
        <v>45810.546458333331</v>
      </c>
      <c r="K2344">
        <v>2</v>
      </c>
      <c r="L2344">
        <v>6</v>
      </c>
      <c r="M2344">
        <v>2025</v>
      </c>
      <c r="N2344" t="s">
        <v>27</v>
      </c>
      <c r="O2344">
        <v>400</v>
      </c>
      <c r="P2344">
        <v>400</v>
      </c>
      <c r="R2344" s="3" t="str">
        <f>HYPERLINK("https://panda.att.com.mx/ODKServer/view/binaryData?blobKey=FSSuministroFluidosv3%5B%40version%3Dnull+and+%40uiVersion%3Dnull%5D%2Fdata%5B%40key%3Duuid%3Afe8f38f4-bb9f-4a69-834b-a3b77a593612%5D%2FgroupInfoFuel%5B%40ordinal%3D1%5D%2FpicFuelRecibeInterno","Descargar")</f>
        <v>Descargar</v>
      </c>
    </row>
    <row r="2345" spans="1:18" x14ac:dyDescent="0.3">
      <c r="A2345">
        <v>1549881</v>
      </c>
      <c r="B2345" t="s">
        <v>18</v>
      </c>
      <c r="C2345" t="s">
        <v>28</v>
      </c>
      <c r="D2345" t="s">
        <v>66</v>
      </c>
      <c r="E2345" t="s">
        <v>2092</v>
      </c>
      <c r="F2345" t="s">
        <v>22</v>
      </c>
      <c r="G2345" t="s">
        <v>23</v>
      </c>
      <c r="H2345" t="s">
        <v>24</v>
      </c>
      <c r="I2345" t="s">
        <v>25</v>
      </c>
      <c r="J2345" s="2">
        <v>45807.677060185182</v>
      </c>
      <c r="K2345">
        <v>30</v>
      </c>
      <c r="L2345">
        <v>5</v>
      </c>
      <c r="M2345">
        <v>2025</v>
      </c>
      <c r="N2345" t="s">
        <v>44</v>
      </c>
      <c r="O2345">
        <v>30</v>
      </c>
      <c r="P2345">
        <v>30</v>
      </c>
      <c r="R2345" s="3" t="str">
        <f>HYPERLINK("https://panda.att.com.mx/ODKServer/view/binaryData?blobKey=FSSuministroFluidosv3%5B%40version%3Dnull+and+%40uiVersion%3Dnull%5D%2Fdata%5B%40key%3Duuid%3A47e49d1c-0d89-4521-98b2-367fa29e1ae7%5D%2FgroupInfoFuel%5B%40ordinal%3D1%5D%2FpicFuelRecibeInterno","Descargar")</f>
        <v>Descargar</v>
      </c>
    </row>
    <row r="2346" spans="1:18" x14ac:dyDescent="0.3">
      <c r="A2346">
        <v>1549857</v>
      </c>
      <c r="B2346" t="s">
        <v>18</v>
      </c>
      <c r="C2346" t="s">
        <v>19</v>
      </c>
      <c r="D2346" t="s">
        <v>175</v>
      </c>
      <c r="E2346" t="s">
        <v>2093</v>
      </c>
      <c r="F2346" t="s">
        <v>22</v>
      </c>
      <c r="G2346" t="s">
        <v>23</v>
      </c>
      <c r="H2346" t="s">
        <v>24</v>
      </c>
      <c r="I2346" t="s">
        <v>25</v>
      </c>
      <c r="J2346" s="2">
        <v>45806.743043981478</v>
      </c>
      <c r="K2346">
        <v>29</v>
      </c>
      <c r="L2346">
        <v>5</v>
      </c>
      <c r="M2346">
        <v>2025</v>
      </c>
      <c r="N2346" t="s">
        <v>44</v>
      </c>
      <c r="O2346">
        <v>45</v>
      </c>
      <c r="P2346">
        <v>45</v>
      </c>
      <c r="R2346" s="3" t="str">
        <f>HYPERLINK("https://panda.att.com.mx/ODKServer/view/binaryData?blobKey=FSSuministroFluidosv3%5B%40version%3Dnull+and+%40uiVersion%3Dnull%5D%2Fdata%5B%40key%3Duuid%3A910e523e-88d4-4d09-832d-a02716a44d21%5D%2FgroupInfoFuel%5B%40ordinal%3D1%5D%2FpicFuelRecibeInterno","Descargar")</f>
        <v>Descargar</v>
      </c>
    </row>
    <row r="2347" spans="1:18" x14ac:dyDescent="0.3">
      <c r="A2347">
        <v>1549744</v>
      </c>
      <c r="B2347" t="s">
        <v>18</v>
      </c>
      <c r="C2347" t="s">
        <v>150</v>
      </c>
      <c r="D2347" t="s">
        <v>151</v>
      </c>
      <c r="E2347" t="s">
        <v>152</v>
      </c>
      <c r="F2347" t="s">
        <v>22</v>
      </c>
      <c r="G2347" t="s">
        <v>47</v>
      </c>
      <c r="H2347" t="s">
        <v>58</v>
      </c>
      <c r="I2347" t="s">
        <v>25</v>
      </c>
      <c r="J2347" s="2">
        <v>45810.428090277783</v>
      </c>
      <c r="K2347">
        <v>2</v>
      </c>
      <c r="L2347">
        <v>6</v>
      </c>
      <c r="M2347">
        <v>2025</v>
      </c>
      <c r="N2347" t="s">
        <v>27</v>
      </c>
      <c r="O2347">
        <v>120</v>
      </c>
      <c r="P2347">
        <v>120</v>
      </c>
      <c r="R2347" s="3" t="str">
        <f>HYPERLINK("https://panda.att.com.mx/ODKServer/view/binaryData?blobKey=FSSuministroFluidosv3%5B%40version%3Dnull+and+%40uiVersion%3Dnull%5D%2Fdata%5B%40key%3Duuid%3Af155a930-ebb4-4e0d-a844-f38a8156d485%5D%2FgroupInfoFuel%5B%40ordinal%3D1%5D%2FpicFuelRecibeInterno","Descargar")</f>
        <v>Descargar</v>
      </c>
    </row>
    <row r="2348" spans="1:18" x14ac:dyDescent="0.3">
      <c r="A2348">
        <v>1549735</v>
      </c>
      <c r="B2348" t="s">
        <v>18</v>
      </c>
      <c r="C2348" t="s">
        <v>28</v>
      </c>
      <c r="D2348" t="s">
        <v>315</v>
      </c>
      <c r="E2348" t="s">
        <v>703</v>
      </c>
      <c r="F2348" t="s">
        <v>22</v>
      </c>
      <c r="G2348" t="s">
        <v>23</v>
      </c>
      <c r="H2348" t="s">
        <v>24</v>
      </c>
      <c r="I2348" t="s">
        <v>25</v>
      </c>
      <c r="J2348" s="2">
        <v>45808.428472222222</v>
      </c>
      <c r="K2348">
        <v>31</v>
      </c>
      <c r="L2348">
        <v>5</v>
      </c>
      <c r="M2348">
        <v>2025</v>
      </c>
      <c r="N2348" t="s">
        <v>27</v>
      </c>
      <c r="O2348">
        <v>300</v>
      </c>
      <c r="P2348">
        <v>300</v>
      </c>
      <c r="R2348" s="3" t="str">
        <f>HYPERLINK("https://panda.att.com.mx/ODKServer/view/binaryData?blobKey=FSSuministroFluidosv3%5B%40version%3Dnull+and+%40uiVersion%3Dnull%5D%2Fdata%5B%40key%3Duuid%3A767fda7f-bf10-47c4-95e9-d4e1813e6049%5D%2FgroupInfoFuel%5B%40ordinal%3D1%5D%2FpicFuelRecibeInterno","Descargar")</f>
        <v>Descargar</v>
      </c>
    </row>
    <row r="2349" spans="1:18" x14ac:dyDescent="0.3">
      <c r="A2349">
        <v>1549730</v>
      </c>
      <c r="B2349" t="s">
        <v>18</v>
      </c>
      <c r="C2349" t="s">
        <v>167</v>
      </c>
      <c r="D2349" t="s">
        <v>268</v>
      </c>
      <c r="E2349" t="s">
        <v>709</v>
      </c>
      <c r="F2349" t="s">
        <v>22</v>
      </c>
      <c r="G2349" t="s">
        <v>47</v>
      </c>
      <c r="H2349" t="s">
        <v>58</v>
      </c>
      <c r="I2349" t="s">
        <v>25</v>
      </c>
      <c r="J2349" s="2">
        <v>45808.386666666673</v>
      </c>
      <c r="K2349">
        <v>31</v>
      </c>
      <c r="L2349">
        <v>5</v>
      </c>
      <c r="M2349">
        <v>2025</v>
      </c>
      <c r="N2349" t="s">
        <v>27</v>
      </c>
      <c r="O2349">
        <v>200</v>
      </c>
      <c r="P2349">
        <v>200</v>
      </c>
      <c r="R2349" s="3" t="str">
        <f>HYPERLINK("https://panda.att.com.mx/ODKServer/view/binaryData?blobKey=FSSuministroFluidosv3%5B%40version%3Dnull+and+%40uiVersion%3Dnull%5D%2Fdata%5B%40key%3Duuid%3Abff89e34-2d14-49cb-9d9b-80ef309cec2b%5D%2FgroupInfoFuel%5B%40ordinal%3D1%5D%2FpicFuelRecibeInterno","Descargar")</f>
        <v>Descargar</v>
      </c>
    </row>
    <row r="2350" spans="1:18" x14ac:dyDescent="0.3">
      <c r="A2350">
        <v>1549707</v>
      </c>
      <c r="B2350" t="s">
        <v>18</v>
      </c>
      <c r="C2350" t="s">
        <v>150</v>
      </c>
      <c r="D2350" t="s">
        <v>230</v>
      </c>
      <c r="E2350" t="s">
        <v>1510</v>
      </c>
      <c r="F2350" t="s">
        <v>22</v>
      </c>
      <c r="G2350" t="s">
        <v>23</v>
      </c>
      <c r="H2350" t="s">
        <v>58</v>
      </c>
      <c r="I2350" t="s">
        <v>25</v>
      </c>
      <c r="J2350" s="2">
        <v>45810.374606481477</v>
      </c>
      <c r="K2350">
        <v>2</v>
      </c>
      <c r="L2350">
        <v>6</v>
      </c>
      <c r="M2350">
        <v>2025</v>
      </c>
      <c r="N2350" t="s">
        <v>27</v>
      </c>
      <c r="O2350">
        <v>300</v>
      </c>
      <c r="P2350">
        <v>300</v>
      </c>
      <c r="R2350" s="3" t="str">
        <f>HYPERLINK("https://panda.att.com.mx/ODKServer/view/binaryData?blobKey=FSSuministroFluidosv3%5B%40version%3Dnull+and+%40uiVersion%3Dnull%5D%2Fdata%5B%40key%3Duuid%3A21a7f392-efe5-4f2c-a8ec-f71b87328d15%5D%2FgroupInfoFuel%5B%40ordinal%3D1%5D%2FpicFuelRecibeInterno","Descargar")</f>
        <v>Descargar</v>
      </c>
    </row>
    <row r="2351" spans="1:18" x14ac:dyDescent="0.3">
      <c r="A2351">
        <v>1549692</v>
      </c>
      <c r="B2351" t="s">
        <v>18</v>
      </c>
      <c r="C2351" t="s">
        <v>28</v>
      </c>
      <c r="D2351" t="s">
        <v>66</v>
      </c>
      <c r="E2351" t="s">
        <v>2094</v>
      </c>
      <c r="F2351" t="s">
        <v>22</v>
      </c>
      <c r="G2351" t="s">
        <v>23</v>
      </c>
      <c r="H2351" t="s">
        <v>24</v>
      </c>
      <c r="I2351" t="s">
        <v>25</v>
      </c>
      <c r="J2351" s="2">
        <v>45810.352685185193</v>
      </c>
      <c r="K2351">
        <v>2</v>
      </c>
      <c r="L2351">
        <v>6</v>
      </c>
      <c r="M2351">
        <v>2025</v>
      </c>
      <c r="N2351" t="s">
        <v>44</v>
      </c>
      <c r="O2351">
        <v>30</v>
      </c>
      <c r="Q2351">
        <v>30</v>
      </c>
      <c r="R2351" s="3" t="str">
        <f>HYPERLINK("https://panda.att.com.mx/ODKServer/view/binaryData?blobKey=FSSuministroFluidosv3%5B%40version%3Dnull+and+%40uiVersion%3Dnull%5D%2Fdata%5B%40key%3Duuid%3Af5475a00-bc76-4733-aea3-03612be7b20e%5D%2FgroupInfoFuel%5B%40ordinal%3D1%5D%2FpicFuelRecibeInterno","Descargar")</f>
        <v>Descargar</v>
      </c>
    </row>
    <row r="2352" spans="1:18" x14ac:dyDescent="0.3">
      <c r="A2352">
        <v>1549684</v>
      </c>
      <c r="B2352" t="s">
        <v>18</v>
      </c>
      <c r="C2352" t="s">
        <v>19</v>
      </c>
      <c r="D2352" t="s">
        <v>45</v>
      </c>
      <c r="E2352" t="s">
        <v>2028</v>
      </c>
      <c r="F2352" t="s">
        <v>22</v>
      </c>
      <c r="G2352" t="s">
        <v>23</v>
      </c>
      <c r="H2352" t="s">
        <v>24</v>
      </c>
      <c r="I2352" t="s">
        <v>25</v>
      </c>
      <c r="J2352" s="2">
        <v>45809.601689814823</v>
      </c>
      <c r="K2352">
        <v>1</v>
      </c>
      <c r="L2352">
        <v>6</v>
      </c>
      <c r="M2352">
        <v>2025</v>
      </c>
      <c r="N2352" t="s">
        <v>27</v>
      </c>
      <c r="O2352">
        <v>200</v>
      </c>
      <c r="P2352">
        <v>200</v>
      </c>
      <c r="R2352" s="3" t="str">
        <f>HYPERLINK("https://panda.att.com.mx/ODKServer/view/binaryData?blobKey=FSSuministroFluidosv3%5B%40version%3Dnull+and+%40uiVersion%3Dnull%5D%2Fdata%5B%40key%3Duuid%3A16919c1a-8c1a-4e5e-818f-2c31eba95004%5D%2FgroupInfoFuel%5B%40ordinal%3D1%5D%2FpicFuelRecibeInterno","Descargar")</f>
        <v>Descargar</v>
      </c>
    </row>
    <row r="2353" spans="1:18" x14ac:dyDescent="0.3">
      <c r="A2353">
        <v>1549638</v>
      </c>
      <c r="B2353" t="s">
        <v>18</v>
      </c>
      <c r="C2353" t="s">
        <v>100</v>
      </c>
      <c r="D2353" t="s">
        <v>854</v>
      </c>
      <c r="E2353" t="s">
        <v>993</v>
      </c>
      <c r="F2353" t="s">
        <v>22</v>
      </c>
      <c r="G2353" t="s">
        <v>83</v>
      </c>
      <c r="H2353" t="s">
        <v>1781</v>
      </c>
      <c r="I2353" t="s">
        <v>25</v>
      </c>
      <c r="J2353" s="2">
        <v>45808.582557870373</v>
      </c>
      <c r="K2353">
        <v>31</v>
      </c>
      <c r="L2353">
        <v>5</v>
      </c>
      <c r="M2353">
        <v>2025</v>
      </c>
      <c r="N2353" t="s">
        <v>27</v>
      </c>
      <c r="O2353">
        <v>200</v>
      </c>
      <c r="P2353">
        <v>200</v>
      </c>
      <c r="R2353" s="3" t="str">
        <f>HYPERLINK("https://panda.att.com.mx/ODKServer/view/binaryData?blobKey=FSSuministroFluidosv3%5B%40version%3Dnull+and+%40uiVersion%3Dnull%5D%2Fdata%5B%40key%3Duuid%3Afe234208-7d27-4256-9269-8d559cadca93%5D%2FgroupInfoFuel%5B%40ordinal%3D1%5D%2FpicFuelRecibeInterno","Descargar")</f>
        <v>Descargar</v>
      </c>
    </row>
    <row r="2354" spans="1:18" x14ac:dyDescent="0.3">
      <c r="A2354">
        <v>1549617</v>
      </c>
      <c r="B2354" t="s">
        <v>18</v>
      </c>
      <c r="C2354" t="s">
        <v>55</v>
      </c>
      <c r="D2354" t="s">
        <v>89</v>
      </c>
      <c r="E2354" t="s">
        <v>2095</v>
      </c>
      <c r="F2354" t="s">
        <v>22</v>
      </c>
      <c r="G2354" t="s">
        <v>23</v>
      </c>
      <c r="H2354" t="s">
        <v>1763</v>
      </c>
      <c r="I2354" t="s">
        <v>25</v>
      </c>
      <c r="J2354" s="2">
        <v>45806.760381944441</v>
      </c>
      <c r="K2354">
        <v>29</v>
      </c>
      <c r="L2354">
        <v>5</v>
      </c>
      <c r="M2354">
        <v>2025</v>
      </c>
      <c r="N2354" t="s">
        <v>27</v>
      </c>
      <c r="O2354">
        <v>100</v>
      </c>
      <c r="P2354">
        <v>100</v>
      </c>
      <c r="R2354" s="3" t="str">
        <f>HYPERLINK("https://panda.att.com.mx/ODKServer/view/binaryData?blobKey=FSSuministroFluidosv3%5B%40version%3Dnull+and+%40uiVersion%3Dnull%5D%2Fdata%5B%40key%3Duuid%3A7db14e40-6c8b-4c3a-aade-71268101de82%5D%2FgroupInfoFuel%5B%40ordinal%3D1%5D%2FpicFuelRecibeInterno","Descargar")</f>
        <v>Descargar</v>
      </c>
    </row>
    <row r="2355" spans="1:18" x14ac:dyDescent="0.3">
      <c r="A2355">
        <v>1549614</v>
      </c>
      <c r="B2355" t="s">
        <v>18</v>
      </c>
      <c r="C2355" t="s">
        <v>28</v>
      </c>
      <c r="D2355" t="s">
        <v>31</v>
      </c>
      <c r="E2355" t="s">
        <v>2053</v>
      </c>
      <c r="F2355" t="s">
        <v>22</v>
      </c>
      <c r="G2355" t="s">
        <v>23</v>
      </c>
      <c r="H2355" t="s">
        <v>24</v>
      </c>
      <c r="I2355" t="s">
        <v>25</v>
      </c>
      <c r="J2355" s="2">
        <v>45809.440243055556</v>
      </c>
      <c r="K2355">
        <v>1</v>
      </c>
      <c r="L2355">
        <v>6</v>
      </c>
      <c r="M2355">
        <v>2025</v>
      </c>
      <c r="N2355" t="s">
        <v>27</v>
      </c>
      <c r="O2355">
        <v>350</v>
      </c>
      <c r="P2355">
        <v>350</v>
      </c>
      <c r="R2355" s="3" t="str">
        <f>HYPERLINK("https://panda.att.com.mx/ODKServer/view/binaryData?blobKey=FSSuministroFluidosv3%5B%40version%3Dnull+and+%40uiVersion%3Dnull%5D%2Fdata%5B%40key%3Duuid%3Aad3c4260-53eb-4a73-85fa-3bfbfda25110%5D%2FgroupInfoFuel%5B%40ordinal%3D1%5D%2FpicFuelRecibeInterno","Descargar")</f>
        <v>Descargar</v>
      </c>
    </row>
    <row r="2356" spans="1:18" x14ac:dyDescent="0.3">
      <c r="A2356">
        <v>1549611</v>
      </c>
      <c r="B2356" t="s">
        <v>18</v>
      </c>
      <c r="C2356" t="s">
        <v>183</v>
      </c>
      <c r="D2356" t="s">
        <v>688</v>
      </c>
      <c r="E2356" t="s">
        <v>689</v>
      </c>
      <c r="F2356" t="s">
        <v>22</v>
      </c>
      <c r="G2356" t="s">
        <v>1980</v>
      </c>
      <c r="H2356" t="s">
        <v>37</v>
      </c>
      <c r="I2356" t="s">
        <v>25</v>
      </c>
      <c r="J2356" s="2">
        <v>45809.753796296303</v>
      </c>
      <c r="K2356">
        <v>1</v>
      </c>
      <c r="L2356">
        <v>6</v>
      </c>
      <c r="M2356">
        <v>2025</v>
      </c>
      <c r="N2356" t="s">
        <v>27</v>
      </c>
      <c r="O2356">
        <v>170</v>
      </c>
      <c r="P2356">
        <v>170</v>
      </c>
      <c r="R2356" s="3" t="str">
        <f>HYPERLINK("https://panda.att.com.mx/ODKServer/view/binaryData?blobKey=FSSuministroFluidosv3%5B%40version%3Dnull+and+%40uiVersion%3Dnull%5D%2Fdata%5B%40key%3Duuid%3A22eae38b-7f8b-410e-a8f4-a0e929b3b5a6%5D%2FgroupInfoFuel%5B%40ordinal%3D1%5D%2FpicFuelRecibeInterno","Descargar")</f>
        <v>Descargar</v>
      </c>
    </row>
    <row r="2357" spans="1:18" x14ac:dyDescent="0.3">
      <c r="A2357">
        <v>1549609</v>
      </c>
      <c r="B2357" t="s">
        <v>18</v>
      </c>
      <c r="C2357" t="s">
        <v>34</v>
      </c>
      <c r="D2357" t="s">
        <v>53</v>
      </c>
      <c r="E2357" t="s">
        <v>1771</v>
      </c>
      <c r="F2357" t="s">
        <v>22</v>
      </c>
      <c r="G2357" t="s">
        <v>23</v>
      </c>
      <c r="H2357" t="s">
        <v>37</v>
      </c>
      <c r="I2357" t="s">
        <v>25</v>
      </c>
      <c r="J2357" s="2">
        <v>45809.745625000003</v>
      </c>
      <c r="K2357">
        <v>1</v>
      </c>
      <c r="L2357">
        <v>6</v>
      </c>
      <c r="M2357">
        <v>2025</v>
      </c>
      <c r="N2357" t="s">
        <v>27</v>
      </c>
      <c r="O2357">
        <v>200</v>
      </c>
      <c r="P2357">
        <v>200</v>
      </c>
      <c r="R2357" s="3" t="str">
        <f>HYPERLINK("https://panda.att.com.mx/ODKServer/view/binaryData?blobKey=FSSuministroFluidosv3%5B%40version%3Dnull+and+%40uiVersion%3Dnull%5D%2Fdata%5B%40key%3Duuid%3Aa6d8ca4b-b684-490e-936f-07472d5edc41%5D%2FgroupInfoFuel%5B%40ordinal%3D1%5D%2FpicFuelRecibeInterno","Descargar")</f>
        <v>Descargar</v>
      </c>
    </row>
    <row r="2358" spans="1:18" x14ac:dyDescent="0.3">
      <c r="A2358">
        <v>1549602</v>
      </c>
      <c r="B2358" t="s">
        <v>18</v>
      </c>
      <c r="C2358" t="s">
        <v>55</v>
      </c>
      <c r="D2358" t="s">
        <v>128</v>
      </c>
      <c r="E2358" t="s">
        <v>2076</v>
      </c>
      <c r="F2358" t="s">
        <v>22</v>
      </c>
      <c r="G2358" t="s">
        <v>23</v>
      </c>
      <c r="H2358" t="s">
        <v>1763</v>
      </c>
      <c r="I2358" t="s">
        <v>25</v>
      </c>
      <c r="J2358" s="2">
        <v>45809.673379629632</v>
      </c>
      <c r="K2358">
        <v>1</v>
      </c>
      <c r="L2358">
        <v>6</v>
      </c>
      <c r="M2358">
        <v>2025</v>
      </c>
      <c r="N2358" t="s">
        <v>27</v>
      </c>
      <c r="O2358">
        <v>100</v>
      </c>
      <c r="P2358">
        <v>100</v>
      </c>
      <c r="R2358" s="3" t="str">
        <f>HYPERLINK("https://panda.att.com.mx/ODKServer/view/binaryData?blobKey=FSSuministroFluidosv3%5B%40version%3Dnull+and+%40uiVersion%3Dnull%5D%2Fdata%5B%40key%3Duuid%3A5f552d0f-90fa-4965-bd59-858d89890224%5D%2FgroupInfoFuel%5B%40ordinal%3D1%5D%2FpicFuelRecibeInterno","Descargar")</f>
        <v>Descargar</v>
      </c>
    </row>
    <row r="2359" spans="1:18" x14ac:dyDescent="0.3">
      <c r="A2359">
        <v>1549596</v>
      </c>
      <c r="B2359" t="s">
        <v>18</v>
      </c>
      <c r="C2359" t="s">
        <v>59</v>
      </c>
      <c r="D2359" t="s">
        <v>636</v>
      </c>
      <c r="E2359" t="s">
        <v>2096</v>
      </c>
      <c r="F2359" t="s">
        <v>22</v>
      </c>
      <c r="G2359" t="s">
        <v>23</v>
      </c>
      <c r="H2359" t="s">
        <v>37</v>
      </c>
      <c r="I2359" t="s">
        <v>25</v>
      </c>
      <c r="J2359" s="2">
        <v>45807.60564814815</v>
      </c>
      <c r="K2359">
        <v>30</v>
      </c>
      <c r="L2359">
        <v>5</v>
      </c>
      <c r="M2359">
        <v>2025</v>
      </c>
      <c r="N2359" t="s">
        <v>44</v>
      </c>
      <c r="O2359">
        <v>25.34</v>
      </c>
      <c r="P2359">
        <v>25.34</v>
      </c>
      <c r="R2359" s="3" t="str">
        <f>HYPERLINK("https://panda.att.com.mx/ODKServer/view/binaryData?blobKey=FSSuministroFluidosv3%5B%40version%3Dnull+and+%40uiVersion%3Dnull%5D%2Fdata%5B%40key%3Duuid%3Aba18622b-d7e0-4851-80f7-ca4e8f32afce%5D%2FgroupInfoFuel%5B%40ordinal%3D1%5D%2FpicFuelRecibeInterno","Descargar")</f>
        <v>Descargar</v>
      </c>
    </row>
    <row r="2360" spans="1:18" x14ac:dyDescent="0.3">
      <c r="A2360">
        <v>1549594</v>
      </c>
      <c r="B2360" t="s">
        <v>18</v>
      </c>
      <c r="C2360" t="s">
        <v>59</v>
      </c>
      <c r="D2360" t="s">
        <v>636</v>
      </c>
      <c r="E2360" t="s">
        <v>2097</v>
      </c>
      <c r="F2360" t="s">
        <v>22</v>
      </c>
      <c r="G2360" t="s">
        <v>23</v>
      </c>
      <c r="H2360" t="s">
        <v>37</v>
      </c>
      <c r="I2360" t="s">
        <v>25</v>
      </c>
      <c r="J2360" s="2">
        <v>45807.605254629627</v>
      </c>
      <c r="K2360">
        <v>30</v>
      </c>
      <c r="L2360">
        <v>5</v>
      </c>
      <c r="M2360">
        <v>2025</v>
      </c>
      <c r="N2360" t="s">
        <v>44</v>
      </c>
      <c r="O2360">
        <v>26.41</v>
      </c>
      <c r="P2360">
        <v>26.41</v>
      </c>
      <c r="R2360" s="3" t="str">
        <f>HYPERLINK("https://panda.att.com.mx/ODKServer/view/binaryData?blobKey=FSSuministroFluidosv3%5B%40version%3Dnull+and+%40uiVersion%3Dnull%5D%2Fdata%5B%40key%3Duuid%3Af03c81aa-a3c9-4c60-9d3f-70627c05b209%5D%2FgroupInfoFuel%5B%40ordinal%3D1%5D%2FpicFuelRecibeInterno","Descargar")</f>
        <v>Descargar</v>
      </c>
    </row>
    <row r="2361" spans="1:18" x14ac:dyDescent="0.3">
      <c r="A2361">
        <v>1549593</v>
      </c>
      <c r="B2361" t="s">
        <v>18</v>
      </c>
      <c r="C2361" t="s">
        <v>100</v>
      </c>
      <c r="D2361" t="s">
        <v>716</v>
      </c>
      <c r="E2361" t="s">
        <v>717</v>
      </c>
      <c r="F2361" t="s">
        <v>22</v>
      </c>
      <c r="G2361" t="s">
        <v>83</v>
      </c>
      <c r="H2361" t="s">
        <v>1781</v>
      </c>
      <c r="I2361" t="s">
        <v>25</v>
      </c>
      <c r="J2361" s="2">
        <v>45809.609351851846</v>
      </c>
      <c r="K2361">
        <v>1</v>
      </c>
      <c r="L2361">
        <v>6</v>
      </c>
      <c r="M2361">
        <v>2025</v>
      </c>
      <c r="N2361" t="s">
        <v>27</v>
      </c>
      <c r="O2361">
        <v>129</v>
      </c>
      <c r="P2361">
        <v>129</v>
      </c>
      <c r="R2361" s="3" t="str">
        <f>HYPERLINK("https://panda.att.com.mx/ODKServer/view/binaryData?blobKey=FSSuministroFluidosv3%5B%40version%3Dnull+and+%40uiVersion%3Dnull%5D%2Fdata%5B%40key%3Duuid%3A31417438-683a-455e-8e72-4977c96cba4f%5D%2FgroupInfoFuel%5B%40ordinal%3D1%5D%2FpicFuelRecibeInterno","Descargar")</f>
        <v>Descargar</v>
      </c>
    </row>
    <row r="2362" spans="1:18" x14ac:dyDescent="0.3">
      <c r="A2362">
        <v>1549591</v>
      </c>
      <c r="B2362" t="s">
        <v>18</v>
      </c>
      <c r="C2362" t="s">
        <v>150</v>
      </c>
      <c r="D2362" t="s">
        <v>151</v>
      </c>
      <c r="E2362" t="s">
        <v>232</v>
      </c>
      <c r="F2362" t="s">
        <v>22</v>
      </c>
      <c r="G2362" t="s">
        <v>47</v>
      </c>
      <c r="H2362" t="s">
        <v>58</v>
      </c>
      <c r="I2362" t="s">
        <v>25</v>
      </c>
      <c r="J2362" s="2">
        <v>45809.598587962973</v>
      </c>
      <c r="K2362">
        <v>1</v>
      </c>
      <c r="L2362">
        <v>6</v>
      </c>
      <c r="M2362">
        <v>2025</v>
      </c>
      <c r="N2362" t="s">
        <v>27</v>
      </c>
      <c r="O2362">
        <v>200</v>
      </c>
      <c r="P2362">
        <v>200</v>
      </c>
      <c r="R2362" s="3" t="str">
        <f>HYPERLINK("https://panda.att.com.mx/ODKServer/view/binaryData?blobKey=FSSuministroFluidosv3%5B%40version%3Dnull+and+%40uiVersion%3Dnull%5D%2Fdata%5B%40key%3Duuid%3Ac68ef457-1c4e-46dd-aae3-35c80bdba02b%5D%2FgroupInfoFuel%5B%40ordinal%3D1%5D%2FpicFuelRecibeInterno","Descargar")</f>
        <v>Descargar</v>
      </c>
    </row>
    <row r="2363" spans="1:18" x14ac:dyDescent="0.3">
      <c r="A2363">
        <v>1549588</v>
      </c>
      <c r="B2363" t="s">
        <v>18</v>
      </c>
      <c r="C2363" t="s">
        <v>55</v>
      </c>
      <c r="D2363" t="s">
        <v>56</v>
      </c>
      <c r="E2363" t="s">
        <v>1555</v>
      </c>
      <c r="F2363" t="s">
        <v>22</v>
      </c>
      <c r="G2363" t="s">
        <v>23</v>
      </c>
      <c r="H2363" t="s">
        <v>1763</v>
      </c>
      <c r="I2363" t="s">
        <v>25</v>
      </c>
      <c r="J2363" s="2">
        <v>45808.415462962963</v>
      </c>
      <c r="K2363">
        <v>31</v>
      </c>
      <c r="L2363">
        <v>5</v>
      </c>
      <c r="M2363">
        <v>2025</v>
      </c>
      <c r="N2363" t="s">
        <v>27</v>
      </c>
      <c r="O2363">
        <v>150</v>
      </c>
      <c r="P2363">
        <v>150</v>
      </c>
      <c r="R2363" s="3" t="str">
        <f>HYPERLINK("https://panda.att.com.mx/ODKServer/view/binaryData?blobKey=FSSuministroFluidosv3%5B%40version%3Dnull+and+%40uiVersion%3Dnull%5D%2Fdata%5B%40key%3Duuid%3A66878f1b-fed4-4b8c-95f1-83a13f3cd8d8%5D%2FgroupInfoFuel%5B%40ordinal%3D1%5D%2FpicFuelRecibeInterno","Descargar")</f>
        <v>Descargar</v>
      </c>
    </row>
    <row r="2364" spans="1:18" x14ac:dyDescent="0.3">
      <c r="A2364">
        <v>1549569</v>
      </c>
      <c r="B2364" t="s">
        <v>18</v>
      </c>
      <c r="C2364" t="s">
        <v>59</v>
      </c>
      <c r="D2364" t="s">
        <v>636</v>
      </c>
      <c r="E2364" t="s">
        <v>2098</v>
      </c>
      <c r="F2364" t="s">
        <v>22</v>
      </c>
      <c r="G2364" t="s">
        <v>23</v>
      </c>
      <c r="H2364" t="s">
        <v>37</v>
      </c>
      <c r="I2364" t="s">
        <v>25</v>
      </c>
      <c r="J2364" s="2">
        <v>45807.604745370372</v>
      </c>
      <c r="K2364">
        <v>30</v>
      </c>
      <c r="L2364">
        <v>5</v>
      </c>
      <c r="M2364">
        <v>2025</v>
      </c>
      <c r="N2364" t="s">
        <v>44</v>
      </c>
      <c r="O2364">
        <v>19.079999999999998</v>
      </c>
      <c r="P2364">
        <v>19.079999999999998</v>
      </c>
      <c r="R2364" s="3" t="str">
        <f>HYPERLINK("https://panda.att.com.mx/ODKServer/view/binaryData?blobKey=FSSuministroFluidosv3%5B%40version%3Dnull+and+%40uiVersion%3Dnull%5D%2Fdata%5B%40key%3Duuid%3A3253ac0c-5fed-4e7f-bd57-e6fe73369d8b%5D%2FgroupInfoFuel%5B%40ordinal%3D1%5D%2FpicFuelRecibeInterno","Descargar")</f>
        <v>Descargar</v>
      </c>
    </row>
    <row r="2365" spans="1:18" x14ac:dyDescent="0.3">
      <c r="A2365">
        <v>1549559</v>
      </c>
      <c r="B2365" t="s">
        <v>18</v>
      </c>
      <c r="C2365" t="s">
        <v>59</v>
      </c>
      <c r="D2365" t="s">
        <v>636</v>
      </c>
      <c r="E2365" t="s">
        <v>1251</v>
      </c>
      <c r="F2365" t="s">
        <v>22</v>
      </c>
      <c r="G2365" t="s">
        <v>23</v>
      </c>
      <c r="H2365" t="s">
        <v>37</v>
      </c>
      <c r="I2365" t="s">
        <v>25</v>
      </c>
      <c r="J2365" s="2">
        <v>45809.389745370368</v>
      </c>
      <c r="K2365">
        <v>1</v>
      </c>
      <c r="L2365">
        <v>6</v>
      </c>
      <c r="M2365">
        <v>2025</v>
      </c>
      <c r="N2365" t="s">
        <v>27</v>
      </c>
      <c r="O2365">
        <v>150</v>
      </c>
      <c r="P2365">
        <v>150</v>
      </c>
      <c r="R2365" s="3" t="str">
        <f>HYPERLINK("https://panda.att.com.mx/ODKServer/view/binaryData?blobKey=FSSuministroFluidosv3%5B%40version%3Dnull+and+%40uiVersion%3Dnull%5D%2Fdata%5B%40key%3Duuid%3A7de063fc-bfa6-4bbe-a299-3757b43bdca4%5D%2FgroupInfoFuel%5B%40ordinal%3D1%5D%2FpicFuelRecibeInterno","Descargar")</f>
        <v>Descargar</v>
      </c>
    </row>
    <row r="2366" spans="1:18" x14ac:dyDescent="0.3">
      <c r="A2366">
        <v>1549530</v>
      </c>
      <c r="B2366" t="s">
        <v>18</v>
      </c>
      <c r="C2366" t="s">
        <v>150</v>
      </c>
      <c r="D2366" t="s">
        <v>164</v>
      </c>
      <c r="E2366" t="s">
        <v>165</v>
      </c>
      <c r="F2366" t="s">
        <v>22</v>
      </c>
      <c r="G2366" t="s">
        <v>23</v>
      </c>
      <c r="H2366" t="s">
        <v>58</v>
      </c>
      <c r="I2366" t="s">
        <v>25</v>
      </c>
      <c r="J2366" s="2">
        <v>45807.704479166663</v>
      </c>
      <c r="K2366">
        <v>30</v>
      </c>
      <c r="L2366">
        <v>5</v>
      </c>
      <c r="M2366">
        <v>2025</v>
      </c>
      <c r="N2366" t="s">
        <v>27</v>
      </c>
      <c r="O2366">
        <v>400</v>
      </c>
      <c r="P2366">
        <v>400</v>
      </c>
      <c r="R2366" s="3" t="str">
        <f>HYPERLINK("https://panda.att.com.mx/ODKServer/view/binaryData?blobKey=FSSuministroFluidosv3%5B%40version%3Dnull+and+%40uiVersion%3Dnull%5D%2Fdata%5B%40key%3Duuid%3Ac4f50db0-68ad-4578-a2f0-f7a0a9a465c7%5D%2FgroupInfoFuel%5B%40ordinal%3D1%5D%2FpicFuelRecibeInterno","Descargar")</f>
        <v>Descargar</v>
      </c>
    </row>
    <row r="2367" spans="1:18" x14ac:dyDescent="0.3">
      <c r="A2367">
        <v>1549505</v>
      </c>
      <c r="B2367" t="s">
        <v>18</v>
      </c>
      <c r="C2367" t="s">
        <v>28</v>
      </c>
      <c r="D2367" t="s">
        <v>66</v>
      </c>
      <c r="E2367" t="s">
        <v>2092</v>
      </c>
      <c r="F2367" t="s">
        <v>22</v>
      </c>
      <c r="G2367" t="s">
        <v>23</v>
      </c>
      <c r="H2367" t="s">
        <v>24</v>
      </c>
      <c r="I2367" t="s">
        <v>25</v>
      </c>
      <c r="J2367" s="2">
        <v>45808.940740740742</v>
      </c>
      <c r="K2367">
        <v>31</v>
      </c>
      <c r="L2367">
        <v>5</v>
      </c>
      <c r="M2367">
        <v>2025</v>
      </c>
      <c r="N2367" t="s">
        <v>44</v>
      </c>
      <c r="O2367">
        <v>45</v>
      </c>
      <c r="P2367">
        <v>45</v>
      </c>
      <c r="R2367" s="3" t="str">
        <f>HYPERLINK("https://panda.att.com.mx/ODKServer/view/binaryData?blobKey=FSSuministroFluidosv3%5B%40version%3Dnull+and+%40uiVersion%3Dnull%5D%2Fdata%5B%40key%3Duuid%3A16cbf383-bb06-4a7c-b759-811ab8501064%5D%2FgroupInfoFuel%5B%40ordinal%3D1%5D%2FpicFuelRecibeInterno","Descargar")</f>
        <v>Descargar</v>
      </c>
    </row>
    <row r="2368" spans="1:18" x14ac:dyDescent="0.3">
      <c r="A2368">
        <v>1549504</v>
      </c>
      <c r="B2368" t="s">
        <v>18</v>
      </c>
      <c r="C2368" t="s">
        <v>28</v>
      </c>
      <c r="D2368" t="s">
        <v>513</v>
      </c>
      <c r="E2368" t="s">
        <v>2099</v>
      </c>
      <c r="F2368" t="s">
        <v>22</v>
      </c>
      <c r="G2368" t="s">
        <v>23</v>
      </c>
      <c r="H2368" t="s">
        <v>24</v>
      </c>
      <c r="I2368" t="s">
        <v>25</v>
      </c>
      <c r="J2368" s="2">
        <v>45807.20888888889</v>
      </c>
      <c r="K2368">
        <v>30</v>
      </c>
      <c r="L2368">
        <v>5</v>
      </c>
      <c r="M2368">
        <v>2025</v>
      </c>
      <c r="N2368" t="s">
        <v>44</v>
      </c>
      <c r="O2368">
        <v>45</v>
      </c>
      <c r="P2368">
        <v>45</v>
      </c>
      <c r="R2368" s="3" t="str">
        <f>HYPERLINK("https://panda.att.com.mx/ODKServer/view/binaryData?blobKey=FSSuministroFluidosv3%5B%40version%3Dnull+and+%40uiVersion%3Dnull%5D%2Fdata%5B%40key%3Duuid%3Af87eba79-4d62-4e0c-8003-b03af94453d0%5D%2FgroupInfoFuel%5B%40ordinal%3D1%5D%2FpicFuelRecibeInterno","Descargar")</f>
        <v>Descargar</v>
      </c>
    </row>
    <row r="2369" spans="1:18" x14ac:dyDescent="0.3">
      <c r="A2369">
        <v>1549496</v>
      </c>
      <c r="B2369" t="s">
        <v>18</v>
      </c>
      <c r="C2369" t="s">
        <v>55</v>
      </c>
      <c r="D2369" t="s">
        <v>288</v>
      </c>
      <c r="E2369" t="s">
        <v>1821</v>
      </c>
      <c r="F2369" t="s">
        <v>22</v>
      </c>
      <c r="G2369" t="s">
        <v>23</v>
      </c>
      <c r="H2369" t="s">
        <v>1763</v>
      </c>
      <c r="I2369" t="s">
        <v>25</v>
      </c>
      <c r="J2369" s="2">
        <v>45808.741018518522</v>
      </c>
      <c r="K2369">
        <v>31</v>
      </c>
      <c r="L2369">
        <v>5</v>
      </c>
      <c r="M2369">
        <v>2025</v>
      </c>
      <c r="N2369" t="s">
        <v>27</v>
      </c>
      <c r="O2369">
        <v>300</v>
      </c>
      <c r="P2369">
        <v>300</v>
      </c>
      <c r="R2369" s="3" t="str">
        <f>HYPERLINK("https://panda.att.com.mx/ODKServer/view/binaryData?blobKey=FSSuministroFluidosv3%5B%40version%3Dnull+and+%40uiVersion%3Dnull%5D%2Fdata%5B%40key%3Duuid%3A7ca6dd3f-afa4-4672-8e21-9c224a0f4280%5D%2FgroupInfoFuel%5B%40ordinal%3D1%5D%2FpicFuelRecibeInterno","Descargar")</f>
        <v>Descargar</v>
      </c>
    </row>
    <row r="2370" spans="1:18" x14ac:dyDescent="0.3">
      <c r="A2370">
        <v>1549489</v>
      </c>
      <c r="B2370" t="s">
        <v>18</v>
      </c>
      <c r="C2370" t="s">
        <v>19</v>
      </c>
      <c r="D2370" t="s">
        <v>45</v>
      </c>
      <c r="E2370" t="s">
        <v>2100</v>
      </c>
      <c r="F2370" t="s">
        <v>22</v>
      </c>
      <c r="G2370" t="s">
        <v>23</v>
      </c>
      <c r="H2370" t="s">
        <v>24</v>
      </c>
      <c r="I2370" t="s">
        <v>25</v>
      </c>
      <c r="J2370" s="2">
        <v>45808.96770833333</v>
      </c>
      <c r="K2370">
        <v>31</v>
      </c>
      <c r="L2370">
        <v>5</v>
      </c>
      <c r="M2370">
        <v>2025</v>
      </c>
      <c r="N2370" t="s">
        <v>27</v>
      </c>
      <c r="O2370">
        <v>550</v>
      </c>
      <c r="P2370">
        <v>550</v>
      </c>
      <c r="R2370" s="3" t="str">
        <f>HYPERLINK("https://panda.att.com.mx/ODKServer/view/binaryData?blobKey=FSSuministroFluidosv3%5B%40version%3Dnull+and+%40uiVersion%3Dnull%5D%2Fdata%5B%40key%3Duuid%3A6f9008e5-39dd-483d-98eb-c59c94c3bb52%5D%2FgroupInfoFuel%5B%40ordinal%3D1%5D%2FpicFuelRecibeInterno","Descargar")</f>
        <v>Descargar</v>
      </c>
    </row>
    <row r="2371" spans="1:18" x14ac:dyDescent="0.3">
      <c r="A2371">
        <v>1549442</v>
      </c>
      <c r="B2371" t="s">
        <v>18</v>
      </c>
      <c r="C2371" t="s">
        <v>59</v>
      </c>
      <c r="D2371" t="s">
        <v>60</v>
      </c>
      <c r="E2371" t="s">
        <v>2101</v>
      </c>
      <c r="F2371" t="s">
        <v>22</v>
      </c>
      <c r="G2371" t="s">
        <v>23</v>
      </c>
      <c r="H2371" t="s">
        <v>37</v>
      </c>
      <c r="I2371" t="s">
        <v>25</v>
      </c>
      <c r="J2371" s="2">
        <v>45805.538622685177</v>
      </c>
      <c r="K2371">
        <v>28</v>
      </c>
      <c r="L2371">
        <v>5</v>
      </c>
      <c r="M2371">
        <v>2025</v>
      </c>
      <c r="N2371" t="s">
        <v>27</v>
      </c>
      <c r="O2371">
        <v>120</v>
      </c>
      <c r="P2371">
        <v>120</v>
      </c>
      <c r="R2371" s="3" t="str">
        <f>HYPERLINK("https://panda.att.com.mx/ODKServer/view/binaryData?blobKey=FSSuministroFluidosv3%5B%40version%3Dnull+and+%40uiVersion%3Dnull%5D%2Fdata%5B%40key%3Duuid%3A50afd473-13f7-4303-87fe-03dd7fa6c0ea%5D%2FgroupInfoFuel%5B%40ordinal%3D1%5D%2FpicFuelRecibeInterno","Descargar")</f>
        <v>Descargar</v>
      </c>
    </row>
    <row r="2372" spans="1:18" x14ac:dyDescent="0.3">
      <c r="A2372">
        <v>1549440</v>
      </c>
      <c r="B2372" t="s">
        <v>18</v>
      </c>
      <c r="C2372" t="s">
        <v>28</v>
      </c>
      <c r="D2372" t="s">
        <v>1036</v>
      </c>
      <c r="E2372" t="s">
        <v>1434</v>
      </c>
      <c r="F2372" t="s">
        <v>22</v>
      </c>
      <c r="G2372" t="s">
        <v>47</v>
      </c>
      <c r="H2372" t="s">
        <v>37</v>
      </c>
      <c r="I2372" t="s">
        <v>25</v>
      </c>
      <c r="J2372" s="2">
        <v>45808.713078703702</v>
      </c>
      <c r="K2372">
        <v>31</v>
      </c>
      <c r="L2372">
        <v>5</v>
      </c>
      <c r="M2372">
        <v>2025</v>
      </c>
      <c r="N2372" t="s">
        <v>44</v>
      </c>
      <c r="O2372">
        <v>60</v>
      </c>
      <c r="P2372">
        <v>60</v>
      </c>
      <c r="R2372" s="3" t="str">
        <f>HYPERLINK("https://panda.att.com.mx/ODKServer/view/binaryData?blobKey=FSSuministroFluidosv3%5B%40version%3Dnull+and+%40uiVersion%3Dnull%5D%2Fdata%5B%40key%3Duuid%3Ac56398b1-40c1-4e2c-aaa6-f2fe6c15a795%5D%2FgroupInfoFuel%5B%40ordinal%3D1%5D%2FpicFuelRecibeInterno","Descargar")</f>
        <v>Descargar</v>
      </c>
    </row>
    <row r="2373" spans="1:18" x14ac:dyDescent="0.3">
      <c r="A2373">
        <v>1549379</v>
      </c>
      <c r="B2373" t="s">
        <v>18</v>
      </c>
      <c r="C2373" t="s">
        <v>59</v>
      </c>
      <c r="D2373" t="s">
        <v>1242</v>
      </c>
      <c r="E2373" t="s">
        <v>2102</v>
      </c>
      <c r="F2373" t="s">
        <v>22</v>
      </c>
      <c r="G2373" t="s">
        <v>23</v>
      </c>
      <c r="H2373" t="s">
        <v>37</v>
      </c>
      <c r="I2373" t="s">
        <v>25</v>
      </c>
      <c r="J2373" s="2">
        <v>45808.822835648149</v>
      </c>
      <c r="K2373">
        <v>31</v>
      </c>
      <c r="L2373">
        <v>5</v>
      </c>
      <c r="M2373">
        <v>2025</v>
      </c>
      <c r="N2373" t="s">
        <v>44</v>
      </c>
      <c r="O2373">
        <v>35</v>
      </c>
      <c r="P2373">
        <v>35</v>
      </c>
      <c r="R2373" s="3" t="str">
        <f>HYPERLINK("https://panda.att.com.mx/ODKServer/view/binaryData?blobKey=FSSuministroFluidosv3%5B%40version%3Dnull+and+%40uiVersion%3Dnull%5D%2Fdata%5B%40key%3Duuid%3A6d4d53b1-f543-492c-a0b9-d63aa5342a22%5D%2FgroupInfoFuel%5B%40ordinal%3D1%5D%2FpicFuelRecibeInterno","Descargar")</f>
        <v>Descargar</v>
      </c>
    </row>
    <row r="2374" spans="1:18" x14ac:dyDescent="0.3">
      <c r="A2374">
        <v>1549378</v>
      </c>
      <c r="B2374" t="s">
        <v>18</v>
      </c>
      <c r="C2374" t="s">
        <v>34</v>
      </c>
      <c r="D2374" t="s">
        <v>51</v>
      </c>
      <c r="E2374" t="s">
        <v>631</v>
      </c>
      <c r="F2374" t="s">
        <v>22</v>
      </c>
      <c r="G2374" t="s">
        <v>23</v>
      </c>
      <c r="H2374" t="s">
        <v>24</v>
      </c>
      <c r="I2374" t="s">
        <v>25</v>
      </c>
      <c r="J2374" s="2">
        <v>45807.58452546296</v>
      </c>
      <c r="K2374">
        <v>30</v>
      </c>
      <c r="L2374">
        <v>5</v>
      </c>
      <c r="M2374">
        <v>2025</v>
      </c>
      <c r="N2374" t="s">
        <v>27</v>
      </c>
      <c r="O2374">
        <v>200</v>
      </c>
      <c r="P2374">
        <v>200</v>
      </c>
      <c r="R2374" s="3" t="str">
        <f>HYPERLINK("https://panda.att.com.mx/ODKServer/view/binaryData?blobKey=FSSuministroFluidosv3%5B%40version%3Dnull+and+%40uiVersion%3Dnull%5D%2Fdata%5B%40key%3Duuid%3A62d5fe46-39df-45c5-8364-2202e1209de6%5D%2FgroupInfoFuel%5B%40ordinal%3D1%5D%2FpicFuelRecibeInterno","Descargar")</f>
        <v>Descargar</v>
      </c>
    </row>
    <row r="2375" spans="1:18" x14ac:dyDescent="0.3">
      <c r="A2375">
        <v>1549370</v>
      </c>
      <c r="B2375" t="s">
        <v>18</v>
      </c>
      <c r="C2375" t="s">
        <v>55</v>
      </c>
      <c r="D2375" t="s">
        <v>89</v>
      </c>
      <c r="E2375" t="s">
        <v>90</v>
      </c>
      <c r="F2375" t="s">
        <v>22</v>
      </c>
      <c r="G2375" t="s">
        <v>23</v>
      </c>
      <c r="H2375" t="s">
        <v>1763</v>
      </c>
      <c r="I2375" t="s">
        <v>25</v>
      </c>
      <c r="J2375" s="2">
        <v>45808.792974537027</v>
      </c>
      <c r="K2375">
        <v>31</v>
      </c>
      <c r="L2375">
        <v>5</v>
      </c>
      <c r="M2375">
        <v>2025</v>
      </c>
      <c r="N2375" t="s">
        <v>27</v>
      </c>
      <c r="O2375">
        <v>200</v>
      </c>
      <c r="P2375">
        <v>200</v>
      </c>
      <c r="R2375" s="3" t="str">
        <f>HYPERLINK("https://panda.att.com.mx/ODKServer/view/binaryData?blobKey=FSSuministroFluidosv3%5B%40version%3Dnull+and+%40uiVersion%3Dnull%5D%2Fdata%5B%40key%3Duuid%3A5c79fafc-2f3d-454d-b4db-5dc161745903%5D%2FgroupInfoFuel%5B%40ordinal%3D1%5D%2FpicFuelRecibeInterno","Descargar")</f>
        <v>Descargar</v>
      </c>
    </row>
    <row r="2376" spans="1:18" x14ac:dyDescent="0.3">
      <c r="A2376">
        <v>1549339</v>
      </c>
      <c r="B2376" t="s">
        <v>18</v>
      </c>
      <c r="C2376" t="s">
        <v>28</v>
      </c>
      <c r="D2376" t="s">
        <v>181</v>
      </c>
      <c r="E2376" t="s">
        <v>1647</v>
      </c>
      <c r="F2376" t="s">
        <v>22</v>
      </c>
      <c r="G2376" t="s">
        <v>23</v>
      </c>
      <c r="H2376" t="s">
        <v>24</v>
      </c>
      <c r="I2376" t="s">
        <v>25</v>
      </c>
      <c r="J2376" s="2">
        <v>45808.627268518518</v>
      </c>
      <c r="K2376">
        <v>31</v>
      </c>
      <c r="L2376">
        <v>5</v>
      </c>
      <c r="M2376">
        <v>2025</v>
      </c>
      <c r="N2376" t="s">
        <v>44</v>
      </c>
      <c r="O2376">
        <v>20</v>
      </c>
      <c r="P2376">
        <v>20</v>
      </c>
      <c r="R2376" s="3" t="str">
        <f>HYPERLINK("https://panda.att.com.mx/ODKServer/view/binaryData?blobKey=FSSuministroFluidosv3%5B%40version%3Dnull+and+%40uiVersion%3Dnull%5D%2Fdata%5B%40key%3Duuid%3A385ab57c-94e0-49a8-8037-5ae76d988ebd%5D%2FgroupInfoFuel%5B%40ordinal%3D1%5D%2FpicFuelRecibeInterno","Descargar")</f>
        <v>Descargar</v>
      </c>
    </row>
    <row r="2377" spans="1:18" x14ac:dyDescent="0.3">
      <c r="A2377">
        <v>1548835</v>
      </c>
      <c r="B2377" t="s">
        <v>18</v>
      </c>
      <c r="C2377" t="s">
        <v>19</v>
      </c>
      <c r="D2377" t="s">
        <v>170</v>
      </c>
      <c r="E2377" t="s">
        <v>171</v>
      </c>
      <c r="F2377" t="s">
        <v>22</v>
      </c>
      <c r="G2377" t="s">
        <v>23</v>
      </c>
      <c r="H2377" t="s">
        <v>24</v>
      </c>
      <c r="I2377" t="s">
        <v>25</v>
      </c>
      <c r="J2377" s="2">
        <v>45794.749178240738</v>
      </c>
      <c r="K2377">
        <v>17</v>
      </c>
      <c r="L2377">
        <v>5</v>
      </c>
      <c r="M2377">
        <v>2025</v>
      </c>
      <c r="N2377" t="s">
        <v>27</v>
      </c>
      <c r="O2377">
        <v>400</v>
      </c>
      <c r="P2377">
        <v>400</v>
      </c>
      <c r="R2377" s="3" t="str">
        <f>HYPERLINK("https://panda.att.com.mx/ODKServer/view/binaryData?blobKey=FSSuministroFluidosv3%5B%40version%3Dnull+and+%40uiVersion%3Dnull%5D%2Fdata%5B%40key%3Duuid%3A3f064b82-4c51-4d99-9534-3e0e991e6a09%5D%2FgroupInfoFuel%5B%40ordinal%3D1%5D%2FpicFuelRecibeInterno","Descargar")</f>
        <v>Descargar</v>
      </c>
    </row>
    <row r="2378" spans="1:18" x14ac:dyDescent="0.3">
      <c r="A2378">
        <v>1548834</v>
      </c>
      <c r="B2378" t="s">
        <v>18</v>
      </c>
      <c r="C2378" t="s">
        <v>68</v>
      </c>
      <c r="D2378" t="s">
        <v>78</v>
      </c>
      <c r="E2378" t="s">
        <v>2103</v>
      </c>
      <c r="F2378" t="s">
        <v>22</v>
      </c>
      <c r="G2378" t="s">
        <v>23</v>
      </c>
      <c r="H2378" t="s">
        <v>37</v>
      </c>
      <c r="I2378" t="s">
        <v>25</v>
      </c>
      <c r="J2378" s="2">
        <v>45807.788032407407</v>
      </c>
      <c r="K2378">
        <v>30</v>
      </c>
      <c r="L2378">
        <v>5</v>
      </c>
      <c r="M2378">
        <v>2025</v>
      </c>
      <c r="N2378" t="s">
        <v>44</v>
      </c>
      <c r="O2378">
        <v>50</v>
      </c>
      <c r="P2378">
        <v>50</v>
      </c>
      <c r="R2378" s="3" t="str">
        <f>HYPERLINK("https://panda.att.com.mx/ODKServer/view/binaryData?blobKey=FSSuministroFluidosv3%5B%40version%3Dnull+and+%40uiVersion%3Dnull%5D%2Fdata%5B%40key%3Duuid%3A9b1d3b4c-a215-400a-ac1c-a4b879395d56%5D%2FgroupInfoFuel%5B%40ordinal%3D1%5D%2FpicFuelRecibeInterno","Descargar")</f>
        <v>Descargar</v>
      </c>
    </row>
    <row r="2379" spans="1:18" x14ac:dyDescent="0.3">
      <c r="A2379">
        <v>1548833</v>
      </c>
      <c r="B2379" t="s">
        <v>18</v>
      </c>
      <c r="C2379" t="s">
        <v>55</v>
      </c>
      <c r="D2379" t="s">
        <v>128</v>
      </c>
      <c r="E2379" t="s">
        <v>2076</v>
      </c>
      <c r="F2379" t="s">
        <v>22</v>
      </c>
      <c r="G2379" t="s">
        <v>23</v>
      </c>
      <c r="H2379" t="s">
        <v>1763</v>
      </c>
      <c r="I2379" t="s">
        <v>25</v>
      </c>
      <c r="J2379" s="2">
        <v>45807.757094907407</v>
      </c>
      <c r="K2379">
        <v>30</v>
      </c>
      <c r="L2379">
        <v>5</v>
      </c>
      <c r="M2379">
        <v>2025</v>
      </c>
      <c r="N2379" t="s">
        <v>27</v>
      </c>
      <c r="O2379">
        <v>100</v>
      </c>
      <c r="P2379">
        <v>100</v>
      </c>
      <c r="R2379" s="3" t="str">
        <f>HYPERLINK("https://panda.att.com.mx/ODKServer/view/binaryData?blobKey=FSSuministroFluidosv3%5B%40version%3Dnull+and+%40uiVersion%3Dnull%5D%2Fdata%5B%40key%3Duuid%3Ad2772f3d-0ef7-4eee-be38-72cd1de5a0c8%5D%2FgroupInfoFuel%5B%40ordinal%3D1%5D%2FpicFuelRecibeInterno","Descargar")</f>
        <v>Descargar</v>
      </c>
    </row>
    <row r="2380" spans="1:18" x14ac:dyDescent="0.3">
      <c r="A2380">
        <v>1548821</v>
      </c>
      <c r="B2380" t="s">
        <v>18</v>
      </c>
      <c r="C2380" t="s">
        <v>34</v>
      </c>
      <c r="D2380" t="s">
        <v>121</v>
      </c>
      <c r="E2380" t="s">
        <v>1020</v>
      </c>
      <c r="F2380" t="s">
        <v>22</v>
      </c>
      <c r="G2380" t="s">
        <v>23</v>
      </c>
      <c r="H2380" t="s">
        <v>37</v>
      </c>
      <c r="I2380" t="s">
        <v>25</v>
      </c>
      <c r="J2380" s="2">
        <v>45807.361990740741</v>
      </c>
      <c r="K2380">
        <v>30</v>
      </c>
      <c r="L2380">
        <v>5</v>
      </c>
      <c r="M2380">
        <v>2025</v>
      </c>
      <c r="N2380" t="s">
        <v>27</v>
      </c>
      <c r="O2380">
        <v>100</v>
      </c>
      <c r="P2380">
        <v>100</v>
      </c>
      <c r="R2380" s="3" t="str">
        <f>HYPERLINK("https://panda.att.com.mx/ODKServer/view/binaryData?blobKey=FSSuministroFluidosv3%5B%40version%3Dnull+and+%40uiVersion%3Dnull%5D%2Fdata%5B%40key%3Duuid%3Ab06c18c4-4a2b-42cc-b784-77e7dd3d3b97%5D%2FgroupInfoFuel%5B%40ordinal%3D1%5D%2FpicFuelRecibeInterno","Descargar")</f>
        <v>Descargar</v>
      </c>
    </row>
    <row r="2381" spans="1:18" x14ac:dyDescent="0.3">
      <c r="A2381">
        <v>1548778</v>
      </c>
      <c r="B2381" t="s">
        <v>18</v>
      </c>
      <c r="C2381" t="s">
        <v>19</v>
      </c>
      <c r="D2381" t="s">
        <v>170</v>
      </c>
      <c r="E2381" t="s">
        <v>376</v>
      </c>
      <c r="F2381" t="s">
        <v>22</v>
      </c>
      <c r="G2381" t="s">
        <v>23</v>
      </c>
      <c r="H2381" t="s">
        <v>24</v>
      </c>
      <c r="I2381" t="s">
        <v>25</v>
      </c>
      <c r="J2381" t="s">
        <v>2104</v>
      </c>
      <c r="K2381">
        <v>29</v>
      </c>
      <c r="L2381">
        <v>4</v>
      </c>
      <c r="M2381">
        <v>2025</v>
      </c>
      <c r="N2381" t="s">
        <v>27</v>
      </c>
      <c r="O2381">
        <v>300</v>
      </c>
      <c r="P2381">
        <v>300</v>
      </c>
      <c r="R2381" s="3" t="str">
        <f>HYPERLINK("https://panda.att.com.mx/ODKServer/view/binaryData?blobKey=FSSuministroFluidosv3%5B%40version%3Dnull+and+%40uiVersion%3Dnull%5D%2Fdata%5B%40key%3Duuid%3Aa060c803-6eda-4e36-bf20-c68f61f80e1d%5D%2FgroupInfoFuel%5B%40ordinal%3D1%5D%2FpicFuelRecibeInterno","Descargar")</f>
        <v>Descargar</v>
      </c>
    </row>
    <row r="2382" spans="1:18" x14ac:dyDescent="0.3">
      <c r="A2382">
        <v>1548731</v>
      </c>
      <c r="B2382" t="s">
        <v>18</v>
      </c>
      <c r="C2382" t="s">
        <v>19</v>
      </c>
      <c r="D2382" t="s">
        <v>45</v>
      </c>
      <c r="E2382" t="s">
        <v>2028</v>
      </c>
      <c r="F2382" t="s">
        <v>22</v>
      </c>
      <c r="G2382" t="s">
        <v>23</v>
      </c>
      <c r="H2382" t="s">
        <v>24</v>
      </c>
      <c r="I2382" t="s">
        <v>25</v>
      </c>
      <c r="J2382" s="2">
        <v>45807.472280092603</v>
      </c>
      <c r="K2382">
        <v>30</v>
      </c>
      <c r="L2382">
        <v>5</v>
      </c>
      <c r="M2382">
        <v>2025</v>
      </c>
      <c r="N2382" t="s">
        <v>27</v>
      </c>
      <c r="O2382">
        <v>300</v>
      </c>
      <c r="P2382">
        <v>300</v>
      </c>
      <c r="R2382" s="3" t="str">
        <f>HYPERLINK("https://panda.att.com.mx/ODKServer/view/binaryData?blobKey=FSSuministroFluidosv3%5B%40version%3Dnull+and+%40uiVersion%3Dnull%5D%2Fdata%5B%40key%3Duuid%3Aba10b067-4814-4d8e-a5f2-5395194b1c71%5D%2FgroupInfoFuel%5B%40ordinal%3D1%5D%2FpicFuelRecibeInterno","Descargar")</f>
        <v>Descargar</v>
      </c>
    </row>
    <row r="2383" spans="1:18" x14ac:dyDescent="0.3">
      <c r="A2383">
        <v>1548705</v>
      </c>
      <c r="B2383" t="s">
        <v>18</v>
      </c>
      <c r="C2383" t="s">
        <v>100</v>
      </c>
      <c r="D2383" t="s">
        <v>716</v>
      </c>
      <c r="E2383" t="s">
        <v>717</v>
      </c>
      <c r="F2383" t="s">
        <v>22</v>
      </c>
      <c r="G2383" t="s">
        <v>83</v>
      </c>
      <c r="H2383" t="s">
        <v>1781</v>
      </c>
      <c r="I2383" t="s">
        <v>25</v>
      </c>
      <c r="J2383" s="2">
        <v>45807.686516203707</v>
      </c>
      <c r="K2383">
        <v>30</v>
      </c>
      <c r="L2383">
        <v>5</v>
      </c>
      <c r="M2383">
        <v>2025</v>
      </c>
      <c r="N2383" t="s">
        <v>27</v>
      </c>
      <c r="O2383">
        <v>132</v>
      </c>
      <c r="P2383">
        <v>132</v>
      </c>
      <c r="R2383" s="3" t="str">
        <f>HYPERLINK("https://panda.att.com.mx/ODKServer/view/binaryData?blobKey=FSSuministroFluidosv3%5B%40version%3Dnull+and+%40uiVersion%3Dnull%5D%2Fdata%5B%40key%3Duuid%3A9e1c11e1-56e8-4268-9552-aacaf07baf31%5D%2FgroupInfoFuel%5B%40ordinal%3D1%5D%2FpicFuelRecibeInterno","Descargar")</f>
        <v>Descargar</v>
      </c>
    </row>
    <row r="2384" spans="1:18" x14ac:dyDescent="0.3">
      <c r="A2384">
        <v>1548515</v>
      </c>
      <c r="B2384" t="s">
        <v>18</v>
      </c>
      <c r="C2384" t="s">
        <v>34</v>
      </c>
      <c r="D2384" t="s">
        <v>53</v>
      </c>
      <c r="E2384" t="s">
        <v>2105</v>
      </c>
      <c r="F2384" t="s">
        <v>22</v>
      </c>
      <c r="G2384" t="s">
        <v>23</v>
      </c>
      <c r="H2384" t="s">
        <v>37</v>
      </c>
      <c r="I2384" t="s">
        <v>25</v>
      </c>
      <c r="J2384" s="2">
        <v>45807.56722222222</v>
      </c>
      <c r="K2384">
        <v>30</v>
      </c>
      <c r="L2384">
        <v>5</v>
      </c>
      <c r="M2384">
        <v>2025</v>
      </c>
      <c r="N2384" t="s">
        <v>27</v>
      </c>
      <c r="O2384">
        <v>150</v>
      </c>
      <c r="P2384">
        <v>150</v>
      </c>
      <c r="R2384" s="3" t="str">
        <f>HYPERLINK("https://panda.att.com.mx/ODKServer/view/binaryData?blobKey=FSSuministroFluidosv3%5B%40version%3Dnull+and+%40uiVersion%3Dnull%5D%2Fdata%5B%40key%3Duuid%3A297fdf5c-d53c-44fa-af1f-fa7acec5d2b1%5D%2FgroupInfoFuel%5B%40ordinal%3D1%5D%2FpicFuelRecibeInterno","Descargar")</f>
        <v>Descargar</v>
      </c>
    </row>
    <row r="2385" spans="1:18" x14ac:dyDescent="0.3">
      <c r="A2385">
        <v>1548401</v>
      </c>
      <c r="B2385" t="s">
        <v>18</v>
      </c>
      <c r="C2385" t="s">
        <v>28</v>
      </c>
      <c r="D2385" t="s">
        <v>1036</v>
      </c>
      <c r="E2385" t="s">
        <v>2106</v>
      </c>
      <c r="F2385" t="s">
        <v>22</v>
      </c>
      <c r="G2385" t="s">
        <v>23</v>
      </c>
      <c r="H2385" t="s">
        <v>24</v>
      </c>
      <c r="I2385" t="s">
        <v>25</v>
      </c>
      <c r="J2385" s="2">
        <v>45807.517164351862</v>
      </c>
      <c r="K2385">
        <v>30</v>
      </c>
      <c r="L2385">
        <v>5</v>
      </c>
      <c r="M2385">
        <v>2025</v>
      </c>
      <c r="N2385" t="s">
        <v>44</v>
      </c>
      <c r="O2385">
        <v>30</v>
      </c>
      <c r="P2385">
        <v>30</v>
      </c>
      <c r="R2385" s="3" t="str">
        <f>HYPERLINK("https://panda.att.com.mx/ODKServer/view/binaryData?blobKey=FSSuministroFluidosv3%5B%40version%3Dnull+and+%40uiVersion%3Dnull%5D%2Fdata%5B%40key%3Duuid%3A21bb4ca1-69fa-4353-831d-e903f956aa58%5D%2FgroupInfoFuel%5B%40ordinal%3D1%5D%2FpicFuelRecibeInterno","Descargar")</f>
        <v>Descargar</v>
      </c>
    </row>
    <row r="2386" spans="1:18" x14ac:dyDescent="0.3">
      <c r="A2386">
        <v>1548333</v>
      </c>
      <c r="B2386" t="s">
        <v>18</v>
      </c>
      <c r="C2386" t="s">
        <v>150</v>
      </c>
      <c r="D2386" t="s">
        <v>230</v>
      </c>
      <c r="E2386" t="s">
        <v>1510</v>
      </c>
      <c r="F2386" t="s">
        <v>22</v>
      </c>
      <c r="G2386" t="s">
        <v>23</v>
      </c>
      <c r="H2386" t="s">
        <v>58</v>
      </c>
      <c r="I2386" t="s">
        <v>25</v>
      </c>
      <c r="J2386" s="2">
        <v>45807.433437500003</v>
      </c>
      <c r="K2386">
        <v>30</v>
      </c>
      <c r="L2386">
        <v>5</v>
      </c>
      <c r="M2386">
        <v>2025</v>
      </c>
      <c r="N2386" t="s">
        <v>27</v>
      </c>
      <c r="O2386">
        <v>250</v>
      </c>
      <c r="P2386">
        <v>250</v>
      </c>
      <c r="R2386" s="3" t="str">
        <f>HYPERLINK("https://panda.att.com.mx/ODKServer/view/binaryData?blobKey=FSSuministroFluidosv3%5B%40version%3Dnull+and+%40uiVersion%3Dnull%5D%2Fdata%5B%40key%3Duuid%3A67adc901-4a5c-4f04-9e45-07651abbe316%5D%2FgroupInfoFuel%5B%40ordinal%3D1%5D%2FpicFuelRecibeInterno","Descargar")</f>
        <v>Descargar</v>
      </c>
    </row>
    <row r="2387" spans="1:18" x14ac:dyDescent="0.3">
      <c r="A2387">
        <v>1548331</v>
      </c>
      <c r="B2387" t="s">
        <v>18</v>
      </c>
      <c r="C2387" t="s">
        <v>150</v>
      </c>
      <c r="D2387" t="s">
        <v>164</v>
      </c>
      <c r="E2387" t="s">
        <v>2107</v>
      </c>
      <c r="F2387" t="s">
        <v>22</v>
      </c>
      <c r="G2387" t="s">
        <v>23</v>
      </c>
      <c r="H2387" t="s">
        <v>1781</v>
      </c>
      <c r="I2387" t="s">
        <v>25</v>
      </c>
      <c r="J2387" s="2">
        <v>45807.472986111112</v>
      </c>
      <c r="K2387">
        <v>30</v>
      </c>
      <c r="L2387">
        <v>5</v>
      </c>
      <c r="M2387">
        <v>2025</v>
      </c>
      <c r="N2387" t="s">
        <v>27</v>
      </c>
      <c r="O2387">
        <v>90.02</v>
      </c>
      <c r="P2387">
        <v>90.02</v>
      </c>
      <c r="R2387" s="3" t="str">
        <f>HYPERLINK("https://panda.att.com.mx/ODKServer/view/binaryData?blobKey=FSSuministroFluidosv3%5B%40version%3Dnull+and+%40uiVersion%3Dnull%5D%2Fdata%5B%40key%3Duuid%3Af2487a6d-13ed-431a-b4a3-e4569bcc2f4f%5D%2FgroupInfoFuel%5B%40ordinal%3D1%5D%2FpicFuelRecibeInterno","Descargar")</f>
        <v>Descargar</v>
      </c>
    </row>
    <row r="2388" spans="1:18" x14ac:dyDescent="0.3">
      <c r="A2388">
        <v>1548316</v>
      </c>
      <c r="B2388" t="s">
        <v>18</v>
      </c>
      <c r="C2388" t="s">
        <v>55</v>
      </c>
      <c r="D2388" t="s">
        <v>56</v>
      </c>
      <c r="E2388" t="s">
        <v>2083</v>
      </c>
      <c r="F2388" t="s">
        <v>22</v>
      </c>
      <c r="G2388" t="s">
        <v>23</v>
      </c>
      <c r="H2388" t="s">
        <v>1763</v>
      </c>
      <c r="I2388" t="s">
        <v>25</v>
      </c>
      <c r="J2388" s="2">
        <v>45805.641030092593</v>
      </c>
      <c r="K2388">
        <v>28</v>
      </c>
      <c r="L2388">
        <v>5</v>
      </c>
      <c r="M2388">
        <v>2025</v>
      </c>
      <c r="N2388" t="s">
        <v>27</v>
      </c>
      <c r="O2388">
        <v>100</v>
      </c>
      <c r="P2388">
        <v>100</v>
      </c>
      <c r="R2388" s="3" t="str">
        <f>HYPERLINK("https://panda.att.com.mx/ODKServer/view/binaryData?blobKey=FSSuministroFluidosv3%5B%40version%3Dnull+and+%40uiVersion%3Dnull%5D%2Fdata%5B%40key%3Duuid%3Ad0803bb8-624b-411d-868e-b8eba1d7fa4b%5D%2FgroupInfoFuel%5B%40ordinal%3D1%5D%2FpicFuelRecibeInterno","Descargar")</f>
        <v>Descargar</v>
      </c>
    </row>
    <row r="2389" spans="1:18" x14ac:dyDescent="0.3">
      <c r="A2389">
        <v>1548315</v>
      </c>
      <c r="B2389" t="s">
        <v>18</v>
      </c>
      <c r="C2389" t="s">
        <v>55</v>
      </c>
      <c r="D2389" t="s">
        <v>56</v>
      </c>
      <c r="E2389" t="s">
        <v>320</v>
      </c>
      <c r="F2389" t="s">
        <v>22</v>
      </c>
      <c r="G2389" t="s">
        <v>23</v>
      </c>
      <c r="H2389" t="s">
        <v>1763</v>
      </c>
      <c r="I2389" t="s">
        <v>25</v>
      </c>
      <c r="J2389" s="2">
        <v>45798.964537037027</v>
      </c>
      <c r="K2389">
        <v>21</v>
      </c>
      <c r="L2389">
        <v>5</v>
      </c>
      <c r="M2389">
        <v>2025</v>
      </c>
      <c r="N2389" t="s">
        <v>27</v>
      </c>
      <c r="O2389">
        <v>100</v>
      </c>
      <c r="P2389">
        <v>100</v>
      </c>
      <c r="R2389" s="3" t="str">
        <f>HYPERLINK("https://panda.att.com.mx/ODKServer/view/binaryData?blobKey=FSSuministroFluidosv3%5B%40version%3Dnull+and+%40uiVersion%3Dnull%5D%2Fdata%5B%40key%3Duuid%3A0f394f1f-4469-4cc7-99ad-74dfc84fddb8%5D%2FgroupInfoFuel%5B%40ordinal%3D1%5D%2FpicFuelRecibeInterno","Descargar")</f>
        <v>Descargar</v>
      </c>
    </row>
    <row r="2390" spans="1:18" x14ac:dyDescent="0.3">
      <c r="A2390">
        <v>1548314</v>
      </c>
      <c r="B2390" t="s">
        <v>18</v>
      </c>
      <c r="C2390" t="s">
        <v>55</v>
      </c>
      <c r="D2390" t="s">
        <v>56</v>
      </c>
      <c r="E2390" t="s">
        <v>2108</v>
      </c>
      <c r="F2390" t="s">
        <v>22</v>
      </c>
      <c r="G2390" t="s">
        <v>23</v>
      </c>
      <c r="H2390" t="s">
        <v>1763</v>
      </c>
      <c r="I2390" t="s">
        <v>25</v>
      </c>
      <c r="J2390" s="2">
        <v>45794.482974537037</v>
      </c>
      <c r="K2390">
        <v>17</v>
      </c>
      <c r="L2390">
        <v>5</v>
      </c>
      <c r="M2390">
        <v>2025</v>
      </c>
      <c r="N2390" t="s">
        <v>27</v>
      </c>
      <c r="O2390">
        <v>60</v>
      </c>
      <c r="P2390">
        <v>60</v>
      </c>
      <c r="R2390" s="3" t="str">
        <f>HYPERLINK("https://panda.att.com.mx/ODKServer/view/binaryData?blobKey=FSSuministroFluidosv3%5B%40version%3Dnull+and+%40uiVersion%3Dnull%5D%2Fdata%5B%40key%3Duuid%3A8cc6e6ea-1750-40ae-a7d2-fb569389ab3e%5D%2FgroupInfoFuel%5B%40ordinal%3D1%5D%2FpicFuelRecibeInterno","Descargar")</f>
        <v>Descargar</v>
      </c>
    </row>
    <row r="2391" spans="1:18" x14ac:dyDescent="0.3">
      <c r="A2391">
        <v>1548272</v>
      </c>
      <c r="B2391" t="s">
        <v>18</v>
      </c>
      <c r="C2391" t="s">
        <v>19</v>
      </c>
      <c r="D2391" t="s">
        <v>62</v>
      </c>
      <c r="E2391" t="s">
        <v>2109</v>
      </c>
      <c r="F2391" t="s">
        <v>22</v>
      </c>
      <c r="G2391" t="s">
        <v>23</v>
      </c>
      <c r="H2391" t="s">
        <v>24</v>
      </c>
      <c r="I2391" t="s">
        <v>25</v>
      </c>
      <c r="J2391" s="2">
        <v>45807.411759259259</v>
      </c>
      <c r="K2391">
        <v>30</v>
      </c>
      <c r="L2391">
        <v>5</v>
      </c>
      <c r="M2391">
        <v>2025</v>
      </c>
      <c r="N2391" t="s">
        <v>44</v>
      </c>
      <c r="O2391">
        <v>40</v>
      </c>
      <c r="P2391">
        <v>40</v>
      </c>
      <c r="R2391" s="3" t="str">
        <f>HYPERLINK("https://panda.att.com.mx/ODKServer/view/binaryData?blobKey=FSSuministroFluidosv3%5B%40version%3Dnull+and+%40uiVersion%3Dnull%5D%2Fdata%5B%40key%3Duuid%3A983fb02a-9302-4cf8-8c58-95565ab20b47%5D%2FgroupInfoFuel%5B%40ordinal%3D1%5D%2FpicFuelRecibeInterno","Descargar")</f>
        <v>Descargar</v>
      </c>
    </row>
    <row r="2392" spans="1:18" x14ac:dyDescent="0.3">
      <c r="A2392">
        <v>1548271</v>
      </c>
      <c r="B2392" t="s">
        <v>18</v>
      </c>
      <c r="C2392" t="s">
        <v>150</v>
      </c>
      <c r="D2392" t="s">
        <v>164</v>
      </c>
      <c r="E2392" t="s">
        <v>1688</v>
      </c>
      <c r="F2392" t="s">
        <v>22</v>
      </c>
      <c r="G2392" t="s">
        <v>23</v>
      </c>
      <c r="H2392" t="s">
        <v>1781</v>
      </c>
      <c r="I2392" t="s">
        <v>25</v>
      </c>
      <c r="J2392" s="2">
        <v>45807.357604166667</v>
      </c>
      <c r="K2392">
        <v>30</v>
      </c>
      <c r="L2392">
        <v>5</v>
      </c>
      <c r="M2392">
        <v>2025</v>
      </c>
      <c r="N2392" t="s">
        <v>27</v>
      </c>
      <c r="O2392">
        <v>100.02</v>
      </c>
      <c r="P2392">
        <v>100.02</v>
      </c>
      <c r="R2392" s="3" t="str">
        <f>HYPERLINK("https://panda.att.com.mx/ODKServer/view/binaryData?blobKey=FSSuministroFluidosv3%5B%40version%3Dnull+and+%40uiVersion%3Dnull%5D%2Fdata%5B%40key%3Duuid%3A1a318f1e-caa4-4ca8-b9fa-292f729b301f%5D%2FgroupInfoFuel%5B%40ordinal%3D1%5D%2FpicFuelRecibeInterno","Descargar")</f>
        <v>Descargar</v>
      </c>
    </row>
    <row r="2393" spans="1:18" x14ac:dyDescent="0.3">
      <c r="A2393">
        <v>1548263</v>
      </c>
      <c r="B2393" t="s">
        <v>18</v>
      </c>
      <c r="C2393" t="s">
        <v>28</v>
      </c>
      <c r="D2393" t="s">
        <v>1377</v>
      </c>
      <c r="E2393" t="s">
        <v>2110</v>
      </c>
      <c r="F2393" t="s">
        <v>22</v>
      </c>
      <c r="G2393" t="s">
        <v>23</v>
      </c>
      <c r="H2393" t="s">
        <v>24</v>
      </c>
      <c r="I2393" t="s">
        <v>25</v>
      </c>
      <c r="J2393" s="2">
        <v>45806.848599537043</v>
      </c>
      <c r="K2393">
        <v>29</v>
      </c>
      <c r="L2393">
        <v>5</v>
      </c>
      <c r="M2393">
        <v>2025</v>
      </c>
      <c r="N2393" t="s">
        <v>44</v>
      </c>
      <c r="O2393">
        <v>49.54</v>
      </c>
      <c r="P2393">
        <v>49.54</v>
      </c>
      <c r="R2393" s="3" t="str">
        <f>HYPERLINK("https://panda.att.com.mx/ODKServer/view/binaryData?blobKey=FSSuministroFluidosv3%5B%40version%3Dnull+and+%40uiVersion%3Dnull%5D%2Fdata%5B%40key%3Duuid%3A1135cff8-6c26-482b-9863-ead5693566dd%5D%2FgroupInfoFuel%5B%40ordinal%3D1%5D%2FpicFuelRecibeInterno","Descargar")</f>
        <v>Descargar</v>
      </c>
    </row>
    <row r="2394" spans="1:18" x14ac:dyDescent="0.3">
      <c r="A2394">
        <v>1548250</v>
      </c>
      <c r="B2394" t="s">
        <v>18</v>
      </c>
      <c r="C2394" t="s">
        <v>34</v>
      </c>
      <c r="D2394" t="s">
        <v>53</v>
      </c>
      <c r="E2394" t="s">
        <v>300</v>
      </c>
      <c r="F2394" t="s">
        <v>22</v>
      </c>
      <c r="G2394" t="s">
        <v>23</v>
      </c>
      <c r="H2394" t="s">
        <v>24</v>
      </c>
      <c r="I2394" t="s">
        <v>25</v>
      </c>
      <c r="J2394" s="2">
        <v>45805.641111111108</v>
      </c>
      <c r="K2394">
        <v>28</v>
      </c>
      <c r="L2394">
        <v>5</v>
      </c>
      <c r="M2394">
        <v>2025</v>
      </c>
      <c r="N2394" t="s">
        <v>27</v>
      </c>
      <c r="O2394">
        <v>150</v>
      </c>
      <c r="P2394">
        <v>150</v>
      </c>
      <c r="R2394" s="3" t="str">
        <f>HYPERLINK("https://panda.att.com.mx/ODKServer/view/binaryData?blobKey=FSSuministroFluidosv3%5B%40version%3Dnull+and+%40uiVersion%3Dnull%5D%2Fdata%5B%40key%3Duuid%3Aeadd0657-1c1f-49e7-847b-8c7805d874fb%5D%2FgroupInfoFuel%5B%40ordinal%3D1%5D%2FpicFuelRecibeInterno","Descargar")</f>
        <v>Descargar</v>
      </c>
    </row>
    <row r="2395" spans="1:18" x14ac:dyDescent="0.3">
      <c r="A2395">
        <v>1548178</v>
      </c>
      <c r="B2395" t="s">
        <v>18</v>
      </c>
      <c r="C2395" t="s">
        <v>55</v>
      </c>
      <c r="D2395" t="s">
        <v>56</v>
      </c>
      <c r="E2395" t="s">
        <v>57</v>
      </c>
      <c r="F2395" t="s">
        <v>22</v>
      </c>
      <c r="G2395" t="s">
        <v>23</v>
      </c>
      <c r="H2395" t="s">
        <v>1763</v>
      </c>
      <c r="I2395" t="s">
        <v>25</v>
      </c>
      <c r="J2395" s="2">
        <v>45784.517650462964</v>
      </c>
      <c r="K2395">
        <v>7</v>
      </c>
      <c r="L2395">
        <v>5</v>
      </c>
      <c r="M2395">
        <v>2025</v>
      </c>
      <c r="N2395" t="s">
        <v>27</v>
      </c>
      <c r="O2395">
        <v>100</v>
      </c>
      <c r="P2395">
        <v>100</v>
      </c>
      <c r="R2395" s="3" t="str">
        <f>HYPERLINK("https://panda.att.com.mx/ODKServer/view/binaryData?blobKey=FSSuministroFluidosv3%5B%40version%3Dnull+and+%40uiVersion%3Dnull%5D%2Fdata%5B%40key%3Duuid%3A6b95181e-4f6d-4613-a5f7-e0c36fe4d619%5D%2FgroupInfoFuel%5B%40ordinal%3D1%5D%2FpicFuelRecibeInterno","Descargar")</f>
        <v>Descargar</v>
      </c>
    </row>
    <row r="2396" spans="1:18" x14ac:dyDescent="0.3">
      <c r="A2396">
        <v>1548177</v>
      </c>
      <c r="B2396" t="s">
        <v>18</v>
      </c>
      <c r="C2396" t="s">
        <v>55</v>
      </c>
      <c r="D2396" t="s">
        <v>56</v>
      </c>
      <c r="E2396" t="s">
        <v>57</v>
      </c>
      <c r="F2396" t="s">
        <v>22</v>
      </c>
      <c r="G2396" t="s">
        <v>23</v>
      </c>
      <c r="H2396" t="s">
        <v>1763</v>
      </c>
      <c r="I2396" t="s">
        <v>25</v>
      </c>
      <c r="J2396" s="2">
        <v>45783.638958333337</v>
      </c>
      <c r="K2396">
        <v>6</v>
      </c>
      <c r="L2396">
        <v>5</v>
      </c>
      <c r="M2396">
        <v>2025</v>
      </c>
      <c r="N2396" t="s">
        <v>27</v>
      </c>
      <c r="O2396">
        <v>100</v>
      </c>
      <c r="P2396">
        <v>100</v>
      </c>
      <c r="R2396" s="3" t="str">
        <f>HYPERLINK("https://panda.att.com.mx/ODKServer/view/binaryData?blobKey=FSSuministroFluidosv3%5B%40version%3Dnull+and+%40uiVersion%3Dnull%5D%2Fdata%5B%40key%3Duuid%3A0732ff54-e84f-4c87-b1dd-90e497b8d479%5D%2FgroupInfoFuel%5B%40ordinal%3D1%5D%2FpicFuelRecibeInterno","Descargar")</f>
        <v>Descargar</v>
      </c>
    </row>
    <row r="2397" spans="1:18" x14ac:dyDescent="0.3">
      <c r="A2397">
        <v>1548140</v>
      </c>
      <c r="B2397" t="s">
        <v>18</v>
      </c>
      <c r="C2397" t="s">
        <v>55</v>
      </c>
      <c r="D2397" t="s">
        <v>56</v>
      </c>
      <c r="E2397" t="s">
        <v>2089</v>
      </c>
      <c r="F2397" t="s">
        <v>22</v>
      </c>
      <c r="G2397" t="s">
        <v>23</v>
      </c>
      <c r="H2397" t="s">
        <v>1763</v>
      </c>
      <c r="I2397" t="s">
        <v>25</v>
      </c>
      <c r="J2397" s="2">
        <v>45806.558819444443</v>
      </c>
      <c r="K2397">
        <v>29</v>
      </c>
      <c r="L2397">
        <v>5</v>
      </c>
      <c r="M2397">
        <v>2025</v>
      </c>
      <c r="N2397" t="s">
        <v>27</v>
      </c>
      <c r="O2397">
        <v>300</v>
      </c>
      <c r="P2397">
        <v>300</v>
      </c>
      <c r="R2397" s="3" t="str">
        <f>HYPERLINK("https://panda.att.com.mx/ODKServer/view/binaryData?blobKey=FSSuministroFluidosv3%5B%40version%3Dnull+and+%40uiVersion%3Dnull%5D%2Fdata%5B%40key%3Duuid%3A42503777-58d9-408a-8257-b1b3cc70defd%5D%2FgroupInfoFuel%5B%40ordinal%3D1%5D%2FpicFuelRecibeInterno","Descargar")</f>
        <v>Descargar</v>
      </c>
    </row>
    <row r="2398" spans="1:18" x14ac:dyDescent="0.3">
      <c r="A2398">
        <v>1548139</v>
      </c>
      <c r="B2398" t="s">
        <v>18</v>
      </c>
      <c r="C2398" t="s">
        <v>19</v>
      </c>
      <c r="D2398" t="s">
        <v>45</v>
      </c>
      <c r="E2398" t="s">
        <v>2111</v>
      </c>
      <c r="F2398" t="s">
        <v>22</v>
      </c>
      <c r="G2398" t="s">
        <v>23</v>
      </c>
      <c r="H2398" t="s">
        <v>24</v>
      </c>
      <c r="I2398" t="s">
        <v>25</v>
      </c>
      <c r="J2398" s="2">
        <v>45785.62462962963</v>
      </c>
      <c r="K2398">
        <v>8</v>
      </c>
      <c r="L2398">
        <v>5</v>
      </c>
      <c r="M2398">
        <v>2025</v>
      </c>
      <c r="N2398" t="s">
        <v>27</v>
      </c>
      <c r="O2398">
        <v>200</v>
      </c>
      <c r="P2398">
        <v>200</v>
      </c>
      <c r="R2398" s="3" t="str">
        <f>HYPERLINK("https://panda.att.com.mx/ODKServer/view/binaryData?blobKey=FSSuministroFluidosv3%5B%40version%3Dnull+and+%40uiVersion%3Dnull%5D%2Fdata%5B%40key%3Duuid%3Ab5302349-d554-438b-b5d6-d163bf954cdb%5D%2FgroupInfoFuel%5B%40ordinal%3D1%5D%2FpicFuelRecibeInterno","Descargar")</f>
        <v>Descargar</v>
      </c>
    </row>
    <row r="2399" spans="1:18" x14ac:dyDescent="0.3">
      <c r="A2399">
        <v>1548137</v>
      </c>
      <c r="B2399" t="s">
        <v>18</v>
      </c>
      <c r="C2399" t="s">
        <v>55</v>
      </c>
      <c r="D2399" t="s">
        <v>56</v>
      </c>
      <c r="E2399" t="s">
        <v>1555</v>
      </c>
      <c r="F2399" t="s">
        <v>22</v>
      </c>
      <c r="G2399" t="s">
        <v>23</v>
      </c>
      <c r="H2399" t="s">
        <v>1763</v>
      </c>
      <c r="I2399" t="s">
        <v>25</v>
      </c>
      <c r="J2399" s="2">
        <v>45806.682002314818</v>
      </c>
      <c r="K2399">
        <v>29</v>
      </c>
      <c r="L2399">
        <v>5</v>
      </c>
      <c r="M2399">
        <v>2025</v>
      </c>
      <c r="N2399" t="s">
        <v>27</v>
      </c>
      <c r="O2399">
        <v>300</v>
      </c>
      <c r="P2399">
        <v>300</v>
      </c>
      <c r="R2399" s="3" t="str">
        <f>HYPERLINK("https://panda.att.com.mx/ODKServer/view/binaryData?blobKey=FSSuministroFluidosv3%5B%40version%3Dnull+and+%40uiVersion%3Dnull%5D%2Fdata%5B%40key%3Duuid%3Ac8ea38dc-2978-4371-a3e5-beb4d13ad427%5D%2FgroupInfoFuel%5B%40ordinal%3D1%5D%2FpicFuelRecibeInterno","Descargar")</f>
        <v>Descargar</v>
      </c>
    </row>
    <row r="2400" spans="1:18" x14ac:dyDescent="0.3">
      <c r="A2400">
        <v>1548136</v>
      </c>
      <c r="B2400" t="s">
        <v>18</v>
      </c>
      <c r="C2400" t="s">
        <v>55</v>
      </c>
      <c r="D2400" t="s">
        <v>56</v>
      </c>
      <c r="E2400" t="s">
        <v>1842</v>
      </c>
      <c r="F2400" t="s">
        <v>22</v>
      </c>
      <c r="G2400" t="s">
        <v>23</v>
      </c>
      <c r="H2400" t="s">
        <v>1763</v>
      </c>
      <c r="I2400" t="s">
        <v>25</v>
      </c>
      <c r="J2400" s="2">
        <v>45789.42728009259</v>
      </c>
      <c r="K2400">
        <v>12</v>
      </c>
      <c r="L2400">
        <v>5</v>
      </c>
      <c r="M2400">
        <v>2025</v>
      </c>
      <c r="N2400" t="s">
        <v>27</v>
      </c>
      <c r="O2400">
        <v>300</v>
      </c>
      <c r="P2400">
        <v>300</v>
      </c>
      <c r="R2400" s="3" t="str">
        <f>HYPERLINK("https://panda.att.com.mx/ODKServer/view/binaryData?blobKey=FSSuministroFluidosv3%5B%40version%3Dnull+and+%40uiVersion%3Dnull%5D%2Fdata%5B%40key%3Duuid%3A24c290c2-bda1-4c77-b12e-b8adea3351de%5D%2FgroupInfoFuel%5B%40ordinal%3D1%5D%2FpicFuelRecibeInterno","Descargar")</f>
        <v>Descargar</v>
      </c>
    </row>
    <row r="2401" spans="1:18" x14ac:dyDescent="0.3">
      <c r="A2401">
        <v>1548135</v>
      </c>
      <c r="B2401" t="s">
        <v>18</v>
      </c>
      <c r="C2401" t="s">
        <v>55</v>
      </c>
      <c r="D2401" t="s">
        <v>56</v>
      </c>
      <c r="E2401" t="s">
        <v>1555</v>
      </c>
      <c r="F2401" t="s">
        <v>22</v>
      </c>
      <c r="G2401" t="s">
        <v>23</v>
      </c>
      <c r="H2401" t="s">
        <v>1763</v>
      </c>
      <c r="I2401" t="s">
        <v>25</v>
      </c>
      <c r="J2401" s="2">
        <v>45789.473506944443</v>
      </c>
      <c r="K2401">
        <v>12</v>
      </c>
      <c r="L2401">
        <v>5</v>
      </c>
      <c r="M2401">
        <v>2025</v>
      </c>
      <c r="N2401" t="s">
        <v>27</v>
      </c>
      <c r="O2401">
        <v>100</v>
      </c>
      <c r="P2401">
        <v>100</v>
      </c>
      <c r="R2401" s="3" t="str">
        <f>HYPERLINK("https://panda.att.com.mx/ODKServer/view/binaryData?blobKey=FSSuministroFluidosv3%5B%40version%3Dnull+and+%40uiVersion%3Dnull%5D%2Fdata%5B%40key%3Duuid%3A295892b6-2b68-4cbf-bfee-119a4202fbcf%5D%2FgroupInfoFuel%5B%40ordinal%3D1%5D%2FpicFuelRecibeInterno","Descargar")</f>
        <v>Descargar</v>
      </c>
    </row>
    <row r="2402" spans="1:18" x14ac:dyDescent="0.3">
      <c r="A2402">
        <v>1546910</v>
      </c>
      <c r="B2402" t="s">
        <v>18</v>
      </c>
      <c r="C2402" t="s">
        <v>59</v>
      </c>
      <c r="D2402" t="s">
        <v>2112</v>
      </c>
      <c r="E2402" t="s">
        <v>2113</v>
      </c>
      <c r="F2402" t="s">
        <v>22</v>
      </c>
      <c r="G2402" t="s">
        <v>23</v>
      </c>
      <c r="H2402" t="s">
        <v>37</v>
      </c>
      <c r="I2402" t="s">
        <v>84</v>
      </c>
      <c r="J2402" s="2">
        <v>45805.50372685185</v>
      </c>
      <c r="K2402">
        <v>28</v>
      </c>
      <c r="L2402">
        <v>5</v>
      </c>
      <c r="M2402">
        <v>2025</v>
      </c>
      <c r="N2402" t="s">
        <v>27</v>
      </c>
      <c r="O2402">
        <v>225</v>
      </c>
      <c r="Q2402">
        <v>225</v>
      </c>
      <c r="R2402" s="3" t="str">
        <f>HYPERLINK("https://panda.att.com.mx/ODKServer/view/binaryData?blobKey=FSSuministroFluidosv3%5B%40version%3Dnull+and+%40uiVersion%3Dnull%5D%2Fdata%5B%40key%3Duuid%3A222fe491-770f-4838-b875-522ac3554840%5D%2FgroupInfoFuel%5B%40ordinal%3D1%5D%2FpicFuelRecibeInterno","Descargar")</f>
        <v>Descargar</v>
      </c>
    </row>
    <row r="2403" spans="1:18" x14ac:dyDescent="0.3">
      <c r="A2403">
        <v>1546908</v>
      </c>
      <c r="B2403" t="s">
        <v>18</v>
      </c>
      <c r="C2403" t="s">
        <v>55</v>
      </c>
      <c r="D2403" t="s">
        <v>56</v>
      </c>
      <c r="E2403" t="s">
        <v>2114</v>
      </c>
      <c r="F2403" t="s">
        <v>22</v>
      </c>
      <c r="G2403" t="s">
        <v>23</v>
      </c>
      <c r="H2403" t="s">
        <v>1763</v>
      </c>
      <c r="I2403" t="s">
        <v>25</v>
      </c>
      <c r="J2403" s="2">
        <v>45805.866909722223</v>
      </c>
      <c r="K2403">
        <v>28</v>
      </c>
      <c r="L2403">
        <v>5</v>
      </c>
      <c r="M2403">
        <v>2025</v>
      </c>
      <c r="N2403" t="s">
        <v>27</v>
      </c>
      <c r="O2403">
        <v>100</v>
      </c>
      <c r="P2403">
        <v>100</v>
      </c>
      <c r="R2403" s="3" t="str">
        <f>HYPERLINK("https://panda.att.com.mx/ODKServer/view/binaryData?blobKey=FSSuministroFluidosv3%5B%40version%3Dnull+and+%40uiVersion%3Dnull%5D%2Fdata%5B%40key%3Duuid%3A880150b9-5b56-4f90-ae57-e52fbc54c38b%5D%2FgroupInfoFuel%5B%40ordinal%3D1%5D%2FpicFuelRecibeInterno","Descargar")</f>
        <v>Descargar</v>
      </c>
    </row>
    <row r="2404" spans="1:18" x14ac:dyDescent="0.3">
      <c r="A2404">
        <v>1546715</v>
      </c>
      <c r="B2404" t="s">
        <v>18</v>
      </c>
      <c r="C2404" t="s">
        <v>34</v>
      </c>
      <c r="D2404" t="s">
        <v>53</v>
      </c>
      <c r="E2404" t="s">
        <v>2115</v>
      </c>
      <c r="F2404" t="s">
        <v>22</v>
      </c>
      <c r="G2404" t="s">
        <v>23</v>
      </c>
      <c r="H2404" t="s">
        <v>37</v>
      </c>
      <c r="I2404" t="s">
        <v>25</v>
      </c>
      <c r="J2404" s="2">
        <v>45805.488935185182</v>
      </c>
      <c r="K2404">
        <v>28</v>
      </c>
      <c r="L2404">
        <v>5</v>
      </c>
      <c r="M2404">
        <v>2025</v>
      </c>
      <c r="N2404" t="s">
        <v>27</v>
      </c>
      <c r="O2404">
        <v>400</v>
      </c>
      <c r="Q2404">
        <v>400</v>
      </c>
      <c r="R2404" s="3" t="str">
        <f>HYPERLINK("https://panda.att.com.mx/ODKServer/view/binaryData?blobKey=FSSuministroFluidosv3%5B%40version%3Dnull+and+%40uiVersion%3Dnull%5D%2Fdata%5B%40key%3Duuid%3A7da61ff2-c0a3-4fb6-a1c9-b39379c49c17%5D%2FgroupInfoFuel%5B%40ordinal%3D1%5D%2FpicFuelRecibeInterno","Descargar")</f>
        <v>Descargar</v>
      </c>
    </row>
    <row r="2405" spans="1:18" x14ac:dyDescent="0.3">
      <c r="A2405">
        <v>1546714</v>
      </c>
      <c r="B2405" t="s">
        <v>18</v>
      </c>
      <c r="C2405" t="s">
        <v>19</v>
      </c>
      <c r="D2405" t="s">
        <v>45</v>
      </c>
      <c r="E2405" t="s">
        <v>752</v>
      </c>
      <c r="F2405" t="s">
        <v>22</v>
      </c>
      <c r="G2405" t="s">
        <v>23</v>
      </c>
      <c r="H2405" t="s">
        <v>24</v>
      </c>
      <c r="I2405" t="s">
        <v>25</v>
      </c>
      <c r="J2405" s="2">
        <v>45805.501018518517</v>
      </c>
      <c r="K2405">
        <v>28</v>
      </c>
      <c r="L2405">
        <v>5</v>
      </c>
      <c r="M2405">
        <v>2025</v>
      </c>
      <c r="N2405" t="s">
        <v>27</v>
      </c>
      <c r="O2405">
        <v>300</v>
      </c>
      <c r="P2405">
        <v>300</v>
      </c>
      <c r="R2405" s="3" t="str">
        <f>HYPERLINK("https://panda.att.com.mx/ODKServer/view/binaryData?blobKey=FSSuministroFluidosv3%5B%40version%3Dnull+and+%40uiVersion%3Dnull%5D%2Fdata%5B%40key%3Duuid%3A2180f972-3e64-4544-b4e1-cf3b1437da92%5D%2FgroupInfoFuel%5B%40ordinal%3D1%5D%2FpicFuelRecibeInterno","Descargar")</f>
        <v>Descargar</v>
      </c>
    </row>
    <row r="2406" spans="1:18" x14ac:dyDescent="0.3">
      <c r="A2406">
        <v>1546679</v>
      </c>
      <c r="B2406" t="s">
        <v>18</v>
      </c>
      <c r="C2406" t="s">
        <v>19</v>
      </c>
      <c r="D2406" t="s">
        <v>45</v>
      </c>
      <c r="E2406" t="s">
        <v>2116</v>
      </c>
      <c r="F2406" t="s">
        <v>22</v>
      </c>
      <c r="G2406" t="s">
        <v>23</v>
      </c>
      <c r="H2406" t="s">
        <v>24</v>
      </c>
      <c r="I2406" t="s">
        <v>25</v>
      </c>
      <c r="J2406" s="2">
        <v>45804.45685185185</v>
      </c>
      <c r="K2406">
        <v>27</v>
      </c>
      <c r="L2406">
        <v>5</v>
      </c>
      <c r="M2406">
        <v>2025</v>
      </c>
      <c r="N2406" t="s">
        <v>27</v>
      </c>
      <c r="O2406">
        <v>300</v>
      </c>
      <c r="P2406">
        <v>300</v>
      </c>
      <c r="R2406" s="3" t="str">
        <f>HYPERLINK("https://panda.att.com.mx/ODKServer/view/binaryData?blobKey=FSSuministroFluidosv3%5B%40version%3Dnull+and+%40uiVersion%3Dnull%5D%2Fdata%5B%40key%3Duuid%3A4fb8fc83-b1a0-4a42-9671-1d46eaec0349%5D%2FgroupInfoFuel%5B%40ordinal%3D1%5D%2FpicFuelRecibeInterno","Descargar")</f>
        <v>Descargar</v>
      </c>
    </row>
    <row r="2407" spans="1:18" x14ac:dyDescent="0.3">
      <c r="A2407">
        <v>1546661</v>
      </c>
      <c r="B2407" t="s">
        <v>18</v>
      </c>
      <c r="C2407" t="s">
        <v>19</v>
      </c>
      <c r="D2407" t="s">
        <v>45</v>
      </c>
      <c r="E2407" t="s">
        <v>2117</v>
      </c>
      <c r="F2407" t="s">
        <v>22</v>
      </c>
      <c r="G2407" t="s">
        <v>23</v>
      </c>
      <c r="H2407" t="s">
        <v>24</v>
      </c>
      <c r="I2407" t="s">
        <v>25</v>
      </c>
      <c r="J2407" s="2">
        <v>45804.642650462964</v>
      </c>
      <c r="K2407">
        <v>27</v>
      </c>
      <c r="L2407">
        <v>5</v>
      </c>
      <c r="M2407">
        <v>2025</v>
      </c>
      <c r="N2407" t="s">
        <v>27</v>
      </c>
      <c r="O2407">
        <v>100</v>
      </c>
      <c r="P2407">
        <v>100</v>
      </c>
      <c r="R2407" s="3" t="str">
        <f>HYPERLINK("https://panda.att.com.mx/ODKServer/view/binaryData?blobKey=FSSuministroFluidosv3%5B%40version%3Dnull+and+%40uiVersion%3Dnull%5D%2Fdata%5B%40key%3Duuid%3A19590002-1b20-4002-a270-90f6b3ed7968%5D%2FgroupInfoFuel%5B%40ordinal%3D1%5D%2FpicFuelRecibeInterno","Descargar")</f>
        <v>Descargar</v>
      </c>
    </row>
    <row r="2408" spans="1:18" x14ac:dyDescent="0.3">
      <c r="A2408">
        <v>1546651</v>
      </c>
      <c r="B2408" t="s">
        <v>18</v>
      </c>
      <c r="C2408" t="s">
        <v>100</v>
      </c>
      <c r="D2408" t="s">
        <v>716</v>
      </c>
      <c r="E2408" t="s">
        <v>717</v>
      </c>
      <c r="F2408" t="s">
        <v>22</v>
      </c>
      <c r="G2408" t="s">
        <v>83</v>
      </c>
      <c r="H2408" t="s">
        <v>1781</v>
      </c>
      <c r="I2408" t="s">
        <v>25</v>
      </c>
      <c r="J2408" s="2">
        <v>45805.667071759257</v>
      </c>
      <c r="K2408">
        <v>28</v>
      </c>
      <c r="L2408">
        <v>5</v>
      </c>
      <c r="M2408">
        <v>2025</v>
      </c>
      <c r="N2408" t="s">
        <v>27</v>
      </c>
      <c r="O2408">
        <v>150</v>
      </c>
      <c r="P2408">
        <v>150</v>
      </c>
      <c r="R2408" s="3" t="str">
        <f>HYPERLINK("https://panda.att.com.mx/ODKServer/view/binaryData?blobKey=FSSuministroFluidosv3%5B%40version%3Dnull+and+%40uiVersion%3Dnull%5D%2Fdata%5B%40key%3Duuid%3Abe1d30a3-a153-4b3e-9959-fc18f69fd5af%5D%2FgroupInfoFuel%5B%40ordinal%3D1%5D%2FpicFuelRecibeInterno","Descargar")</f>
        <v>Descargar</v>
      </c>
    </row>
    <row r="2409" spans="1:18" x14ac:dyDescent="0.3">
      <c r="A2409">
        <v>1546591</v>
      </c>
      <c r="B2409" t="s">
        <v>18</v>
      </c>
      <c r="C2409" t="s">
        <v>55</v>
      </c>
      <c r="D2409" t="s">
        <v>366</v>
      </c>
      <c r="E2409" t="s">
        <v>1544</v>
      </c>
      <c r="F2409" t="s">
        <v>22</v>
      </c>
      <c r="G2409" t="s">
        <v>23</v>
      </c>
      <c r="H2409" t="s">
        <v>1781</v>
      </c>
      <c r="I2409" t="s">
        <v>25</v>
      </c>
      <c r="J2409" s="2">
        <v>45805.60832175926</v>
      </c>
      <c r="K2409">
        <v>28</v>
      </c>
      <c r="L2409">
        <v>5</v>
      </c>
      <c r="M2409">
        <v>2025</v>
      </c>
      <c r="N2409" t="s">
        <v>27</v>
      </c>
      <c r="O2409">
        <v>164.54</v>
      </c>
      <c r="P2409">
        <v>164.54</v>
      </c>
      <c r="R2409" s="3" t="str">
        <f>HYPERLINK("https://panda.att.com.mx/ODKServer/view/binaryData?blobKey=FSSuministroFluidosv3%5B%40version%3Dnull+and+%40uiVersion%3Dnull%5D%2Fdata%5B%40key%3Duuid%3A02f31699-ec45-41de-87f9-23912b971149%5D%2FgroupInfoFuel%5B%40ordinal%3D1%5D%2FpicFuelRecibeInterno","Descargar")</f>
        <v>Descargar</v>
      </c>
    </row>
    <row r="2410" spans="1:18" x14ac:dyDescent="0.3">
      <c r="A2410">
        <v>1546570</v>
      </c>
      <c r="B2410" t="s">
        <v>18</v>
      </c>
      <c r="C2410" t="s">
        <v>19</v>
      </c>
      <c r="D2410" t="s">
        <v>1048</v>
      </c>
      <c r="E2410" t="s">
        <v>1049</v>
      </c>
      <c r="F2410" t="s">
        <v>22</v>
      </c>
      <c r="G2410" t="s">
        <v>23</v>
      </c>
      <c r="H2410" t="s">
        <v>24</v>
      </c>
      <c r="I2410" t="s">
        <v>25</v>
      </c>
      <c r="J2410" s="2">
        <v>45799.847858796304</v>
      </c>
      <c r="K2410">
        <v>22</v>
      </c>
      <c r="L2410">
        <v>5</v>
      </c>
      <c r="M2410">
        <v>2025</v>
      </c>
      <c r="N2410" t="s">
        <v>44</v>
      </c>
      <c r="O2410">
        <v>57</v>
      </c>
      <c r="P2410">
        <v>57</v>
      </c>
      <c r="R2410" s="3" t="str">
        <f>HYPERLINK("https://panda.att.com.mx/ODKServer/view/binaryData?blobKey=FSSuministroFluidosv3%5B%40version%3Dnull+and+%40uiVersion%3Dnull%5D%2Fdata%5B%40key%3Duuid%3Af68d1aa4-ba63-43d8-9cc1-86fcfa65e8a3%5D%2FgroupInfoFuel%5B%40ordinal%3D1%5D%2FpicFuelRecibeInterno","Descargar")</f>
        <v>Descargar</v>
      </c>
    </row>
    <row r="2411" spans="1:18" x14ac:dyDescent="0.3">
      <c r="A2411">
        <v>1546544</v>
      </c>
      <c r="B2411" t="s">
        <v>18</v>
      </c>
      <c r="C2411" t="s">
        <v>34</v>
      </c>
      <c r="D2411" t="s">
        <v>53</v>
      </c>
      <c r="E2411" t="s">
        <v>1979</v>
      </c>
      <c r="F2411" t="s">
        <v>22</v>
      </c>
      <c r="G2411" t="s">
        <v>23</v>
      </c>
      <c r="H2411" t="s">
        <v>37</v>
      </c>
      <c r="I2411" t="s">
        <v>25</v>
      </c>
      <c r="J2411" s="2">
        <v>45805.331759259258</v>
      </c>
      <c r="K2411">
        <v>28</v>
      </c>
      <c r="L2411">
        <v>5</v>
      </c>
      <c r="M2411">
        <v>2025</v>
      </c>
      <c r="N2411" t="s">
        <v>27</v>
      </c>
      <c r="O2411">
        <v>250</v>
      </c>
      <c r="P2411">
        <v>250</v>
      </c>
      <c r="R2411" s="3" t="str">
        <f>HYPERLINK("https://panda.att.com.mx/ODKServer/view/binaryData?blobKey=FSSuministroFluidosv3%5B%40version%3Dnull+and+%40uiVersion%3Dnull%5D%2Fdata%5B%40key%3Duuid%3A4388762e-928b-495b-83f9-4ec2c498732e%5D%2FgroupInfoFuel%5B%40ordinal%3D1%5D%2FpicFuelRecibeInterno","Descargar")</f>
        <v>Descargar</v>
      </c>
    </row>
    <row r="2412" spans="1:18" x14ac:dyDescent="0.3">
      <c r="A2412">
        <v>1546543</v>
      </c>
      <c r="B2412" t="s">
        <v>18</v>
      </c>
      <c r="C2412" t="s">
        <v>34</v>
      </c>
      <c r="D2412" t="s">
        <v>53</v>
      </c>
      <c r="E2412" t="s">
        <v>1979</v>
      </c>
      <c r="F2412" t="s">
        <v>22</v>
      </c>
      <c r="G2412" t="s">
        <v>23</v>
      </c>
      <c r="H2412" t="s">
        <v>37</v>
      </c>
      <c r="I2412" t="s">
        <v>25</v>
      </c>
      <c r="J2412" s="2">
        <v>45805.29074074074</v>
      </c>
      <c r="K2412">
        <v>28</v>
      </c>
      <c r="L2412">
        <v>5</v>
      </c>
      <c r="M2412">
        <v>2025</v>
      </c>
      <c r="N2412" t="s">
        <v>27</v>
      </c>
      <c r="O2412">
        <v>500</v>
      </c>
      <c r="P2412">
        <v>500</v>
      </c>
      <c r="R2412" s="3" t="str">
        <f>HYPERLINK("https://panda.att.com.mx/ODKServer/view/binaryData?blobKey=FSSuministroFluidosv3%5B%40version%3Dnull+and+%40uiVersion%3Dnull%5D%2Fdata%5B%40key%3Duuid%3Afb722df0-e7bb-47b2-9964-6c8b5863dae7%5D%2FgroupInfoFuel%5B%40ordinal%3D1%5D%2FpicFuelRecibeInterno","Descargar")</f>
        <v>Descargar</v>
      </c>
    </row>
    <row r="2413" spans="1:18" x14ac:dyDescent="0.3">
      <c r="A2413">
        <v>1546542</v>
      </c>
      <c r="B2413" t="s">
        <v>18</v>
      </c>
      <c r="C2413" t="s">
        <v>34</v>
      </c>
      <c r="D2413" t="s">
        <v>292</v>
      </c>
      <c r="E2413" t="s">
        <v>2080</v>
      </c>
      <c r="F2413" t="s">
        <v>22</v>
      </c>
      <c r="G2413" t="s">
        <v>23</v>
      </c>
      <c r="H2413" t="s">
        <v>37</v>
      </c>
      <c r="I2413" t="s">
        <v>25</v>
      </c>
      <c r="J2413" s="2">
        <v>45804.958101851851</v>
      </c>
      <c r="K2413">
        <v>27</v>
      </c>
      <c r="L2413">
        <v>5</v>
      </c>
      <c r="M2413">
        <v>2025</v>
      </c>
      <c r="N2413" t="s">
        <v>27</v>
      </c>
      <c r="O2413">
        <v>150</v>
      </c>
      <c r="P2413">
        <v>150</v>
      </c>
      <c r="R2413" s="3" t="str">
        <f>HYPERLINK("https://panda.att.com.mx/ODKServer/view/binaryData?blobKey=FSSuministroFluidosv3%5B%40version%3Dnull+and+%40uiVersion%3Dnull%5D%2Fdata%5B%40key%3Duuid%3A35d94eef-e83e-49b8-b765-b6cd7083efd1%5D%2FgroupInfoFuel%5B%40ordinal%3D1%5D%2FpicFuelRecibeInterno","Descargar")</f>
        <v>Descargar</v>
      </c>
    </row>
    <row r="2414" spans="1:18" x14ac:dyDescent="0.3">
      <c r="A2414">
        <v>1546404</v>
      </c>
      <c r="B2414" t="s">
        <v>18</v>
      </c>
      <c r="C2414" t="s">
        <v>150</v>
      </c>
      <c r="D2414" t="s">
        <v>154</v>
      </c>
      <c r="E2414" t="s">
        <v>2118</v>
      </c>
      <c r="F2414" t="s">
        <v>22</v>
      </c>
      <c r="G2414" t="s">
        <v>23</v>
      </c>
      <c r="H2414" t="s">
        <v>1781</v>
      </c>
      <c r="I2414" t="s">
        <v>25</v>
      </c>
      <c r="J2414" s="2">
        <v>45805.386840277781</v>
      </c>
      <c r="K2414">
        <v>28</v>
      </c>
      <c r="L2414">
        <v>5</v>
      </c>
      <c r="M2414">
        <v>2025</v>
      </c>
      <c r="N2414" t="s">
        <v>27</v>
      </c>
      <c r="O2414">
        <v>300</v>
      </c>
      <c r="P2414">
        <v>300</v>
      </c>
      <c r="R2414" s="3" t="str">
        <f>HYPERLINK("https://panda.att.com.mx/ODKServer/view/binaryData?blobKey=FSSuministroFluidosv3%5B%40version%3Dnull+and+%40uiVersion%3Dnull%5D%2Fdata%5B%40key%3Duuid%3A7939452e-cc71-4d1d-8d63-c734c293d673%5D%2FgroupInfoFuel%5B%40ordinal%3D1%5D%2FpicFuelRecibeInterno","Descargar")</f>
        <v>Descargar</v>
      </c>
    </row>
    <row r="2415" spans="1:18" x14ac:dyDescent="0.3">
      <c r="A2415">
        <v>1546386</v>
      </c>
      <c r="B2415" t="s">
        <v>18</v>
      </c>
      <c r="C2415" t="s">
        <v>28</v>
      </c>
      <c r="D2415" t="s">
        <v>315</v>
      </c>
      <c r="E2415" t="s">
        <v>703</v>
      </c>
      <c r="F2415" t="s">
        <v>22</v>
      </c>
      <c r="G2415" t="s">
        <v>23</v>
      </c>
      <c r="H2415" t="s">
        <v>24</v>
      </c>
      <c r="I2415" t="s">
        <v>25</v>
      </c>
      <c r="J2415" s="2">
        <v>45805.366342592592</v>
      </c>
      <c r="K2415">
        <v>28</v>
      </c>
      <c r="L2415">
        <v>5</v>
      </c>
      <c r="M2415">
        <v>2025</v>
      </c>
      <c r="N2415" t="s">
        <v>27</v>
      </c>
      <c r="O2415">
        <v>300</v>
      </c>
      <c r="P2415">
        <v>300</v>
      </c>
      <c r="R2415" s="3" t="str">
        <f>HYPERLINK("https://panda.att.com.mx/ODKServer/view/binaryData?blobKey=FSSuministroFluidosv3%5B%40version%3Dnull+and+%40uiVersion%3Dnull%5D%2Fdata%5B%40key%3Duuid%3A540ab795-3618-4609-bdb5-6be6b6f38c05%5D%2FgroupInfoFuel%5B%40ordinal%3D1%5D%2FpicFuelRecibeInterno","Descargar")</f>
        <v>Descargar</v>
      </c>
    </row>
    <row r="2416" spans="1:18" x14ac:dyDescent="0.3">
      <c r="A2416">
        <v>1546252</v>
      </c>
      <c r="B2416" t="s">
        <v>18</v>
      </c>
      <c r="C2416" t="s">
        <v>55</v>
      </c>
      <c r="D2416" t="s">
        <v>56</v>
      </c>
      <c r="E2416" t="s">
        <v>2083</v>
      </c>
      <c r="F2416" t="s">
        <v>22</v>
      </c>
      <c r="G2416" t="s">
        <v>23</v>
      </c>
      <c r="H2416" t="s">
        <v>1763</v>
      </c>
      <c r="I2416" t="s">
        <v>25</v>
      </c>
      <c r="J2416" s="2">
        <v>45804.447766203702</v>
      </c>
      <c r="K2416">
        <v>27</v>
      </c>
      <c r="L2416">
        <v>5</v>
      </c>
      <c r="M2416">
        <v>2025</v>
      </c>
      <c r="N2416" t="s">
        <v>27</v>
      </c>
      <c r="O2416">
        <v>100</v>
      </c>
      <c r="P2416">
        <v>100</v>
      </c>
      <c r="R2416" s="3" t="str">
        <f>HYPERLINK("https://panda.att.com.mx/ODKServer/view/binaryData?blobKey=FSSuministroFluidosv3%5B%40version%3Dnull+and+%40uiVersion%3Dnull%5D%2Fdata%5B%40key%3Duuid%3A11f0ba5f-36f8-42f6-9093-07705fc9f61c%5D%2FgroupInfoFuel%5B%40ordinal%3D1%5D%2FpicFuelRecibeInterno","Descargar")</f>
        <v>Descargar</v>
      </c>
    </row>
    <row r="2417" spans="1:18" x14ac:dyDescent="0.3">
      <c r="A2417">
        <v>1546208</v>
      </c>
      <c r="B2417" t="s">
        <v>18</v>
      </c>
      <c r="C2417" t="s">
        <v>34</v>
      </c>
      <c r="D2417" t="s">
        <v>51</v>
      </c>
      <c r="E2417" t="s">
        <v>631</v>
      </c>
      <c r="F2417" t="s">
        <v>22</v>
      </c>
      <c r="G2417" t="s">
        <v>23</v>
      </c>
      <c r="H2417" t="s">
        <v>24</v>
      </c>
      <c r="I2417" t="s">
        <v>25</v>
      </c>
      <c r="J2417" s="2">
        <v>45804.628368055557</v>
      </c>
      <c r="K2417">
        <v>27</v>
      </c>
      <c r="L2417">
        <v>5</v>
      </c>
      <c r="M2417">
        <v>2025</v>
      </c>
      <c r="N2417" t="s">
        <v>27</v>
      </c>
      <c r="O2417">
        <v>300</v>
      </c>
      <c r="P2417">
        <v>300</v>
      </c>
      <c r="R2417" s="3" t="str">
        <f>HYPERLINK("https://panda.att.com.mx/ODKServer/view/binaryData?blobKey=FSSuministroFluidosv3%5B%40version%3Dnull+and+%40uiVersion%3Dnull%5D%2Fdata%5B%40key%3Duuid%3Aaf192072-7381-4962-b284-c760b56c4c40%5D%2FgroupInfoFuel%5B%40ordinal%3D1%5D%2FpicFuelRecibeInterno","Descargar")</f>
        <v>Descargar</v>
      </c>
    </row>
    <row r="2418" spans="1:18" x14ac:dyDescent="0.3">
      <c r="A2418">
        <v>1546163</v>
      </c>
      <c r="B2418" t="s">
        <v>18</v>
      </c>
      <c r="C2418" t="s">
        <v>34</v>
      </c>
      <c r="D2418" t="s">
        <v>53</v>
      </c>
      <c r="E2418" t="s">
        <v>2119</v>
      </c>
      <c r="F2418" t="s">
        <v>22</v>
      </c>
      <c r="G2418" t="s">
        <v>23</v>
      </c>
      <c r="H2418" t="s">
        <v>37</v>
      </c>
      <c r="I2418" t="s">
        <v>25</v>
      </c>
      <c r="J2418" s="2">
        <v>45804.728252314817</v>
      </c>
      <c r="K2418">
        <v>27</v>
      </c>
      <c r="L2418">
        <v>5</v>
      </c>
      <c r="M2418">
        <v>2025</v>
      </c>
      <c r="N2418" t="s">
        <v>27</v>
      </c>
      <c r="O2418">
        <v>500</v>
      </c>
      <c r="Q2418">
        <v>500</v>
      </c>
      <c r="R2418" s="3" t="str">
        <f>HYPERLINK("https://panda.att.com.mx/ODKServer/view/binaryData?blobKey=FSSuministroFluidosv3%5B%40version%3Dnull+and+%40uiVersion%3Dnull%5D%2Fdata%5B%40key%3Duuid%3Aa8f8b5b3-27f0-40f0-ac1d-1c93e77f01e4%5D%2FgroupInfoFuel%5B%40ordinal%3D1%5D%2FpicFuelRecibeInterno","Descargar")</f>
        <v>Descargar</v>
      </c>
    </row>
    <row r="2419" spans="1:18" x14ac:dyDescent="0.3">
      <c r="A2419">
        <v>1546138</v>
      </c>
      <c r="B2419" t="s">
        <v>18</v>
      </c>
      <c r="C2419" t="s">
        <v>55</v>
      </c>
      <c r="D2419" t="s">
        <v>56</v>
      </c>
      <c r="E2419" t="s">
        <v>1842</v>
      </c>
      <c r="F2419" t="s">
        <v>22</v>
      </c>
      <c r="G2419" t="s">
        <v>23</v>
      </c>
      <c r="H2419" t="s">
        <v>1763</v>
      </c>
      <c r="I2419" t="s">
        <v>25</v>
      </c>
      <c r="J2419" s="2">
        <v>45792.440081018518</v>
      </c>
      <c r="K2419">
        <v>15</v>
      </c>
      <c r="L2419">
        <v>5</v>
      </c>
      <c r="M2419">
        <v>2025</v>
      </c>
      <c r="N2419" t="s">
        <v>27</v>
      </c>
      <c r="O2419">
        <v>300</v>
      </c>
      <c r="P2419">
        <v>300</v>
      </c>
      <c r="R2419" s="3" t="str">
        <f>HYPERLINK("https://panda.att.com.mx/ODKServer/view/binaryData?blobKey=FSSuministroFluidosv3%5B%40version%3Dnull+and+%40uiVersion%3Dnull%5D%2Fdata%5B%40key%3Duuid%3A3ed3c7cb-a9c4-4e6f-87d7-c1c2ef8de560%5D%2FgroupInfoFuel%5B%40ordinal%3D1%5D%2FpicFuelRecibeInterno","Descargar")</f>
        <v>Descargar</v>
      </c>
    </row>
    <row r="2420" spans="1:18" x14ac:dyDescent="0.3">
      <c r="A2420">
        <v>1546123</v>
      </c>
      <c r="B2420" t="s">
        <v>18</v>
      </c>
      <c r="C2420" t="s">
        <v>68</v>
      </c>
      <c r="D2420" t="s">
        <v>132</v>
      </c>
      <c r="E2420" t="s">
        <v>1464</v>
      </c>
      <c r="F2420" t="s">
        <v>22</v>
      </c>
      <c r="G2420" t="s">
        <v>1270</v>
      </c>
      <c r="H2420" t="s">
        <v>37</v>
      </c>
      <c r="I2420" t="s">
        <v>25</v>
      </c>
      <c r="J2420" s="2">
        <v>45803.901250000003</v>
      </c>
      <c r="K2420">
        <v>26</v>
      </c>
      <c r="L2420">
        <v>5</v>
      </c>
      <c r="M2420">
        <v>2025</v>
      </c>
      <c r="N2420" t="s">
        <v>44</v>
      </c>
      <c r="O2420">
        <v>50</v>
      </c>
      <c r="P2420">
        <v>50</v>
      </c>
      <c r="R2420" s="3" t="str">
        <f>HYPERLINK("https://panda.att.com.mx/ODKServer/view/binaryData?blobKey=FSSuministroFluidosv3%5B%40version%3Dnull+and+%40uiVersion%3Dnull%5D%2Fdata%5B%40key%3Duuid%3A2047e89c-afb6-4b76-bc0d-b19c7388d62c%5D%2FgroupInfoFuel%5B%40ordinal%3D1%5D%2FpicFuelRecibeInterno","Descargar")</f>
        <v>Descargar</v>
      </c>
    </row>
    <row r="2421" spans="1:18" x14ac:dyDescent="0.3">
      <c r="A2421">
        <v>1546122</v>
      </c>
      <c r="B2421" t="s">
        <v>18</v>
      </c>
      <c r="C2421" t="s">
        <v>68</v>
      </c>
      <c r="D2421" t="s">
        <v>132</v>
      </c>
      <c r="E2421" t="s">
        <v>1464</v>
      </c>
      <c r="F2421" t="s">
        <v>22</v>
      </c>
      <c r="G2421" t="s">
        <v>23</v>
      </c>
      <c r="H2421" t="s">
        <v>37</v>
      </c>
      <c r="I2421" t="s">
        <v>25</v>
      </c>
      <c r="J2421" s="2">
        <v>45803.900196759263</v>
      </c>
      <c r="K2421">
        <v>26</v>
      </c>
      <c r="L2421">
        <v>5</v>
      </c>
      <c r="M2421">
        <v>2025</v>
      </c>
      <c r="N2421" t="s">
        <v>44</v>
      </c>
      <c r="O2421">
        <v>40</v>
      </c>
      <c r="P2421">
        <v>40</v>
      </c>
      <c r="R2421" s="3" t="str">
        <f>HYPERLINK("https://panda.att.com.mx/ODKServer/view/binaryData?blobKey=FSSuministroFluidosv3%5B%40version%3Dnull+and+%40uiVersion%3Dnull%5D%2Fdata%5B%40key%3Duuid%3A3072d099-a5aa-4c4a-8bc0-003557839041%5D%2FgroupInfoFuel%5B%40ordinal%3D1%5D%2FpicFuelRecibeInterno","Descargar")</f>
        <v>Descargar</v>
      </c>
    </row>
    <row r="2422" spans="1:18" x14ac:dyDescent="0.3">
      <c r="A2422">
        <v>1546090</v>
      </c>
      <c r="B2422" t="s">
        <v>18</v>
      </c>
      <c r="C2422" t="s">
        <v>34</v>
      </c>
      <c r="D2422" t="s">
        <v>53</v>
      </c>
      <c r="E2422" t="s">
        <v>2105</v>
      </c>
      <c r="F2422" t="s">
        <v>22</v>
      </c>
      <c r="G2422" t="s">
        <v>23</v>
      </c>
      <c r="H2422" t="s">
        <v>37</v>
      </c>
      <c r="I2422" t="s">
        <v>25</v>
      </c>
      <c r="J2422" s="2">
        <v>45804.761712962973</v>
      </c>
      <c r="K2422">
        <v>27</v>
      </c>
      <c r="L2422">
        <v>5</v>
      </c>
      <c r="M2422">
        <v>2025</v>
      </c>
      <c r="N2422" t="s">
        <v>27</v>
      </c>
      <c r="O2422">
        <v>200</v>
      </c>
      <c r="P2422">
        <v>200</v>
      </c>
      <c r="R2422" s="3" t="str">
        <f>HYPERLINK("https://panda.att.com.mx/ODKServer/view/binaryData?blobKey=FSSuministroFluidosv3%5B%40version%3Dnull+and+%40uiVersion%3Dnull%5D%2Fdata%5B%40key%3Duuid%3A94c6b080-8034-423d-b74d-2d1a6d5f4356%5D%2FgroupInfoFuel%5B%40ordinal%3D1%5D%2FpicFuelRecibeInterno","Descargar")</f>
        <v>Descargar</v>
      </c>
    </row>
    <row r="2423" spans="1:18" x14ac:dyDescent="0.3">
      <c r="A2423">
        <v>1546084</v>
      </c>
      <c r="B2423" t="s">
        <v>18</v>
      </c>
      <c r="C2423" t="s">
        <v>68</v>
      </c>
      <c r="D2423" t="s">
        <v>91</v>
      </c>
      <c r="E2423" t="s">
        <v>1119</v>
      </c>
      <c r="F2423" t="s">
        <v>22</v>
      </c>
      <c r="G2423" t="s">
        <v>23</v>
      </c>
      <c r="H2423" t="s">
        <v>37</v>
      </c>
      <c r="I2423" t="s">
        <v>25</v>
      </c>
      <c r="J2423" s="2">
        <v>45804.834178240737</v>
      </c>
      <c r="K2423">
        <v>27</v>
      </c>
      <c r="L2423">
        <v>5</v>
      </c>
      <c r="M2423">
        <v>2025</v>
      </c>
      <c r="N2423" t="s">
        <v>27</v>
      </c>
      <c r="O2423">
        <v>110.48</v>
      </c>
      <c r="P2423">
        <v>110.48</v>
      </c>
      <c r="R2423" s="3" t="str">
        <f>HYPERLINK("https://panda.att.com.mx/ODKServer/view/binaryData?blobKey=FSSuministroFluidosv3%5B%40version%3Dnull+and+%40uiVersion%3Dnull%5D%2Fdata%5B%40key%3Duuid%3Aba4717da-b750-4abb-972a-9c14d383af99%5D%2FgroupInfoFuel%5B%40ordinal%3D1%5D%2FpicFuelRecibeInterno","Descargar")</f>
        <v>Descargar</v>
      </c>
    </row>
    <row r="2424" spans="1:18" x14ac:dyDescent="0.3">
      <c r="A2424">
        <v>1546073</v>
      </c>
      <c r="B2424" t="s">
        <v>18</v>
      </c>
      <c r="C2424" t="s">
        <v>68</v>
      </c>
      <c r="D2424" t="s">
        <v>91</v>
      </c>
      <c r="E2424" t="s">
        <v>2120</v>
      </c>
      <c r="F2424" t="s">
        <v>22</v>
      </c>
      <c r="G2424" t="s">
        <v>23</v>
      </c>
      <c r="H2424" t="s">
        <v>37</v>
      </c>
      <c r="I2424" t="s">
        <v>25</v>
      </c>
      <c r="J2424" s="2">
        <v>45804.731979166667</v>
      </c>
      <c r="K2424">
        <v>27</v>
      </c>
      <c r="L2424">
        <v>5</v>
      </c>
      <c r="M2424">
        <v>2025</v>
      </c>
      <c r="N2424" t="s">
        <v>27</v>
      </c>
      <c r="O2424">
        <v>139.52000000000001</v>
      </c>
      <c r="P2424">
        <v>139.52000000000001</v>
      </c>
      <c r="R2424" s="3" t="str">
        <f>HYPERLINK("https://panda.att.com.mx/ODKServer/view/binaryData?blobKey=FSSuministroFluidosv3%5B%40version%3Dnull+and+%40uiVersion%3Dnull%5D%2Fdata%5B%40key%3Duuid%3A851124a5-bcde-499b-b1fe-46065d605997%5D%2FgroupInfoFuel%5B%40ordinal%3D1%5D%2FpicFuelRecibeInterno","Descargar")</f>
        <v>Descargar</v>
      </c>
    </row>
    <row r="2425" spans="1:18" x14ac:dyDescent="0.3">
      <c r="A2425">
        <v>1546057</v>
      </c>
      <c r="B2425" t="s">
        <v>18</v>
      </c>
      <c r="C2425" t="s">
        <v>167</v>
      </c>
      <c r="D2425" t="s">
        <v>268</v>
      </c>
      <c r="E2425" t="s">
        <v>2121</v>
      </c>
      <c r="F2425" t="s">
        <v>22</v>
      </c>
      <c r="G2425" t="s">
        <v>83</v>
      </c>
      <c r="H2425" t="s">
        <v>58</v>
      </c>
      <c r="I2425" t="s">
        <v>25</v>
      </c>
      <c r="J2425" s="2">
        <v>45804.436562499999</v>
      </c>
      <c r="K2425">
        <v>27</v>
      </c>
      <c r="L2425">
        <v>5</v>
      </c>
      <c r="M2425">
        <v>2025</v>
      </c>
      <c r="N2425" t="s">
        <v>27</v>
      </c>
      <c r="O2425">
        <v>500</v>
      </c>
      <c r="P2425">
        <v>500</v>
      </c>
      <c r="R2425" s="3" t="str">
        <f>HYPERLINK("https://panda.att.com.mx/ODKServer/view/binaryData?blobKey=FSSuministroFluidosv3%5B%40version%3Dnull+and+%40uiVersion%3Dnull%5D%2Fdata%5B%40key%3Duuid%3A7a0312d0-86a0-4226-b79e-e47d968025e1%5D%2FgroupInfoFuel%5B%40ordinal%3D1%5D%2FpicFuelRecibeInterno","Descargar")</f>
        <v>Descargar</v>
      </c>
    </row>
    <row r="2426" spans="1:18" x14ac:dyDescent="0.3">
      <c r="A2426">
        <v>1546048</v>
      </c>
      <c r="B2426" t="s">
        <v>18</v>
      </c>
      <c r="C2426" t="s">
        <v>167</v>
      </c>
      <c r="D2426" t="s">
        <v>268</v>
      </c>
      <c r="E2426" t="s">
        <v>2121</v>
      </c>
      <c r="F2426" t="s">
        <v>22</v>
      </c>
      <c r="G2426" t="s">
        <v>83</v>
      </c>
      <c r="H2426" t="s">
        <v>58</v>
      </c>
      <c r="I2426" t="s">
        <v>25</v>
      </c>
      <c r="J2426" s="2">
        <v>45801.668055555558</v>
      </c>
      <c r="K2426">
        <v>24</v>
      </c>
      <c r="L2426">
        <v>5</v>
      </c>
      <c r="M2426">
        <v>2025</v>
      </c>
      <c r="N2426" t="s">
        <v>27</v>
      </c>
      <c r="O2426">
        <v>250</v>
      </c>
      <c r="P2426">
        <v>250</v>
      </c>
      <c r="R2426" s="3" t="str">
        <f>HYPERLINK("https://panda.att.com.mx/ODKServer/view/binaryData?blobKey=FSSuministroFluidosv3%5B%40version%3Dnull+and+%40uiVersion%3Dnull%5D%2Fdata%5B%40key%3Duuid%3A62c55a05-e949-4a80-8b0b-529e377bebd5%5D%2FgroupInfoFuel%5B%40ordinal%3D1%5D%2FpicFuelRecibeInterno","Descargar")</f>
        <v>Descargar</v>
      </c>
    </row>
    <row r="2427" spans="1:18" x14ac:dyDescent="0.3">
      <c r="A2427">
        <v>1547338</v>
      </c>
      <c r="B2427" t="s">
        <v>18</v>
      </c>
      <c r="C2427" t="s">
        <v>55</v>
      </c>
      <c r="D2427" t="s">
        <v>64</v>
      </c>
      <c r="E2427" t="s">
        <v>2122</v>
      </c>
      <c r="F2427" t="s">
        <v>22</v>
      </c>
      <c r="G2427" t="s">
        <v>23</v>
      </c>
      <c r="H2427" t="s">
        <v>1763</v>
      </c>
      <c r="I2427" t="s">
        <v>25</v>
      </c>
      <c r="J2427" s="2">
        <v>45805.421805555547</v>
      </c>
      <c r="K2427">
        <v>28</v>
      </c>
      <c r="L2427">
        <v>5</v>
      </c>
      <c r="M2427">
        <v>2025</v>
      </c>
      <c r="N2427" t="s">
        <v>44</v>
      </c>
      <c r="O2427">
        <v>45</v>
      </c>
      <c r="P2427">
        <v>45</v>
      </c>
      <c r="R2427" s="3" t="str">
        <f>HYPERLINK("https://panda.att.com.mx/ODKServer/view/binaryData?blobKey=FSSuministroFluidosv3%5B%40version%3Dnull+and+%40uiVersion%3Dnull%5D%2Fdata%5B%40key%3Duuid%3A3f04105d-df36-4c96-9ec0-84cffc7df984%5D%2FgroupInfoFuel%5B%40ordinal%3D1%5D%2FpicFuelRecibeInterno","Descargar")</f>
        <v>Descargar</v>
      </c>
    </row>
    <row r="2428" spans="1:18" x14ac:dyDescent="0.3">
      <c r="A2428">
        <v>1547265</v>
      </c>
      <c r="B2428" t="s">
        <v>18</v>
      </c>
      <c r="C2428" t="s">
        <v>183</v>
      </c>
      <c r="D2428" t="s">
        <v>841</v>
      </c>
      <c r="E2428" t="s">
        <v>2123</v>
      </c>
      <c r="F2428" t="s">
        <v>22</v>
      </c>
      <c r="G2428" t="s">
        <v>23</v>
      </c>
      <c r="H2428" t="s">
        <v>1763</v>
      </c>
      <c r="I2428" t="s">
        <v>25</v>
      </c>
      <c r="J2428" s="2">
        <v>45795.480057870373</v>
      </c>
      <c r="K2428">
        <v>18</v>
      </c>
      <c r="L2428">
        <v>5</v>
      </c>
      <c r="M2428">
        <v>2025</v>
      </c>
      <c r="N2428" t="s">
        <v>27</v>
      </c>
      <c r="O2428">
        <v>100</v>
      </c>
      <c r="P2428">
        <v>100</v>
      </c>
      <c r="R2428" s="3" t="str">
        <f>HYPERLINK("https://panda.att.com.mx/ODKServer/view/binaryData?blobKey=FSSuministroFluidosv3%5B%40version%3Dnull+and+%40uiVersion%3Dnull%5D%2Fdata%5B%40key%3Duuid%3Ae357bf01-efb1-42ad-a523-d9e6a27ec109%5D%2FgroupInfoFuel%5B%40ordinal%3D1%5D%2FpicFuelRecibeInterno","Descargar")</f>
        <v>Descargar</v>
      </c>
    </row>
    <row r="2429" spans="1:18" x14ac:dyDescent="0.3">
      <c r="A2429">
        <v>1547240</v>
      </c>
      <c r="B2429" t="s">
        <v>18</v>
      </c>
      <c r="C2429" t="s">
        <v>183</v>
      </c>
      <c r="D2429" t="s">
        <v>841</v>
      </c>
      <c r="E2429" t="s">
        <v>2123</v>
      </c>
      <c r="F2429" t="s">
        <v>22</v>
      </c>
      <c r="G2429" t="s">
        <v>23</v>
      </c>
      <c r="H2429" t="s">
        <v>1763</v>
      </c>
      <c r="I2429" t="s">
        <v>25</v>
      </c>
      <c r="J2429" s="2">
        <v>45794.595000000001</v>
      </c>
      <c r="K2429">
        <v>17</v>
      </c>
      <c r="L2429">
        <v>5</v>
      </c>
      <c r="M2429">
        <v>2025</v>
      </c>
      <c r="N2429" t="s">
        <v>27</v>
      </c>
      <c r="O2429">
        <v>100</v>
      </c>
      <c r="P2429">
        <v>100</v>
      </c>
      <c r="R2429" s="3" t="str">
        <f>HYPERLINK("https://panda.att.com.mx/ODKServer/view/binaryData?blobKey=FSSuministroFluidosv3%5B%40version%3Dnull+and+%40uiVersion%3Dnull%5D%2Fdata%5B%40key%3Duuid%3A84167527-915e-4325-b091-dd5d3b2dbf82%5D%2FgroupInfoFuel%5B%40ordinal%3D1%5D%2FpicFuelRecibeInterno","Descargar")</f>
        <v>Descargar</v>
      </c>
    </row>
    <row r="2430" spans="1:18" x14ac:dyDescent="0.3">
      <c r="A2430">
        <v>1547229</v>
      </c>
      <c r="B2430" t="s">
        <v>18</v>
      </c>
      <c r="C2430" t="s">
        <v>100</v>
      </c>
      <c r="D2430" t="s">
        <v>854</v>
      </c>
      <c r="E2430" t="s">
        <v>993</v>
      </c>
      <c r="F2430" t="s">
        <v>22</v>
      </c>
      <c r="G2430" t="s">
        <v>83</v>
      </c>
      <c r="H2430" t="s">
        <v>1781</v>
      </c>
      <c r="I2430" t="s">
        <v>25</v>
      </c>
      <c r="J2430" s="2">
        <v>45805.497650462959</v>
      </c>
      <c r="K2430">
        <v>28</v>
      </c>
      <c r="L2430">
        <v>5</v>
      </c>
      <c r="M2430">
        <v>2025</v>
      </c>
      <c r="N2430" t="s">
        <v>27</v>
      </c>
      <c r="O2430">
        <v>150</v>
      </c>
      <c r="P2430">
        <v>150</v>
      </c>
      <c r="R2430" s="3" t="str">
        <f>HYPERLINK("https://panda.att.com.mx/ODKServer/view/binaryData?blobKey=FSSuministroFluidosv3%5B%40version%3Dnull+and+%40uiVersion%3Dnull%5D%2Fdata%5B%40key%3Duuid%3A7401b482-556c-4245-a518-382d9c866d88%5D%2FgroupInfoFuel%5B%40ordinal%3D1%5D%2FpicFuelRecibeInterno","Descargar")</f>
        <v>Descargar</v>
      </c>
    </row>
    <row r="2431" spans="1:18" x14ac:dyDescent="0.3">
      <c r="A2431">
        <v>1547215</v>
      </c>
      <c r="B2431" t="s">
        <v>18</v>
      </c>
      <c r="C2431" t="s">
        <v>55</v>
      </c>
      <c r="D2431" t="s">
        <v>128</v>
      </c>
      <c r="E2431" t="s">
        <v>2076</v>
      </c>
      <c r="F2431" t="s">
        <v>22</v>
      </c>
      <c r="G2431" t="s">
        <v>23</v>
      </c>
      <c r="H2431" t="s">
        <v>1763</v>
      </c>
      <c r="I2431" t="s">
        <v>25</v>
      </c>
      <c r="J2431" s="2">
        <v>45806.430694444447</v>
      </c>
      <c r="K2431">
        <v>29</v>
      </c>
      <c r="L2431">
        <v>5</v>
      </c>
      <c r="M2431">
        <v>2025</v>
      </c>
      <c r="N2431" t="s">
        <v>27</v>
      </c>
      <c r="O2431">
        <v>200</v>
      </c>
      <c r="P2431">
        <v>200</v>
      </c>
      <c r="R2431" s="3" t="str">
        <f>HYPERLINK("https://panda.att.com.mx/ODKServer/view/binaryData?blobKey=FSSuministroFluidosv3%5B%40version%3Dnull+and+%40uiVersion%3Dnull%5D%2Fdata%5B%40key%3Duuid%3Aea392de1-dda5-4f08-b2a4-e291914ab5c2%5D%2FgroupInfoFuel%5B%40ordinal%3D1%5D%2FpicFuelRecibeInterno","Descargar")</f>
        <v>Descargar</v>
      </c>
    </row>
    <row r="2432" spans="1:18" x14ac:dyDescent="0.3">
      <c r="A2432">
        <v>1547170</v>
      </c>
      <c r="B2432" t="s">
        <v>18</v>
      </c>
      <c r="C2432" t="s">
        <v>55</v>
      </c>
      <c r="D2432" t="s">
        <v>56</v>
      </c>
      <c r="E2432" t="s">
        <v>1555</v>
      </c>
      <c r="F2432" t="s">
        <v>22</v>
      </c>
      <c r="G2432" t="s">
        <v>23</v>
      </c>
      <c r="H2432" t="s">
        <v>1763</v>
      </c>
      <c r="I2432" t="s">
        <v>25</v>
      </c>
      <c r="J2432" s="2">
        <v>45788.318020833343</v>
      </c>
      <c r="K2432">
        <v>11</v>
      </c>
      <c r="L2432">
        <v>5</v>
      </c>
      <c r="M2432">
        <v>2025</v>
      </c>
      <c r="N2432" t="s">
        <v>27</v>
      </c>
      <c r="O2432">
        <v>100</v>
      </c>
      <c r="P2432">
        <v>100</v>
      </c>
      <c r="R2432" s="3" t="str">
        <f>HYPERLINK("https://panda.att.com.mx/ODKServer/view/binaryData?blobKey=FSSuministroFluidosv3%5B%40version%3Dnull+and+%40uiVersion%3Dnull%5D%2Fdata%5B%40key%3Duuid%3Ae8618b78-3d36-4d2d-abb7-768dee57d37d%5D%2FgroupInfoFuel%5B%40ordinal%3D1%5D%2FpicFuelRecibeInterno","Descargar")</f>
        <v>Descargar</v>
      </c>
    </row>
    <row r="2433" spans="1:18" x14ac:dyDescent="0.3">
      <c r="A2433">
        <v>1547158</v>
      </c>
      <c r="B2433" t="s">
        <v>18</v>
      </c>
      <c r="C2433" t="s">
        <v>55</v>
      </c>
      <c r="D2433" t="s">
        <v>56</v>
      </c>
      <c r="E2433" t="s">
        <v>1228</v>
      </c>
      <c r="F2433" t="s">
        <v>22</v>
      </c>
      <c r="G2433" t="s">
        <v>23</v>
      </c>
      <c r="H2433" t="s">
        <v>1763</v>
      </c>
      <c r="I2433" t="s">
        <v>25</v>
      </c>
      <c r="J2433" s="2">
        <v>45804.699930555558</v>
      </c>
      <c r="K2433">
        <v>27</v>
      </c>
      <c r="L2433">
        <v>5</v>
      </c>
      <c r="M2433">
        <v>2025</v>
      </c>
      <c r="N2433" t="s">
        <v>27</v>
      </c>
      <c r="O2433">
        <v>100</v>
      </c>
      <c r="P2433">
        <v>100</v>
      </c>
      <c r="R2433" s="3" t="str">
        <f>HYPERLINK("https://panda.att.com.mx/ODKServer/view/binaryData?blobKey=FSSuministroFluidosv3%5B%40version%3Dnull+and+%40uiVersion%3Dnull%5D%2Fdata%5B%40key%3Duuid%3Adea3d462-3100-4903-ac69-d016b87b7ee1%5D%2FgroupInfoFuel%5B%40ordinal%3D1%5D%2FpicFuelRecibeInterno","Descargar")</f>
        <v>Descargar</v>
      </c>
    </row>
    <row r="2434" spans="1:18" x14ac:dyDescent="0.3">
      <c r="A2434">
        <v>1547152</v>
      </c>
      <c r="B2434" t="s">
        <v>18</v>
      </c>
      <c r="C2434" t="s">
        <v>28</v>
      </c>
      <c r="D2434" t="s">
        <v>66</v>
      </c>
      <c r="E2434" t="s">
        <v>1213</v>
      </c>
      <c r="F2434" t="s">
        <v>22</v>
      </c>
      <c r="G2434" t="s">
        <v>23</v>
      </c>
      <c r="H2434" t="s">
        <v>24</v>
      </c>
      <c r="I2434" t="s">
        <v>25</v>
      </c>
      <c r="J2434" s="2">
        <v>45806.384155092594</v>
      </c>
      <c r="K2434">
        <v>29</v>
      </c>
      <c r="L2434">
        <v>5</v>
      </c>
      <c r="M2434">
        <v>2025</v>
      </c>
      <c r="N2434" t="s">
        <v>44</v>
      </c>
      <c r="O2434">
        <v>40</v>
      </c>
      <c r="Q2434">
        <v>40</v>
      </c>
      <c r="R2434" s="3" t="str">
        <f>HYPERLINK("https://panda.att.com.mx/ODKServer/view/binaryData?blobKey=FSSuministroFluidosv3%5B%40version%3Dnull+and+%40uiVersion%3Dnull%5D%2Fdata%5B%40key%3Duuid%3A9d293076-ce1a-4b28-81c7-537feee43aba%5D%2FgroupInfoFuel%5B%40ordinal%3D1%5D%2FpicFuelRecibeInterno","Descargar")</f>
        <v>Descargar</v>
      </c>
    </row>
    <row r="2435" spans="1:18" x14ac:dyDescent="0.3">
      <c r="A2435">
        <v>1547136</v>
      </c>
      <c r="B2435" t="s">
        <v>18</v>
      </c>
      <c r="C2435" t="s">
        <v>167</v>
      </c>
      <c r="D2435" t="s">
        <v>168</v>
      </c>
      <c r="E2435" t="s">
        <v>266</v>
      </c>
      <c r="F2435" t="s">
        <v>22</v>
      </c>
      <c r="G2435" t="s">
        <v>83</v>
      </c>
      <c r="H2435" t="s">
        <v>58</v>
      </c>
      <c r="I2435" t="s">
        <v>25</v>
      </c>
      <c r="J2435" s="2">
        <v>45805.932928240742</v>
      </c>
      <c r="K2435">
        <v>28</v>
      </c>
      <c r="L2435">
        <v>5</v>
      </c>
      <c r="M2435">
        <v>2025</v>
      </c>
      <c r="N2435" t="s">
        <v>27</v>
      </c>
      <c r="O2435">
        <v>450</v>
      </c>
      <c r="P2435">
        <v>450</v>
      </c>
      <c r="R2435" s="3" t="str">
        <f>HYPERLINK("https://panda.att.com.mx/ODKServer/view/binaryData?blobKey=FSSuministroFluidosv3%5B%40version%3Dnull+and+%40uiVersion%3Dnull%5D%2Fdata%5B%40key%3Duuid%3Aa3912ced-67bc-4cd8-b9d2-e4a4235af64f%5D%2FgroupInfoFuel%5B%40ordinal%3D1%5D%2FpicFuelRecibeInterno","Descargar")</f>
        <v>Descargar</v>
      </c>
    </row>
    <row r="2436" spans="1:18" x14ac:dyDescent="0.3">
      <c r="A2436">
        <v>1547135</v>
      </c>
      <c r="B2436" t="s">
        <v>18</v>
      </c>
      <c r="C2436" t="s">
        <v>28</v>
      </c>
      <c r="D2436" t="s">
        <v>1036</v>
      </c>
      <c r="E2436" t="s">
        <v>1189</v>
      </c>
      <c r="F2436" t="s">
        <v>22</v>
      </c>
      <c r="G2436" t="s">
        <v>23</v>
      </c>
      <c r="H2436" t="s">
        <v>24</v>
      </c>
      <c r="I2436" t="s">
        <v>25</v>
      </c>
      <c r="J2436" s="2">
        <v>45806.386701388888</v>
      </c>
      <c r="K2436">
        <v>29</v>
      </c>
      <c r="L2436">
        <v>5</v>
      </c>
      <c r="M2436">
        <v>2025</v>
      </c>
      <c r="N2436" t="s">
        <v>27</v>
      </c>
      <c r="O2436">
        <v>100</v>
      </c>
      <c r="Q2436">
        <v>100</v>
      </c>
      <c r="R2436" s="3" t="str">
        <f>HYPERLINK("https://panda.att.com.mx/ODKServer/view/binaryData?blobKey=FSSuministroFluidosv3%5B%40version%3Dnull+and+%40uiVersion%3Dnull%5D%2Fdata%5B%40key%3Duuid%3A57525ef4-7a31-4d7f-9a02-edea1a5baf73%5D%2FgroupInfoFuel%5B%40ordinal%3D1%5D%2FpicFuelRecibeInterno","Descargar")</f>
        <v>Descargar</v>
      </c>
    </row>
    <row r="2437" spans="1:18" x14ac:dyDescent="0.3">
      <c r="A2437">
        <v>1547119</v>
      </c>
      <c r="B2437" t="s">
        <v>18</v>
      </c>
      <c r="C2437" t="s">
        <v>55</v>
      </c>
      <c r="D2437" t="s">
        <v>288</v>
      </c>
      <c r="E2437" t="s">
        <v>1821</v>
      </c>
      <c r="F2437" t="s">
        <v>22</v>
      </c>
      <c r="G2437" t="s">
        <v>23</v>
      </c>
      <c r="H2437" t="s">
        <v>1763</v>
      </c>
      <c r="I2437" t="s">
        <v>25</v>
      </c>
      <c r="J2437" s="2">
        <v>45806.344641203701</v>
      </c>
      <c r="K2437">
        <v>29</v>
      </c>
      <c r="L2437">
        <v>5</v>
      </c>
      <c r="M2437">
        <v>2025</v>
      </c>
      <c r="N2437" t="s">
        <v>27</v>
      </c>
      <c r="O2437">
        <v>300</v>
      </c>
      <c r="P2437">
        <v>300</v>
      </c>
      <c r="R2437" s="3" t="str">
        <f>HYPERLINK("https://panda.att.com.mx/ODKServer/view/binaryData?blobKey=FSSuministroFluidosv3%5B%40version%3Dnull+and+%40uiVersion%3Dnull%5D%2Fdata%5B%40key%3Duuid%3Ad14ac193-66a2-4966-9576-8b751d19c4e2%5D%2FgroupInfoFuel%5B%40ordinal%3D1%5D%2FpicFuelRecibeInterno","Descargar")</f>
        <v>Descargar</v>
      </c>
    </row>
    <row r="2438" spans="1:18" x14ac:dyDescent="0.3">
      <c r="A2438">
        <v>1547099</v>
      </c>
      <c r="B2438" t="s">
        <v>18</v>
      </c>
      <c r="C2438" t="s">
        <v>100</v>
      </c>
      <c r="D2438" t="s">
        <v>504</v>
      </c>
      <c r="E2438" t="s">
        <v>2124</v>
      </c>
      <c r="F2438" t="s">
        <v>22</v>
      </c>
      <c r="G2438" t="s">
        <v>23</v>
      </c>
      <c r="H2438" t="s">
        <v>1781</v>
      </c>
      <c r="I2438" t="s">
        <v>25</v>
      </c>
      <c r="J2438" s="2">
        <v>45805.58216435185</v>
      </c>
      <c r="K2438">
        <v>28</v>
      </c>
      <c r="L2438">
        <v>5</v>
      </c>
      <c r="M2438">
        <v>2025</v>
      </c>
      <c r="N2438" t="s">
        <v>27</v>
      </c>
      <c r="O2438">
        <v>300</v>
      </c>
      <c r="Q2438">
        <v>300</v>
      </c>
      <c r="R2438" s="3" t="str">
        <f>HYPERLINK("https://panda.att.com.mx/ODKServer/view/binaryData?blobKey=FSSuministroFluidosv3%5B%40version%3Dnull+and+%40uiVersion%3Dnull%5D%2Fdata%5B%40key%3Duuid%3A8fc14104-bbc2-41cd-94ed-840832024696%5D%2FgroupInfoFuel%5B%40ordinal%3D1%5D%2FpicFuelRecibeInterno","Descargar")</f>
        <v>Descargar</v>
      </c>
    </row>
    <row r="2439" spans="1:18" x14ac:dyDescent="0.3">
      <c r="A2439">
        <v>1547032</v>
      </c>
      <c r="B2439" t="s">
        <v>18</v>
      </c>
      <c r="C2439" t="s">
        <v>183</v>
      </c>
      <c r="D2439" t="s">
        <v>329</v>
      </c>
      <c r="E2439" t="s">
        <v>330</v>
      </c>
      <c r="F2439" t="s">
        <v>22</v>
      </c>
      <c r="G2439" t="s">
        <v>23</v>
      </c>
      <c r="H2439" t="s">
        <v>24</v>
      </c>
      <c r="I2439" t="s">
        <v>25</v>
      </c>
      <c r="J2439" s="2">
        <v>45803.380486111113</v>
      </c>
      <c r="K2439">
        <v>26</v>
      </c>
      <c r="L2439">
        <v>5</v>
      </c>
      <c r="M2439">
        <v>2025</v>
      </c>
      <c r="N2439" t="s">
        <v>44</v>
      </c>
      <c r="O2439">
        <v>40</v>
      </c>
      <c r="P2439">
        <v>40</v>
      </c>
      <c r="R2439" s="3" t="str">
        <f>HYPERLINK("https://panda.att.com.mx/ODKServer/view/binaryData?blobKey=FSSuministroFluidosv3%5B%40version%3Dnull+and+%40uiVersion%3Dnull%5D%2Fdata%5B%40key%3Duuid%3A2e911529-801a-456b-b38a-f65b767d8213%5D%2FgroupInfoFuel%5B%40ordinal%3D1%5D%2FpicFuelRecibeInterno","Descargar")</f>
        <v>Descargar</v>
      </c>
    </row>
    <row r="2440" spans="1:18" x14ac:dyDescent="0.3">
      <c r="A2440">
        <v>1547023</v>
      </c>
      <c r="B2440" t="s">
        <v>18</v>
      </c>
      <c r="C2440" t="s">
        <v>55</v>
      </c>
      <c r="D2440" t="s">
        <v>210</v>
      </c>
      <c r="E2440" t="s">
        <v>2125</v>
      </c>
      <c r="F2440" t="s">
        <v>22</v>
      </c>
      <c r="G2440" t="s">
        <v>23</v>
      </c>
      <c r="H2440" t="s">
        <v>1763</v>
      </c>
      <c r="I2440" t="s">
        <v>25</v>
      </c>
      <c r="J2440" s="2">
        <v>45802.568402777782</v>
      </c>
      <c r="K2440">
        <v>25</v>
      </c>
      <c r="L2440">
        <v>5</v>
      </c>
      <c r="M2440">
        <v>2025</v>
      </c>
      <c r="N2440" t="s">
        <v>27</v>
      </c>
      <c r="O2440">
        <v>100</v>
      </c>
      <c r="P2440">
        <v>100</v>
      </c>
      <c r="R2440" s="3" t="str">
        <f>HYPERLINK("https://panda.att.com.mx/ODKServer/view/binaryData?blobKey=FSSuministroFluidosv3%5B%40version%3Dnull+and+%40uiVersion%3Dnull%5D%2Fdata%5B%40key%3Duuid%3A24413865-b3ce-460e-b0d6-bfbc603d816b%5D%2FgroupInfoFuel%5B%40ordinal%3D1%5D%2FpicFuelRecibeInterno","Descargar")</f>
        <v>Descargar</v>
      </c>
    </row>
    <row r="2441" spans="1:18" x14ac:dyDescent="0.3">
      <c r="A2441">
        <v>1546996</v>
      </c>
      <c r="B2441" t="s">
        <v>18</v>
      </c>
      <c r="C2441" t="s">
        <v>55</v>
      </c>
      <c r="D2441" t="s">
        <v>366</v>
      </c>
      <c r="E2441" t="s">
        <v>367</v>
      </c>
      <c r="F2441" t="s">
        <v>22</v>
      </c>
      <c r="G2441" t="s">
        <v>83</v>
      </c>
      <c r="H2441" t="s">
        <v>1781</v>
      </c>
      <c r="I2441" t="s">
        <v>25</v>
      </c>
      <c r="J2441" s="2">
        <v>45805.661122685182</v>
      </c>
      <c r="K2441">
        <v>28</v>
      </c>
      <c r="L2441">
        <v>5</v>
      </c>
      <c r="M2441">
        <v>2025</v>
      </c>
      <c r="N2441" t="s">
        <v>27</v>
      </c>
      <c r="O2441">
        <v>173</v>
      </c>
      <c r="P2441">
        <v>173</v>
      </c>
      <c r="R2441" s="3" t="str">
        <f>HYPERLINK("https://panda.att.com.mx/ODKServer/view/binaryData?blobKey=FSSuministroFluidosv3%5B%40version%3Dnull+and+%40uiVersion%3Dnull%5D%2Fdata%5B%40key%3Duuid%3Af382e9c6-92c0-4423-9cd6-114b6471856a%5D%2FgroupInfoFuel%5B%40ordinal%3D1%5D%2FpicFuelRecibeInterno","Descargar")</f>
        <v>Descargar</v>
      </c>
    </row>
    <row r="2442" spans="1:18" x14ac:dyDescent="0.3">
      <c r="A2442">
        <v>1546971</v>
      </c>
      <c r="B2442" t="s">
        <v>18</v>
      </c>
      <c r="C2442" t="s">
        <v>55</v>
      </c>
      <c r="D2442" t="s">
        <v>56</v>
      </c>
      <c r="E2442" t="s">
        <v>2083</v>
      </c>
      <c r="F2442" t="s">
        <v>22</v>
      </c>
      <c r="G2442" t="s">
        <v>23</v>
      </c>
      <c r="H2442" t="s">
        <v>1763</v>
      </c>
      <c r="I2442" t="s">
        <v>25</v>
      </c>
      <c r="J2442" s="2">
        <v>45805.984756944446</v>
      </c>
      <c r="K2442">
        <v>28</v>
      </c>
      <c r="L2442">
        <v>5</v>
      </c>
      <c r="M2442">
        <v>2025</v>
      </c>
      <c r="N2442" t="s">
        <v>27</v>
      </c>
      <c r="O2442">
        <v>100</v>
      </c>
      <c r="P2442">
        <v>100</v>
      </c>
      <c r="R2442" s="3" t="str">
        <f>HYPERLINK("https://panda.att.com.mx/ODKServer/view/binaryData?blobKey=FSSuministroFluidosv3%5B%40version%3Dnull+and+%40uiVersion%3Dnull%5D%2Fdata%5B%40key%3Duuid%3A5baf0562-d2eb-4fba-9cf8-b17e58497200%5D%2FgroupInfoFuel%5B%40ordinal%3D1%5D%2FpicFuelRecibeInterno","Descargar")</f>
        <v>Descargar</v>
      </c>
    </row>
    <row r="2443" spans="1:18" x14ac:dyDescent="0.3">
      <c r="A2443">
        <v>1546970</v>
      </c>
      <c r="B2443" t="s">
        <v>18</v>
      </c>
      <c r="C2443" t="s">
        <v>55</v>
      </c>
      <c r="D2443" t="s">
        <v>56</v>
      </c>
      <c r="E2443" t="s">
        <v>2083</v>
      </c>
      <c r="F2443" t="s">
        <v>22</v>
      </c>
      <c r="G2443" t="s">
        <v>23</v>
      </c>
      <c r="H2443" t="s">
        <v>1763</v>
      </c>
      <c r="I2443" t="s">
        <v>25</v>
      </c>
      <c r="J2443" s="2">
        <v>45805.973611111112</v>
      </c>
      <c r="K2443">
        <v>28</v>
      </c>
      <c r="L2443">
        <v>5</v>
      </c>
      <c r="M2443">
        <v>2025</v>
      </c>
      <c r="N2443" t="s">
        <v>27</v>
      </c>
      <c r="O2443">
        <v>100</v>
      </c>
      <c r="P2443">
        <v>100</v>
      </c>
      <c r="R2443" s="3" t="str">
        <f>HYPERLINK("https://panda.att.com.mx/ODKServer/view/binaryData?blobKey=FSSuministroFluidosv3%5B%40version%3Dnull+and+%40uiVersion%3Dnull%5D%2Fdata%5B%40key%3Duuid%3A8a0df768-e53d-4dff-aa29-5e4458f381f0%5D%2FgroupInfoFuel%5B%40ordinal%3D1%5D%2FpicFuelRecibeInterno","Descargar")</f>
        <v>Descargar</v>
      </c>
    </row>
    <row r="2444" spans="1:18" x14ac:dyDescent="0.3">
      <c r="A2444">
        <v>1546964</v>
      </c>
      <c r="B2444" t="s">
        <v>18</v>
      </c>
      <c r="C2444" t="s">
        <v>55</v>
      </c>
      <c r="D2444" t="s">
        <v>56</v>
      </c>
      <c r="E2444" t="s">
        <v>1555</v>
      </c>
      <c r="F2444" t="s">
        <v>22</v>
      </c>
      <c r="G2444" t="s">
        <v>23</v>
      </c>
      <c r="H2444" t="s">
        <v>1763</v>
      </c>
      <c r="I2444" t="s">
        <v>25</v>
      </c>
      <c r="J2444" s="2">
        <v>45805.963263888887</v>
      </c>
      <c r="K2444">
        <v>28</v>
      </c>
      <c r="L2444">
        <v>5</v>
      </c>
      <c r="M2444">
        <v>2025</v>
      </c>
      <c r="N2444" t="s">
        <v>27</v>
      </c>
      <c r="O2444">
        <v>300</v>
      </c>
      <c r="P2444">
        <v>300</v>
      </c>
      <c r="R2444" s="3" t="str">
        <f>HYPERLINK("https://panda.att.com.mx/ODKServer/view/binaryData?blobKey=FSSuministroFluidosv3%5B%40version%3Dnull+and+%40uiVersion%3Dnull%5D%2Fdata%5B%40key%3Duuid%3A620f6b12-1b16-4e0a-af25-63dea785d910%5D%2FgroupInfoFuel%5B%40ordinal%3D1%5D%2FpicFuelRecibeInterno","Descargar")</f>
        <v>Descargar</v>
      </c>
    </row>
    <row r="2445" spans="1:18" x14ac:dyDescent="0.3">
      <c r="A2445">
        <v>1546961</v>
      </c>
      <c r="B2445" t="s">
        <v>18</v>
      </c>
      <c r="C2445" t="s">
        <v>55</v>
      </c>
      <c r="D2445" t="s">
        <v>56</v>
      </c>
      <c r="E2445" t="s">
        <v>2083</v>
      </c>
      <c r="F2445" t="s">
        <v>22</v>
      </c>
      <c r="G2445" t="s">
        <v>23</v>
      </c>
      <c r="H2445" t="s">
        <v>1763</v>
      </c>
      <c r="I2445" t="s">
        <v>25</v>
      </c>
      <c r="J2445" s="2">
        <v>45805.888032407413</v>
      </c>
      <c r="K2445">
        <v>28</v>
      </c>
      <c r="L2445">
        <v>5</v>
      </c>
      <c r="M2445">
        <v>2025</v>
      </c>
      <c r="N2445" t="s">
        <v>27</v>
      </c>
      <c r="O2445">
        <v>100</v>
      </c>
      <c r="P2445">
        <v>100</v>
      </c>
      <c r="R2445" s="3" t="str">
        <f>HYPERLINK("https://panda.att.com.mx/ODKServer/view/binaryData?blobKey=FSSuministroFluidosv3%5B%40version%3Dnull+and+%40uiVersion%3Dnull%5D%2Fdata%5B%40key%3Duuid%3A0e882600-b68f-454d-aea2-e489f476f220%5D%2FgroupInfoFuel%5B%40ordinal%3D1%5D%2FpicFuelRecibeInterno","Descargar")</f>
        <v>Descargar</v>
      </c>
    </row>
    <row r="2446" spans="1:18" x14ac:dyDescent="0.3">
      <c r="A2446">
        <v>1546953</v>
      </c>
      <c r="B2446" t="s">
        <v>18</v>
      </c>
      <c r="C2446" t="s">
        <v>55</v>
      </c>
      <c r="D2446" t="s">
        <v>56</v>
      </c>
      <c r="E2446" t="s">
        <v>1555</v>
      </c>
      <c r="F2446" t="s">
        <v>22</v>
      </c>
      <c r="G2446" t="s">
        <v>23</v>
      </c>
      <c r="H2446" t="s">
        <v>1763</v>
      </c>
      <c r="I2446" t="s">
        <v>25</v>
      </c>
      <c r="J2446" s="2">
        <v>45803.930451388893</v>
      </c>
      <c r="K2446">
        <v>26</v>
      </c>
      <c r="L2446">
        <v>5</v>
      </c>
      <c r="M2446">
        <v>2025</v>
      </c>
      <c r="N2446" t="s">
        <v>27</v>
      </c>
      <c r="O2446">
        <v>100</v>
      </c>
      <c r="P2446">
        <v>100</v>
      </c>
      <c r="R2446" s="3" t="str">
        <f>HYPERLINK("https://panda.att.com.mx/ODKServer/view/binaryData?blobKey=FSSuministroFluidosv3%5B%40version%3Dnull+and+%40uiVersion%3Dnull%5D%2Fdata%5B%40key%3Duuid%3A00ba0fed-346f-405b-b75e-9df6925387a7%5D%2FgroupInfoFuel%5B%40ordinal%3D1%5D%2FpicFuelRecibeInterno","Descargar")</f>
        <v>Descargar</v>
      </c>
    </row>
    <row r="2447" spans="1:18" x14ac:dyDescent="0.3">
      <c r="A2447">
        <v>1546943</v>
      </c>
      <c r="B2447" t="s">
        <v>18</v>
      </c>
      <c r="C2447" t="s">
        <v>19</v>
      </c>
      <c r="D2447" t="s">
        <v>45</v>
      </c>
      <c r="E2447" t="s">
        <v>2100</v>
      </c>
      <c r="F2447" t="s">
        <v>22</v>
      </c>
      <c r="G2447" t="s">
        <v>23</v>
      </c>
      <c r="H2447" t="s">
        <v>24</v>
      </c>
      <c r="I2447" t="s">
        <v>25</v>
      </c>
      <c r="J2447" s="2">
        <v>45803.966168981482</v>
      </c>
      <c r="K2447">
        <v>26</v>
      </c>
      <c r="L2447">
        <v>5</v>
      </c>
      <c r="M2447">
        <v>2025</v>
      </c>
      <c r="N2447" t="s">
        <v>27</v>
      </c>
      <c r="O2447">
        <v>300</v>
      </c>
      <c r="P2447">
        <v>300</v>
      </c>
      <c r="R2447" s="3" t="str">
        <f>HYPERLINK("https://panda.att.com.mx/ODKServer/view/binaryData?blobKey=FSSuministroFluidosv3%5B%40version%3Dnull+and+%40uiVersion%3Dnull%5D%2Fdata%5B%40key%3Duuid%3A1b0dfe9d-cd21-4155-a9e3-4773fd2cccc4%5D%2FgroupInfoFuel%5B%40ordinal%3D1%5D%2FpicFuelRecibeInterno","Descargar")</f>
        <v>Descargar</v>
      </c>
    </row>
    <row r="2448" spans="1:18" x14ac:dyDescent="0.3">
      <c r="A2448">
        <v>1546930</v>
      </c>
      <c r="B2448" t="s">
        <v>18</v>
      </c>
      <c r="C2448" t="s">
        <v>19</v>
      </c>
      <c r="D2448" t="s">
        <v>45</v>
      </c>
      <c r="E2448" t="s">
        <v>274</v>
      </c>
      <c r="F2448" t="s">
        <v>22</v>
      </c>
      <c r="G2448" t="s">
        <v>23</v>
      </c>
      <c r="H2448" t="s">
        <v>24</v>
      </c>
      <c r="I2448" t="s">
        <v>25</v>
      </c>
      <c r="J2448" s="2">
        <v>45805.904988425929</v>
      </c>
      <c r="K2448">
        <v>28</v>
      </c>
      <c r="L2448">
        <v>5</v>
      </c>
      <c r="M2448">
        <v>2025</v>
      </c>
      <c r="N2448" t="s">
        <v>27</v>
      </c>
      <c r="O2448">
        <v>100</v>
      </c>
      <c r="P2448">
        <v>100</v>
      </c>
      <c r="R2448" s="3" t="str">
        <f>HYPERLINK("https://panda.att.com.mx/ODKServer/view/binaryData?blobKey=FSSuministroFluidosv3%5B%40version%3Dnull+and+%40uiVersion%3Dnull%5D%2Fdata%5B%40key%3Duuid%3Ad06fe711-641e-426e-ad88-4293153ef325%5D%2FgroupInfoFuel%5B%40ordinal%3D1%5D%2FpicFuelRecibeInterno","Descargar")</f>
        <v>Descargar</v>
      </c>
    </row>
    <row r="2449" spans="1:18" x14ac:dyDescent="0.3">
      <c r="A2449">
        <v>1546925</v>
      </c>
      <c r="B2449" t="s">
        <v>18</v>
      </c>
      <c r="C2449" t="s">
        <v>59</v>
      </c>
      <c r="D2449" t="s">
        <v>60</v>
      </c>
      <c r="E2449" t="s">
        <v>2101</v>
      </c>
      <c r="F2449" t="s">
        <v>22</v>
      </c>
      <c r="G2449" t="s">
        <v>23</v>
      </c>
      <c r="H2449" t="s">
        <v>37</v>
      </c>
      <c r="I2449" t="s">
        <v>25</v>
      </c>
      <c r="J2449" s="2">
        <v>45803.813599537039</v>
      </c>
      <c r="K2449">
        <v>26</v>
      </c>
      <c r="L2449">
        <v>5</v>
      </c>
      <c r="M2449">
        <v>2025</v>
      </c>
      <c r="N2449" t="s">
        <v>27</v>
      </c>
      <c r="O2449">
        <v>120</v>
      </c>
      <c r="P2449">
        <v>120</v>
      </c>
      <c r="R2449" s="3" t="str">
        <f>HYPERLINK("https://panda.att.com.mx/ODKServer/view/binaryData?blobKey=FSSuministroFluidosv3%5B%40version%3Dnull+and+%40uiVersion%3Dnull%5D%2Fdata%5B%40key%3Duuid%3Adaf5acb0-21ba-4260-b7b8-9b07ef6f00dc%5D%2FgroupInfoFuel%5B%40ordinal%3D1%5D%2FpicFuelRecibeInterno","Descargar")</f>
        <v>Descargar</v>
      </c>
    </row>
    <row r="2450" spans="1:18" x14ac:dyDescent="0.3">
      <c r="A2450">
        <v>1546920</v>
      </c>
      <c r="B2450" t="s">
        <v>18</v>
      </c>
      <c r="C2450" t="s">
        <v>59</v>
      </c>
      <c r="D2450" t="s">
        <v>60</v>
      </c>
      <c r="E2450" t="s">
        <v>2126</v>
      </c>
      <c r="F2450" t="s">
        <v>22</v>
      </c>
      <c r="G2450" t="s">
        <v>23</v>
      </c>
      <c r="H2450" t="s">
        <v>37</v>
      </c>
      <c r="I2450" t="s">
        <v>25</v>
      </c>
      <c r="J2450" s="2">
        <v>45804.054224537038</v>
      </c>
      <c r="K2450">
        <v>27</v>
      </c>
      <c r="L2450">
        <v>5</v>
      </c>
      <c r="M2450">
        <v>2025</v>
      </c>
      <c r="N2450" t="s">
        <v>27</v>
      </c>
      <c r="O2450">
        <v>50</v>
      </c>
      <c r="P2450">
        <v>50</v>
      </c>
      <c r="R2450" s="3" t="str">
        <f>HYPERLINK("https://panda.att.com.mx/ODKServer/view/binaryData?blobKey=FSSuministroFluidosv3%5B%40version%3Dnull+and+%40uiVersion%3Dnull%5D%2Fdata%5B%40key%3Duuid%3A6e0b9ce8-a320-4f2b-b067-235a1b02566f%5D%2FgroupInfoFuel%5B%40ordinal%3D1%5D%2FpicFuelRecibeInterno","Descargar")</f>
        <v>Descargar</v>
      </c>
    </row>
    <row r="2451" spans="1:18" x14ac:dyDescent="0.3">
      <c r="A2451">
        <v>1546911</v>
      </c>
      <c r="B2451" t="s">
        <v>18</v>
      </c>
      <c r="C2451" t="s">
        <v>55</v>
      </c>
      <c r="D2451" t="s">
        <v>56</v>
      </c>
      <c r="E2451" t="s">
        <v>2127</v>
      </c>
      <c r="F2451" t="s">
        <v>22</v>
      </c>
      <c r="G2451" t="s">
        <v>23</v>
      </c>
      <c r="H2451" t="s">
        <v>1763</v>
      </c>
      <c r="I2451" t="s">
        <v>25</v>
      </c>
      <c r="J2451" s="2">
        <v>45805.881504629629</v>
      </c>
      <c r="K2451">
        <v>28</v>
      </c>
      <c r="L2451">
        <v>5</v>
      </c>
      <c r="M2451">
        <v>2025</v>
      </c>
      <c r="N2451" t="s">
        <v>27</v>
      </c>
      <c r="O2451">
        <v>100</v>
      </c>
      <c r="P2451">
        <v>100</v>
      </c>
      <c r="R2451" s="3" t="str">
        <f>HYPERLINK("https://panda.att.com.mx/ODKServer/view/binaryData?blobKey=FSSuministroFluidosv3%5B%40version%3Dnull+and+%40uiVersion%3Dnull%5D%2Fdata%5B%40key%3Duuid%3Aae288337-583f-48ed-8336-ab13e3c7e350%5D%2FgroupInfoFuel%5B%40ordinal%3D1%5D%2FpicFuelRecibeInterno","Descargar")</f>
        <v>Descargar</v>
      </c>
    </row>
    <row r="2452" spans="1:18" x14ac:dyDescent="0.3">
      <c r="A2452">
        <v>1545901</v>
      </c>
      <c r="B2452" t="s">
        <v>18</v>
      </c>
      <c r="C2452" t="s">
        <v>100</v>
      </c>
      <c r="D2452" t="s">
        <v>101</v>
      </c>
      <c r="E2452" t="s">
        <v>2037</v>
      </c>
      <c r="F2452" t="s">
        <v>22</v>
      </c>
      <c r="G2452" t="s">
        <v>83</v>
      </c>
      <c r="H2452" t="s">
        <v>1781</v>
      </c>
      <c r="I2452" t="s">
        <v>25</v>
      </c>
      <c r="J2452" s="2">
        <v>45804.781643518523</v>
      </c>
      <c r="K2452">
        <v>27</v>
      </c>
      <c r="L2452">
        <v>5</v>
      </c>
      <c r="M2452">
        <v>2025</v>
      </c>
      <c r="N2452" t="s">
        <v>27</v>
      </c>
      <c r="O2452">
        <v>250</v>
      </c>
      <c r="P2452">
        <v>250</v>
      </c>
      <c r="R2452" s="3" t="str">
        <f>HYPERLINK("https://panda.att.com.mx/ODKServer/view/binaryData?blobKey=FSSuministroFluidosv3%5B%40version%3Dnull+and+%40uiVersion%3Dnull%5D%2Fdata%5B%40key%3Duuid%3Afa289052-210b-4a74-b15f-6e643c8dc857%5D%2FgroupInfoFuel%5B%40ordinal%3D1%5D%2FpicFuelRecibeInterno","Descargar")</f>
        <v>Descargar</v>
      </c>
    </row>
    <row r="2453" spans="1:18" x14ac:dyDescent="0.3">
      <c r="A2453">
        <v>1545881</v>
      </c>
      <c r="B2453" t="s">
        <v>18</v>
      </c>
      <c r="C2453" t="s">
        <v>68</v>
      </c>
      <c r="D2453" t="s">
        <v>69</v>
      </c>
      <c r="E2453" t="s">
        <v>2128</v>
      </c>
      <c r="F2453" t="s">
        <v>22</v>
      </c>
      <c r="G2453" t="s">
        <v>23</v>
      </c>
      <c r="H2453" t="s">
        <v>37</v>
      </c>
      <c r="I2453" t="s">
        <v>25</v>
      </c>
      <c r="J2453" s="2">
        <v>45804.457754629628</v>
      </c>
      <c r="K2453">
        <v>27</v>
      </c>
      <c r="L2453">
        <v>5</v>
      </c>
      <c r="M2453">
        <v>2025</v>
      </c>
      <c r="N2453" t="s">
        <v>44</v>
      </c>
      <c r="O2453">
        <v>50</v>
      </c>
      <c r="P2453">
        <v>50</v>
      </c>
      <c r="R2453" s="3" t="str">
        <f>HYPERLINK("https://panda.att.com.mx/ODKServer/view/binaryData?blobKey=FSSuministroFluidosv3%5B%40version%3Dnull+and+%40uiVersion%3Dnull%5D%2Fdata%5B%40key%3Duuid%3A57752dff-9f4a-490e-baac-7886bb6deb04%5D%2FgroupInfoFuel%5B%40ordinal%3D1%5D%2FpicFuelRecibeInterno","Descargar")</f>
        <v>Descargar</v>
      </c>
    </row>
    <row r="2454" spans="1:18" x14ac:dyDescent="0.3">
      <c r="A2454">
        <v>1545761</v>
      </c>
      <c r="B2454" t="s">
        <v>18</v>
      </c>
      <c r="C2454" t="s">
        <v>59</v>
      </c>
      <c r="D2454" t="s">
        <v>636</v>
      </c>
      <c r="E2454" t="s">
        <v>637</v>
      </c>
      <c r="F2454" t="s">
        <v>22</v>
      </c>
      <c r="G2454" t="s">
        <v>47</v>
      </c>
      <c r="H2454" t="s">
        <v>37</v>
      </c>
      <c r="I2454" t="s">
        <v>25</v>
      </c>
      <c r="J2454" s="2">
        <v>45804.700497685182</v>
      </c>
      <c r="K2454">
        <v>27</v>
      </c>
      <c r="L2454">
        <v>5</v>
      </c>
      <c r="M2454">
        <v>2025</v>
      </c>
      <c r="N2454" t="s">
        <v>27</v>
      </c>
      <c r="O2454">
        <v>150</v>
      </c>
      <c r="P2454">
        <v>150</v>
      </c>
      <c r="R2454" s="3" t="str">
        <f>HYPERLINK("https://panda.att.com.mx/ODKServer/view/binaryData?blobKey=FSSuministroFluidosv3%5B%40version%3Dnull+and+%40uiVersion%3Dnull%5D%2Fdata%5B%40key%3Duuid%3A09b49200-c155-4d99-ab31-a078428e5f1d%5D%2FgroupInfoFuel%5B%40ordinal%3D1%5D%2FpicFuelRecibeInterno","Descargar")</f>
        <v>Descargar</v>
      </c>
    </row>
    <row r="2455" spans="1:18" x14ac:dyDescent="0.3">
      <c r="A2455">
        <v>1545478</v>
      </c>
      <c r="B2455" t="s">
        <v>18</v>
      </c>
      <c r="C2455" t="s">
        <v>55</v>
      </c>
      <c r="D2455" t="s">
        <v>2129</v>
      </c>
      <c r="E2455" t="s">
        <v>2130</v>
      </c>
      <c r="F2455" t="s">
        <v>22</v>
      </c>
      <c r="G2455" t="s">
        <v>23</v>
      </c>
      <c r="H2455" t="s">
        <v>1763</v>
      </c>
      <c r="I2455" t="s">
        <v>25</v>
      </c>
      <c r="J2455" s="2">
        <v>45803.643287037034</v>
      </c>
      <c r="K2455">
        <v>26</v>
      </c>
      <c r="L2455">
        <v>5</v>
      </c>
      <c r="M2455">
        <v>2025</v>
      </c>
      <c r="N2455" t="s">
        <v>27</v>
      </c>
      <c r="O2455">
        <v>100</v>
      </c>
      <c r="P2455">
        <v>100</v>
      </c>
      <c r="R2455" s="3" t="str">
        <f>HYPERLINK("https://panda.att.com.mx/ODKServer/view/binaryData?blobKey=FSSuministroFluidosv3%5B%40version%3Dnull+and+%40uiVersion%3Dnull%5D%2Fdata%5B%40key%3Duuid%3A63d5ed84-107b-40e6-84c3-aa622fda288b%5D%2FgroupInfoFuel%5B%40ordinal%3D1%5D%2FpicFuelRecibeInterno","Descargar")</f>
        <v>Descargar</v>
      </c>
    </row>
    <row r="2456" spans="1:18" x14ac:dyDescent="0.3">
      <c r="A2456">
        <v>1545477</v>
      </c>
      <c r="B2456" t="s">
        <v>18</v>
      </c>
      <c r="C2456" t="s">
        <v>55</v>
      </c>
      <c r="D2456" t="s">
        <v>2129</v>
      </c>
      <c r="E2456" t="s">
        <v>2131</v>
      </c>
      <c r="F2456" t="s">
        <v>22</v>
      </c>
      <c r="G2456" t="s">
        <v>23</v>
      </c>
      <c r="H2456" t="s">
        <v>1763</v>
      </c>
      <c r="I2456" t="s">
        <v>25</v>
      </c>
      <c r="J2456" s="2">
        <v>45803.606608796297</v>
      </c>
      <c r="K2456">
        <v>26</v>
      </c>
      <c r="L2456">
        <v>5</v>
      </c>
      <c r="M2456">
        <v>2025</v>
      </c>
      <c r="N2456" t="s">
        <v>27</v>
      </c>
      <c r="O2456">
        <v>100</v>
      </c>
      <c r="P2456">
        <v>100</v>
      </c>
      <c r="R2456" s="3" t="str">
        <f>HYPERLINK("https://panda.att.com.mx/ODKServer/view/binaryData?blobKey=FSSuministroFluidosv3%5B%40version%3Dnull+and+%40uiVersion%3Dnull%5D%2Fdata%5B%40key%3Duuid%3A5a64f7e3-0698-4def-a7ae-40d88f89b7fe%5D%2FgroupInfoFuel%5B%40ordinal%3D1%5D%2FpicFuelRecibeInterno","Descargar")</f>
        <v>Descargar</v>
      </c>
    </row>
    <row r="2457" spans="1:18" x14ac:dyDescent="0.3">
      <c r="A2457">
        <v>1545476</v>
      </c>
      <c r="B2457" t="s">
        <v>18</v>
      </c>
      <c r="C2457" t="s">
        <v>55</v>
      </c>
      <c r="D2457" t="s">
        <v>1500</v>
      </c>
      <c r="E2457" t="s">
        <v>2132</v>
      </c>
      <c r="F2457" t="s">
        <v>22</v>
      </c>
      <c r="G2457" t="s">
        <v>23</v>
      </c>
      <c r="H2457" t="s">
        <v>1763</v>
      </c>
      <c r="I2457" t="s">
        <v>25</v>
      </c>
      <c r="J2457" s="2">
        <v>45803.50854166667</v>
      </c>
      <c r="K2457">
        <v>26</v>
      </c>
      <c r="L2457">
        <v>5</v>
      </c>
      <c r="M2457">
        <v>2025</v>
      </c>
      <c r="N2457" t="s">
        <v>27</v>
      </c>
      <c r="O2457">
        <v>258</v>
      </c>
      <c r="P2457">
        <v>258</v>
      </c>
      <c r="R2457" s="3" t="str">
        <f>HYPERLINK("https://panda.att.com.mx/ODKServer/view/binaryData?blobKey=FSSuministroFluidosv3%5B%40version%3Dnull+and+%40uiVersion%3Dnull%5D%2Fdata%5B%40key%3Duuid%3A26e7cf44-6f15-4525-a05b-df18d9f1268a%5D%2FgroupInfoFuel%5B%40ordinal%3D1%5D%2FpicFuelRecibeInterno","Descargar")</f>
        <v>Descargar</v>
      </c>
    </row>
    <row r="2458" spans="1:18" x14ac:dyDescent="0.3">
      <c r="A2458">
        <v>1545475</v>
      </c>
      <c r="B2458" t="s">
        <v>18</v>
      </c>
      <c r="C2458" t="s">
        <v>55</v>
      </c>
      <c r="D2458" t="s">
        <v>56</v>
      </c>
      <c r="E2458" t="s">
        <v>2089</v>
      </c>
      <c r="F2458" t="s">
        <v>22</v>
      </c>
      <c r="G2458" t="s">
        <v>23</v>
      </c>
      <c r="H2458" t="s">
        <v>1763</v>
      </c>
      <c r="I2458" t="s">
        <v>25</v>
      </c>
      <c r="J2458" s="2">
        <v>45793.434942129628</v>
      </c>
      <c r="K2458">
        <v>16</v>
      </c>
      <c r="L2458">
        <v>5</v>
      </c>
      <c r="M2458">
        <v>2025</v>
      </c>
      <c r="N2458" t="s">
        <v>27</v>
      </c>
      <c r="O2458">
        <v>220</v>
      </c>
      <c r="P2458">
        <v>220</v>
      </c>
      <c r="R2458" s="3" t="str">
        <f>HYPERLINK("https://panda.att.com.mx/ODKServer/view/binaryData?blobKey=FSSuministroFluidosv3%5B%40version%3Dnull+and+%40uiVersion%3Dnull%5D%2Fdata%5B%40key%3Duuid%3A1c4f4ac4-b2af-407f-b9b1-1d0729e5b9e4%5D%2FgroupInfoFuel%5B%40ordinal%3D1%5D%2FpicFuelRecibeInterno","Descargar")</f>
        <v>Descargar</v>
      </c>
    </row>
    <row r="2459" spans="1:18" x14ac:dyDescent="0.3">
      <c r="A2459">
        <v>1545474</v>
      </c>
      <c r="B2459" t="s">
        <v>18</v>
      </c>
      <c r="C2459" t="s">
        <v>55</v>
      </c>
      <c r="D2459" t="s">
        <v>288</v>
      </c>
      <c r="E2459" t="s">
        <v>440</v>
      </c>
      <c r="F2459" t="s">
        <v>22</v>
      </c>
      <c r="G2459" t="s">
        <v>23</v>
      </c>
      <c r="H2459" t="s">
        <v>1763</v>
      </c>
      <c r="I2459" t="s">
        <v>25</v>
      </c>
      <c r="J2459" s="2">
        <v>45804.605324074073</v>
      </c>
      <c r="K2459">
        <v>27</v>
      </c>
      <c r="L2459">
        <v>5</v>
      </c>
      <c r="M2459">
        <v>2025</v>
      </c>
      <c r="N2459" t="s">
        <v>27</v>
      </c>
      <c r="O2459">
        <v>250</v>
      </c>
      <c r="P2459">
        <v>250</v>
      </c>
      <c r="R2459" s="3" t="str">
        <f>HYPERLINK("https://panda.att.com.mx/ODKServer/view/binaryData?blobKey=FSSuministroFluidosv3%5B%40version%3Dnull+and+%40uiVersion%3Dnull%5D%2Fdata%5B%40key%3Duuid%3Af842e99a-fc82-45e2-a35c-50e2bb522e07%5D%2FgroupInfoFuel%5B%40ordinal%3D1%5D%2FpicFuelRecibeInterno","Descargar")</f>
        <v>Descargar</v>
      </c>
    </row>
    <row r="2460" spans="1:18" x14ac:dyDescent="0.3">
      <c r="A2460">
        <v>1545248</v>
      </c>
      <c r="B2460" t="s">
        <v>18</v>
      </c>
      <c r="C2460" t="s">
        <v>19</v>
      </c>
      <c r="D2460" t="s">
        <v>45</v>
      </c>
      <c r="E2460" t="s">
        <v>2028</v>
      </c>
      <c r="F2460" t="s">
        <v>22</v>
      </c>
      <c r="G2460" t="s">
        <v>23</v>
      </c>
      <c r="H2460" t="s">
        <v>24</v>
      </c>
      <c r="I2460" t="s">
        <v>25</v>
      </c>
      <c r="J2460" s="2">
        <v>45803.715277777781</v>
      </c>
      <c r="K2460">
        <v>26</v>
      </c>
      <c r="L2460">
        <v>5</v>
      </c>
      <c r="M2460">
        <v>2025</v>
      </c>
      <c r="N2460" t="s">
        <v>27</v>
      </c>
      <c r="O2460">
        <v>300</v>
      </c>
      <c r="P2460">
        <v>300</v>
      </c>
      <c r="R2460" s="3" t="str">
        <f>HYPERLINK("https://panda.att.com.mx/ODKServer/view/binaryData?blobKey=FSSuministroFluidosv3%5B%40version%3Dnull+and+%40uiVersion%3Dnull%5D%2Fdata%5B%40key%3Duuid%3A58503cbb-a4a9-43df-b985-c48cfb6a3348%5D%2FgroupInfoFuel%5B%40ordinal%3D1%5D%2FpicFuelRecibeInterno","Descargar")</f>
        <v>Descargar</v>
      </c>
    </row>
    <row r="2461" spans="1:18" x14ac:dyDescent="0.3">
      <c r="A2461">
        <v>1545142</v>
      </c>
      <c r="B2461" t="s">
        <v>18</v>
      </c>
      <c r="C2461" t="s">
        <v>68</v>
      </c>
      <c r="D2461" t="s">
        <v>2071</v>
      </c>
      <c r="E2461" t="s">
        <v>2072</v>
      </c>
      <c r="F2461" t="s">
        <v>22</v>
      </c>
      <c r="G2461" t="s">
        <v>83</v>
      </c>
      <c r="H2461" t="s">
        <v>37</v>
      </c>
      <c r="I2461" t="s">
        <v>25</v>
      </c>
      <c r="J2461" s="2">
        <v>45803.601145833331</v>
      </c>
      <c r="K2461">
        <v>26</v>
      </c>
      <c r="L2461">
        <v>5</v>
      </c>
      <c r="M2461">
        <v>2025</v>
      </c>
      <c r="N2461" t="s">
        <v>27</v>
      </c>
      <c r="O2461">
        <v>200</v>
      </c>
      <c r="P2461">
        <v>200</v>
      </c>
      <c r="R2461" s="3" t="str">
        <f>HYPERLINK("https://panda.att.com.mx/ODKServer/view/binaryData?blobKey=FSSuministroFluidosv3%5B%40version%3Dnull+and+%40uiVersion%3Dnull%5D%2Fdata%5B%40key%3Duuid%3A278654fa-e770-4b29-aab4-367df53adccd%5D%2FgroupInfoFuel%5B%40ordinal%3D1%5D%2FpicFuelRecibeInterno","Descargar")</f>
        <v>Descargar</v>
      </c>
    </row>
    <row r="2462" spans="1:18" x14ac:dyDescent="0.3">
      <c r="A2462">
        <v>1545005</v>
      </c>
      <c r="B2462" t="s">
        <v>18</v>
      </c>
      <c r="C2462" t="s">
        <v>68</v>
      </c>
      <c r="D2462" t="s">
        <v>132</v>
      </c>
      <c r="E2462" t="s">
        <v>1780</v>
      </c>
      <c r="F2462" t="s">
        <v>22</v>
      </c>
      <c r="G2462" t="s">
        <v>23</v>
      </c>
      <c r="H2462" t="s">
        <v>37</v>
      </c>
      <c r="I2462" t="s">
        <v>25</v>
      </c>
      <c r="J2462" s="2">
        <v>45803.748206018521</v>
      </c>
      <c r="K2462">
        <v>26</v>
      </c>
      <c r="L2462">
        <v>5</v>
      </c>
      <c r="M2462">
        <v>2025</v>
      </c>
      <c r="N2462" t="s">
        <v>27</v>
      </c>
      <c r="O2462">
        <v>300</v>
      </c>
      <c r="P2462">
        <v>300</v>
      </c>
      <c r="R2462" s="3" t="str">
        <f>HYPERLINK("https://panda.att.com.mx/ODKServer/view/binaryData?blobKey=FSSuministroFluidosv3%5B%40version%3Dnull+and+%40uiVersion%3Dnull%5D%2Fdata%5B%40key%3Duuid%3A3da3424e-c8b7-414c-9a2c-1df2d2f27535%5D%2FgroupInfoFuel%5B%40ordinal%3D1%5D%2FpicFuelRecibeInterno","Descargar")</f>
        <v>Descargar</v>
      </c>
    </row>
    <row r="2463" spans="1:18" x14ac:dyDescent="0.3">
      <c r="A2463">
        <v>1545000</v>
      </c>
      <c r="B2463" t="s">
        <v>18</v>
      </c>
      <c r="C2463" t="s">
        <v>19</v>
      </c>
      <c r="D2463" t="s">
        <v>42</v>
      </c>
      <c r="E2463" t="s">
        <v>2133</v>
      </c>
      <c r="F2463" t="s">
        <v>22</v>
      </c>
      <c r="G2463" t="s">
        <v>23</v>
      </c>
      <c r="H2463" t="s">
        <v>24</v>
      </c>
      <c r="I2463" t="s">
        <v>25</v>
      </c>
      <c r="J2463" s="2">
        <v>45803.39943287037</v>
      </c>
      <c r="K2463">
        <v>26</v>
      </c>
      <c r="L2463">
        <v>5</v>
      </c>
      <c r="M2463">
        <v>2025</v>
      </c>
      <c r="N2463" t="s">
        <v>44</v>
      </c>
      <c r="O2463">
        <v>55</v>
      </c>
      <c r="P2463">
        <v>55</v>
      </c>
      <c r="R2463" s="3" t="str">
        <f>HYPERLINK("https://panda.att.com.mx/ODKServer/view/binaryData?blobKey=FSSuministroFluidosv3%5B%40version%3Dnull+and+%40uiVersion%3Dnull%5D%2Fdata%5B%40key%3Duuid%3A829d70a0-96ad-42e3-8a06-d3799a3e9915%5D%2FgroupInfoFuel%5B%40ordinal%3D1%5D%2FpicFuelRecibeInterno","Descargar")</f>
        <v>Descargar</v>
      </c>
    </row>
    <row r="2464" spans="1:18" x14ac:dyDescent="0.3">
      <c r="A2464">
        <v>1544989</v>
      </c>
      <c r="B2464" t="s">
        <v>18</v>
      </c>
      <c r="C2464" t="s">
        <v>150</v>
      </c>
      <c r="D2464" t="s">
        <v>230</v>
      </c>
      <c r="E2464" t="s">
        <v>1510</v>
      </c>
      <c r="F2464" t="s">
        <v>22</v>
      </c>
      <c r="G2464" t="s">
        <v>23</v>
      </c>
      <c r="H2464" t="s">
        <v>1781</v>
      </c>
      <c r="I2464" t="s">
        <v>25</v>
      </c>
      <c r="J2464" s="2">
        <v>45804.319988425923</v>
      </c>
      <c r="K2464">
        <v>27</v>
      </c>
      <c r="L2464">
        <v>5</v>
      </c>
      <c r="M2464">
        <v>2025</v>
      </c>
      <c r="N2464" t="s">
        <v>27</v>
      </c>
      <c r="O2464">
        <v>250.02</v>
      </c>
      <c r="P2464">
        <v>250.02</v>
      </c>
      <c r="R2464" s="3" t="str">
        <f>HYPERLINK("https://panda.att.com.mx/ODKServer/view/binaryData?blobKey=FSSuministroFluidosv3%5B%40version%3Dnull+and+%40uiVersion%3Dnull%5D%2Fdata%5B%40key%3Duuid%3A41c34ab6-dd73-49f7-96d8-3dbafdbc722a%5D%2FgroupInfoFuel%5B%40ordinal%3D1%5D%2FpicFuelRecibeInterno","Descargar")</f>
        <v>Descargar</v>
      </c>
    </row>
    <row r="2465" spans="1:18" x14ac:dyDescent="0.3">
      <c r="A2465">
        <v>1544973</v>
      </c>
      <c r="B2465" t="s">
        <v>18</v>
      </c>
      <c r="C2465" t="s">
        <v>68</v>
      </c>
      <c r="D2465" t="s">
        <v>116</v>
      </c>
      <c r="E2465" t="s">
        <v>1804</v>
      </c>
      <c r="F2465" t="s">
        <v>22</v>
      </c>
      <c r="G2465" t="s">
        <v>83</v>
      </c>
      <c r="H2465" t="s">
        <v>37</v>
      </c>
      <c r="I2465" t="s">
        <v>84</v>
      </c>
      <c r="J2465" s="2">
        <v>45803.434861111113</v>
      </c>
      <c r="K2465">
        <v>26</v>
      </c>
      <c r="L2465">
        <v>5</v>
      </c>
      <c r="M2465">
        <v>2025</v>
      </c>
      <c r="N2465" t="s">
        <v>27</v>
      </c>
      <c r="O2465">
        <v>100</v>
      </c>
      <c r="P2465">
        <v>100</v>
      </c>
      <c r="R2465" s="3" t="str">
        <f>HYPERLINK("https://panda.att.com.mx/ODKServer/view/binaryData?blobKey=FSSuministroFluidosv3%5B%40version%3Dnull+and+%40uiVersion%3Dnull%5D%2Fdata%5B%40key%3Duuid%3A75d9d14c-2859-41a6-b3bb-6a51826f6ac1%5D%2FgroupInfoFuel%5B%40ordinal%3D1%5D%2FpicFuelRecibeInterno","Descargar")</f>
        <v>Descargar</v>
      </c>
    </row>
    <row r="2466" spans="1:18" x14ac:dyDescent="0.3">
      <c r="A2466">
        <v>1544816</v>
      </c>
      <c r="B2466" t="s">
        <v>18</v>
      </c>
      <c r="C2466" t="s">
        <v>19</v>
      </c>
      <c r="D2466" t="s">
        <v>45</v>
      </c>
      <c r="E2466" t="s">
        <v>383</v>
      </c>
      <c r="F2466" t="s">
        <v>22</v>
      </c>
      <c r="G2466" t="s">
        <v>23</v>
      </c>
      <c r="H2466" t="s">
        <v>24</v>
      </c>
      <c r="I2466" t="s">
        <v>25</v>
      </c>
      <c r="J2466" s="2">
        <v>45803.465115740742</v>
      </c>
      <c r="K2466">
        <v>26</v>
      </c>
      <c r="L2466">
        <v>5</v>
      </c>
      <c r="M2466">
        <v>2025</v>
      </c>
      <c r="N2466" t="s">
        <v>27</v>
      </c>
      <c r="O2466">
        <v>150</v>
      </c>
      <c r="P2466">
        <v>150</v>
      </c>
      <c r="R2466" s="3" t="str">
        <f>HYPERLINK("https://panda.att.com.mx/ODKServer/view/binaryData?blobKey=FSSuministroFluidosv3%5B%40version%3Dnull+and+%40uiVersion%3Dnull%5D%2Fdata%5B%40key%3Duuid%3A4d0d51ae-0d21-4add-aa2a-85d24e258827%5D%2FgroupInfoFuel%5B%40ordinal%3D1%5D%2FpicFuelRecibeInterno","Descargar")</f>
        <v>Descargar</v>
      </c>
    </row>
    <row r="2467" spans="1:18" x14ac:dyDescent="0.3">
      <c r="A2467">
        <v>1544803</v>
      </c>
      <c r="B2467" t="s">
        <v>18</v>
      </c>
      <c r="C2467" t="s">
        <v>55</v>
      </c>
      <c r="D2467" t="s">
        <v>56</v>
      </c>
      <c r="E2467" t="s">
        <v>1842</v>
      </c>
      <c r="F2467" t="s">
        <v>22</v>
      </c>
      <c r="G2467" t="s">
        <v>23</v>
      </c>
      <c r="H2467" t="s">
        <v>1763</v>
      </c>
      <c r="I2467" t="s">
        <v>25</v>
      </c>
      <c r="J2467" s="2">
        <v>45803.947256944448</v>
      </c>
      <c r="K2467">
        <v>26</v>
      </c>
      <c r="L2467">
        <v>5</v>
      </c>
      <c r="M2467">
        <v>2025</v>
      </c>
      <c r="N2467" t="s">
        <v>27</v>
      </c>
      <c r="O2467">
        <v>300</v>
      </c>
      <c r="P2467">
        <v>300</v>
      </c>
      <c r="R2467" s="3" t="str">
        <f>HYPERLINK("https://panda.att.com.mx/ODKServer/view/binaryData?blobKey=FSSuministroFluidosv3%5B%40version%3Dnull+and+%40uiVersion%3Dnull%5D%2Fdata%5B%40key%3Duuid%3A1991eaeb-a1d6-47f9-a63c-7694b6ce5223%5D%2FgroupInfoFuel%5B%40ordinal%3D1%5D%2FpicFuelRecibeInterno","Descargar")</f>
        <v>Descargar</v>
      </c>
    </row>
    <row r="2468" spans="1:18" x14ac:dyDescent="0.3">
      <c r="A2468">
        <v>1544789</v>
      </c>
      <c r="B2468" t="s">
        <v>18</v>
      </c>
      <c r="C2468" t="s">
        <v>183</v>
      </c>
      <c r="D2468" t="s">
        <v>841</v>
      </c>
      <c r="E2468" t="s">
        <v>842</v>
      </c>
      <c r="F2468" t="s">
        <v>22</v>
      </c>
      <c r="G2468" t="s">
        <v>23</v>
      </c>
      <c r="H2468" t="s">
        <v>1763</v>
      </c>
      <c r="I2468" t="s">
        <v>25</v>
      </c>
      <c r="J2468" s="2">
        <v>45803.936145833337</v>
      </c>
      <c r="K2468">
        <v>26</v>
      </c>
      <c r="L2468">
        <v>5</v>
      </c>
      <c r="M2468">
        <v>2025</v>
      </c>
      <c r="N2468" t="s">
        <v>27</v>
      </c>
      <c r="O2468">
        <v>100</v>
      </c>
      <c r="P2468">
        <v>100</v>
      </c>
      <c r="R2468" s="3" t="str">
        <f>HYPERLINK("https://panda.att.com.mx/ODKServer/view/binaryData?blobKey=FSSuministroFluidosv3%5B%40version%3Dnull+and+%40uiVersion%3Dnull%5D%2Fdata%5B%40key%3Duuid%3Aa4978889-aeba-4938-9da4-1d44b5c11260%5D%2FgroupInfoFuel%5B%40ordinal%3D1%5D%2FpicFuelRecibeInterno","Descargar")</f>
        <v>Descargar</v>
      </c>
    </row>
    <row r="2469" spans="1:18" x14ac:dyDescent="0.3">
      <c r="A2469">
        <v>1544779</v>
      </c>
      <c r="B2469" t="s">
        <v>18</v>
      </c>
      <c r="C2469" t="s">
        <v>59</v>
      </c>
      <c r="D2469" t="s">
        <v>60</v>
      </c>
      <c r="E2469" t="s">
        <v>2134</v>
      </c>
      <c r="F2469" t="s">
        <v>22</v>
      </c>
      <c r="G2469" t="s">
        <v>23</v>
      </c>
      <c r="H2469" t="s">
        <v>37</v>
      </c>
      <c r="I2469" t="s">
        <v>25</v>
      </c>
      <c r="J2469" s="2">
        <v>45798.477337962962</v>
      </c>
      <c r="K2469">
        <v>21</v>
      </c>
      <c r="L2469">
        <v>5</v>
      </c>
      <c r="M2469">
        <v>2025</v>
      </c>
      <c r="N2469" t="s">
        <v>27</v>
      </c>
      <c r="O2469">
        <v>46.84</v>
      </c>
      <c r="P2469">
        <v>46.84</v>
      </c>
      <c r="R2469" s="3" t="str">
        <f>HYPERLINK("https://panda.att.com.mx/ODKServer/view/binaryData?blobKey=FSSuministroFluidosv3%5B%40version%3Dnull+and+%40uiVersion%3Dnull%5D%2Fdata%5B%40key%3Duuid%3A35065d1b-d3ce-447a-9510-7f6c4ef725a3%5D%2FgroupInfoFuel%5B%40ordinal%3D1%5D%2FpicFuelRecibeInterno","Descargar")</f>
        <v>Descargar</v>
      </c>
    </row>
    <row r="2470" spans="1:18" x14ac:dyDescent="0.3">
      <c r="A2470">
        <v>1544773</v>
      </c>
      <c r="B2470" t="s">
        <v>18</v>
      </c>
      <c r="C2470" t="s">
        <v>55</v>
      </c>
      <c r="D2470" t="s">
        <v>56</v>
      </c>
      <c r="E2470" t="s">
        <v>81</v>
      </c>
      <c r="F2470" t="s">
        <v>22</v>
      </c>
      <c r="G2470" t="s">
        <v>23</v>
      </c>
      <c r="H2470" t="s">
        <v>1763</v>
      </c>
      <c r="I2470" t="s">
        <v>25</v>
      </c>
      <c r="J2470" s="2">
        <v>45803.91715277778</v>
      </c>
      <c r="K2470">
        <v>26</v>
      </c>
      <c r="L2470">
        <v>5</v>
      </c>
      <c r="M2470">
        <v>2025</v>
      </c>
      <c r="N2470" t="s">
        <v>27</v>
      </c>
      <c r="O2470">
        <v>100</v>
      </c>
      <c r="P2470">
        <v>100</v>
      </c>
      <c r="R2470" s="3" t="str">
        <f>HYPERLINK("https://panda.att.com.mx/ODKServer/view/binaryData?blobKey=FSSuministroFluidosv3%5B%40version%3Dnull+and+%40uiVersion%3Dnull%5D%2Fdata%5B%40key%3Duuid%3Aeb612791-ab7d-48d0-bb94-1e5e08559c76%5D%2FgroupInfoFuel%5B%40ordinal%3D1%5D%2FpicFuelRecibeInterno","Descargar")</f>
        <v>Descargar</v>
      </c>
    </row>
    <row r="2471" spans="1:18" x14ac:dyDescent="0.3">
      <c r="A2471">
        <v>1544768</v>
      </c>
      <c r="B2471" t="s">
        <v>18</v>
      </c>
      <c r="C2471" t="s">
        <v>55</v>
      </c>
      <c r="D2471" t="s">
        <v>56</v>
      </c>
      <c r="E2471" t="s">
        <v>320</v>
      </c>
      <c r="F2471" t="s">
        <v>22</v>
      </c>
      <c r="G2471" t="s">
        <v>23</v>
      </c>
      <c r="H2471" t="s">
        <v>1763</v>
      </c>
      <c r="I2471" t="s">
        <v>25</v>
      </c>
      <c r="J2471" s="2">
        <v>45803.910474537042</v>
      </c>
      <c r="K2471">
        <v>26</v>
      </c>
      <c r="L2471">
        <v>5</v>
      </c>
      <c r="M2471">
        <v>2025</v>
      </c>
      <c r="N2471" t="s">
        <v>27</v>
      </c>
      <c r="O2471">
        <v>100</v>
      </c>
      <c r="P2471">
        <v>100</v>
      </c>
      <c r="R2471" s="3" t="str">
        <f>HYPERLINK("https://panda.att.com.mx/ODKServer/view/binaryData?blobKey=FSSuministroFluidosv3%5B%40version%3Dnull+and+%40uiVersion%3Dnull%5D%2Fdata%5B%40key%3Duuid%3A39d152d7-a15d-4b74-8f5d-bf072c6477c8%5D%2FgroupInfoFuel%5B%40ordinal%3D1%5D%2FpicFuelRecibeInterno","Descargar")</f>
        <v>Descargar</v>
      </c>
    </row>
    <row r="2472" spans="1:18" x14ac:dyDescent="0.3">
      <c r="A2472">
        <v>1544749</v>
      </c>
      <c r="B2472" t="s">
        <v>18</v>
      </c>
      <c r="C2472" t="s">
        <v>183</v>
      </c>
      <c r="D2472" t="s">
        <v>688</v>
      </c>
      <c r="E2472" t="s">
        <v>689</v>
      </c>
      <c r="F2472" t="s">
        <v>22</v>
      </c>
      <c r="G2472" t="s">
        <v>23</v>
      </c>
      <c r="H2472" t="s">
        <v>37</v>
      </c>
      <c r="I2472" t="s">
        <v>25</v>
      </c>
      <c r="J2472" s="2">
        <v>45803.835081018522</v>
      </c>
      <c r="K2472">
        <v>26</v>
      </c>
      <c r="L2472">
        <v>5</v>
      </c>
      <c r="M2472">
        <v>2025</v>
      </c>
      <c r="N2472" t="s">
        <v>27</v>
      </c>
      <c r="O2472">
        <v>120</v>
      </c>
      <c r="P2472">
        <v>120</v>
      </c>
      <c r="R2472" s="3" t="str">
        <f>HYPERLINK("https://panda.att.com.mx/ODKServer/view/binaryData?blobKey=FSSuministroFluidosv3%5B%40version%3Dnull+and+%40uiVersion%3Dnull%5D%2Fdata%5B%40key%3Duuid%3A1b9b35f5-83c4-4cb8-ab4b-f16f43e620c6%5D%2FgroupInfoFuel%5B%40ordinal%3D1%5D%2FpicFuelRecibeInterno","Descargar")</f>
        <v>Descargar</v>
      </c>
    </row>
    <row r="2473" spans="1:18" x14ac:dyDescent="0.3">
      <c r="A2473">
        <v>1544748</v>
      </c>
      <c r="B2473" t="s">
        <v>18</v>
      </c>
      <c r="C2473" t="s">
        <v>34</v>
      </c>
      <c r="D2473" t="s">
        <v>53</v>
      </c>
      <c r="E2473" t="s">
        <v>1771</v>
      </c>
      <c r="F2473" t="s">
        <v>22</v>
      </c>
      <c r="G2473" t="s">
        <v>23</v>
      </c>
      <c r="H2473" t="s">
        <v>37</v>
      </c>
      <c r="I2473" t="s">
        <v>25</v>
      </c>
      <c r="J2473" s="2">
        <v>45803.82775462963</v>
      </c>
      <c r="K2473">
        <v>26</v>
      </c>
      <c r="L2473">
        <v>5</v>
      </c>
      <c r="M2473">
        <v>2025</v>
      </c>
      <c r="N2473" t="s">
        <v>27</v>
      </c>
      <c r="O2473">
        <v>200</v>
      </c>
      <c r="P2473">
        <v>200</v>
      </c>
      <c r="R2473" s="3" t="str">
        <f>HYPERLINK("https://panda.att.com.mx/ODKServer/view/binaryData?blobKey=FSSuministroFluidosv3%5B%40version%3Dnull+and+%40uiVersion%3Dnull%5D%2Fdata%5B%40key%3Duuid%3Aa430ec13-8080-48d8-85e1-ce2f3c1cd9b4%5D%2FgroupInfoFuel%5B%40ordinal%3D1%5D%2FpicFuelRecibeInterno","Descargar")</f>
        <v>Descargar</v>
      </c>
    </row>
    <row r="2474" spans="1:18" x14ac:dyDescent="0.3">
      <c r="A2474">
        <v>1544713</v>
      </c>
      <c r="B2474" t="s">
        <v>18</v>
      </c>
      <c r="C2474" t="s">
        <v>19</v>
      </c>
      <c r="D2474" t="s">
        <v>42</v>
      </c>
      <c r="E2474" t="s">
        <v>1563</v>
      </c>
      <c r="F2474" t="s">
        <v>22</v>
      </c>
      <c r="G2474" t="s">
        <v>23</v>
      </c>
      <c r="H2474" t="s">
        <v>24</v>
      </c>
      <c r="I2474" t="s">
        <v>25</v>
      </c>
      <c r="J2474" s="2">
        <v>45803.50099537037</v>
      </c>
      <c r="K2474">
        <v>26</v>
      </c>
      <c r="L2474">
        <v>5</v>
      </c>
      <c r="M2474">
        <v>2025</v>
      </c>
      <c r="N2474" t="s">
        <v>27</v>
      </c>
      <c r="O2474">
        <v>250</v>
      </c>
      <c r="P2474">
        <v>250</v>
      </c>
      <c r="R2474" s="3" t="str">
        <f>HYPERLINK("https://panda.att.com.mx/ODKServer/view/binaryData?blobKey=FSSuministroFluidosv3%5B%40version%3Dnull+and+%40uiVersion%3Dnull%5D%2Fdata%5B%40key%3Duuid%3Aeb1c9406-7867-48cb-af28-8ad8484f104a%5D%2FgroupInfoFuel%5B%40ordinal%3D1%5D%2FpicFuelRecibeInterno","Descargar")</f>
        <v>Descargar</v>
      </c>
    </row>
    <row r="2475" spans="1:18" x14ac:dyDescent="0.3">
      <c r="A2475">
        <v>1544712</v>
      </c>
      <c r="B2475" t="s">
        <v>18</v>
      </c>
      <c r="C2475" t="s">
        <v>19</v>
      </c>
      <c r="D2475" t="s">
        <v>42</v>
      </c>
      <c r="E2475" t="s">
        <v>2133</v>
      </c>
      <c r="F2475" t="s">
        <v>22</v>
      </c>
      <c r="G2475" t="s">
        <v>23</v>
      </c>
      <c r="H2475" t="s">
        <v>24</v>
      </c>
      <c r="I2475" t="s">
        <v>25</v>
      </c>
      <c r="J2475" s="2">
        <v>45802.827592592592</v>
      </c>
      <c r="K2475">
        <v>25</v>
      </c>
      <c r="L2475">
        <v>5</v>
      </c>
      <c r="M2475">
        <v>2025</v>
      </c>
      <c r="N2475" t="s">
        <v>44</v>
      </c>
      <c r="O2475">
        <v>55</v>
      </c>
      <c r="P2475">
        <v>55</v>
      </c>
      <c r="R2475" s="3" t="str">
        <f>HYPERLINK("https://panda.att.com.mx/ODKServer/view/binaryData?blobKey=FSSuministroFluidosv3%5B%40version%3Dnull+and+%40uiVersion%3Dnull%5D%2Fdata%5B%40key%3Duuid%3A576a5690-9765-4156-b9b9-8d63c694772c%5D%2FgroupInfoFuel%5B%40ordinal%3D1%5D%2FpicFuelRecibeInterno","Descargar")</f>
        <v>Descargar</v>
      </c>
    </row>
    <row r="2476" spans="1:18" x14ac:dyDescent="0.3">
      <c r="A2476">
        <v>1544711</v>
      </c>
      <c r="B2476" t="s">
        <v>18</v>
      </c>
      <c r="C2476" t="s">
        <v>19</v>
      </c>
      <c r="D2476" t="s">
        <v>42</v>
      </c>
      <c r="E2476" t="s">
        <v>2133</v>
      </c>
      <c r="F2476" t="s">
        <v>22</v>
      </c>
      <c r="G2476" t="s">
        <v>23</v>
      </c>
      <c r="H2476" t="s">
        <v>24</v>
      </c>
      <c r="I2476" t="s">
        <v>25</v>
      </c>
      <c r="J2476" s="2">
        <v>45802.418055555558</v>
      </c>
      <c r="K2476">
        <v>25</v>
      </c>
      <c r="L2476">
        <v>5</v>
      </c>
      <c r="M2476">
        <v>2025</v>
      </c>
      <c r="N2476" t="s">
        <v>44</v>
      </c>
      <c r="O2476">
        <v>55</v>
      </c>
      <c r="P2476">
        <v>55</v>
      </c>
      <c r="R2476" s="3" t="str">
        <f>HYPERLINK("https://panda.att.com.mx/ODKServer/view/binaryData?blobKey=FSSuministroFluidosv3%5B%40version%3Dnull+and+%40uiVersion%3Dnull%5D%2Fdata%5B%40key%3Duuid%3Ab0296200-5b75-4fa5-8c44-062355d5e309%5D%2FgroupInfoFuel%5B%40ordinal%3D1%5D%2FpicFuelRecibeInterno","Descargar")</f>
        <v>Descargar</v>
      </c>
    </row>
    <row r="2477" spans="1:18" x14ac:dyDescent="0.3">
      <c r="A2477">
        <v>1548134</v>
      </c>
      <c r="B2477" t="s">
        <v>18</v>
      </c>
      <c r="C2477" t="s">
        <v>55</v>
      </c>
      <c r="D2477" t="s">
        <v>56</v>
      </c>
      <c r="E2477" t="s">
        <v>1555</v>
      </c>
      <c r="F2477" t="s">
        <v>22</v>
      </c>
      <c r="G2477" t="s">
        <v>23</v>
      </c>
      <c r="H2477" t="s">
        <v>1763</v>
      </c>
      <c r="I2477" t="s">
        <v>25</v>
      </c>
      <c r="J2477" s="2">
        <v>45790.578483796293</v>
      </c>
      <c r="K2477">
        <v>13</v>
      </c>
      <c r="L2477">
        <v>5</v>
      </c>
      <c r="M2477">
        <v>2025</v>
      </c>
      <c r="N2477" t="s">
        <v>27</v>
      </c>
      <c r="O2477">
        <v>120</v>
      </c>
      <c r="P2477">
        <v>120</v>
      </c>
      <c r="R2477" s="3" t="str">
        <f>HYPERLINK("https://panda.att.com.mx/ODKServer/view/binaryData?blobKey=FSSuministroFluidosv3%5B%40version%3Dnull+and+%40uiVersion%3Dnull%5D%2Fdata%5B%40key%3Duuid%3A133342d9-bb63-46f5-b260-7775d4c991c0%5D%2FgroupInfoFuel%5B%40ordinal%3D1%5D%2FpicFuelRecibeInterno","Descargar")</f>
        <v>Descargar</v>
      </c>
    </row>
    <row r="2478" spans="1:18" x14ac:dyDescent="0.3">
      <c r="A2478">
        <v>1548133</v>
      </c>
      <c r="B2478" t="s">
        <v>18</v>
      </c>
      <c r="C2478" t="s">
        <v>55</v>
      </c>
      <c r="D2478" t="s">
        <v>56</v>
      </c>
      <c r="E2478" t="s">
        <v>2083</v>
      </c>
      <c r="F2478" t="s">
        <v>22</v>
      </c>
      <c r="G2478" t="s">
        <v>23</v>
      </c>
      <c r="H2478" t="s">
        <v>1763</v>
      </c>
      <c r="I2478" t="s">
        <v>25</v>
      </c>
      <c r="J2478" s="2">
        <v>45790.614421296297</v>
      </c>
      <c r="K2478">
        <v>13</v>
      </c>
      <c r="L2478">
        <v>5</v>
      </c>
      <c r="M2478">
        <v>2025</v>
      </c>
      <c r="N2478" t="s">
        <v>27</v>
      </c>
      <c r="O2478">
        <v>100</v>
      </c>
      <c r="P2478">
        <v>100</v>
      </c>
      <c r="R2478" s="3" t="str">
        <f>HYPERLINK("https://panda.att.com.mx/ODKServer/view/binaryData?blobKey=FSSuministroFluidosv3%5B%40version%3Dnull+and+%40uiVersion%3Dnull%5D%2Fdata%5B%40key%3Duuid%3A5c5ab4f4-1e28-4049-8d1b-5808246ccd9c%5D%2FgroupInfoFuel%5B%40ordinal%3D1%5D%2FpicFuelRecibeInterno","Descargar")</f>
        <v>Descargar</v>
      </c>
    </row>
    <row r="2479" spans="1:18" x14ac:dyDescent="0.3">
      <c r="A2479">
        <v>1548131</v>
      </c>
      <c r="B2479" t="s">
        <v>18</v>
      </c>
      <c r="C2479" t="s">
        <v>19</v>
      </c>
      <c r="D2479" t="s">
        <v>45</v>
      </c>
      <c r="E2479" t="s">
        <v>2135</v>
      </c>
      <c r="F2479" t="s">
        <v>22</v>
      </c>
      <c r="G2479" t="s">
        <v>23</v>
      </c>
      <c r="H2479" t="s">
        <v>24</v>
      </c>
      <c r="I2479" t="s">
        <v>25</v>
      </c>
      <c r="J2479" s="2">
        <v>45794.917511574073</v>
      </c>
      <c r="K2479">
        <v>17</v>
      </c>
      <c r="L2479">
        <v>5</v>
      </c>
      <c r="M2479">
        <v>2025</v>
      </c>
      <c r="N2479" t="s">
        <v>27</v>
      </c>
      <c r="O2479">
        <v>300</v>
      </c>
      <c r="P2479">
        <v>300</v>
      </c>
      <c r="R2479" s="3" t="str">
        <f>HYPERLINK("https://panda.att.com.mx/ODKServer/view/binaryData?blobKey=FSSuministroFluidosv3%5B%40version%3Dnull+and+%40uiVersion%3Dnull%5D%2Fdata%5B%40key%3Duuid%3A936d53db-15b0-4a5a-b068-502781264cb6%5D%2FgroupInfoFuel%5B%40ordinal%3D1%5D%2FpicFuelRecibeInterno","Descargar")</f>
        <v>Descargar</v>
      </c>
    </row>
    <row r="2480" spans="1:18" x14ac:dyDescent="0.3">
      <c r="A2480">
        <v>1548130</v>
      </c>
      <c r="B2480" t="s">
        <v>18</v>
      </c>
      <c r="C2480" t="s">
        <v>55</v>
      </c>
      <c r="D2480" t="s">
        <v>56</v>
      </c>
      <c r="E2480" t="s">
        <v>2083</v>
      </c>
      <c r="F2480" t="s">
        <v>22</v>
      </c>
      <c r="G2480" t="s">
        <v>23</v>
      </c>
      <c r="H2480" t="s">
        <v>1763</v>
      </c>
      <c r="I2480" t="s">
        <v>25</v>
      </c>
      <c r="J2480" s="2">
        <v>45789.51902777778</v>
      </c>
      <c r="K2480">
        <v>12</v>
      </c>
      <c r="L2480">
        <v>5</v>
      </c>
      <c r="M2480">
        <v>2025</v>
      </c>
      <c r="N2480" t="s">
        <v>27</v>
      </c>
      <c r="O2480">
        <v>100</v>
      </c>
      <c r="P2480">
        <v>100</v>
      </c>
      <c r="R2480" s="3" t="str">
        <f>HYPERLINK("https://panda.att.com.mx/ODKServer/view/binaryData?blobKey=FSSuministroFluidosv3%5B%40version%3Dnull+and+%40uiVersion%3Dnull%5D%2Fdata%5B%40key%3Duuid%3A383f60fa-d50e-4366-8a71-c570435aedaa%5D%2FgroupInfoFuel%5B%40ordinal%3D1%5D%2FpicFuelRecibeInterno","Descargar")</f>
        <v>Descargar</v>
      </c>
    </row>
    <row r="2481" spans="1:18" x14ac:dyDescent="0.3">
      <c r="A2481">
        <v>1547974</v>
      </c>
      <c r="B2481" t="s">
        <v>18</v>
      </c>
      <c r="C2481" t="s">
        <v>34</v>
      </c>
      <c r="D2481" t="s">
        <v>53</v>
      </c>
      <c r="E2481" t="s">
        <v>2119</v>
      </c>
      <c r="F2481" t="s">
        <v>22</v>
      </c>
      <c r="G2481" t="s">
        <v>83</v>
      </c>
      <c r="H2481" t="s">
        <v>37</v>
      </c>
      <c r="I2481" t="s">
        <v>25</v>
      </c>
      <c r="J2481" s="2">
        <v>45802.436527777783</v>
      </c>
      <c r="K2481">
        <v>25</v>
      </c>
      <c r="L2481">
        <v>5</v>
      </c>
      <c r="M2481">
        <v>2025</v>
      </c>
      <c r="N2481" t="s">
        <v>27</v>
      </c>
      <c r="O2481">
        <v>400</v>
      </c>
      <c r="Q2481">
        <v>400</v>
      </c>
      <c r="R2481" s="3" t="str">
        <f>HYPERLINK("https://panda.att.com.mx/ODKServer/view/binaryData?blobKey=FSSuministroFluidosv3%5B%40version%3Dnull+and+%40uiVersion%3Dnull%5D%2Fdata%5B%40key%3Duuid%3Ab19f7e35-e229-483b-9eb5-b654d9da94a8%5D%2FgroupInfoFuel%5B%40ordinal%3D1%5D%2FpicFuelRecibeInterno","Descargar")</f>
        <v>Descargar</v>
      </c>
    </row>
    <row r="2482" spans="1:18" x14ac:dyDescent="0.3">
      <c r="A2482">
        <v>1547969</v>
      </c>
      <c r="B2482" t="s">
        <v>18</v>
      </c>
      <c r="C2482" t="s">
        <v>34</v>
      </c>
      <c r="D2482" t="s">
        <v>53</v>
      </c>
      <c r="E2482" t="s">
        <v>2119</v>
      </c>
      <c r="F2482" t="s">
        <v>22</v>
      </c>
      <c r="G2482" t="s">
        <v>83</v>
      </c>
      <c r="H2482" t="s">
        <v>37</v>
      </c>
      <c r="I2482" t="s">
        <v>25</v>
      </c>
      <c r="J2482" s="2">
        <v>45802.519988425927</v>
      </c>
      <c r="K2482">
        <v>25</v>
      </c>
      <c r="L2482">
        <v>5</v>
      </c>
      <c r="M2482">
        <v>2025</v>
      </c>
      <c r="N2482" t="s">
        <v>27</v>
      </c>
      <c r="O2482">
        <v>400</v>
      </c>
      <c r="Q2482">
        <v>400</v>
      </c>
      <c r="R2482" s="3" t="str">
        <f>HYPERLINK("https://panda.att.com.mx/ODKServer/view/binaryData?blobKey=FSSuministroFluidosv3%5B%40version%3Dnull+and+%40uiVersion%3Dnull%5D%2Fdata%5B%40key%3Duuid%3A3df80349-4254-4a61-8495-601397331692%5D%2FgroupInfoFuel%5B%40ordinal%3D1%5D%2FpicFuelRecibeInterno","Descargar")</f>
        <v>Descargar</v>
      </c>
    </row>
    <row r="2483" spans="1:18" x14ac:dyDescent="0.3">
      <c r="A2483">
        <v>1547946</v>
      </c>
      <c r="B2483" t="s">
        <v>18</v>
      </c>
      <c r="C2483" t="s">
        <v>34</v>
      </c>
      <c r="D2483" t="s">
        <v>53</v>
      </c>
      <c r="E2483" t="s">
        <v>2119</v>
      </c>
      <c r="F2483" t="s">
        <v>22</v>
      </c>
      <c r="G2483" t="s">
        <v>83</v>
      </c>
      <c r="H2483" t="s">
        <v>37</v>
      </c>
      <c r="I2483" t="s">
        <v>25</v>
      </c>
      <c r="J2483" s="2">
        <v>45801.403819444437</v>
      </c>
      <c r="K2483">
        <v>24</v>
      </c>
      <c r="L2483">
        <v>5</v>
      </c>
      <c r="M2483">
        <v>2025</v>
      </c>
      <c r="N2483" t="s">
        <v>27</v>
      </c>
      <c r="O2483">
        <v>400</v>
      </c>
      <c r="Q2483">
        <v>400</v>
      </c>
      <c r="R2483" s="3" t="str">
        <f>HYPERLINK("https://panda.att.com.mx/ODKServer/view/binaryData?blobKey=FSSuministroFluidosv3%5B%40version%3Dnull+and+%40uiVersion%3Dnull%5D%2Fdata%5B%40key%3Duuid%3A44d1a2d3-09bd-47ef-ba00-acc807b39f31%5D%2FgroupInfoFuel%5B%40ordinal%3D1%5D%2FpicFuelRecibeInterno","Descargar")</f>
        <v>Descargar</v>
      </c>
    </row>
    <row r="2484" spans="1:18" x14ac:dyDescent="0.3">
      <c r="A2484">
        <v>1547900</v>
      </c>
      <c r="B2484" t="s">
        <v>18</v>
      </c>
      <c r="C2484" t="s">
        <v>59</v>
      </c>
      <c r="D2484" t="s">
        <v>2112</v>
      </c>
      <c r="E2484" t="s">
        <v>2136</v>
      </c>
      <c r="F2484" t="s">
        <v>22</v>
      </c>
      <c r="G2484" t="s">
        <v>23</v>
      </c>
      <c r="H2484" t="s">
        <v>37</v>
      </c>
      <c r="I2484" t="s">
        <v>25</v>
      </c>
      <c r="J2484" s="2">
        <v>45805.589421296303</v>
      </c>
      <c r="K2484">
        <v>28</v>
      </c>
      <c r="L2484">
        <v>5</v>
      </c>
      <c r="M2484">
        <v>2025</v>
      </c>
      <c r="N2484" t="s">
        <v>27</v>
      </c>
      <c r="O2484">
        <v>125</v>
      </c>
      <c r="P2484">
        <v>125</v>
      </c>
      <c r="R2484" s="3" t="str">
        <f>HYPERLINK("https://panda.att.com.mx/ODKServer/view/binaryData?blobKey=FSSuministroFluidosv3%5B%40version%3Dnull+and+%40uiVersion%3Dnull%5D%2Fdata%5B%40key%3Duuid%3Aec0725f1-ef61-4192-81a0-5af27adfadd4%5D%2FgroupInfoFuel%5B%40ordinal%3D1%5D%2FpicFuelRecibeInterno","Descargar")</f>
        <v>Descargar</v>
      </c>
    </row>
    <row r="2485" spans="1:18" x14ac:dyDescent="0.3">
      <c r="A2485">
        <v>1547868</v>
      </c>
      <c r="B2485" t="s">
        <v>18</v>
      </c>
      <c r="C2485" t="s">
        <v>55</v>
      </c>
      <c r="D2485" t="s">
        <v>56</v>
      </c>
      <c r="E2485" t="s">
        <v>668</v>
      </c>
      <c r="F2485" t="s">
        <v>22</v>
      </c>
      <c r="G2485" t="s">
        <v>23</v>
      </c>
      <c r="H2485" t="s">
        <v>1763</v>
      </c>
      <c r="I2485" t="s">
        <v>25</v>
      </c>
      <c r="J2485" s="2">
        <v>45804.505891203713</v>
      </c>
      <c r="K2485">
        <v>27</v>
      </c>
      <c r="L2485">
        <v>5</v>
      </c>
      <c r="M2485">
        <v>2025</v>
      </c>
      <c r="N2485" t="s">
        <v>27</v>
      </c>
      <c r="O2485">
        <v>100</v>
      </c>
      <c r="P2485">
        <v>100</v>
      </c>
      <c r="R2485" s="3" t="str">
        <f>HYPERLINK("https://panda.att.com.mx/ODKServer/view/binaryData?blobKey=FSSuministroFluidosv3%5B%40version%3Dnull+and+%40uiVersion%3Dnull%5D%2Fdata%5B%40key%3Duuid%3A1b6b3c37-15a6-40b8-9704-4f4cd432bf27%5D%2FgroupInfoFuel%5B%40ordinal%3D1%5D%2FpicFuelRecibeInterno","Descargar")</f>
        <v>Descargar</v>
      </c>
    </row>
    <row r="2486" spans="1:18" x14ac:dyDescent="0.3">
      <c r="A2486">
        <v>1547859</v>
      </c>
      <c r="B2486" t="s">
        <v>18</v>
      </c>
      <c r="C2486" t="s">
        <v>28</v>
      </c>
      <c r="D2486" t="s">
        <v>1036</v>
      </c>
      <c r="E2486" t="s">
        <v>2137</v>
      </c>
      <c r="F2486" t="s">
        <v>22</v>
      </c>
      <c r="G2486" t="s">
        <v>47</v>
      </c>
      <c r="H2486" t="s">
        <v>24</v>
      </c>
      <c r="I2486" t="s">
        <v>25</v>
      </c>
      <c r="J2486" s="2">
        <v>45805.605451388888</v>
      </c>
      <c r="K2486">
        <v>28</v>
      </c>
      <c r="L2486">
        <v>5</v>
      </c>
      <c r="M2486">
        <v>2025</v>
      </c>
      <c r="N2486" t="s">
        <v>27</v>
      </c>
      <c r="O2486">
        <v>80</v>
      </c>
      <c r="P2486">
        <v>80</v>
      </c>
      <c r="R2486" s="3" t="str">
        <f>HYPERLINK("https://panda.att.com.mx/ODKServer/view/binaryData?blobKey=FSSuministroFluidosv3%5B%40version%3Dnull+and+%40uiVersion%3Dnull%5D%2Fdata%5B%40key%3Duuid%3A831c6ba1-0643-49a7-b03a-b0669240d2f7%5D%2FgroupInfoFuel%5B%40ordinal%3D1%5D%2FpicFuelRecibeInterno","Descargar")</f>
        <v>Descargar</v>
      </c>
    </row>
    <row r="2487" spans="1:18" x14ac:dyDescent="0.3">
      <c r="A2487">
        <v>1547842</v>
      </c>
      <c r="B2487" t="s">
        <v>18</v>
      </c>
      <c r="C2487" t="s">
        <v>34</v>
      </c>
      <c r="D2487" t="s">
        <v>53</v>
      </c>
      <c r="E2487" t="s">
        <v>1790</v>
      </c>
      <c r="F2487" t="s">
        <v>22</v>
      </c>
      <c r="G2487" t="s">
        <v>23</v>
      </c>
      <c r="H2487" t="s">
        <v>390</v>
      </c>
      <c r="I2487" t="s">
        <v>25</v>
      </c>
      <c r="J2487" s="2">
        <v>45806.569837962961</v>
      </c>
      <c r="K2487">
        <v>29</v>
      </c>
      <c r="L2487">
        <v>5</v>
      </c>
      <c r="M2487">
        <v>2025</v>
      </c>
      <c r="N2487" t="s">
        <v>27</v>
      </c>
      <c r="O2487">
        <v>100</v>
      </c>
      <c r="P2487">
        <v>100</v>
      </c>
      <c r="R2487" s="3" t="str">
        <f>HYPERLINK("https://panda.att.com.mx/ODKServer/view/binaryData?blobKey=FSSuministroFluidosv3%5B%40version%3Dnull+and+%40uiVersion%3Dnull%5D%2Fdata%5B%40key%3Duuid%3A3df0aa20-913d-47d2-be72-f1454c795c43%5D%2FgroupInfoFuel%5B%40ordinal%3D1%5D%2FpicFuelRecibeInterno","Descargar")</f>
        <v>Descargar</v>
      </c>
    </row>
    <row r="2488" spans="1:18" x14ac:dyDescent="0.3">
      <c r="A2488">
        <v>1547719</v>
      </c>
      <c r="B2488" t="s">
        <v>18</v>
      </c>
      <c r="C2488" t="s">
        <v>34</v>
      </c>
      <c r="D2488" t="s">
        <v>53</v>
      </c>
      <c r="E2488" t="s">
        <v>1771</v>
      </c>
      <c r="F2488" t="s">
        <v>22</v>
      </c>
      <c r="G2488" t="s">
        <v>83</v>
      </c>
      <c r="H2488" t="s">
        <v>37</v>
      </c>
      <c r="I2488" t="s">
        <v>25</v>
      </c>
      <c r="J2488" s="2">
        <v>45805.838564814818</v>
      </c>
      <c r="K2488">
        <v>28</v>
      </c>
      <c r="L2488">
        <v>5</v>
      </c>
      <c r="M2488">
        <v>2025</v>
      </c>
      <c r="N2488" t="s">
        <v>27</v>
      </c>
      <c r="O2488">
        <v>130</v>
      </c>
      <c r="P2488">
        <v>130</v>
      </c>
      <c r="R2488" s="3" t="str">
        <f>HYPERLINK("https://panda.att.com.mx/ODKServer/view/binaryData?blobKey=FSSuministroFluidosv3%5B%40version%3Dnull+and+%40uiVersion%3Dnull%5D%2Fdata%5B%40key%3Duuid%3A044f75a6-65f3-4f56-b5bb-51d07fdb01d0%5D%2FgroupInfoFuel%5B%40ordinal%3D1%5D%2FpicFuelRecibeInterno","Descargar")</f>
        <v>Descargar</v>
      </c>
    </row>
    <row r="2489" spans="1:18" x14ac:dyDescent="0.3">
      <c r="A2489">
        <v>1547718</v>
      </c>
      <c r="B2489" t="s">
        <v>18</v>
      </c>
      <c r="C2489" t="s">
        <v>34</v>
      </c>
      <c r="D2489" t="s">
        <v>53</v>
      </c>
      <c r="E2489" t="s">
        <v>1771</v>
      </c>
      <c r="F2489" t="s">
        <v>22</v>
      </c>
      <c r="G2489" t="s">
        <v>83</v>
      </c>
      <c r="H2489" t="s">
        <v>37</v>
      </c>
      <c r="I2489" t="s">
        <v>25</v>
      </c>
      <c r="J2489" s="2">
        <v>45805.829687500001</v>
      </c>
      <c r="K2489">
        <v>28</v>
      </c>
      <c r="L2489">
        <v>5</v>
      </c>
      <c r="M2489">
        <v>2025</v>
      </c>
      <c r="N2489" t="s">
        <v>27</v>
      </c>
      <c r="O2489">
        <v>250</v>
      </c>
      <c r="P2489">
        <v>250</v>
      </c>
      <c r="R2489" s="3" t="str">
        <f>HYPERLINK("https://panda.att.com.mx/ODKServer/view/binaryData?blobKey=FSSuministroFluidosv3%5B%40version%3Dnull+and+%40uiVersion%3Dnull%5D%2Fdata%5B%40key%3Duuid%3A81768e18-a4ba-48d7-9dfc-39da5c844ab1%5D%2FgroupInfoFuel%5B%40ordinal%3D1%5D%2FpicFuelRecibeInterno","Descargar")</f>
        <v>Descargar</v>
      </c>
    </row>
    <row r="2490" spans="1:18" x14ac:dyDescent="0.3">
      <c r="A2490">
        <v>1547716</v>
      </c>
      <c r="B2490" t="s">
        <v>18</v>
      </c>
      <c r="C2490" t="s">
        <v>34</v>
      </c>
      <c r="D2490" t="s">
        <v>53</v>
      </c>
      <c r="E2490" t="s">
        <v>2138</v>
      </c>
      <c r="F2490" t="s">
        <v>22</v>
      </c>
      <c r="G2490" t="s">
        <v>23</v>
      </c>
      <c r="H2490" t="s">
        <v>37</v>
      </c>
      <c r="I2490" t="s">
        <v>25</v>
      </c>
      <c r="J2490" s="2">
        <v>45805.789270833331</v>
      </c>
      <c r="K2490">
        <v>28</v>
      </c>
      <c r="L2490">
        <v>5</v>
      </c>
      <c r="M2490">
        <v>2025</v>
      </c>
      <c r="N2490" t="s">
        <v>27</v>
      </c>
      <c r="O2490">
        <v>200</v>
      </c>
      <c r="P2490">
        <v>200</v>
      </c>
      <c r="R2490" s="3" t="str">
        <f>HYPERLINK("https://panda.att.com.mx/ODKServer/view/binaryData?blobKey=FSSuministroFluidosv3%5B%40version%3Dnull+and+%40uiVersion%3Dnull%5D%2Fdata%5B%40key%3Duuid%3A18a44cf6-d372-4040-ba08-93a0ed8e1f17%5D%2FgroupInfoFuel%5B%40ordinal%3D1%5D%2FpicFuelRecibeInterno","Descargar")</f>
        <v>Descargar</v>
      </c>
    </row>
    <row r="2491" spans="1:18" x14ac:dyDescent="0.3">
      <c r="A2491">
        <v>1547589</v>
      </c>
      <c r="B2491" t="s">
        <v>18</v>
      </c>
      <c r="C2491" t="s">
        <v>59</v>
      </c>
      <c r="D2491" t="s">
        <v>307</v>
      </c>
      <c r="E2491" t="s">
        <v>308</v>
      </c>
      <c r="F2491" t="s">
        <v>22</v>
      </c>
      <c r="G2491" t="s">
        <v>23</v>
      </c>
      <c r="H2491" t="s">
        <v>37</v>
      </c>
      <c r="I2491" t="s">
        <v>25</v>
      </c>
      <c r="J2491" s="2">
        <v>45800.832141203697</v>
      </c>
      <c r="K2491">
        <v>23</v>
      </c>
      <c r="L2491">
        <v>5</v>
      </c>
      <c r="M2491">
        <v>2025</v>
      </c>
      <c r="N2491" t="s">
        <v>44</v>
      </c>
      <c r="O2491">
        <v>45</v>
      </c>
      <c r="P2491">
        <v>45</v>
      </c>
      <c r="R2491" s="3" t="str">
        <f>HYPERLINK("https://panda.att.com.mx/ODKServer/view/binaryData?blobKey=FSSuministroFluidosv3%5B%40version%3Dnull+and+%40uiVersion%3Dnull%5D%2Fdata%5B%40key%3Duuid%3A3e51b535-6341-4696-bc2c-e7ce54b9a38a%5D%2FgroupInfoFuel%5B%40ordinal%3D1%5D%2FpicFuelRecibeInterno","Descargar")</f>
        <v>Descargar</v>
      </c>
    </row>
    <row r="2492" spans="1:18" x14ac:dyDescent="0.3">
      <c r="A2492">
        <v>1547574</v>
      </c>
      <c r="B2492" t="s">
        <v>18</v>
      </c>
      <c r="C2492" t="s">
        <v>167</v>
      </c>
      <c r="D2492" t="s">
        <v>509</v>
      </c>
      <c r="E2492" t="s">
        <v>2139</v>
      </c>
      <c r="F2492" t="s">
        <v>22</v>
      </c>
      <c r="G2492" t="s">
        <v>23</v>
      </c>
      <c r="H2492" t="s">
        <v>58</v>
      </c>
      <c r="I2492" t="s">
        <v>25</v>
      </c>
      <c r="J2492" s="2">
        <v>45794.494988425933</v>
      </c>
      <c r="K2492">
        <v>17</v>
      </c>
      <c r="L2492">
        <v>5</v>
      </c>
      <c r="M2492">
        <v>2025</v>
      </c>
      <c r="N2492" t="s">
        <v>27</v>
      </c>
      <c r="O2492">
        <v>10</v>
      </c>
      <c r="Q2492">
        <v>10</v>
      </c>
      <c r="R2492" s="3" t="str">
        <f>HYPERLINK("https://panda.att.com.mx/ODKServer/view/binaryData?blobKey=FSSuministroFluidosv3%5B%40version%3Dnull+and+%40uiVersion%3Dnull%5D%2Fdata%5B%40key%3Duuid%3A7113fa48-7ead-47f6-8723-09a46592f8aa%5D%2FgroupInfoFuel%5B%40ordinal%3D1%5D%2FpicFuelRecibeInterno","Descargar")</f>
        <v>Descargar</v>
      </c>
    </row>
    <row r="2493" spans="1:18" x14ac:dyDescent="0.3">
      <c r="A2493">
        <v>1547540</v>
      </c>
      <c r="B2493" t="s">
        <v>18</v>
      </c>
      <c r="C2493" t="s">
        <v>55</v>
      </c>
      <c r="D2493" t="s">
        <v>288</v>
      </c>
      <c r="E2493" t="s">
        <v>1821</v>
      </c>
      <c r="F2493" t="s">
        <v>22</v>
      </c>
      <c r="G2493" t="s">
        <v>23</v>
      </c>
      <c r="H2493" t="s">
        <v>1763</v>
      </c>
      <c r="I2493" t="s">
        <v>25</v>
      </c>
      <c r="J2493" s="2">
        <v>45806.573692129627</v>
      </c>
      <c r="K2493">
        <v>29</v>
      </c>
      <c r="L2493">
        <v>5</v>
      </c>
      <c r="M2493">
        <v>2025</v>
      </c>
      <c r="N2493" t="s">
        <v>27</v>
      </c>
      <c r="O2493">
        <v>350</v>
      </c>
      <c r="P2493">
        <v>350</v>
      </c>
      <c r="R2493" s="3" t="str">
        <f>HYPERLINK("https://panda.att.com.mx/ODKServer/view/binaryData?blobKey=FSSuministroFluidosv3%5B%40version%3Dnull+and+%40uiVersion%3Dnull%5D%2Fdata%5B%40key%3Duuid%3Ada13ff93-ea53-4623-a830-0718544b45f8%5D%2FgroupInfoFuel%5B%40ordinal%3D1%5D%2FpicFuelRecibeInterno","Descargar")</f>
        <v>Descargar</v>
      </c>
    </row>
    <row r="2494" spans="1:18" x14ac:dyDescent="0.3">
      <c r="A2494">
        <v>1547520</v>
      </c>
      <c r="B2494" t="s">
        <v>18</v>
      </c>
      <c r="C2494" t="s">
        <v>59</v>
      </c>
      <c r="D2494" t="s">
        <v>307</v>
      </c>
      <c r="E2494" t="s">
        <v>308</v>
      </c>
      <c r="F2494" t="s">
        <v>22</v>
      </c>
      <c r="G2494" t="s">
        <v>23</v>
      </c>
      <c r="H2494" t="s">
        <v>37</v>
      </c>
      <c r="I2494" t="s">
        <v>25</v>
      </c>
      <c r="J2494" s="2">
        <v>45799.646678240737</v>
      </c>
      <c r="K2494">
        <v>22</v>
      </c>
      <c r="L2494">
        <v>5</v>
      </c>
      <c r="M2494">
        <v>2025</v>
      </c>
      <c r="N2494" t="s">
        <v>44</v>
      </c>
      <c r="O2494">
        <v>50</v>
      </c>
      <c r="P2494">
        <v>50</v>
      </c>
      <c r="R2494" s="3" t="str">
        <f>HYPERLINK("https://panda.att.com.mx/ODKServer/view/binaryData?blobKey=FSSuministroFluidosv3%5B%40version%3Dnull+and+%40uiVersion%3Dnull%5D%2Fdata%5B%40key%3Duuid%3Ae03a7a08-2bc9-4be5-aa98-e4626a1eb05c%5D%2FgroupInfoFuel%5B%40ordinal%3D1%5D%2FpicFuelRecibeInterno","Descargar")</f>
        <v>Descargar</v>
      </c>
    </row>
    <row r="2495" spans="1:18" x14ac:dyDescent="0.3">
      <c r="A2495">
        <v>1547517</v>
      </c>
      <c r="B2495" t="s">
        <v>18</v>
      </c>
      <c r="C2495" t="s">
        <v>59</v>
      </c>
      <c r="D2495" t="s">
        <v>307</v>
      </c>
      <c r="E2495" t="s">
        <v>2140</v>
      </c>
      <c r="F2495" t="s">
        <v>22</v>
      </c>
      <c r="G2495" t="s">
        <v>23</v>
      </c>
      <c r="H2495" t="s">
        <v>37</v>
      </c>
      <c r="I2495" t="s">
        <v>25</v>
      </c>
      <c r="J2495" s="2">
        <v>45799.320740740739</v>
      </c>
      <c r="K2495">
        <v>22</v>
      </c>
      <c r="L2495">
        <v>5</v>
      </c>
      <c r="M2495">
        <v>2025</v>
      </c>
      <c r="N2495" t="s">
        <v>27</v>
      </c>
      <c r="O2495">
        <v>300</v>
      </c>
      <c r="P2495">
        <v>300</v>
      </c>
      <c r="R2495" s="3" t="str">
        <f>HYPERLINK("https://panda.att.com.mx/ODKServer/view/binaryData?blobKey=FSSuministroFluidosv3%5B%40version%3Dnull+and+%40uiVersion%3Dnull%5D%2Fdata%5B%40key%3Duuid%3Ac1a7c915-3309-42c9-a8c9-f771f2ec1910%5D%2FgroupInfoFuel%5B%40ordinal%3D1%5D%2FpicFuelRecibeInterno","Descargar")</f>
        <v>Descargar</v>
      </c>
    </row>
    <row r="2496" spans="1:18" x14ac:dyDescent="0.3">
      <c r="A2496">
        <v>1547513</v>
      </c>
      <c r="B2496" t="s">
        <v>18</v>
      </c>
      <c r="C2496" t="s">
        <v>59</v>
      </c>
      <c r="D2496" t="s">
        <v>307</v>
      </c>
      <c r="E2496" t="s">
        <v>1499</v>
      </c>
      <c r="F2496" t="s">
        <v>22</v>
      </c>
      <c r="G2496" t="s">
        <v>23</v>
      </c>
      <c r="H2496" t="s">
        <v>37</v>
      </c>
      <c r="I2496" t="s">
        <v>25</v>
      </c>
      <c r="J2496" s="2">
        <v>45802.702199074083</v>
      </c>
      <c r="K2496">
        <v>25</v>
      </c>
      <c r="L2496">
        <v>5</v>
      </c>
      <c r="M2496">
        <v>2025</v>
      </c>
      <c r="N2496" t="s">
        <v>27</v>
      </c>
      <c r="O2496">
        <v>250</v>
      </c>
      <c r="Q2496">
        <v>250</v>
      </c>
      <c r="R2496" s="3" t="str">
        <f>HYPERLINK("https://panda.att.com.mx/ODKServer/view/binaryData?blobKey=FSSuministroFluidosv3%5B%40version%3Dnull+and+%40uiVersion%3Dnull%5D%2Fdata%5B%40key%3Duuid%3Ab0f774e9-213e-46ca-90d1-75c6ef56c7dc%5D%2FgroupInfoFuel%5B%40ordinal%3D1%5D%2FpicFuelRecibeInterno","Descargar")</f>
        <v>Descargar</v>
      </c>
    </row>
    <row r="2497" spans="1:18" x14ac:dyDescent="0.3">
      <c r="A2497">
        <v>1547442</v>
      </c>
      <c r="B2497" t="s">
        <v>18</v>
      </c>
      <c r="C2497" t="s">
        <v>68</v>
      </c>
      <c r="D2497" t="s">
        <v>258</v>
      </c>
      <c r="E2497" t="s">
        <v>2141</v>
      </c>
      <c r="F2497" t="s">
        <v>22</v>
      </c>
      <c r="G2497" t="s">
        <v>23</v>
      </c>
      <c r="H2497" t="s">
        <v>37</v>
      </c>
      <c r="I2497" t="s">
        <v>25</v>
      </c>
      <c r="J2497" s="2">
        <v>45806.561979166669</v>
      </c>
      <c r="K2497">
        <v>29</v>
      </c>
      <c r="L2497">
        <v>5</v>
      </c>
      <c r="M2497">
        <v>2025</v>
      </c>
      <c r="N2497" t="s">
        <v>27</v>
      </c>
      <c r="O2497">
        <v>250</v>
      </c>
      <c r="P2497">
        <v>250</v>
      </c>
      <c r="R2497" s="3" t="str">
        <f>HYPERLINK("https://panda.att.com.mx/ODKServer/view/binaryData?blobKey=FSSuministroFluidosv3%5B%40version%3Dnull+and+%40uiVersion%3Dnull%5D%2Fdata%5B%40key%3Duuid%3Aa01d334c-99e1-48b9-9f94-4aad201e71c2%5D%2FgroupInfoFuel%5B%40ordinal%3D1%5D%2FpicFuelRecibeInterno","Descargar")</f>
        <v>Descargar</v>
      </c>
    </row>
    <row r="2498" spans="1:18" x14ac:dyDescent="0.3">
      <c r="A2498">
        <v>1547369</v>
      </c>
      <c r="B2498" t="s">
        <v>18</v>
      </c>
      <c r="C2498" t="s">
        <v>55</v>
      </c>
      <c r="D2498" t="s">
        <v>64</v>
      </c>
      <c r="E2498" t="s">
        <v>2122</v>
      </c>
      <c r="F2498" t="s">
        <v>22</v>
      </c>
      <c r="G2498" t="s">
        <v>23</v>
      </c>
      <c r="H2498" t="s">
        <v>1763</v>
      </c>
      <c r="I2498" t="s">
        <v>25</v>
      </c>
      <c r="J2498" s="2">
        <v>45806.328750000001</v>
      </c>
      <c r="K2498">
        <v>29</v>
      </c>
      <c r="L2498">
        <v>5</v>
      </c>
      <c r="M2498">
        <v>2025</v>
      </c>
      <c r="N2498" t="s">
        <v>44</v>
      </c>
      <c r="O2498">
        <v>40</v>
      </c>
      <c r="P2498">
        <v>40</v>
      </c>
      <c r="R2498" s="3" t="str">
        <f>HYPERLINK("https://panda.att.com.mx/ODKServer/view/binaryData?blobKey=FSSuministroFluidosv3%5B%40version%3Dnull+and+%40uiVersion%3Dnull%5D%2Fdata%5B%40key%3Duuid%3Ae68391e2-a009-4991-962b-665a081f11ea%5D%2FgroupInfoFuel%5B%40ordinal%3D1%5D%2FpicFuelRecibeInterno","Descargar")</f>
        <v>Descargar</v>
      </c>
    </row>
    <row r="2499" spans="1:18" x14ac:dyDescent="0.3">
      <c r="A2499">
        <v>1547363</v>
      </c>
      <c r="B2499" t="s">
        <v>18</v>
      </c>
      <c r="C2499" t="s">
        <v>55</v>
      </c>
      <c r="D2499" t="s">
        <v>64</v>
      </c>
      <c r="E2499" t="s">
        <v>2122</v>
      </c>
      <c r="F2499" t="s">
        <v>22</v>
      </c>
      <c r="G2499" t="s">
        <v>23</v>
      </c>
      <c r="H2499" t="s">
        <v>1763</v>
      </c>
      <c r="I2499" t="s">
        <v>25</v>
      </c>
      <c r="J2499" s="2">
        <v>45805.852696759262</v>
      </c>
      <c r="K2499">
        <v>28</v>
      </c>
      <c r="L2499">
        <v>5</v>
      </c>
      <c r="M2499">
        <v>2025</v>
      </c>
      <c r="N2499" t="s">
        <v>44</v>
      </c>
      <c r="O2499">
        <v>30</v>
      </c>
      <c r="P2499">
        <v>30</v>
      </c>
      <c r="R2499" s="3" t="str">
        <f>HYPERLINK("https://panda.att.com.mx/ODKServer/view/binaryData?blobKey=FSSuministroFluidosv3%5B%40version%3Dnull+and+%40uiVersion%3Dnull%5D%2Fdata%5B%40key%3Duuid%3A890d65be-e13f-4b58-9ee7-c2cc6fcafb9a%5D%2FgroupInfoFuel%5B%40ordinal%3D1%5D%2FpicFuelRecibeInterno","Descargar")</f>
        <v>Descargar</v>
      </c>
    </row>
    <row r="2500" spans="1:18" x14ac:dyDescent="0.3">
      <c r="A2500">
        <v>1547351</v>
      </c>
      <c r="B2500" t="s">
        <v>18</v>
      </c>
      <c r="C2500" t="s">
        <v>55</v>
      </c>
      <c r="D2500" t="s">
        <v>64</v>
      </c>
      <c r="E2500" t="s">
        <v>798</v>
      </c>
      <c r="F2500" t="s">
        <v>22</v>
      </c>
      <c r="G2500" t="s">
        <v>23</v>
      </c>
      <c r="H2500" t="s">
        <v>1763</v>
      </c>
      <c r="I2500" t="s">
        <v>25</v>
      </c>
      <c r="J2500" s="2">
        <v>45805.501168981478</v>
      </c>
      <c r="K2500">
        <v>28</v>
      </c>
      <c r="L2500">
        <v>5</v>
      </c>
      <c r="M2500">
        <v>2025</v>
      </c>
      <c r="N2500" t="s">
        <v>27</v>
      </c>
      <c r="O2500">
        <v>280</v>
      </c>
      <c r="P2500">
        <v>280</v>
      </c>
      <c r="R2500" s="3" t="str">
        <f>HYPERLINK("https://panda.att.com.mx/ODKServer/view/binaryData?blobKey=FSSuministroFluidosv3%5B%40version%3Dnull+and+%40uiVersion%3Dnull%5D%2Fdata%5B%40key%3Duuid%3Ac1f2bd22-063e-48cb-a125-a4495565cd86%5D%2FgroupInfoFuel%5B%40ordinal%3D1%5D%2FpicFuelRecibeInterno","Descargar")</f>
        <v>Descargar</v>
      </c>
    </row>
    <row r="2501" spans="1:18" x14ac:dyDescent="0.3">
      <c r="A2501">
        <v>1547350</v>
      </c>
      <c r="B2501" t="s">
        <v>18</v>
      </c>
      <c r="C2501" t="s">
        <v>167</v>
      </c>
      <c r="D2501" t="s">
        <v>268</v>
      </c>
      <c r="E2501" t="s">
        <v>729</v>
      </c>
      <c r="F2501" t="s">
        <v>22</v>
      </c>
      <c r="G2501" t="s">
        <v>47</v>
      </c>
      <c r="H2501" t="s">
        <v>58</v>
      </c>
      <c r="I2501" t="s">
        <v>25</v>
      </c>
      <c r="J2501" s="2">
        <v>45805.607361111113</v>
      </c>
      <c r="K2501">
        <v>28</v>
      </c>
      <c r="L2501">
        <v>5</v>
      </c>
      <c r="M2501">
        <v>2025</v>
      </c>
      <c r="N2501" t="s">
        <v>27</v>
      </c>
      <c r="O2501">
        <v>200</v>
      </c>
      <c r="P2501">
        <v>200</v>
      </c>
      <c r="R2501" s="3" t="str">
        <f>HYPERLINK("https://panda.att.com.mx/ODKServer/view/binaryData?blobKey=FSSuministroFluidosv3%5B%40version%3Dnull+and+%40uiVersion%3Dnull%5D%2Fdata%5B%40key%3Duuid%3A0b9f9c11-d9d6-40cc-a2f5-ae534ec10b9e%5D%2FgroupInfoFuel%5B%40ordinal%3D1%5D%2FpicFuelRecibeInterno","Descargar")</f>
        <v>Descargar</v>
      </c>
    </row>
    <row r="2502" spans="1:18" x14ac:dyDescent="0.3">
      <c r="A2502">
        <v>1544674</v>
      </c>
      <c r="B2502" t="s">
        <v>18</v>
      </c>
      <c r="C2502" t="s">
        <v>28</v>
      </c>
      <c r="D2502" t="s">
        <v>513</v>
      </c>
      <c r="E2502" t="s">
        <v>1817</v>
      </c>
      <c r="F2502" t="s">
        <v>22</v>
      </c>
      <c r="G2502" t="s">
        <v>23</v>
      </c>
      <c r="H2502" t="s">
        <v>24</v>
      </c>
      <c r="I2502" t="s">
        <v>25</v>
      </c>
      <c r="J2502" s="2">
        <v>45802.981087962973</v>
      </c>
      <c r="K2502">
        <v>25</v>
      </c>
      <c r="L2502">
        <v>5</v>
      </c>
      <c r="M2502">
        <v>2025</v>
      </c>
      <c r="N2502" t="s">
        <v>44</v>
      </c>
      <c r="O2502">
        <v>35</v>
      </c>
      <c r="P2502">
        <v>35</v>
      </c>
      <c r="R2502" s="3" t="str">
        <f>HYPERLINK("https://panda.att.com.mx/ODKServer/view/binaryData?blobKey=FSSuministroFluidosv3%5B%40version%3Dnull+and+%40uiVersion%3Dnull%5D%2Fdata%5B%40key%3Duuid%3Aa7b0fc91-98de-4420-a242-0a32197be204%5D%2FgroupInfoFuel%5B%40ordinal%3D1%5D%2FpicFuelRecibeInterno","Descargar")</f>
        <v>Descargar</v>
      </c>
    </row>
    <row r="2503" spans="1:18" x14ac:dyDescent="0.3">
      <c r="A2503">
        <v>1544655</v>
      </c>
      <c r="B2503" t="s">
        <v>18</v>
      </c>
      <c r="C2503" t="s">
        <v>100</v>
      </c>
      <c r="D2503" t="s">
        <v>854</v>
      </c>
      <c r="E2503" t="s">
        <v>993</v>
      </c>
      <c r="F2503" t="s">
        <v>22</v>
      </c>
      <c r="G2503" t="s">
        <v>83</v>
      </c>
      <c r="H2503" t="s">
        <v>1781</v>
      </c>
      <c r="I2503" t="s">
        <v>25</v>
      </c>
      <c r="J2503" s="2">
        <v>45803.797511574077</v>
      </c>
      <c r="K2503">
        <v>26</v>
      </c>
      <c r="L2503">
        <v>5</v>
      </c>
      <c r="M2503">
        <v>2025</v>
      </c>
      <c r="N2503" t="s">
        <v>27</v>
      </c>
      <c r="O2503">
        <v>220</v>
      </c>
      <c r="P2503">
        <v>220</v>
      </c>
      <c r="R2503" s="3" t="str">
        <f>HYPERLINK("https://panda.att.com.mx/ODKServer/view/binaryData?blobKey=FSSuministroFluidosv3%5B%40version%3Dnull+and+%40uiVersion%3Dnull%5D%2Fdata%5B%40key%3Duuid%3A44cb1f8b-5732-49ac-89b6-8827eec1d94e%5D%2FgroupInfoFuel%5B%40ordinal%3D1%5D%2FpicFuelRecibeInterno","Descargar")</f>
        <v>Descargar</v>
      </c>
    </row>
    <row r="2504" spans="1:18" x14ac:dyDescent="0.3">
      <c r="A2504">
        <v>1544605</v>
      </c>
      <c r="B2504" t="s">
        <v>18</v>
      </c>
      <c r="C2504" t="s">
        <v>55</v>
      </c>
      <c r="D2504" t="s">
        <v>56</v>
      </c>
      <c r="E2504" t="s">
        <v>1778</v>
      </c>
      <c r="F2504" t="s">
        <v>22</v>
      </c>
      <c r="G2504" t="s">
        <v>23</v>
      </c>
      <c r="H2504" t="s">
        <v>1763</v>
      </c>
      <c r="I2504" t="s">
        <v>25</v>
      </c>
      <c r="J2504" s="2">
        <v>45796.334988425922</v>
      </c>
      <c r="K2504">
        <v>19</v>
      </c>
      <c r="L2504">
        <v>5</v>
      </c>
      <c r="M2504">
        <v>2025</v>
      </c>
      <c r="N2504" t="s">
        <v>27</v>
      </c>
      <c r="O2504">
        <v>200</v>
      </c>
      <c r="P2504">
        <v>200</v>
      </c>
      <c r="R2504" s="3" t="str">
        <f>HYPERLINK("https://panda.att.com.mx/ODKServer/view/binaryData?blobKey=FSSuministroFluidosv3%5B%40version%3Dnull+and+%40uiVersion%3Dnull%5D%2Fdata%5B%40key%3Duuid%3A041b7770-8075-45df-81b3-6cccdabce02b%5D%2FgroupInfoFuel%5B%40ordinal%3D1%5D%2FpicFuelRecibeInterno","Descargar")</f>
        <v>Descargar</v>
      </c>
    </row>
    <row r="2505" spans="1:18" x14ac:dyDescent="0.3">
      <c r="A2505">
        <v>1544595</v>
      </c>
      <c r="B2505" t="s">
        <v>18</v>
      </c>
      <c r="C2505" t="s">
        <v>55</v>
      </c>
      <c r="D2505" t="s">
        <v>56</v>
      </c>
      <c r="E2505" t="s">
        <v>1778</v>
      </c>
      <c r="F2505" t="s">
        <v>22</v>
      </c>
      <c r="G2505" t="s">
        <v>23</v>
      </c>
      <c r="H2505" t="s">
        <v>1763</v>
      </c>
      <c r="I2505" t="s">
        <v>25</v>
      </c>
      <c r="J2505" s="2">
        <v>45794.390127314808</v>
      </c>
      <c r="K2505">
        <v>17</v>
      </c>
      <c r="L2505">
        <v>5</v>
      </c>
      <c r="M2505">
        <v>2025</v>
      </c>
      <c r="N2505" t="s">
        <v>27</v>
      </c>
      <c r="O2505">
        <v>100</v>
      </c>
      <c r="P2505">
        <v>100</v>
      </c>
      <c r="R2505" s="3" t="str">
        <f>HYPERLINK("https://panda.att.com.mx/ODKServer/view/binaryData?blobKey=FSSuministroFluidosv3%5B%40version%3Dnull+and+%40uiVersion%3Dnull%5D%2Fdata%5B%40key%3Duuid%3Ab4a618c1-6653-49b8-baad-ce3bf8184bf1%5D%2FgroupInfoFuel%5B%40ordinal%3D1%5D%2FpicFuelRecibeInterno","Descargar")</f>
        <v>Descargar</v>
      </c>
    </row>
    <row r="2506" spans="1:18" x14ac:dyDescent="0.3">
      <c r="A2506">
        <v>1544549</v>
      </c>
      <c r="B2506" t="s">
        <v>18</v>
      </c>
      <c r="C2506" t="s">
        <v>19</v>
      </c>
      <c r="D2506" t="s">
        <v>62</v>
      </c>
      <c r="E2506" t="s">
        <v>2051</v>
      </c>
      <c r="F2506" t="s">
        <v>22</v>
      </c>
      <c r="G2506" t="s">
        <v>23</v>
      </c>
      <c r="H2506" t="s">
        <v>24</v>
      </c>
      <c r="I2506" t="s">
        <v>25</v>
      </c>
      <c r="J2506" s="2">
        <v>45787.463449074072</v>
      </c>
      <c r="K2506">
        <v>10</v>
      </c>
      <c r="L2506">
        <v>5</v>
      </c>
      <c r="M2506">
        <v>2025</v>
      </c>
      <c r="N2506" t="s">
        <v>44</v>
      </c>
      <c r="O2506">
        <v>35</v>
      </c>
      <c r="P2506">
        <v>35</v>
      </c>
      <c r="R2506" s="3" t="str">
        <f>HYPERLINK("https://panda.att.com.mx/ODKServer/view/binaryData?blobKey=FSSuministroFluidosv3%5B%40version%3Dnull+and+%40uiVersion%3Dnull%5D%2Fdata%5B%40key%3Duuid%3A3f0dd457-c122-4b96-9459-d64a236ff6e6%5D%2FgroupInfoFuel%5B%40ordinal%3D1%5D%2FpicFuelRecibeInterno","Descargar")</f>
        <v>Descargar</v>
      </c>
    </row>
    <row r="2507" spans="1:18" x14ac:dyDescent="0.3">
      <c r="A2507">
        <v>1544517</v>
      </c>
      <c r="B2507" t="s">
        <v>18</v>
      </c>
      <c r="C2507" t="s">
        <v>28</v>
      </c>
      <c r="D2507" t="s">
        <v>148</v>
      </c>
      <c r="E2507" t="s">
        <v>2142</v>
      </c>
      <c r="F2507" t="s">
        <v>22</v>
      </c>
      <c r="G2507" t="s">
        <v>23</v>
      </c>
      <c r="H2507" t="s">
        <v>24</v>
      </c>
      <c r="I2507" t="s">
        <v>25</v>
      </c>
      <c r="J2507" s="2">
        <v>45803.753055555557</v>
      </c>
      <c r="K2507">
        <v>26</v>
      </c>
      <c r="L2507">
        <v>5</v>
      </c>
      <c r="M2507">
        <v>2025</v>
      </c>
      <c r="N2507" t="s">
        <v>44</v>
      </c>
      <c r="O2507">
        <v>30</v>
      </c>
      <c r="P2507">
        <v>30</v>
      </c>
      <c r="R2507" s="3" t="str">
        <f>HYPERLINK("https://panda.att.com.mx/ODKServer/view/binaryData?blobKey=FSSuministroFluidosv3%5B%40version%3Dnull+and+%40uiVersion%3Dnull%5D%2Fdata%5B%40key%3Duuid%3A59616957-04eb-466d-93d6-f7ee7783d65f%5D%2FgroupInfoFuel%5B%40ordinal%3D1%5D%2FpicFuelRecibeInterno","Descargar")</f>
        <v>Descargar</v>
      </c>
    </row>
    <row r="2508" spans="1:18" x14ac:dyDescent="0.3">
      <c r="A2508">
        <v>1544515</v>
      </c>
      <c r="B2508" t="s">
        <v>18</v>
      </c>
      <c r="C2508" t="s">
        <v>28</v>
      </c>
      <c r="D2508" t="s">
        <v>1054</v>
      </c>
      <c r="E2508" t="s">
        <v>2143</v>
      </c>
      <c r="F2508" t="s">
        <v>22</v>
      </c>
      <c r="G2508" t="s">
        <v>23</v>
      </c>
      <c r="H2508" t="s">
        <v>24</v>
      </c>
      <c r="I2508" t="s">
        <v>25</v>
      </c>
      <c r="J2508" s="2">
        <v>45790.296423611107</v>
      </c>
      <c r="K2508">
        <v>13</v>
      </c>
      <c r="L2508">
        <v>5</v>
      </c>
      <c r="M2508">
        <v>2025</v>
      </c>
      <c r="N2508" t="s">
        <v>44</v>
      </c>
      <c r="O2508">
        <v>300</v>
      </c>
      <c r="P2508">
        <v>300</v>
      </c>
      <c r="R2508" s="3" t="str">
        <f>HYPERLINK("https://panda.att.com.mx/ODKServer/view/binaryData?blobKey=FSSuministroFluidosv3%5B%40version%3Dnull+and+%40uiVersion%3Dnull%5D%2Fdata%5B%40key%3Duuid%3Abdc00657-e6d8-496c-89fa-bdfd4f7a3de2%5D%2FgroupInfoFuel%5B%40ordinal%3D1%5D%2FpicFuelRecibeInterno","Descargar")</f>
        <v>Descargar</v>
      </c>
    </row>
    <row r="2509" spans="1:18" x14ac:dyDescent="0.3">
      <c r="A2509">
        <v>1544435</v>
      </c>
      <c r="B2509" t="s">
        <v>18</v>
      </c>
      <c r="C2509" t="s">
        <v>100</v>
      </c>
      <c r="D2509" t="s">
        <v>716</v>
      </c>
      <c r="E2509" t="s">
        <v>717</v>
      </c>
      <c r="F2509" t="s">
        <v>22</v>
      </c>
      <c r="G2509" t="s">
        <v>83</v>
      </c>
      <c r="H2509" t="s">
        <v>1781</v>
      </c>
      <c r="I2509" t="s">
        <v>25</v>
      </c>
      <c r="J2509" s="2">
        <v>45803.698969907397</v>
      </c>
      <c r="K2509">
        <v>26</v>
      </c>
      <c r="L2509">
        <v>5</v>
      </c>
      <c r="M2509">
        <v>2025</v>
      </c>
      <c r="N2509" t="s">
        <v>27</v>
      </c>
      <c r="O2509">
        <v>150</v>
      </c>
      <c r="P2509">
        <v>150</v>
      </c>
      <c r="R2509" s="3" t="str">
        <f>HYPERLINK("https://panda.att.com.mx/ODKServer/view/binaryData?blobKey=FSSuministroFluidosv3%5B%40version%3Dnull+and+%40uiVersion%3Dnull%5D%2Fdata%5B%40key%3Duuid%3Ab0ba316a-bdbc-48a3-b02e-d10088161d44%5D%2FgroupInfoFuel%5B%40ordinal%3D1%5D%2FpicFuelRecibeInterno","Descargar")</f>
        <v>Descargar</v>
      </c>
    </row>
    <row r="2510" spans="1:18" x14ac:dyDescent="0.3">
      <c r="A2510">
        <v>1544388</v>
      </c>
      <c r="B2510" t="s">
        <v>18</v>
      </c>
      <c r="C2510" t="s">
        <v>68</v>
      </c>
      <c r="D2510" t="s">
        <v>762</v>
      </c>
      <c r="E2510" t="s">
        <v>763</v>
      </c>
      <c r="F2510" t="s">
        <v>22</v>
      </c>
      <c r="G2510" t="s">
        <v>23</v>
      </c>
      <c r="H2510" t="s">
        <v>37</v>
      </c>
      <c r="I2510" t="s">
        <v>25</v>
      </c>
      <c r="J2510" s="2">
        <v>45791.571620370371</v>
      </c>
      <c r="K2510">
        <v>14</v>
      </c>
      <c r="L2510">
        <v>5</v>
      </c>
      <c r="M2510">
        <v>2025</v>
      </c>
      <c r="N2510" t="s">
        <v>27</v>
      </c>
      <c r="O2510">
        <v>200</v>
      </c>
      <c r="P2510">
        <v>200</v>
      </c>
      <c r="R2510" s="3" t="str">
        <f>HYPERLINK("https://panda.att.com.mx/ODKServer/view/binaryData?blobKey=FSSuministroFluidosv3%5B%40version%3Dnull+and+%40uiVersion%3Dnull%5D%2Fdata%5B%40key%3Duuid%3Ad12c54cd-eb7d-43c0-9b53-397047b7f71f%5D%2FgroupInfoFuel%5B%40ordinal%3D1%5D%2FpicFuelRecibeInterno","Descargar")</f>
        <v>Descargar</v>
      </c>
    </row>
    <row r="2511" spans="1:18" x14ac:dyDescent="0.3">
      <c r="A2511">
        <v>1544187</v>
      </c>
      <c r="B2511" t="s">
        <v>18</v>
      </c>
      <c r="C2511" t="s">
        <v>19</v>
      </c>
      <c r="D2511" t="s">
        <v>140</v>
      </c>
      <c r="E2511" t="s">
        <v>257</v>
      </c>
      <c r="F2511" t="s">
        <v>22</v>
      </c>
      <c r="G2511" t="s">
        <v>23</v>
      </c>
      <c r="H2511" t="s">
        <v>24</v>
      </c>
      <c r="I2511" t="s">
        <v>25</v>
      </c>
      <c r="J2511" s="2">
        <v>45803.632974537039</v>
      </c>
      <c r="K2511">
        <v>26</v>
      </c>
      <c r="L2511">
        <v>5</v>
      </c>
      <c r="M2511">
        <v>2025</v>
      </c>
      <c r="N2511" t="s">
        <v>27</v>
      </c>
      <c r="O2511">
        <v>110</v>
      </c>
      <c r="P2511">
        <v>110</v>
      </c>
      <c r="R2511" s="3" t="str">
        <f>HYPERLINK("https://panda.att.com.mx/ODKServer/view/binaryData?blobKey=FSSuministroFluidosv3%5B%40version%3Dnull+and+%40uiVersion%3Dnull%5D%2Fdata%5B%40key%3Duuid%3Acec64150-54f0-4c75-aec5-5c48114187fe%5D%2FgroupInfoFuel%5B%40ordinal%3D1%5D%2FpicFuelRecibeInterno","Descargar")</f>
        <v>Descargar</v>
      </c>
    </row>
    <row r="2512" spans="1:18" x14ac:dyDescent="0.3">
      <c r="A2512">
        <v>1544077</v>
      </c>
      <c r="B2512" t="s">
        <v>18</v>
      </c>
      <c r="C2512" t="s">
        <v>34</v>
      </c>
      <c r="D2512" t="s">
        <v>53</v>
      </c>
      <c r="E2512" t="s">
        <v>2119</v>
      </c>
      <c r="F2512" t="s">
        <v>22</v>
      </c>
      <c r="G2512" t="s">
        <v>23</v>
      </c>
      <c r="H2512" t="s">
        <v>37</v>
      </c>
      <c r="I2512" t="s">
        <v>25</v>
      </c>
      <c r="J2512" s="2">
        <v>45801.509675925918</v>
      </c>
      <c r="K2512">
        <v>24</v>
      </c>
      <c r="L2512">
        <v>5</v>
      </c>
      <c r="M2512">
        <v>2025</v>
      </c>
      <c r="N2512" t="s">
        <v>27</v>
      </c>
      <c r="O2512">
        <v>400</v>
      </c>
      <c r="Q2512">
        <v>400</v>
      </c>
      <c r="R2512" s="3" t="str">
        <f>HYPERLINK("https://panda.att.com.mx/ODKServer/view/binaryData?blobKey=FSSuministroFluidosv3%5B%40version%3Dnull+and+%40uiVersion%3Dnull%5D%2Fdata%5B%40key%3Duuid%3Afdf60cf2-f9a9-4726-81fa-1ed56f57e36e%5D%2FgroupInfoFuel%5B%40ordinal%3D1%5D%2FpicFuelRecibeInterno","Descargar")</f>
        <v>Descargar</v>
      </c>
    </row>
    <row r="2513" spans="1:18" x14ac:dyDescent="0.3">
      <c r="A2513">
        <v>1544069</v>
      </c>
      <c r="B2513" t="s">
        <v>18</v>
      </c>
      <c r="C2513" t="s">
        <v>34</v>
      </c>
      <c r="D2513" t="s">
        <v>53</v>
      </c>
      <c r="E2513" t="s">
        <v>2119</v>
      </c>
      <c r="F2513" t="s">
        <v>22</v>
      </c>
      <c r="G2513" t="s">
        <v>23</v>
      </c>
      <c r="H2513" t="s">
        <v>37</v>
      </c>
      <c r="I2513" t="s">
        <v>25</v>
      </c>
      <c r="J2513" s="2">
        <v>45800.742048611108</v>
      </c>
      <c r="K2513">
        <v>23</v>
      </c>
      <c r="L2513">
        <v>5</v>
      </c>
      <c r="M2513">
        <v>2025</v>
      </c>
      <c r="N2513" t="s">
        <v>27</v>
      </c>
      <c r="O2513">
        <v>400</v>
      </c>
      <c r="Q2513">
        <v>400</v>
      </c>
      <c r="R2513" s="3" t="str">
        <f>HYPERLINK("https://panda.att.com.mx/ODKServer/view/binaryData?blobKey=FSSuministroFluidosv3%5B%40version%3Dnull+and+%40uiVersion%3Dnull%5D%2Fdata%5B%40key%3Duuid%3A999f8c7d-ef3e-4f5a-8f92-ac2182e95500%5D%2FgroupInfoFuel%5B%40ordinal%3D1%5D%2FpicFuelRecibeInterno","Descargar")</f>
        <v>Descargar</v>
      </c>
    </row>
    <row r="2514" spans="1:18" x14ac:dyDescent="0.3">
      <c r="A2514">
        <v>1544055</v>
      </c>
      <c r="B2514" t="s">
        <v>18</v>
      </c>
      <c r="C2514" t="s">
        <v>34</v>
      </c>
      <c r="D2514" t="s">
        <v>51</v>
      </c>
      <c r="E2514" t="s">
        <v>52</v>
      </c>
      <c r="F2514" t="s">
        <v>22</v>
      </c>
      <c r="G2514" t="s">
        <v>23</v>
      </c>
      <c r="H2514" t="s">
        <v>24</v>
      </c>
      <c r="I2514" t="s">
        <v>25</v>
      </c>
      <c r="J2514" s="2">
        <v>45802.629780092589</v>
      </c>
      <c r="K2514">
        <v>25</v>
      </c>
      <c r="L2514">
        <v>5</v>
      </c>
      <c r="M2514">
        <v>2025</v>
      </c>
      <c r="N2514" t="s">
        <v>27</v>
      </c>
      <c r="O2514">
        <v>200</v>
      </c>
      <c r="P2514">
        <v>200</v>
      </c>
      <c r="R2514" s="3" t="str">
        <f>HYPERLINK("https://panda.att.com.mx/ODKServer/view/binaryData?blobKey=FSSuministroFluidosv3%5B%40version%3Dnull+and+%40uiVersion%3Dnull%5D%2Fdata%5B%40key%3Duuid%3Ae6f581d6-3ca6-4b7e-948f-4a03fee50151%5D%2FgroupInfoFuel%5B%40ordinal%3D1%5D%2FpicFuelRecibeInterno","Descargar")</f>
        <v>Descargar</v>
      </c>
    </row>
    <row r="2515" spans="1:18" x14ac:dyDescent="0.3">
      <c r="A2515">
        <v>1544054</v>
      </c>
      <c r="B2515" t="s">
        <v>18</v>
      </c>
      <c r="C2515" t="s">
        <v>55</v>
      </c>
      <c r="D2515" t="s">
        <v>56</v>
      </c>
      <c r="E2515" t="s">
        <v>2144</v>
      </c>
      <c r="F2515" t="s">
        <v>22</v>
      </c>
      <c r="G2515" t="s">
        <v>23</v>
      </c>
      <c r="H2515" t="s">
        <v>1763</v>
      </c>
      <c r="I2515" t="s">
        <v>25</v>
      </c>
      <c r="J2515" s="2">
        <v>45801.492581018523</v>
      </c>
      <c r="K2515">
        <v>24</v>
      </c>
      <c r="L2515">
        <v>5</v>
      </c>
      <c r="M2515">
        <v>2025</v>
      </c>
      <c r="N2515" t="s">
        <v>27</v>
      </c>
      <c r="O2515">
        <v>100</v>
      </c>
      <c r="P2515">
        <v>100</v>
      </c>
      <c r="R2515" s="3" t="str">
        <f>HYPERLINK("https://panda.att.com.mx/ODKServer/view/binaryData?blobKey=FSSuministroFluidosv3%5B%40version%3Dnull+and+%40uiVersion%3Dnull%5D%2Fdata%5B%40key%3Duuid%3Af54cb995-7962-4d2d-9646-a218722c9d1a%5D%2FgroupInfoFuel%5B%40ordinal%3D1%5D%2FpicFuelRecibeInterno","Descargar")</f>
        <v>Descargar</v>
      </c>
    </row>
    <row r="2516" spans="1:18" x14ac:dyDescent="0.3">
      <c r="A2516">
        <v>1544042</v>
      </c>
      <c r="B2516" t="s">
        <v>18</v>
      </c>
      <c r="C2516" t="s">
        <v>68</v>
      </c>
      <c r="D2516" t="s">
        <v>69</v>
      </c>
      <c r="E2516" t="s">
        <v>1594</v>
      </c>
      <c r="F2516" t="s">
        <v>22</v>
      </c>
      <c r="G2516" t="s">
        <v>83</v>
      </c>
      <c r="H2516" t="s">
        <v>37</v>
      </c>
      <c r="I2516" t="s">
        <v>25</v>
      </c>
      <c r="J2516" s="2">
        <v>45803.552025462966</v>
      </c>
      <c r="K2516">
        <v>26</v>
      </c>
      <c r="L2516">
        <v>5</v>
      </c>
      <c r="M2516">
        <v>2025</v>
      </c>
      <c r="N2516" t="s">
        <v>27</v>
      </c>
      <c r="O2516">
        <v>500</v>
      </c>
      <c r="P2516">
        <v>200</v>
      </c>
      <c r="Q2516">
        <v>300</v>
      </c>
      <c r="R2516" s="3" t="str">
        <f>HYPERLINK("https://panda.att.com.mx/ODKServer/view/binaryData?blobKey=FSSuministroFluidosv3%5B%40version%3Dnull+and+%40uiVersion%3Dnull%5D%2Fdata%5B%40key%3Duuid%3Ace481f35-deb2-474e-909c-62632519b85b%5D%2FgroupInfoFuel%5B%40ordinal%3D1%5D%2FpicFuelRecibeInterno","Descargar")</f>
        <v>Descargar</v>
      </c>
    </row>
    <row r="2517" spans="1:18" x14ac:dyDescent="0.3">
      <c r="A2517">
        <v>1544018</v>
      </c>
      <c r="B2517" t="s">
        <v>18</v>
      </c>
      <c r="C2517" t="s">
        <v>19</v>
      </c>
      <c r="D2517" t="s">
        <v>156</v>
      </c>
      <c r="E2517" t="s">
        <v>2145</v>
      </c>
      <c r="F2517" t="s">
        <v>22</v>
      </c>
      <c r="G2517" t="s">
        <v>23</v>
      </c>
      <c r="H2517" t="s">
        <v>24</v>
      </c>
      <c r="I2517" t="s">
        <v>25</v>
      </c>
      <c r="J2517" s="2">
        <v>45802.904317129629</v>
      </c>
      <c r="K2517">
        <v>25</v>
      </c>
      <c r="L2517">
        <v>5</v>
      </c>
      <c r="M2517">
        <v>2025</v>
      </c>
      <c r="N2517" t="s">
        <v>44</v>
      </c>
      <c r="O2517">
        <v>42</v>
      </c>
      <c r="P2517">
        <v>42</v>
      </c>
      <c r="R2517" s="3" t="str">
        <f>HYPERLINK("https://panda.att.com.mx/ODKServer/view/binaryData?blobKey=FSSuministroFluidosv3%5B%40version%3Dnull+and+%40uiVersion%3Dnull%5D%2Fdata%5B%40key%3Duuid%3Abc381f3f-5ab1-4882-b2eb-0a4ec8a35eca%5D%2FgroupInfoFuel%5B%40ordinal%3D1%5D%2FpicFuelRecibeInterno","Descargar")</f>
        <v>Descargar</v>
      </c>
    </row>
    <row r="2518" spans="1:18" x14ac:dyDescent="0.3">
      <c r="A2518">
        <v>1543991</v>
      </c>
      <c r="B2518" t="s">
        <v>18</v>
      </c>
      <c r="C2518" t="s">
        <v>68</v>
      </c>
      <c r="D2518" t="s">
        <v>258</v>
      </c>
      <c r="E2518" t="s">
        <v>2146</v>
      </c>
      <c r="F2518" t="s">
        <v>22</v>
      </c>
      <c r="G2518" t="s">
        <v>23</v>
      </c>
      <c r="H2518" t="s">
        <v>37</v>
      </c>
      <c r="I2518" t="s">
        <v>25</v>
      </c>
      <c r="J2518" s="2">
        <v>45803.527395833327</v>
      </c>
      <c r="K2518">
        <v>26</v>
      </c>
      <c r="L2518">
        <v>5</v>
      </c>
      <c r="M2518">
        <v>2025</v>
      </c>
      <c r="N2518" t="s">
        <v>27</v>
      </c>
      <c r="O2518">
        <v>200</v>
      </c>
      <c r="P2518">
        <v>200</v>
      </c>
      <c r="R2518" s="3" t="str">
        <f>HYPERLINK("https://panda.att.com.mx/ODKServer/view/binaryData?blobKey=FSSuministroFluidosv3%5B%40version%3Dnull+and+%40uiVersion%3Dnull%5D%2Fdata%5B%40key%3Duuid%3A07ab5716-cb68-42fc-8de3-768dca6317e7%5D%2FgroupInfoFuel%5B%40ordinal%3D1%5D%2FpicFuelRecibeInterno","Descargar")</f>
        <v>Descargar</v>
      </c>
    </row>
    <row r="2519" spans="1:18" x14ac:dyDescent="0.3">
      <c r="A2519">
        <v>1543939</v>
      </c>
      <c r="B2519" t="s">
        <v>18</v>
      </c>
      <c r="C2519" t="s">
        <v>55</v>
      </c>
      <c r="D2519" t="s">
        <v>366</v>
      </c>
      <c r="E2519" t="s">
        <v>367</v>
      </c>
      <c r="F2519" t="s">
        <v>22</v>
      </c>
      <c r="G2519" t="s">
        <v>83</v>
      </c>
      <c r="H2519" t="s">
        <v>1781</v>
      </c>
      <c r="I2519" t="s">
        <v>25</v>
      </c>
      <c r="J2519" s="2">
        <v>45803.504340277781</v>
      </c>
      <c r="K2519">
        <v>26</v>
      </c>
      <c r="L2519">
        <v>5</v>
      </c>
      <c r="M2519">
        <v>2025</v>
      </c>
      <c r="N2519" t="s">
        <v>27</v>
      </c>
      <c r="O2519">
        <v>140</v>
      </c>
      <c r="P2519">
        <v>140</v>
      </c>
      <c r="R2519" s="3" t="str">
        <f>HYPERLINK("https://panda.att.com.mx/ODKServer/view/binaryData?blobKey=FSSuministroFluidosv3%5B%40version%3Dnull+and+%40uiVersion%3Dnull%5D%2Fdata%5B%40key%3Duuid%3A78e7f765-5398-468b-ac5a-b2e8695db981%5D%2FgroupInfoFuel%5B%40ordinal%3D1%5D%2FpicFuelRecibeInterno","Descargar")</f>
        <v>Descargar</v>
      </c>
    </row>
    <row r="2520" spans="1:18" x14ac:dyDescent="0.3">
      <c r="A2520">
        <v>1543926</v>
      </c>
      <c r="B2520" t="s">
        <v>18</v>
      </c>
      <c r="C2520" t="s">
        <v>59</v>
      </c>
      <c r="D2520" t="s">
        <v>60</v>
      </c>
      <c r="E2520" t="s">
        <v>82</v>
      </c>
      <c r="F2520" t="s">
        <v>22</v>
      </c>
      <c r="G2520" t="s">
        <v>23</v>
      </c>
      <c r="H2520" t="s">
        <v>37</v>
      </c>
      <c r="I2520" t="s">
        <v>25</v>
      </c>
      <c r="J2520" s="2">
        <v>45801.734432870369</v>
      </c>
      <c r="K2520">
        <v>24</v>
      </c>
      <c r="L2520">
        <v>5</v>
      </c>
      <c r="M2520">
        <v>2025</v>
      </c>
      <c r="N2520" t="s">
        <v>27</v>
      </c>
      <c r="O2520">
        <v>80</v>
      </c>
      <c r="P2520">
        <v>80</v>
      </c>
      <c r="R2520" s="3" t="str">
        <f>HYPERLINK("https://panda.att.com.mx/ODKServer/view/binaryData?blobKey=FSSuministroFluidosv3%5B%40version%3Dnull+and+%40uiVersion%3Dnull%5D%2Fdata%5B%40key%3Duuid%3A8817427a-eb31-4680-9ff0-383cca188643%5D%2FgroupInfoFuel%5B%40ordinal%3D1%5D%2FpicFuelRecibeInterno","Descargar")</f>
        <v>Descargar</v>
      </c>
    </row>
    <row r="2521" spans="1:18" x14ac:dyDescent="0.3">
      <c r="A2521">
        <v>1543802</v>
      </c>
      <c r="B2521" t="s">
        <v>18</v>
      </c>
      <c r="C2521" t="s">
        <v>150</v>
      </c>
      <c r="D2521" t="s">
        <v>164</v>
      </c>
      <c r="E2521" t="s">
        <v>165</v>
      </c>
      <c r="F2521" t="s">
        <v>22</v>
      </c>
      <c r="G2521" t="s">
        <v>23</v>
      </c>
      <c r="H2521" t="s">
        <v>1781</v>
      </c>
      <c r="I2521" t="s">
        <v>25</v>
      </c>
      <c r="J2521" s="2">
        <v>45803.408032407409</v>
      </c>
      <c r="K2521">
        <v>26</v>
      </c>
      <c r="L2521">
        <v>5</v>
      </c>
      <c r="M2521">
        <v>2025</v>
      </c>
      <c r="N2521" t="s">
        <v>27</v>
      </c>
      <c r="O2521">
        <v>400</v>
      </c>
      <c r="P2521">
        <v>400</v>
      </c>
      <c r="R2521" s="3" t="str">
        <f>HYPERLINK("https://panda.att.com.mx/ODKServer/view/binaryData?blobKey=FSSuministroFluidosv3%5B%40version%3Dnull+and+%40uiVersion%3Dnull%5D%2Fdata%5B%40key%3Duuid%3A56e79d30-f3c8-4e18-841b-85f75b835e35%5D%2FgroupInfoFuel%5B%40ordinal%3D1%5D%2FpicFuelRecibeInterno","Descargar")</f>
        <v>Descargar</v>
      </c>
    </row>
    <row r="2522" spans="1:18" x14ac:dyDescent="0.3">
      <c r="A2522">
        <v>1543761</v>
      </c>
      <c r="B2522" t="s">
        <v>18</v>
      </c>
      <c r="C2522" t="s">
        <v>55</v>
      </c>
      <c r="D2522" t="s">
        <v>56</v>
      </c>
      <c r="E2522" t="s">
        <v>320</v>
      </c>
      <c r="F2522" t="s">
        <v>22</v>
      </c>
      <c r="G2522" t="s">
        <v>23</v>
      </c>
      <c r="H2522" t="s">
        <v>1763</v>
      </c>
      <c r="I2522" t="s">
        <v>25</v>
      </c>
      <c r="J2522" s="2">
        <v>45785.442453703698</v>
      </c>
      <c r="K2522">
        <v>8</v>
      </c>
      <c r="L2522">
        <v>5</v>
      </c>
      <c r="M2522">
        <v>2025</v>
      </c>
      <c r="N2522" t="s">
        <v>27</v>
      </c>
      <c r="O2522">
        <v>250</v>
      </c>
      <c r="P2522">
        <v>250</v>
      </c>
      <c r="R2522" s="3" t="str">
        <f>HYPERLINK("https://panda.att.com.mx/ODKServer/view/binaryData?blobKey=FSSuministroFluidosv3%5B%40version%3Dnull+and+%40uiVersion%3Dnull%5D%2Fdata%5B%40key%3Duuid%3Abf0587a7-632e-4907-8e10-4f12945448d4%5D%2FgroupInfoFuel%5B%40ordinal%3D1%5D%2FpicFuelRecibeInterno","Descargar")</f>
        <v>Descargar</v>
      </c>
    </row>
    <row r="2523" spans="1:18" x14ac:dyDescent="0.3">
      <c r="A2523">
        <v>1543711</v>
      </c>
      <c r="B2523" t="s">
        <v>18</v>
      </c>
      <c r="C2523" t="s">
        <v>68</v>
      </c>
      <c r="D2523" t="s">
        <v>69</v>
      </c>
      <c r="E2523" t="s">
        <v>2128</v>
      </c>
      <c r="F2523" t="s">
        <v>22</v>
      </c>
      <c r="G2523" t="s">
        <v>83</v>
      </c>
      <c r="H2523" t="s">
        <v>37</v>
      </c>
      <c r="I2523" t="s">
        <v>25</v>
      </c>
      <c r="J2523" s="2">
        <v>45801.008518518523</v>
      </c>
      <c r="K2523">
        <v>24</v>
      </c>
      <c r="L2523">
        <v>5</v>
      </c>
      <c r="M2523">
        <v>2025</v>
      </c>
      <c r="N2523" t="s">
        <v>44</v>
      </c>
      <c r="O2523">
        <v>50</v>
      </c>
      <c r="P2523">
        <v>50</v>
      </c>
      <c r="R2523" s="3" t="str">
        <f>HYPERLINK("https://panda.att.com.mx/ODKServer/view/binaryData?blobKey=FSSuministroFluidosv3%5B%40version%3Dnull+and+%40uiVersion%3Dnull%5D%2Fdata%5B%40key%3Duuid%3Ad3f54e03-55b7-4873-bd96-0a2cd7dda95e%5D%2FgroupInfoFuel%5B%40ordinal%3D1%5D%2FpicFuelRecibeInterno","Descargar")</f>
        <v>Descargar</v>
      </c>
    </row>
    <row r="2524" spans="1:18" x14ac:dyDescent="0.3">
      <c r="A2524">
        <v>1543667</v>
      </c>
      <c r="B2524" t="s">
        <v>18</v>
      </c>
      <c r="C2524" t="s">
        <v>28</v>
      </c>
      <c r="D2524" t="s">
        <v>66</v>
      </c>
      <c r="E2524" t="s">
        <v>2092</v>
      </c>
      <c r="F2524" t="s">
        <v>22</v>
      </c>
      <c r="G2524" t="s">
        <v>23</v>
      </c>
      <c r="H2524" t="s">
        <v>24</v>
      </c>
      <c r="I2524" t="s">
        <v>25</v>
      </c>
      <c r="J2524" s="2">
        <v>45797.535509259258</v>
      </c>
      <c r="K2524">
        <v>20</v>
      </c>
      <c r="L2524">
        <v>5</v>
      </c>
      <c r="M2524">
        <v>2025</v>
      </c>
      <c r="N2524" t="s">
        <v>44</v>
      </c>
      <c r="O2524">
        <v>25</v>
      </c>
      <c r="P2524">
        <v>25</v>
      </c>
      <c r="R2524" s="3" t="str">
        <f>HYPERLINK("https://panda.att.com.mx/ODKServer/view/binaryData?blobKey=FSSuministroFluidosv3%5B%40version%3Dnull+and+%40uiVersion%3Dnull%5D%2Fdata%5B%40key%3Duuid%3Aabc3b073-f37a-4d7f-9562-aac9da143b4b%5D%2FgroupInfoFuel%5B%40ordinal%3D1%5D%2FpicFuelRecibeInterno","Descargar")</f>
        <v>Descargar</v>
      </c>
    </row>
    <row r="2525" spans="1:18" x14ac:dyDescent="0.3">
      <c r="A2525">
        <v>1543636</v>
      </c>
      <c r="B2525" t="s">
        <v>18</v>
      </c>
      <c r="C2525" t="s">
        <v>19</v>
      </c>
      <c r="D2525" t="s">
        <v>45</v>
      </c>
      <c r="E2525" t="s">
        <v>48</v>
      </c>
      <c r="F2525" t="s">
        <v>22</v>
      </c>
      <c r="G2525" t="s">
        <v>23</v>
      </c>
      <c r="H2525" t="s">
        <v>24</v>
      </c>
      <c r="I2525" t="s">
        <v>25</v>
      </c>
      <c r="J2525" s="2">
        <v>45802.872349537043</v>
      </c>
      <c r="K2525">
        <v>25</v>
      </c>
      <c r="L2525">
        <v>5</v>
      </c>
      <c r="M2525">
        <v>2025</v>
      </c>
      <c r="N2525" t="s">
        <v>27</v>
      </c>
      <c r="O2525">
        <v>400</v>
      </c>
      <c r="P2525">
        <v>400</v>
      </c>
      <c r="R2525" s="3" t="str">
        <f>HYPERLINK("https://panda.att.com.mx/ODKServer/view/binaryData?blobKey=FSSuministroFluidosv3%5B%40version%3Dnull+and+%40uiVersion%3Dnull%5D%2Fdata%5B%40key%3Duuid%3A047f70cf-cb0d-45ce-976e-ba4ba3f65c1e%5D%2FgroupInfoFuel%5B%40ordinal%3D1%5D%2FpicFuelRecibeInterno","Descargar")</f>
        <v>Descargar</v>
      </c>
    </row>
    <row r="2526" spans="1:18" x14ac:dyDescent="0.3">
      <c r="A2526">
        <v>1543584</v>
      </c>
      <c r="B2526" t="s">
        <v>18</v>
      </c>
      <c r="C2526" t="s">
        <v>28</v>
      </c>
      <c r="D2526" t="s">
        <v>1093</v>
      </c>
      <c r="E2526" t="s">
        <v>1094</v>
      </c>
      <c r="F2526" t="s">
        <v>22</v>
      </c>
      <c r="G2526" t="s">
        <v>23</v>
      </c>
      <c r="H2526" t="s">
        <v>24</v>
      </c>
      <c r="I2526" t="s">
        <v>25</v>
      </c>
      <c r="J2526" s="2">
        <v>45802.69021990741</v>
      </c>
      <c r="K2526">
        <v>25</v>
      </c>
      <c r="L2526">
        <v>5</v>
      </c>
      <c r="M2526">
        <v>2025</v>
      </c>
      <c r="N2526" t="s">
        <v>44</v>
      </c>
      <c r="O2526">
        <v>30</v>
      </c>
      <c r="P2526">
        <v>30</v>
      </c>
      <c r="R2526" s="3" t="str">
        <f>HYPERLINK("https://panda.att.com.mx/ODKServer/view/binaryData?blobKey=FSSuministroFluidosv3%5B%40version%3Dnull+and+%40uiVersion%3Dnull%5D%2Fdata%5B%40key%3Duuid%3A9f1f4a3d-a50a-43ae-9af2-da10fa575544%5D%2FgroupInfoFuel%5B%40ordinal%3D1%5D%2FpicFuelRecibeInterno","Descargar")</f>
        <v>Descargar</v>
      </c>
    </row>
    <row r="2527" spans="1:18" x14ac:dyDescent="0.3">
      <c r="A2527">
        <v>1542084</v>
      </c>
      <c r="B2527" t="s">
        <v>18</v>
      </c>
      <c r="C2527" t="s">
        <v>55</v>
      </c>
      <c r="D2527" t="s">
        <v>56</v>
      </c>
      <c r="E2527" t="s">
        <v>2089</v>
      </c>
      <c r="F2527" t="s">
        <v>22</v>
      </c>
      <c r="G2527" t="s">
        <v>23</v>
      </c>
      <c r="H2527" t="s">
        <v>1763</v>
      </c>
      <c r="I2527" t="s">
        <v>25</v>
      </c>
      <c r="J2527" s="2">
        <v>45785.494837962957</v>
      </c>
      <c r="K2527">
        <v>8</v>
      </c>
      <c r="L2527">
        <v>5</v>
      </c>
      <c r="M2527">
        <v>2025</v>
      </c>
      <c r="N2527" t="s">
        <v>27</v>
      </c>
      <c r="O2527">
        <v>100</v>
      </c>
      <c r="P2527">
        <v>100</v>
      </c>
      <c r="R2527" s="3" t="str">
        <f>HYPERLINK("https://panda.att.com.mx/ODKServer/view/binaryData?blobKey=FSSuministroFluidosv3%5B%40version%3Dnull+and+%40uiVersion%3Dnull%5D%2Fdata%5B%40key%3Duuid%3A4ffefc2f-77ba-4424-9f42-31583bacf57a%5D%2FgroupInfoFuel%5B%40ordinal%3D1%5D%2FpicFuelRecibeInterno","Descargar")</f>
        <v>Descargar</v>
      </c>
    </row>
    <row r="2528" spans="1:18" x14ac:dyDescent="0.3">
      <c r="A2528">
        <v>1542078</v>
      </c>
      <c r="B2528" t="s">
        <v>18</v>
      </c>
      <c r="C2528" t="s">
        <v>68</v>
      </c>
      <c r="D2528" t="s">
        <v>258</v>
      </c>
      <c r="E2528" t="s">
        <v>259</v>
      </c>
      <c r="F2528" t="s">
        <v>22</v>
      </c>
      <c r="G2528" t="s">
        <v>23</v>
      </c>
      <c r="H2528" t="s">
        <v>37</v>
      </c>
      <c r="I2528" t="s">
        <v>25</v>
      </c>
      <c r="J2528" s="2">
        <v>45798.524050925917</v>
      </c>
      <c r="K2528">
        <v>21</v>
      </c>
      <c r="L2528">
        <v>5</v>
      </c>
      <c r="M2528">
        <v>2025</v>
      </c>
      <c r="N2528" t="s">
        <v>27</v>
      </c>
      <c r="O2528">
        <v>400</v>
      </c>
      <c r="P2528">
        <v>400</v>
      </c>
      <c r="R2528" s="3" t="str">
        <f>HYPERLINK("https://panda.att.com.mx/ODKServer/view/binaryData?blobKey=FSSuministroFluidosv3%5B%40version%3Dnull+and+%40uiVersion%3Dnull%5D%2Fdata%5B%40key%3Duuid%3A3a709b2f-f847-43c4-bf34-30bf0cddc32f%5D%2FgroupInfoFuel%5B%40ordinal%3D1%5D%2FpicFuelRecibeInterno","Descargar")</f>
        <v>Descargar</v>
      </c>
    </row>
    <row r="2529" spans="1:18" x14ac:dyDescent="0.3">
      <c r="A2529">
        <v>1542073</v>
      </c>
      <c r="B2529" t="s">
        <v>18</v>
      </c>
      <c r="C2529" t="s">
        <v>34</v>
      </c>
      <c r="D2529" t="s">
        <v>53</v>
      </c>
      <c r="E2529" t="s">
        <v>1979</v>
      </c>
      <c r="F2529" t="s">
        <v>22</v>
      </c>
      <c r="G2529" t="s">
        <v>23</v>
      </c>
      <c r="H2529" t="s">
        <v>37</v>
      </c>
      <c r="I2529" t="s">
        <v>25</v>
      </c>
      <c r="J2529" s="2">
        <v>45799.411354166667</v>
      </c>
      <c r="K2529">
        <v>22</v>
      </c>
      <c r="L2529">
        <v>5</v>
      </c>
      <c r="M2529">
        <v>2025</v>
      </c>
      <c r="N2529" t="s">
        <v>27</v>
      </c>
      <c r="O2529">
        <v>300</v>
      </c>
      <c r="P2529">
        <v>300</v>
      </c>
      <c r="R2529" s="3" t="str">
        <f>HYPERLINK("https://panda.att.com.mx/ODKServer/view/binaryData?blobKey=FSSuministroFluidosv3%5B%40version%3Dnull+and+%40uiVersion%3Dnull%5D%2Fdata%5B%40key%3Duuid%3A75f06eff-38ed-44fc-ac88-b9837188cc34%5D%2FgroupInfoFuel%5B%40ordinal%3D1%5D%2FpicFuelRecibeInterno","Descargar")</f>
        <v>Descargar</v>
      </c>
    </row>
    <row r="2530" spans="1:18" x14ac:dyDescent="0.3">
      <c r="A2530">
        <v>1542072</v>
      </c>
      <c r="B2530" t="s">
        <v>18</v>
      </c>
      <c r="C2530" t="s">
        <v>34</v>
      </c>
      <c r="D2530" t="s">
        <v>2147</v>
      </c>
      <c r="E2530" t="s">
        <v>2148</v>
      </c>
      <c r="F2530" t="s">
        <v>22</v>
      </c>
      <c r="G2530" t="s">
        <v>23</v>
      </c>
      <c r="H2530" t="s">
        <v>37</v>
      </c>
      <c r="I2530" t="s">
        <v>25</v>
      </c>
      <c r="J2530" s="2">
        <v>45799.390393518523</v>
      </c>
      <c r="K2530">
        <v>22</v>
      </c>
      <c r="L2530">
        <v>5</v>
      </c>
      <c r="M2530">
        <v>2025</v>
      </c>
      <c r="N2530" t="s">
        <v>27</v>
      </c>
      <c r="O2530">
        <v>250</v>
      </c>
      <c r="Q2530">
        <v>250</v>
      </c>
      <c r="R2530" s="3" t="str">
        <f>HYPERLINK("https://panda.att.com.mx/ODKServer/view/binaryData?blobKey=FSSuministroFluidosv3%5B%40version%3Dnull+and+%40uiVersion%3Dnull%5D%2Fdata%5B%40key%3Duuid%3A5ca791f4-3c04-4c96-ae3f-ea95db3bb52a%5D%2FgroupInfoFuel%5B%40ordinal%3D1%5D%2FpicFuelRecibeInterno","Descargar")</f>
        <v>Descargar</v>
      </c>
    </row>
    <row r="2531" spans="1:18" x14ac:dyDescent="0.3">
      <c r="A2531">
        <v>1542055</v>
      </c>
      <c r="B2531" t="s">
        <v>18</v>
      </c>
      <c r="C2531" t="s">
        <v>68</v>
      </c>
      <c r="D2531" t="s">
        <v>1514</v>
      </c>
      <c r="E2531" t="s">
        <v>1515</v>
      </c>
      <c r="F2531" t="s">
        <v>22</v>
      </c>
      <c r="G2531" t="s">
        <v>23</v>
      </c>
      <c r="H2531" t="s">
        <v>1763</v>
      </c>
      <c r="I2531" t="s">
        <v>25</v>
      </c>
      <c r="J2531" s="2">
        <v>45799.488344907397</v>
      </c>
      <c r="K2531">
        <v>22</v>
      </c>
      <c r="L2531">
        <v>5</v>
      </c>
      <c r="M2531">
        <v>2025</v>
      </c>
      <c r="N2531" t="s">
        <v>27</v>
      </c>
      <c r="O2531">
        <v>300</v>
      </c>
      <c r="P2531">
        <v>300</v>
      </c>
      <c r="R2531" s="3" t="str">
        <f>HYPERLINK("https://panda.att.com.mx/ODKServer/view/binaryData?blobKey=FSSuministroFluidosv3%5B%40version%3Dnull+and+%40uiVersion%3Dnull%5D%2Fdata%5B%40key%3Duuid%3A53a85b6b-a06e-4911-916f-07868cbed3ba%5D%2FgroupInfoFuel%5B%40ordinal%3D1%5D%2FpicFuelRecibeInterno","Descargar")</f>
        <v>Descargar</v>
      </c>
    </row>
    <row r="2532" spans="1:18" x14ac:dyDescent="0.3">
      <c r="A2532">
        <v>1542036</v>
      </c>
      <c r="B2532" t="s">
        <v>18</v>
      </c>
      <c r="C2532" t="s">
        <v>34</v>
      </c>
      <c r="D2532" t="s">
        <v>53</v>
      </c>
      <c r="E2532" t="s">
        <v>2086</v>
      </c>
      <c r="F2532" t="s">
        <v>22</v>
      </c>
      <c r="G2532" t="s">
        <v>23</v>
      </c>
      <c r="H2532" t="s">
        <v>37</v>
      </c>
      <c r="I2532" t="s">
        <v>25</v>
      </c>
      <c r="J2532" s="2">
        <v>45798.542025462957</v>
      </c>
      <c r="K2532">
        <v>21</v>
      </c>
      <c r="L2532">
        <v>5</v>
      </c>
      <c r="M2532">
        <v>2025</v>
      </c>
      <c r="N2532" t="s">
        <v>27</v>
      </c>
      <c r="O2532">
        <v>400</v>
      </c>
      <c r="P2532">
        <v>400</v>
      </c>
      <c r="R2532" s="3" t="str">
        <f>HYPERLINK("https://panda.att.com.mx/ODKServer/view/binaryData?blobKey=FSSuministroFluidosv3%5B%40version%3Dnull+and+%40uiVersion%3Dnull%5D%2Fdata%5B%40key%3Duuid%3A0a7ce856-3292-411a-8230-1bf95620491e%5D%2FgroupInfoFuel%5B%40ordinal%3D1%5D%2FpicFuelRecibeInterno","Descargar")</f>
        <v>Descargar</v>
      </c>
    </row>
    <row r="2533" spans="1:18" x14ac:dyDescent="0.3">
      <c r="A2533">
        <v>1542027</v>
      </c>
      <c r="B2533" t="s">
        <v>18</v>
      </c>
      <c r="C2533" t="s">
        <v>28</v>
      </c>
      <c r="D2533" t="s">
        <v>315</v>
      </c>
      <c r="E2533" t="s">
        <v>2149</v>
      </c>
      <c r="F2533" t="s">
        <v>22</v>
      </c>
      <c r="G2533" t="s">
        <v>23</v>
      </c>
      <c r="H2533" t="s">
        <v>24</v>
      </c>
      <c r="I2533" t="s">
        <v>25</v>
      </c>
      <c r="J2533" s="2">
        <v>45799.712743055563</v>
      </c>
      <c r="K2533">
        <v>22</v>
      </c>
      <c r="L2533">
        <v>5</v>
      </c>
      <c r="M2533">
        <v>2025</v>
      </c>
      <c r="N2533" t="s">
        <v>44</v>
      </c>
      <c r="O2533">
        <v>30</v>
      </c>
      <c r="P2533">
        <v>30</v>
      </c>
      <c r="R2533" s="3" t="str">
        <f>HYPERLINK("https://panda.att.com.mx/ODKServer/view/binaryData?blobKey=FSSuministroFluidosv3%5B%40version%3Dnull+and+%40uiVersion%3Dnull%5D%2Fdata%5B%40key%3Duuid%3A5356f9e1-5dc3-46cd-9069-23cc541262c0%5D%2FgroupInfoFuel%5B%40ordinal%3D1%5D%2FpicFuelRecibeInterno","Descargar")</f>
        <v>Descargar</v>
      </c>
    </row>
    <row r="2534" spans="1:18" x14ac:dyDescent="0.3">
      <c r="A2534">
        <v>1541947</v>
      </c>
      <c r="B2534" t="s">
        <v>18</v>
      </c>
      <c r="C2534" t="s">
        <v>167</v>
      </c>
      <c r="D2534" t="s">
        <v>268</v>
      </c>
      <c r="E2534" t="s">
        <v>2121</v>
      </c>
      <c r="F2534" t="s">
        <v>22</v>
      </c>
      <c r="G2534" t="s">
        <v>83</v>
      </c>
      <c r="H2534" t="s">
        <v>58</v>
      </c>
      <c r="I2534" t="s">
        <v>25</v>
      </c>
      <c r="J2534" s="2">
        <v>45799.491076388891</v>
      </c>
      <c r="K2534">
        <v>22</v>
      </c>
      <c r="L2534">
        <v>5</v>
      </c>
      <c r="M2534">
        <v>2025</v>
      </c>
      <c r="N2534" t="s">
        <v>27</v>
      </c>
      <c r="O2534">
        <v>100</v>
      </c>
      <c r="P2534">
        <v>100</v>
      </c>
      <c r="R2534" s="3" t="str">
        <f>HYPERLINK("https://panda.att.com.mx/ODKServer/view/binaryData?blobKey=FSSuministroFluidosv3%5B%40version%3Dnull+and+%40uiVersion%3Dnull%5D%2Fdata%5B%40key%3Duuid%3A14f4a776-509e-4ed7-93f4-adba161ae6cb%5D%2FgroupInfoFuel%5B%40ordinal%3D1%5D%2FpicFuelRecibeInterno","Descargar")</f>
        <v>Descargar</v>
      </c>
    </row>
    <row r="2535" spans="1:18" x14ac:dyDescent="0.3">
      <c r="A2535">
        <v>1541883</v>
      </c>
      <c r="B2535" t="s">
        <v>18</v>
      </c>
      <c r="C2535" t="s">
        <v>55</v>
      </c>
      <c r="D2535" t="s">
        <v>2129</v>
      </c>
      <c r="E2535" t="s">
        <v>2150</v>
      </c>
      <c r="F2535" t="s">
        <v>22</v>
      </c>
      <c r="G2535" t="s">
        <v>23</v>
      </c>
      <c r="H2535" t="s">
        <v>1763</v>
      </c>
      <c r="I2535" t="s">
        <v>25</v>
      </c>
      <c r="J2535" s="2">
        <v>45798.833020833343</v>
      </c>
      <c r="K2535">
        <v>21</v>
      </c>
      <c r="L2535">
        <v>5</v>
      </c>
      <c r="M2535">
        <v>2025</v>
      </c>
      <c r="N2535" t="s">
        <v>27</v>
      </c>
      <c r="O2535">
        <v>100</v>
      </c>
      <c r="P2535">
        <v>100</v>
      </c>
      <c r="R2535" s="3" t="str">
        <f>HYPERLINK("https://panda.att.com.mx/ODKServer/view/binaryData?blobKey=FSSuministroFluidosv3%5B%40version%3Dnull+and+%40uiVersion%3Dnull%5D%2Fdata%5B%40key%3Duuid%3Ae77a7653-3dd4-4448-93a1-77fb8ac7123a%5D%2FgroupInfoFuel%5B%40ordinal%3D1%5D%2FpicFuelRecibeInterno","Descargar")</f>
        <v>Descargar</v>
      </c>
    </row>
    <row r="2536" spans="1:18" x14ac:dyDescent="0.3">
      <c r="A2536">
        <v>1541843</v>
      </c>
      <c r="B2536" t="s">
        <v>18</v>
      </c>
      <c r="C2536" t="s">
        <v>19</v>
      </c>
      <c r="D2536" t="s">
        <v>45</v>
      </c>
      <c r="E2536" t="s">
        <v>2028</v>
      </c>
      <c r="F2536" t="s">
        <v>22</v>
      </c>
      <c r="G2536" t="s">
        <v>23</v>
      </c>
      <c r="H2536" t="s">
        <v>24</v>
      </c>
      <c r="I2536" t="s">
        <v>25</v>
      </c>
      <c r="J2536" s="2">
        <v>45796.380474537043</v>
      </c>
      <c r="K2536">
        <v>19</v>
      </c>
      <c r="L2536">
        <v>5</v>
      </c>
      <c r="M2536">
        <v>2025</v>
      </c>
      <c r="N2536" t="s">
        <v>27</v>
      </c>
      <c r="O2536">
        <v>300</v>
      </c>
      <c r="P2536">
        <v>300</v>
      </c>
      <c r="R2536" s="3" t="str">
        <f>HYPERLINK("https://panda.att.com.mx/ODKServer/view/binaryData?blobKey=FSSuministroFluidosv3%5B%40version%3Dnull+and+%40uiVersion%3Dnull%5D%2Fdata%5B%40key%3Duuid%3Afcdad55c-86c2-44ce-97f0-656db84c8053%5D%2FgroupInfoFuel%5B%40ordinal%3D1%5D%2FpicFuelRecibeInterno","Descargar")</f>
        <v>Descargar</v>
      </c>
    </row>
    <row r="2537" spans="1:18" x14ac:dyDescent="0.3">
      <c r="A2537">
        <v>1541827</v>
      </c>
      <c r="B2537" t="s">
        <v>18</v>
      </c>
      <c r="C2537" t="s">
        <v>100</v>
      </c>
      <c r="D2537" t="s">
        <v>716</v>
      </c>
      <c r="E2537" t="s">
        <v>717</v>
      </c>
      <c r="F2537" t="s">
        <v>22</v>
      </c>
      <c r="G2537" t="s">
        <v>83</v>
      </c>
      <c r="H2537" t="s">
        <v>1781</v>
      </c>
      <c r="I2537" t="s">
        <v>25</v>
      </c>
      <c r="J2537" s="2">
        <v>45799.669641203713</v>
      </c>
      <c r="K2537">
        <v>22</v>
      </c>
      <c r="L2537">
        <v>5</v>
      </c>
      <c r="M2537">
        <v>2025</v>
      </c>
      <c r="N2537" t="s">
        <v>27</v>
      </c>
      <c r="O2537">
        <v>120</v>
      </c>
      <c r="P2537">
        <v>120</v>
      </c>
      <c r="R2537" s="3" t="str">
        <f>HYPERLINK("https://panda.att.com.mx/ODKServer/view/binaryData?blobKey=FSSuministroFluidosv3%5B%40version%3Dnull+and+%40uiVersion%3Dnull%5D%2Fdata%5B%40key%3Duuid%3A8d5e42a3-608a-435e-8e31-a8dc162c1068%5D%2FgroupInfoFuel%5B%40ordinal%3D1%5D%2FpicFuelRecibeInterno","Descargar")</f>
        <v>Descargar</v>
      </c>
    </row>
    <row r="2538" spans="1:18" x14ac:dyDescent="0.3">
      <c r="A2538">
        <v>1541811</v>
      </c>
      <c r="B2538" t="s">
        <v>18</v>
      </c>
      <c r="C2538" t="s">
        <v>55</v>
      </c>
      <c r="D2538" t="s">
        <v>56</v>
      </c>
      <c r="E2538" t="s">
        <v>1842</v>
      </c>
      <c r="F2538" t="s">
        <v>22</v>
      </c>
      <c r="G2538" t="s">
        <v>23</v>
      </c>
      <c r="H2538" t="s">
        <v>1763</v>
      </c>
      <c r="I2538" t="s">
        <v>25</v>
      </c>
      <c r="J2538" s="2">
        <v>45796.506342592591</v>
      </c>
      <c r="K2538">
        <v>19</v>
      </c>
      <c r="L2538">
        <v>5</v>
      </c>
      <c r="M2538">
        <v>2025</v>
      </c>
      <c r="N2538" t="s">
        <v>27</v>
      </c>
      <c r="O2538">
        <v>300</v>
      </c>
      <c r="P2538">
        <v>300</v>
      </c>
      <c r="R2538" s="3" t="str">
        <f>HYPERLINK("https://panda.att.com.mx/ODKServer/view/binaryData?blobKey=FSSuministroFluidosv3%5B%40version%3Dnull+and+%40uiVersion%3Dnull%5D%2Fdata%5B%40key%3Duuid%3A5fb1f18f-d1df-411c-af67-9637a6f53bac%5D%2FgroupInfoFuel%5B%40ordinal%3D1%5D%2FpicFuelRecibeInterno","Descargar")</f>
        <v>Descargar</v>
      </c>
    </row>
    <row r="2539" spans="1:18" x14ac:dyDescent="0.3">
      <c r="A2539">
        <v>1541701</v>
      </c>
      <c r="B2539" t="s">
        <v>18</v>
      </c>
      <c r="C2539" t="s">
        <v>59</v>
      </c>
      <c r="D2539" t="s">
        <v>60</v>
      </c>
      <c r="E2539" t="s">
        <v>2064</v>
      </c>
      <c r="F2539" t="s">
        <v>22</v>
      </c>
      <c r="G2539" t="s">
        <v>23</v>
      </c>
      <c r="H2539" t="s">
        <v>37</v>
      </c>
      <c r="I2539" t="s">
        <v>25</v>
      </c>
      <c r="J2539" s="2">
        <v>45793.756724537037</v>
      </c>
      <c r="K2539">
        <v>16</v>
      </c>
      <c r="L2539">
        <v>5</v>
      </c>
      <c r="M2539">
        <v>2025</v>
      </c>
      <c r="N2539" t="s">
        <v>27</v>
      </c>
      <c r="O2539">
        <v>200</v>
      </c>
      <c r="P2539">
        <v>200</v>
      </c>
      <c r="R2539" s="3" t="str">
        <f>HYPERLINK("https://panda.att.com.mx/ODKServer/view/binaryData?blobKey=FSSuministroFluidosv3%5B%40version%3Dnull+and+%40uiVersion%3Dnull%5D%2Fdata%5B%40key%3Duuid%3Ab97cabf4-1184-4b6e-a000-090d373d0aa0%5D%2FgroupInfoFuel%5B%40ordinal%3D1%5D%2FpicFuelRecibeInterno","Descargar")</f>
        <v>Descargar</v>
      </c>
    </row>
    <row r="2540" spans="1:18" x14ac:dyDescent="0.3">
      <c r="A2540">
        <v>1541699</v>
      </c>
      <c r="B2540" t="s">
        <v>18</v>
      </c>
      <c r="C2540" t="s">
        <v>59</v>
      </c>
      <c r="D2540" t="s">
        <v>60</v>
      </c>
      <c r="E2540" t="s">
        <v>2151</v>
      </c>
      <c r="F2540" t="s">
        <v>22</v>
      </c>
      <c r="G2540" t="s">
        <v>23</v>
      </c>
      <c r="H2540" t="s">
        <v>37</v>
      </c>
      <c r="I2540" t="s">
        <v>25</v>
      </c>
      <c r="J2540" s="2">
        <v>45794.793333333328</v>
      </c>
      <c r="K2540">
        <v>17</v>
      </c>
      <c r="L2540">
        <v>5</v>
      </c>
      <c r="M2540">
        <v>2025</v>
      </c>
      <c r="N2540" t="s">
        <v>27</v>
      </c>
      <c r="O2540">
        <v>250</v>
      </c>
      <c r="P2540">
        <v>250</v>
      </c>
      <c r="R2540" s="3" t="str">
        <f>HYPERLINK("https://panda.att.com.mx/ODKServer/view/binaryData?blobKey=FSSuministroFluidosv3%5B%40version%3Dnull+and+%40uiVersion%3Dnull%5D%2Fdata%5B%40key%3Duuid%3A847f47a1-59db-4363-b487-dd3135ddb3bd%5D%2FgroupInfoFuel%5B%40ordinal%3D1%5D%2FpicFuelRecibeInterno","Descargar")</f>
        <v>Descargar</v>
      </c>
    </row>
    <row r="2541" spans="1:18" x14ac:dyDescent="0.3">
      <c r="A2541">
        <v>1541698</v>
      </c>
      <c r="B2541" t="s">
        <v>18</v>
      </c>
      <c r="C2541" t="s">
        <v>59</v>
      </c>
      <c r="D2541" t="s">
        <v>60</v>
      </c>
      <c r="E2541" t="s">
        <v>2152</v>
      </c>
      <c r="F2541" t="s">
        <v>22</v>
      </c>
      <c r="G2541" t="s">
        <v>23</v>
      </c>
      <c r="H2541" t="s">
        <v>37</v>
      </c>
      <c r="I2541" t="s">
        <v>25</v>
      </c>
      <c r="J2541" s="2">
        <v>45796.738402777781</v>
      </c>
      <c r="K2541">
        <v>19</v>
      </c>
      <c r="L2541">
        <v>5</v>
      </c>
      <c r="M2541">
        <v>2025</v>
      </c>
      <c r="N2541" t="s">
        <v>27</v>
      </c>
      <c r="O2541">
        <v>150</v>
      </c>
      <c r="P2541">
        <v>150</v>
      </c>
      <c r="R2541" s="3" t="str">
        <f>HYPERLINK("https://panda.att.com.mx/ODKServer/view/binaryData?blobKey=FSSuministroFluidosv3%5B%40version%3Dnull+and+%40uiVersion%3Dnull%5D%2Fdata%5B%40key%3Duuid%3A79761ce1-348f-4ae2-b194-c3b671af0cac%5D%2FgroupInfoFuel%5B%40ordinal%3D1%5D%2FpicFuelRecibeInterno","Descargar")</f>
        <v>Descargar</v>
      </c>
    </row>
    <row r="2542" spans="1:18" x14ac:dyDescent="0.3">
      <c r="A2542">
        <v>1541697</v>
      </c>
      <c r="B2542" t="s">
        <v>18</v>
      </c>
      <c r="C2542" t="s">
        <v>59</v>
      </c>
      <c r="D2542" t="s">
        <v>60</v>
      </c>
      <c r="E2542" t="s">
        <v>1018</v>
      </c>
      <c r="F2542" t="s">
        <v>22</v>
      </c>
      <c r="G2542" t="s">
        <v>23</v>
      </c>
      <c r="H2542" t="s">
        <v>37</v>
      </c>
      <c r="I2542" t="s">
        <v>25</v>
      </c>
      <c r="J2542" s="2">
        <v>45797.686724537038</v>
      </c>
      <c r="K2542">
        <v>20</v>
      </c>
      <c r="L2542">
        <v>5</v>
      </c>
      <c r="M2542">
        <v>2025</v>
      </c>
      <c r="N2542" t="s">
        <v>27</v>
      </c>
      <c r="O2542">
        <v>200</v>
      </c>
      <c r="P2542">
        <v>200</v>
      </c>
      <c r="R2542" s="3" t="str">
        <f>HYPERLINK("https://panda.att.com.mx/ODKServer/view/binaryData?blobKey=FSSuministroFluidosv3%5B%40version%3Dnull+and+%40uiVersion%3Dnull%5D%2Fdata%5B%40key%3Duuid%3Af18321b2-f68a-4ea6-a3c1-fc62f3f11362%5D%2FgroupInfoFuel%5B%40ordinal%3D1%5D%2FpicFuelRecibeInterno","Descargar")</f>
        <v>Descargar</v>
      </c>
    </row>
    <row r="2543" spans="1:18" x14ac:dyDescent="0.3">
      <c r="A2543">
        <v>1541587</v>
      </c>
      <c r="B2543" t="s">
        <v>18</v>
      </c>
      <c r="C2543" t="s">
        <v>68</v>
      </c>
      <c r="D2543" t="s">
        <v>69</v>
      </c>
      <c r="E2543" t="s">
        <v>1732</v>
      </c>
      <c r="F2543" t="s">
        <v>22</v>
      </c>
      <c r="G2543" t="s">
        <v>23</v>
      </c>
      <c r="H2543" t="s">
        <v>37</v>
      </c>
      <c r="I2543" t="s">
        <v>25</v>
      </c>
      <c r="J2543" s="2">
        <v>45799.492534722223</v>
      </c>
      <c r="K2543">
        <v>22</v>
      </c>
      <c r="L2543">
        <v>5</v>
      </c>
      <c r="M2543">
        <v>2025</v>
      </c>
      <c r="N2543" t="s">
        <v>44</v>
      </c>
      <c r="O2543">
        <v>50</v>
      </c>
      <c r="P2543">
        <v>50</v>
      </c>
      <c r="R2543" s="3" t="str">
        <f>HYPERLINK("https://panda.att.com.mx/ODKServer/view/binaryData?blobKey=FSSuministroFluidosv3%5B%40version%3Dnull+and+%40uiVersion%3Dnull%5D%2Fdata%5B%40key%3Duuid%3Ac813f142-1276-4b85-ba08-4dca95324799%5D%2FgroupInfoFuel%5B%40ordinal%3D1%5D%2FpicFuelRecibeInterno","Descargar")</f>
        <v>Descargar</v>
      </c>
    </row>
    <row r="2544" spans="1:18" x14ac:dyDescent="0.3">
      <c r="A2544">
        <v>1541544</v>
      </c>
      <c r="B2544" t="s">
        <v>18</v>
      </c>
      <c r="C2544" t="s">
        <v>100</v>
      </c>
      <c r="D2544" t="s">
        <v>716</v>
      </c>
      <c r="E2544" t="s">
        <v>1238</v>
      </c>
      <c r="F2544" t="s">
        <v>22</v>
      </c>
      <c r="G2544" t="s">
        <v>23</v>
      </c>
      <c r="H2544" t="s">
        <v>1781</v>
      </c>
      <c r="I2544" t="s">
        <v>25</v>
      </c>
      <c r="J2544" s="2">
        <v>45799.471967592603</v>
      </c>
      <c r="K2544">
        <v>22</v>
      </c>
      <c r="L2544">
        <v>5</v>
      </c>
      <c r="M2544">
        <v>2025</v>
      </c>
      <c r="N2544" t="s">
        <v>27</v>
      </c>
      <c r="O2544">
        <v>200</v>
      </c>
      <c r="P2544">
        <v>200</v>
      </c>
      <c r="R2544" s="3" t="str">
        <f>HYPERLINK("https://panda.att.com.mx/ODKServer/view/binaryData?blobKey=FSSuministroFluidosv3%5B%40version%3Dnull+and+%40uiVersion%3Dnull%5D%2Fdata%5B%40key%3Duuid%3Afc296f65-8f63-43ea-94a8-9f95435e3499%5D%2FgroupInfoFuel%5B%40ordinal%3D1%5D%2FpicFuelRecibeInterno","Descargar")</f>
        <v>Descargar</v>
      </c>
    </row>
    <row r="2545" spans="1:18" x14ac:dyDescent="0.3">
      <c r="A2545">
        <v>1541512</v>
      </c>
      <c r="B2545" t="s">
        <v>18</v>
      </c>
      <c r="C2545" t="s">
        <v>19</v>
      </c>
      <c r="D2545" t="s">
        <v>347</v>
      </c>
      <c r="E2545" t="s">
        <v>2153</v>
      </c>
      <c r="F2545" t="s">
        <v>22</v>
      </c>
      <c r="G2545" t="s">
        <v>23</v>
      </c>
      <c r="H2545" t="s">
        <v>24</v>
      </c>
      <c r="I2545" t="s">
        <v>25</v>
      </c>
      <c r="J2545" s="2">
        <v>45799.413946759261</v>
      </c>
      <c r="K2545">
        <v>22</v>
      </c>
      <c r="L2545">
        <v>5</v>
      </c>
      <c r="M2545">
        <v>2025</v>
      </c>
      <c r="N2545" t="s">
        <v>27</v>
      </c>
      <c r="O2545">
        <v>150</v>
      </c>
      <c r="P2545">
        <v>150</v>
      </c>
      <c r="R2545" s="3" t="str">
        <f>HYPERLINK("https://panda.att.com.mx/ODKServer/view/binaryData?blobKey=FSSuministroFluidosv3%5B%40version%3Dnull+and+%40uiVersion%3Dnull%5D%2Fdata%5B%40key%3Duuid%3Ad351a4ff-eff0-4e89-b224-5bba28bf3b54%5D%2FgroupInfoFuel%5B%40ordinal%3D1%5D%2FpicFuelRecibeInterno","Descargar")</f>
        <v>Descargar</v>
      </c>
    </row>
    <row r="2546" spans="1:18" x14ac:dyDescent="0.3">
      <c r="A2546">
        <v>1541466</v>
      </c>
      <c r="B2546" t="s">
        <v>18</v>
      </c>
      <c r="C2546" t="s">
        <v>19</v>
      </c>
      <c r="D2546" t="s">
        <v>45</v>
      </c>
      <c r="E2546" t="s">
        <v>752</v>
      </c>
      <c r="F2546" t="s">
        <v>22</v>
      </c>
      <c r="G2546" t="s">
        <v>23</v>
      </c>
      <c r="H2546" t="s">
        <v>24</v>
      </c>
      <c r="I2546" t="s">
        <v>25</v>
      </c>
      <c r="J2546" s="2">
        <v>45798.628530092603</v>
      </c>
      <c r="K2546">
        <v>21</v>
      </c>
      <c r="L2546">
        <v>5</v>
      </c>
      <c r="M2546">
        <v>2025</v>
      </c>
      <c r="N2546" t="s">
        <v>27</v>
      </c>
      <c r="O2546">
        <v>300</v>
      </c>
      <c r="P2546">
        <v>300</v>
      </c>
      <c r="R2546" s="3" t="str">
        <f>HYPERLINK("https://panda.att.com.mx/ODKServer/view/binaryData?blobKey=FSSuministroFluidosv3%5B%40version%3Dnull+and+%40uiVersion%3Dnull%5D%2Fdata%5B%40key%3Duuid%3A6fb07c5f-99b0-4e6e-9383-1fd8e30b738a%5D%2FgroupInfoFuel%5B%40ordinal%3D1%5D%2FpicFuelRecibeInterno","Descargar")</f>
        <v>Descargar</v>
      </c>
    </row>
    <row r="2547" spans="1:18" x14ac:dyDescent="0.3">
      <c r="A2547">
        <v>1541407</v>
      </c>
      <c r="B2547" t="s">
        <v>18</v>
      </c>
      <c r="C2547" t="s">
        <v>19</v>
      </c>
      <c r="D2547" t="s">
        <v>45</v>
      </c>
      <c r="E2547" t="s">
        <v>905</v>
      </c>
      <c r="F2547" t="s">
        <v>22</v>
      </c>
      <c r="G2547" t="s">
        <v>23</v>
      </c>
      <c r="H2547" t="s">
        <v>24</v>
      </c>
      <c r="I2547" t="s">
        <v>25</v>
      </c>
      <c r="J2547" s="2">
        <v>45792.500775462962</v>
      </c>
      <c r="K2547">
        <v>15</v>
      </c>
      <c r="L2547">
        <v>5</v>
      </c>
      <c r="M2547">
        <v>2025</v>
      </c>
      <c r="N2547" t="s">
        <v>27</v>
      </c>
      <c r="O2547">
        <v>300</v>
      </c>
      <c r="P2547">
        <v>300</v>
      </c>
      <c r="R2547" s="3" t="str">
        <f>HYPERLINK("https://panda.att.com.mx/ODKServer/view/binaryData?blobKey=FSSuministroFluidosv3%5B%40version%3Dnull+and+%40uiVersion%3Dnull%5D%2Fdata%5B%40key%3Duuid%3Aff58f9bd-fb56-4208-a390-57fecd7a46f8%5D%2FgroupInfoFuel%5B%40ordinal%3D1%5D%2FpicFuelRecibeInterno","Descargar")</f>
        <v>Descargar</v>
      </c>
    </row>
    <row r="2548" spans="1:18" x14ac:dyDescent="0.3">
      <c r="A2548">
        <v>1541380</v>
      </c>
      <c r="B2548" t="s">
        <v>18</v>
      </c>
      <c r="C2548" t="s">
        <v>34</v>
      </c>
      <c r="D2548" t="s">
        <v>292</v>
      </c>
      <c r="E2548" t="s">
        <v>293</v>
      </c>
      <c r="F2548" t="s">
        <v>22</v>
      </c>
      <c r="G2548" t="s">
        <v>83</v>
      </c>
      <c r="H2548" t="s">
        <v>37</v>
      </c>
      <c r="I2548" t="s">
        <v>25</v>
      </c>
      <c r="J2548" s="2">
        <v>45798.894467592603</v>
      </c>
      <c r="K2548">
        <v>21</v>
      </c>
      <c r="L2548">
        <v>5</v>
      </c>
      <c r="M2548">
        <v>2025</v>
      </c>
      <c r="N2548" t="s">
        <v>27</v>
      </c>
      <c r="O2548">
        <v>600</v>
      </c>
      <c r="P2548">
        <v>600</v>
      </c>
      <c r="R2548" s="3" t="str">
        <f>HYPERLINK("https://panda.att.com.mx/ODKServer/view/binaryData?blobKey=FSSuministroFluidosv3%5B%40version%3Dnull+and+%40uiVersion%3Dnull%5D%2Fdata%5B%40key%3Duuid%3A273663a2-65c1-4ff9-a89e-b8d38854e629%5D%2FgroupInfoFuel%5B%40ordinal%3D1%5D%2FpicFuelRecibeInterno","Descargar")</f>
        <v>Descargar</v>
      </c>
    </row>
    <row r="2549" spans="1:18" x14ac:dyDescent="0.3">
      <c r="A2549">
        <v>1541379</v>
      </c>
      <c r="B2549" t="s">
        <v>18</v>
      </c>
      <c r="C2549" t="s">
        <v>28</v>
      </c>
      <c r="D2549" t="s">
        <v>895</v>
      </c>
      <c r="E2549" t="s">
        <v>896</v>
      </c>
      <c r="F2549" t="s">
        <v>22</v>
      </c>
      <c r="G2549" t="s">
        <v>23</v>
      </c>
      <c r="H2549" t="s">
        <v>24</v>
      </c>
      <c r="I2549" t="s">
        <v>25</v>
      </c>
      <c r="J2549" s="2">
        <v>45798.518136574072</v>
      </c>
      <c r="K2549">
        <v>21</v>
      </c>
      <c r="L2549">
        <v>5</v>
      </c>
      <c r="M2549">
        <v>2025</v>
      </c>
      <c r="N2549" t="s">
        <v>27</v>
      </c>
      <c r="O2549">
        <v>500</v>
      </c>
      <c r="Q2549">
        <v>500</v>
      </c>
      <c r="R2549" s="3" t="str">
        <f>HYPERLINK("https://panda.att.com.mx/ODKServer/view/binaryData?blobKey=FSSuministroFluidosv3%5B%40version%3Dnull+and+%40uiVersion%3Dnull%5D%2Fdata%5B%40key%3Duuid%3A4bf468a4-f392-45d5-a951-0b355ebafeeb%5D%2FgroupInfoFuel%5B%40ordinal%3D1%5D%2FpicFuelRecibeInterno","Descargar")</f>
        <v>Descargar</v>
      </c>
    </row>
    <row r="2550" spans="1:18" x14ac:dyDescent="0.3">
      <c r="A2550">
        <v>1541355</v>
      </c>
      <c r="B2550" t="s">
        <v>18</v>
      </c>
      <c r="C2550" t="s">
        <v>19</v>
      </c>
      <c r="D2550" t="s">
        <v>45</v>
      </c>
      <c r="E2550" t="s">
        <v>905</v>
      </c>
      <c r="F2550" t="s">
        <v>22</v>
      </c>
      <c r="G2550" t="s">
        <v>23</v>
      </c>
      <c r="H2550" t="s">
        <v>24</v>
      </c>
      <c r="I2550" t="s">
        <v>25</v>
      </c>
      <c r="J2550" s="2">
        <v>45793.587638888886</v>
      </c>
      <c r="K2550">
        <v>16</v>
      </c>
      <c r="L2550">
        <v>5</v>
      </c>
      <c r="M2550">
        <v>2025</v>
      </c>
      <c r="N2550" t="s">
        <v>27</v>
      </c>
      <c r="O2550">
        <v>200</v>
      </c>
      <c r="P2550">
        <v>200</v>
      </c>
      <c r="R2550" s="3" t="str">
        <f>HYPERLINK("https://panda.att.com.mx/ODKServer/view/binaryData?blobKey=FSSuministroFluidosv3%5B%40version%3Dnull+and+%40uiVersion%3Dnull%5D%2Fdata%5B%40key%3Duuid%3A31a70845-f207-4249-9627-6eb798b61923%5D%2FgroupInfoFuel%5B%40ordinal%3D1%5D%2FpicFuelRecibeInterno","Descargar")</f>
        <v>Descargar</v>
      </c>
    </row>
    <row r="2551" spans="1:18" x14ac:dyDescent="0.3">
      <c r="A2551">
        <v>1541328</v>
      </c>
      <c r="B2551" t="s">
        <v>18</v>
      </c>
      <c r="C2551" t="s">
        <v>34</v>
      </c>
      <c r="D2551" t="s">
        <v>53</v>
      </c>
      <c r="E2551" t="s">
        <v>2154</v>
      </c>
      <c r="F2551" t="s">
        <v>22</v>
      </c>
      <c r="G2551" t="s">
        <v>1422</v>
      </c>
      <c r="H2551" t="s">
        <v>37</v>
      </c>
      <c r="I2551" t="s">
        <v>25</v>
      </c>
      <c r="J2551" s="2">
        <v>45799.34238425926</v>
      </c>
      <c r="K2551">
        <v>22</v>
      </c>
      <c r="L2551">
        <v>5</v>
      </c>
      <c r="M2551">
        <v>2025</v>
      </c>
      <c r="N2551" t="s">
        <v>27</v>
      </c>
      <c r="O2551">
        <v>250</v>
      </c>
      <c r="P2551">
        <v>250</v>
      </c>
      <c r="R2551" s="3" t="str">
        <f>HYPERLINK("https://panda.att.com.mx/ODKServer/view/binaryData?blobKey=FSSuministroFluidosv3%5B%40version%3Dnull+and+%40uiVersion%3Dnull%5D%2Fdata%5B%40key%3Duuid%3A1ab578c4-583f-40d7-ace8-7279a97846e5%5D%2FgroupInfoFuel%5B%40ordinal%3D1%5D%2FpicFuelRecibeInterno","Descargar")</f>
        <v>Descargar</v>
      </c>
    </row>
    <row r="2552" spans="1:18" x14ac:dyDescent="0.3">
      <c r="A2552">
        <v>1542451</v>
      </c>
      <c r="B2552" t="s">
        <v>18</v>
      </c>
      <c r="C2552" t="s">
        <v>68</v>
      </c>
      <c r="D2552" t="s">
        <v>91</v>
      </c>
      <c r="E2552" t="s">
        <v>2155</v>
      </c>
      <c r="F2552" t="s">
        <v>22</v>
      </c>
      <c r="G2552" t="s">
        <v>23</v>
      </c>
      <c r="H2552" t="s">
        <v>37</v>
      </c>
      <c r="I2552" t="s">
        <v>25</v>
      </c>
      <c r="J2552" s="2">
        <v>45800.456099537027</v>
      </c>
      <c r="K2552">
        <v>23</v>
      </c>
      <c r="L2552">
        <v>5</v>
      </c>
      <c r="M2552">
        <v>2025</v>
      </c>
      <c r="N2552" t="s">
        <v>27</v>
      </c>
      <c r="O2552">
        <v>200</v>
      </c>
      <c r="P2552">
        <v>200</v>
      </c>
      <c r="R2552" s="3" t="str">
        <f>HYPERLINK("https://panda.att.com.mx/ODKServer/view/binaryData?blobKey=FSSuministroFluidosv3%5B%40version%3Dnull+and+%40uiVersion%3Dnull%5D%2Fdata%5B%40key%3Duuid%3Acfc4624d-7a70-4781-be79-c83c5c667601%5D%2FgroupInfoFuel%5B%40ordinal%3D1%5D%2FpicFuelRecibeInterno","Descargar")</f>
        <v>Descargar</v>
      </c>
    </row>
    <row r="2553" spans="1:18" x14ac:dyDescent="0.3">
      <c r="A2553">
        <v>1542443</v>
      </c>
      <c r="B2553" t="s">
        <v>18</v>
      </c>
      <c r="C2553" t="s">
        <v>68</v>
      </c>
      <c r="D2553" t="s">
        <v>2156</v>
      </c>
      <c r="E2553" t="s">
        <v>2157</v>
      </c>
      <c r="F2553" t="s">
        <v>22</v>
      </c>
      <c r="G2553" t="s">
        <v>23</v>
      </c>
      <c r="H2553" t="s">
        <v>37</v>
      </c>
      <c r="I2553" t="s">
        <v>25</v>
      </c>
      <c r="J2553" s="2">
        <v>45800.44</v>
      </c>
      <c r="K2553">
        <v>23</v>
      </c>
      <c r="L2553">
        <v>5</v>
      </c>
      <c r="M2553">
        <v>2025</v>
      </c>
      <c r="N2553" t="s">
        <v>27</v>
      </c>
      <c r="O2553">
        <v>100</v>
      </c>
      <c r="P2553">
        <v>100</v>
      </c>
      <c r="R2553" s="3" t="str">
        <f>HYPERLINK("https://panda.att.com.mx/ODKServer/view/binaryData?blobKey=FSSuministroFluidosv3%5B%40version%3Dnull+and+%40uiVersion%3Dnull%5D%2Fdata%5B%40key%3Duuid%3Ae73c524f-944d-422e-88f8-83bab7a0e933%5D%2FgroupInfoFuel%5B%40ordinal%3D1%5D%2FpicFuelRecibeInterno","Descargar")</f>
        <v>Descargar</v>
      </c>
    </row>
    <row r="2554" spans="1:18" x14ac:dyDescent="0.3">
      <c r="A2554">
        <v>1542358</v>
      </c>
      <c r="B2554" t="s">
        <v>18</v>
      </c>
      <c r="C2554" t="s">
        <v>19</v>
      </c>
      <c r="D2554" t="s">
        <v>62</v>
      </c>
      <c r="E2554" t="s">
        <v>615</v>
      </c>
      <c r="F2554" t="s">
        <v>22</v>
      </c>
      <c r="G2554" t="s">
        <v>23</v>
      </c>
      <c r="H2554" t="s">
        <v>24</v>
      </c>
      <c r="I2554" t="s">
        <v>25</v>
      </c>
      <c r="J2554" s="2">
        <v>45800.494027777779</v>
      </c>
      <c r="K2554">
        <v>23</v>
      </c>
      <c r="L2554">
        <v>5</v>
      </c>
      <c r="M2554">
        <v>2025</v>
      </c>
      <c r="N2554" t="s">
        <v>44</v>
      </c>
      <c r="O2554">
        <v>50</v>
      </c>
      <c r="P2554">
        <v>50</v>
      </c>
      <c r="R2554" s="3" t="str">
        <f>HYPERLINK("https://panda.att.com.mx/ODKServer/view/binaryData?blobKey=FSSuministroFluidosv3%5B%40version%3Dnull+and+%40uiVersion%3Dnull%5D%2Fdata%5B%40key%3Duuid%3A3d4b42b9-227e-43be-aa0e-4f5c32760ddb%5D%2FgroupInfoFuel%5B%40ordinal%3D1%5D%2FpicFuelRecibeInterno","Descargar")</f>
        <v>Descargar</v>
      </c>
    </row>
    <row r="2555" spans="1:18" x14ac:dyDescent="0.3">
      <c r="A2555">
        <v>1542335</v>
      </c>
      <c r="B2555" t="s">
        <v>18</v>
      </c>
      <c r="C2555" t="s">
        <v>100</v>
      </c>
      <c r="D2555" t="s">
        <v>101</v>
      </c>
      <c r="E2555" t="s">
        <v>126</v>
      </c>
      <c r="F2555" t="s">
        <v>22</v>
      </c>
      <c r="G2555" t="s">
        <v>83</v>
      </c>
      <c r="H2555" t="s">
        <v>1781</v>
      </c>
      <c r="I2555" t="s">
        <v>25</v>
      </c>
      <c r="J2555" s="2">
        <v>45800.460370370369</v>
      </c>
      <c r="K2555">
        <v>23</v>
      </c>
      <c r="L2555">
        <v>5</v>
      </c>
      <c r="M2555">
        <v>2025</v>
      </c>
      <c r="N2555" t="s">
        <v>27</v>
      </c>
      <c r="O2555">
        <v>300</v>
      </c>
      <c r="P2555">
        <v>300</v>
      </c>
      <c r="R2555" s="3" t="str">
        <f>HYPERLINK("https://panda.att.com.mx/ODKServer/view/binaryData?blobKey=FSSuministroFluidosv3%5B%40version%3Dnull+and+%40uiVersion%3Dnull%5D%2Fdata%5B%40key%3Duuid%3Ac70591e5-0063-45ae-8497-7ef1f99566bf%5D%2FgroupInfoFuel%5B%40ordinal%3D1%5D%2FpicFuelRecibeInterno","Descargar")</f>
        <v>Descargar</v>
      </c>
    </row>
    <row r="2556" spans="1:18" x14ac:dyDescent="0.3">
      <c r="A2556">
        <v>1542331</v>
      </c>
      <c r="B2556" t="s">
        <v>18</v>
      </c>
      <c r="C2556" t="s">
        <v>28</v>
      </c>
      <c r="D2556" t="s">
        <v>895</v>
      </c>
      <c r="E2556" t="s">
        <v>2158</v>
      </c>
      <c r="F2556" t="s">
        <v>22</v>
      </c>
      <c r="G2556" t="s">
        <v>23</v>
      </c>
      <c r="H2556" t="s">
        <v>24</v>
      </c>
      <c r="I2556" t="s">
        <v>25</v>
      </c>
      <c r="J2556" s="2">
        <v>45800.467037037037</v>
      </c>
      <c r="K2556">
        <v>23</v>
      </c>
      <c r="L2556">
        <v>5</v>
      </c>
      <c r="M2556">
        <v>2025</v>
      </c>
      <c r="N2556" t="s">
        <v>44</v>
      </c>
      <c r="O2556">
        <v>40</v>
      </c>
      <c r="P2556">
        <v>40</v>
      </c>
      <c r="R2556" s="3" t="str">
        <f>HYPERLINK("https://panda.att.com.mx/ODKServer/view/binaryData?blobKey=FSSuministroFluidosv3%5B%40version%3Dnull+and+%40uiVersion%3Dnull%5D%2Fdata%5B%40key%3Duuid%3A02d7195c-e36a-4504-bd1a-ad2753222568%5D%2FgroupInfoFuel%5B%40ordinal%3D1%5D%2FpicFuelRecibeInterno","Descargar")</f>
        <v>Descargar</v>
      </c>
    </row>
    <row r="2557" spans="1:18" x14ac:dyDescent="0.3">
      <c r="A2557">
        <v>1542292</v>
      </c>
      <c r="B2557" t="s">
        <v>18</v>
      </c>
      <c r="C2557" t="s">
        <v>55</v>
      </c>
      <c r="D2557" t="s">
        <v>56</v>
      </c>
      <c r="E2557" t="s">
        <v>1778</v>
      </c>
      <c r="F2557" t="s">
        <v>22</v>
      </c>
      <c r="G2557" t="s">
        <v>23</v>
      </c>
      <c r="H2557" t="s">
        <v>1763</v>
      </c>
      <c r="I2557" t="s">
        <v>25</v>
      </c>
      <c r="J2557" s="2">
        <v>45793.344780092593</v>
      </c>
      <c r="K2557">
        <v>16</v>
      </c>
      <c r="L2557">
        <v>5</v>
      </c>
      <c r="M2557">
        <v>2025</v>
      </c>
      <c r="N2557" t="s">
        <v>27</v>
      </c>
      <c r="O2557">
        <v>200</v>
      </c>
      <c r="P2557">
        <v>200</v>
      </c>
      <c r="R2557" s="3" t="str">
        <f>HYPERLINK("https://panda.att.com.mx/ODKServer/view/binaryData?blobKey=FSSuministroFluidosv3%5B%40version%3Dnull+and+%40uiVersion%3Dnull%5D%2Fdata%5B%40key%3Duuid%3Addd9ca5b-4673-4f1e-885d-84c0c0e48d9e%5D%2FgroupInfoFuel%5B%40ordinal%3D1%5D%2FpicFuelRecibeInterno","Descargar")</f>
        <v>Descargar</v>
      </c>
    </row>
    <row r="2558" spans="1:18" x14ac:dyDescent="0.3">
      <c r="A2558">
        <v>1542291</v>
      </c>
      <c r="B2558" t="s">
        <v>18</v>
      </c>
      <c r="C2558" t="s">
        <v>55</v>
      </c>
      <c r="D2558" t="s">
        <v>56</v>
      </c>
      <c r="E2558" t="s">
        <v>1778</v>
      </c>
      <c r="F2558" t="s">
        <v>22</v>
      </c>
      <c r="G2558" t="s">
        <v>23</v>
      </c>
      <c r="H2558" t="s">
        <v>1763</v>
      </c>
      <c r="I2558" t="s">
        <v>25</v>
      </c>
      <c r="J2558" s="2">
        <v>45791.560983796298</v>
      </c>
      <c r="K2558">
        <v>14</v>
      </c>
      <c r="L2558">
        <v>5</v>
      </c>
      <c r="M2558">
        <v>2025</v>
      </c>
      <c r="N2558" t="s">
        <v>27</v>
      </c>
      <c r="O2558">
        <v>200</v>
      </c>
      <c r="P2558">
        <v>200</v>
      </c>
      <c r="R2558" s="3" t="str">
        <f>HYPERLINK("https://panda.att.com.mx/ODKServer/view/binaryData?blobKey=FSSuministroFluidosv3%5B%40version%3Dnull+and+%40uiVersion%3Dnull%5D%2Fdata%5B%40key%3Duuid%3A29c4a0ef-69e3-4f62-a50c-560e48d33415%5D%2FgroupInfoFuel%5B%40ordinal%3D1%5D%2FpicFuelRecibeInterno","Descargar")</f>
        <v>Descargar</v>
      </c>
    </row>
    <row r="2559" spans="1:18" x14ac:dyDescent="0.3">
      <c r="A2559">
        <v>1542269</v>
      </c>
      <c r="B2559" t="s">
        <v>18</v>
      </c>
      <c r="C2559" t="s">
        <v>34</v>
      </c>
      <c r="D2559" t="s">
        <v>53</v>
      </c>
      <c r="E2559" t="s">
        <v>2119</v>
      </c>
      <c r="F2559" t="s">
        <v>22</v>
      </c>
      <c r="G2559" t="s">
        <v>23</v>
      </c>
      <c r="H2559" t="s">
        <v>37</v>
      </c>
      <c r="I2559" t="s">
        <v>25</v>
      </c>
      <c r="J2559" s="2">
        <v>45799.686782407407</v>
      </c>
      <c r="K2559">
        <v>22</v>
      </c>
      <c r="L2559">
        <v>5</v>
      </c>
      <c r="M2559">
        <v>2025</v>
      </c>
      <c r="N2559" t="s">
        <v>27</v>
      </c>
      <c r="O2559">
        <v>400</v>
      </c>
      <c r="Q2559">
        <v>400</v>
      </c>
      <c r="R2559" s="3" t="str">
        <f>HYPERLINK("https://panda.att.com.mx/ODKServer/view/binaryData?blobKey=FSSuministroFluidosv3%5B%40version%3Dnull+and+%40uiVersion%3Dnull%5D%2Fdata%5B%40key%3Duuid%3A4626e195-64e4-4e0c-a955-583987c9d80b%5D%2FgroupInfoFuel%5B%40ordinal%3D1%5D%2FpicFuelRecibeInterno","Descargar")</f>
        <v>Descargar</v>
      </c>
    </row>
    <row r="2560" spans="1:18" x14ac:dyDescent="0.3">
      <c r="A2560">
        <v>1542259</v>
      </c>
      <c r="B2560" t="s">
        <v>18</v>
      </c>
      <c r="C2560" t="s">
        <v>19</v>
      </c>
      <c r="D2560" t="s">
        <v>2159</v>
      </c>
      <c r="E2560" t="s">
        <v>2160</v>
      </c>
      <c r="F2560" t="s">
        <v>22</v>
      </c>
      <c r="G2560" t="s">
        <v>23</v>
      </c>
      <c r="H2560" t="s">
        <v>24</v>
      </c>
      <c r="I2560" t="s">
        <v>25</v>
      </c>
      <c r="J2560" s="2">
        <v>45799.558194444442</v>
      </c>
      <c r="K2560">
        <v>22</v>
      </c>
      <c r="L2560">
        <v>5</v>
      </c>
      <c r="M2560">
        <v>2025</v>
      </c>
      <c r="N2560" t="s">
        <v>44</v>
      </c>
      <c r="O2560">
        <v>45</v>
      </c>
      <c r="P2560">
        <v>45</v>
      </c>
      <c r="R2560" s="3" t="str">
        <f>HYPERLINK("https://panda.att.com.mx/ODKServer/view/binaryData?blobKey=FSSuministroFluidosv3%5B%40version%3Dnull+and+%40uiVersion%3Dnull%5D%2Fdata%5B%40key%3Duuid%3A17a1f0ef-cfa1-43a6-b9ff-12d35755bf6f%5D%2FgroupInfoFuel%5B%40ordinal%3D1%5D%2FpicFuelRecibeInterno","Descargar")</f>
        <v>Descargar</v>
      </c>
    </row>
    <row r="2561" spans="1:18" x14ac:dyDescent="0.3">
      <c r="A2561">
        <v>1542213</v>
      </c>
      <c r="B2561" t="s">
        <v>18</v>
      </c>
      <c r="C2561" t="s">
        <v>55</v>
      </c>
      <c r="D2561" t="s">
        <v>288</v>
      </c>
      <c r="E2561" t="s">
        <v>440</v>
      </c>
      <c r="F2561" t="s">
        <v>22</v>
      </c>
      <c r="G2561" t="s">
        <v>23</v>
      </c>
      <c r="H2561" t="s">
        <v>1763</v>
      </c>
      <c r="I2561" t="s">
        <v>25</v>
      </c>
      <c r="J2561" s="2">
        <v>45800.315821759257</v>
      </c>
      <c r="K2561">
        <v>23</v>
      </c>
      <c r="L2561">
        <v>5</v>
      </c>
      <c r="M2561">
        <v>2025</v>
      </c>
      <c r="N2561" t="s">
        <v>27</v>
      </c>
      <c r="O2561">
        <v>300</v>
      </c>
      <c r="P2561">
        <v>300</v>
      </c>
      <c r="R2561" s="3" t="str">
        <f>HYPERLINK("https://panda.att.com.mx/ODKServer/view/binaryData?blobKey=FSSuministroFluidosv3%5B%40version%3Dnull+and+%40uiVersion%3Dnull%5D%2Fdata%5B%40key%3Duuid%3A670cc696-11bf-48c5-87af-618f6b9be2f5%5D%2FgroupInfoFuel%5B%40ordinal%3D1%5D%2FpicFuelRecibeInterno","Descargar")</f>
        <v>Descargar</v>
      </c>
    </row>
    <row r="2562" spans="1:18" x14ac:dyDescent="0.3">
      <c r="A2562">
        <v>1542208</v>
      </c>
      <c r="B2562" t="s">
        <v>18</v>
      </c>
      <c r="C2562" t="s">
        <v>68</v>
      </c>
      <c r="D2562" t="s">
        <v>69</v>
      </c>
      <c r="E2562" t="s">
        <v>2128</v>
      </c>
      <c r="F2562" t="s">
        <v>22</v>
      </c>
      <c r="G2562" t="s">
        <v>83</v>
      </c>
      <c r="H2562" t="s">
        <v>37</v>
      </c>
      <c r="I2562" t="s">
        <v>25</v>
      </c>
      <c r="J2562" s="2">
        <v>45799.604224537034</v>
      </c>
      <c r="K2562">
        <v>22</v>
      </c>
      <c r="L2562">
        <v>5</v>
      </c>
      <c r="M2562">
        <v>2025</v>
      </c>
      <c r="N2562" t="s">
        <v>44</v>
      </c>
      <c r="O2562">
        <v>50</v>
      </c>
      <c r="P2562">
        <v>50</v>
      </c>
      <c r="R2562" s="3" t="str">
        <f>HYPERLINK("https://panda.att.com.mx/ODKServer/view/binaryData?blobKey=FSSuministroFluidosv3%5B%40version%3Dnull+and+%40uiVersion%3Dnull%5D%2Fdata%5B%40key%3Duuid%3Aab4df18b-55d3-4278-8534-4821b452a16e%5D%2FgroupInfoFuel%5B%40ordinal%3D1%5D%2FpicFuelRecibeInterno","Descargar")</f>
        <v>Descargar</v>
      </c>
    </row>
    <row r="2563" spans="1:18" x14ac:dyDescent="0.3">
      <c r="A2563">
        <v>1542205</v>
      </c>
      <c r="B2563" t="s">
        <v>18</v>
      </c>
      <c r="C2563" t="s">
        <v>55</v>
      </c>
      <c r="D2563" t="s">
        <v>128</v>
      </c>
      <c r="E2563" t="s">
        <v>1974</v>
      </c>
      <c r="F2563" t="s">
        <v>22</v>
      </c>
      <c r="G2563" t="s">
        <v>23</v>
      </c>
      <c r="H2563" t="s">
        <v>1763</v>
      </c>
      <c r="I2563" t="s">
        <v>25</v>
      </c>
      <c r="J2563" s="2">
        <v>45785.858935185177</v>
      </c>
      <c r="K2563">
        <v>8</v>
      </c>
      <c r="L2563">
        <v>5</v>
      </c>
      <c r="M2563">
        <v>2025</v>
      </c>
      <c r="N2563" t="s">
        <v>27</v>
      </c>
      <c r="O2563">
        <v>200</v>
      </c>
      <c r="P2563">
        <v>200</v>
      </c>
      <c r="R2563" s="3" t="str">
        <f>HYPERLINK("https://panda.att.com.mx/ODKServer/view/binaryData?blobKey=FSSuministroFluidosv3%5B%40version%3Dnull+and+%40uiVersion%3Dnull%5D%2Fdata%5B%40key%3Duuid%3A28673204-26d2-4e86-8f53-72917251ab20%5D%2FgroupInfoFuel%5B%40ordinal%3D1%5D%2FpicFuelRecibeInterno","Descargar")</f>
        <v>Descargar</v>
      </c>
    </row>
    <row r="2564" spans="1:18" x14ac:dyDescent="0.3">
      <c r="A2564">
        <v>1542185</v>
      </c>
      <c r="B2564" t="s">
        <v>18</v>
      </c>
      <c r="C2564" t="s">
        <v>19</v>
      </c>
      <c r="D2564" t="s">
        <v>189</v>
      </c>
      <c r="E2564" t="s">
        <v>2161</v>
      </c>
      <c r="F2564" t="s">
        <v>22</v>
      </c>
      <c r="G2564" t="s">
        <v>23</v>
      </c>
      <c r="H2564" t="s">
        <v>24</v>
      </c>
      <c r="I2564" t="s">
        <v>25</v>
      </c>
      <c r="J2564" s="2">
        <v>45794.548750000002</v>
      </c>
      <c r="K2564">
        <v>17</v>
      </c>
      <c r="L2564">
        <v>5</v>
      </c>
      <c r="M2564">
        <v>2025</v>
      </c>
      <c r="N2564" t="s">
        <v>27</v>
      </c>
      <c r="O2564">
        <v>200</v>
      </c>
      <c r="P2564">
        <v>200</v>
      </c>
      <c r="R2564" s="3" t="str">
        <f>HYPERLINK("https://panda.att.com.mx/ODKServer/view/binaryData?blobKey=FSSuministroFluidosv3%5B%40version%3Dnull+and+%40uiVersion%3Dnull%5D%2Fdata%5B%40key%3Duuid%3A1a3a8bfd-07ce-46c1-b7b9-a939b17886af%5D%2FgroupInfoFuel%5B%40ordinal%3D1%5D%2FpicFuelRecibeInterno","Descargar")</f>
        <v>Descargar</v>
      </c>
    </row>
    <row r="2565" spans="1:18" x14ac:dyDescent="0.3">
      <c r="A2565">
        <v>1542184</v>
      </c>
      <c r="B2565" t="s">
        <v>18</v>
      </c>
      <c r="C2565" t="s">
        <v>19</v>
      </c>
      <c r="D2565" t="s">
        <v>189</v>
      </c>
      <c r="E2565" t="s">
        <v>2161</v>
      </c>
      <c r="F2565" t="s">
        <v>22</v>
      </c>
      <c r="G2565" t="s">
        <v>23</v>
      </c>
      <c r="H2565" t="s">
        <v>24</v>
      </c>
      <c r="I2565" t="s">
        <v>25</v>
      </c>
      <c r="J2565" s="2">
        <v>45793.412557870368</v>
      </c>
      <c r="K2565">
        <v>16</v>
      </c>
      <c r="L2565">
        <v>5</v>
      </c>
      <c r="M2565">
        <v>2025</v>
      </c>
      <c r="N2565" t="s">
        <v>27</v>
      </c>
      <c r="O2565">
        <v>200</v>
      </c>
      <c r="P2565">
        <v>200</v>
      </c>
      <c r="R2565" s="3" t="str">
        <f>HYPERLINK("https://panda.att.com.mx/ODKServer/view/binaryData?blobKey=FSSuministroFluidosv3%5B%40version%3Dnull+and+%40uiVersion%3Dnull%5D%2Fdata%5B%40key%3Duuid%3Aa2423716-61bb-4b3f-b50e-89214cc90d7c%5D%2FgroupInfoFuel%5B%40ordinal%3D1%5D%2FpicFuelRecibeInterno","Descargar")</f>
        <v>Descargar</v>
      </c>
    </row>
    <row r="2566" spans="1:18" x14ac:dyDescent="0.3">
      <c r="A2566">
        <v>1542183</v>
      </c>
      <c r="B2566" t="s">
        <v>18</v>
      </c>
      <c r="C2566" t="s">
        <v>19</v>
      </c>
      <c r="D2566" t="s">
        <v>189</v>
      </c>
      <c r="E2566" t="s">
        <v>2161</v>
      </c>
      <c r="F2566" t="s">
        <v>22</v>
      </c>
      <c r="G2566" t="s">
        <v>23</v>
      </c>
      <c r="H2566" t="s">
        <v>24</v>
      </c>
      <c r="I2566" t="s">
        <v>25</v>
      </c>
      <c r="J2566" s="2">
        <v>45791.437106481477</v>
      </c>
      <c r="K2566">
        <v>14</v>
      </c>
      <c r="L2566">
        <v>5</v>
      </c>
      <c r="M2566">
        <v>2025</v>
      </c>
      <c r="N2566" t="s">
        <v>27</v>
      </c>
      <c r="O2566">
        <v>200</v>
      </c>
      <c r="P2566">
        <v>200</v>
      </c>
      <c r="R2566" s="3" t="str">
        <f>HYPERLINK("https://panda.att.com.mx/ODKServer/view/binaryData?blobKey=FSSuministroFluidosv3%5B%40version%3Dnull+and+%40uiVersion%3Dnull%5D%2Fdata%5B%40key%3Duuid%3A54fe3569-571e-49d1-bde2-f6d95f8e3edb%5D%2FgroupInfoFuel%5B%40ordinal%3D1%5D%2FpicFuelRecibeInterno","Descargar")</f>
        <v>Descargar</v>
      </c>
    </row>
    <row r="2567" spans="1:18" x14ac:dyDescent="0.3">
      <c r="A2567">
        <v>1542182</v>
      </c>
      <c r="B2567" t="s">
        <v>18</v>
      </c>
      <c r="C2567" t="s">
        <v>19</v>
      </c>
      <c r="D2567" t="s">
        <v>189</v>
      </c>
      <c r="E2567" t="s">
        <v>2161</v>
      </c>
      <c r="F2567" t="s">
        <v>22</v>
      </c>
      <c r="G2567" t="s">
        <v>23</v>
      </c>
      <c r="H2567" t="s">
        <v>24</v>
      </c>
      <c r="I2567" t="s">
        <v>25</v>
      </c>
      <c r="J2567" s="2">
        <v>45789.448865740742</v>
      </c>
      <c r="K2567">
        <v>12</v>
      </c>
      <c r="L2567">
        <v>5</v>
      </c>
      <c r="M2567">
        <v>2025</v>
      </c>
      <c r="N2567" t="s">
        <v>27</v>
      </c>
      <c r="O2567">
        <v>200</v>
      </c>
      <c r="P2567">
        <v>200</v>
      </c>
      <c r="R2567" s="3" t="str">
        <f>HYPERLINK("https://panda.att.com.mx/ODKServer/view/binaryData?blobKey=FSSuministroFluidosv3%5B%40version%3Dnull+and+%40uiVersion%3Dnull%5D%2Fdata%5B%40key%3Duuid%3Adbaf6b6e-d602-430e-9780-81900ec0c8d9%5D%2FgroupInfoFuel%5B%40ordinal%3D1%5D%2FpicFuelRecibeInterno","Descargar")</f>
        <v>Descargar</v>
      </c>
    </row>
    <row r="2568" spans="1:18" x14ac:dyDescent="0.3">
      <c r="A2568">
        <v>1542181</v>
      </c>
      <c r="B2568" t="s">
        <v>18</v>
      </c>
      <c r="C2568" t="s">
        <v>19</v>
      </c>
      <c r="D2568" t="s">
        <v>189</v>
      </c>
      <c r="E2568" t="s">
        <v>2161</v>
      </c>
      <c r="F2568" t="s">
        <v>22</v>
      </c>
      <c r="G2568" t="s">
        <v>23</v>
      </c>
      <c r="H2568" t="s">
        <v>24</v>
      </c>
      <c r="I2568" t="s">
        <v>25</v>
      </c>
      <c r="J2568" s="2">
        <v>45797.407962962963</v>
      </c>
      <c r="K2568">
        <v>20</v>
      </c>
      <c r="L2568">
        <v>5</v>
      </c>
      <c r="M2568">
        <v>2025</v>
      </c>
      <c r="N2568" t="s">
        <v>27</v>
      </c>
      <c r="O2568">
        <v>200</v>
      </c>
      <c r="P2568">
        <v>200</v>
      </c>
      <c r="R2568" s="3" t="str">
        <f>HYPERLINK("https://panda.att.com.mx/ODKServer/view/binaryData?blobKey=FSSuministroFluidosv3%5B%40version%3Dnull+and+%40uiVersion%3Dnull%5D%2Fdata%5B%40key%3Duuid%3A90fb295c-fdee-4caa-9457-5ff12be5da14%5D%2FgroupInfoFuel%5B%40ordinal%3D1%5D%2FpicFuelRecibeInterno","Descargar")</f>
        <v>Descargar</v>
      </c>
    </row>
    <row r="2569" spans="1:18" x14ac:dyDescent="0.3">
      <c r="A2569">
        <v>1542160</v>
      </c>
      <c r="B2569" t="s">
        <v>18</v>
      </c>
      <c r="C2569" t="s">
        <v>59</v>
      </c>
      <c r="D2569" t="s">
        <v>60</v>
      </c>
      <c r="E2569" t="s">
        <v>1310</v>
      </c>
      <c r="F2569" t="s">
        <v>22</v>
      </c>
      <c r="G2569" t="s">
        <v>23</v>
      </c>
      <c r="H2569" t="s">
        <v>37</v>
      </c>
      <c r="I2569" t="s">
        <v>25</v>
      </c>
      <c r="J2569" s="2">
        <v>45799.830358796287</v>
      </c>
      <c r="K2569">
        <v>22</v>
      </c>
      <c r="L2569">
        <v>5</v>
      </c>
      <c r="M2569">
        <v>2025</v>
      </c>
      <c r="N2569" t="s">
        <v>27</v>
      </c>
      <c r="O2569">
        <v>101.66</v>
      </c>
      <c r="P2569">
        <v>101.66</v>
      </c>
      <c r="R2569" s="3" t="str">
        <f>HYPERLINK("https://panda.att.com.mx/ODKServer/view/binaryData?blobKey=FSSuministroFluidosv3%5B%40version%3Dnull+and+%40uiVersion%3Dnull%5D%2Fdata%5B%40key%3Duuid%3A51c192b9-44a5-418d-97a4-30fe0524ac5b%5D%2FgroupInfoFuel%5B%40ordinal%3D1%5D%2FpicFuelRecibeInterno","Descargar")</f>
        <v>Descargar</v>
      </c>
    </row>
    <row r="2570" spans="1:18" x14ac:dyDescent="0.3">
      <c r="A2570">
        <v>1542124</v>
      </c>
      <c r="B2570" t="s">
        <v>18</v>
      </c>
      <c r="C2570" t="s">
        <v>68</v>
      </c>
      <c r="D2570" t="s">
        <v>78</v>
      </c>
      <c r="E2570" t="s">
        <v>2162</v>
      </c>
      <c r="F2570" t="s">
        <v>22</v>
      </c>
      <c r="G2570" t="s">
        <v>23</v>
      </c>
      <c r="H2570" t="s">
        <v>37</v>
      </c>
      <c r="I2570" t="s">
        <v>25</v>
      </c>
      <c r="J2570" s="2">
        <v>45799.928344907406</v>
      </c>
      <c r="K2570">
        <v>22</v>
      </c>
      <c r="L2570">
        <v>5</v>
      </c>
      <c r="M2570">
        <v>2025</v>
      </c>
      <c r="N2570" t="s">
        <v>44</v>
      </c>
      <c r="O2570">
        <v>40</v>
      </c>
      <c r="P2570">
        <v>40</v>
      </c>
      <c r="R2570" s="3" t="str">
        <f>HYPERLINK("https://panda.att.com.mx/ODKServer/view/binaryData?blobKey=FSSuministroFluidosv3%5B%40version%3Dnull+and+%40uiVersion%3Dnull%5D%2Fdata%5B%40key%3Duuid%3A799a18d6-bfd9-4541-ae23-2446f29ca509%5D%2FgroupInfoFuel%5B%40ordinal%3D1%5D%2FpicFuelRecibeInterno","Descargar")</f>
        <v>Descargar</v>
      </c>
    </row>
    <row r="2571" spans="1:18" x14ac:dyDescent="0.3">
      <c r="A2571">
        <v>1542123</v>
      </c>
      <c r="B2571" t="s">
        <v>18</v>
      </c>
      <c r="C2571" t="s">
        <v>55</v>
      </c>
      <c r="D2571" t="s">
        <v>56</v>
      </c>
      <c r="E2571" t="s">
        <v>2083</v>
      </c>
      <c r="F2571" t="s">
        <v>22</v>
      </c>
      <c r="G2571" t="s">
        <v>23</v>
      </c>
      <c r="H2571" t="s">
        <v>1763</v>
      </c>
      <c r="I2571" t="s">
        <v>25</v>
      </c>
      <c r="J2571" s="2">
        <v>45798.591423611113</v>
      </c>
      <c r="K2571">
        <v>21</v>
      </c>
      <c r="L2571">
        <v>5</v>
      </c>
      <c r="M2571">
        <v>2025</v>
      </c>
      <c r="N2571" t="s">
        <v>27</v>
      </c>
      <c r="O2571">
        <v>100</v>
      </c>
      <c r="P2571">
        <v>100</v>
      </c>
      <c r="R2571" s="3" t="str">
        <f>HYPERLINK("https://panda.att.com.mx/ODKServer/view/binaryData?blobKey=FSSuministroFluidosv3%5B%40version%3Dnull+and+%40uiVersion%3Dnull%5D%2Fdata%5B%40key%3Duuid%3A90cdf129-3155-4235-aad4-791e4d8ce455%5D%2FgroupInfoFuel%5B%40ordinal%3D1%5D%2FpicFuelRecibeInterno","Descargar")</f>
        <v>Descargar</v>
      </c>
    </row>
    <row r="2572" spans="1:18" x14ac:dyDescent="0.3">
      <c r="A2572">
        <v>1542122</v>
      </c>
      <c r="B2572" t="s">
        <v>18</v>
      </c>
      <c r="C2572" t="s">
        <v>34</v>
      </c>
      <c r="D2572" t="s">
        <v>53</v>
      </c>
      <c r="E2572" t="s">
        <v>2015</v>
      </c>
      <c r="F2572" t="s">
        <v>22</v>
      </c>
      <c r="G2572" t="s">
        <v>23</v>
      </c>
      <c r="H2572" t="s">
        <v>1763</v>
      </c>
      <c r="I2572" t="s">
        <v>25</v>
      </c>
      <c r="J2572" s="2">
        <v>45798.591932870368</v>
      </c>
      <c r="K2572">
        <v>21</v>
      </c>
      <c r="L2572">
        <v>5</v>
      </c>
      <c r="M2572">
        <v>2025</v>
      </c>
      <c r="N2572" t="s">
        <v>27</v>
      </c>
      <c r="O2572">
        <v>100</v>
      </c>
      <c r="P2572">
        <v>100</v>
      </c>
      <c r="R2572" s="3" t="str">
        <f>HYPERLINK("https://panda.att.com.mx/ODKServer/view/binaryData?blobKey=FSSuministroFluidosv3%5B%40version%3Dnull+and+%40uiVersion%3Dnull%5D%2Fdata%5B%40key%3Duuid%3Adbe8d986-a348-4cce-9b23-a5395a7c4295%5D%2FgroupInfoFuel%5B%40ordinal%3D1%5D%2FpicFuelRecibeInterno","Descargar")</f>
        <v>Descargar</v>
      </c>
    </row>
    <row r="2573" spans="1:18" x14ac:dyDescent="0.3">
      <c r="A2573">
        <v>1542112</v>
      </c>
      <c r="B2573" t="s">
        <v>18</v>
      </c>
      <c r="C2573" t="s">
        <v>68</v>
      </c>
      <c r="D2573" t="s">
        <v>132</v>
      </c>
      <c r="E2573" t="s">
        <v>2163</v>
      </c>
      <c r="F2573" t="s">
        <v>22</v>
      </c>
      <c r="G2573" t="s">
        <v>23</v>
      </c>
      <c r="H2573" t="s">
        <v>37</v>
      </c>
      <c r="I2573" t="s">
        <v>25</v>
      </c>
      <c r="J2573" s="2">
        <v>45799.84952546296</v>
      </c>
      <c r="K2573">
        <v>22</v>
      </c>
      <c r="L2573">
        <v>5</v>
      </c>
      <c r="M2573">
        <v>2025</v>
      </c>
      <c r="N2573" t="s">
        <v>27</v>
      </c>
      <c r="O2573">
        <v>100</v>
      </c>
      <c r="P2573">
        <v>100</v>
      </c>
      <c r="R2573" s="3" t="str">
        <f>HYPERLINK("https://panda.att.com.mx/ODKServer/view/binaryData?blobKey=FSSuministroFluidosv3%5B%40version%3Dnull+and+%40uiVersion%3Dnull%5D%2Fdata%5B%40key%3Duuid%3Aca2693cc-a704-4c6a-84fb-c7bd1d8b67f2%5D%2FgroupInfoFuel%5B%40ordinal%3D1%5D%2FpicFuelRecibeInterno","Descargar")</f>
        <v>Descargar</v>
      </c>
    </row>
    <row r="2574" spans="1:18" x14ac:dyDescent="0.3">
      <c r="A2574">
        <v>1542111</v>
      </c>
      <c r="B2574" t="s">
        <v>18</v>
      </c>
      <c r="C2574" t="s">
        <v>68</v>
      </c>
      <c r="D2574" t="s">
        <v>78</v>
      </c>
      <c r="E2574" t="s">
        <v>79</v>
      </c>
      <c r="F2574" t="s">
        <v>22</v>
      </c>
      <c r="G2574" t="s">
        <v>23</v>
      </c>
      <c r="H2574" t="s">
        <v>37</v>
      </c>
      <c r="I2574" t="s">
        <v>25</v>
      </c>
      <c r="J2574" s="2">
        <v>45799.751377314817</v>
      </c>
      <c r="K2574">
        <v>22</v>
      </c>
      <c r="L2574">
        <v>5</v>
      </c>
      <c r="M2574">
        <v>2025</v>
      </c>
      <c r="N2574" t="s">
        <v>44</v>
      </c>
      <c r="O2574">
        <v>25</v>
      </c>
      <c r="P2574">
        <v>25</v>
      </c>
      <c r="R2574" s="3" t="str">
        <f>HYPERLINK("https://panda.att.com.mx/ODKServer/view/binaryData?blobKey=FSSuministroFluidosv3%5B%40version%3Dnull+and+%40uiVersion%3Dnull%5D%2Fdata%5B%40key%3Duuid%3Ae20f00a9-d41d-4760-b02c-1f67751fe992%5D%2FgroupInfoFuel%5B%40ordinal%3D1%5D%2FpicFuelRecibeInterno","Descargar")</f>
        <v>Descargar</v>
      </c>
    </row>
    <row r="2575" spans="1:18" x14ac:dyDescent="0.3">
      <c r="A2575">
        <v>1542110</v>
      </c>
      <c r="B2575" t="s">
        <v>18</v>
      </c>
      <c r="C2575" t="s">
        <v>55</v>
      </c>
      <c r="D2575" t="s">
        <v>56</v>
      </c>
      <c r="E2575" t="s">
        <v>1555</v>
      </c>
      <c r="F2575" t="s">
        <v>22</v>
      </c>
      <c r="G2575" t="s">
        <v>23</v>
      </c>
      <c r="H2575" t="s">
        <v>1763</v>
      </c>
      <c r="I2575" t="s">
        <v>25</v>
      </c>
      <c r="J2575" s="2">
        <v>45798.592291666668</v>
      </c>
      <c r="K2575">
        <v>21</v>
      </c>
      <c r="L2575">
        <v>5</v>
      </c>
      <c r="M2575">
        <v>2025</v>
      </c>
      <c r="N2575" t="s">
        <v>27</v>
      </c>
      <c r="O2575">
        <v>100</v>
      </c>
      <c r="P2575">
        <v>100</v>
      </c>
      <c r="R2575" s="3" t="str">
        <f>HYPERLINK("https://panda.att.com.mx/ODKServer/view/binaryData?blobKey=FSSuministroFluidosv3%5B%40version%3Dnull+and+%40uiVersion%3Dnull%5D%2Fdata%5B%40key%3Duuid%3Af4ae08eb-e2ad-45c6-8d84-45b7c0cdb656%5D%2FgroupInfoFuel%5B%40ordinal%3D1%5D%2FpicFuelRecibeInterno","Descargar")</f>
        <v>Descargar</v>
      </c>
    </row>
    <row r="2576" spans="1:18" x14ac:dyDescent="0.3">
      <c r="A2576">
        <v>1542087</v>
      </c>
      <c r="B2576" t="s">
        <v>18</v>
      </c>
      <c r="C2576" t="s">
        <v>59</v>
      </c>
      <c r="D2576" t="s">
        <v>60</v>
      </c>
      <c r="E2576" t="s">
        <v>2164</v>
      </c>
      <c r="F2576" t="s">
        <v>22</v>
      </c>
      <c r="G2576" t="s">
        <v>23</v>
      </c>
      <c r="H2576" t="s">
        <v>37</v>
      </c>
      <c r="I2576" t="s">
        <v>25</v>
      </c>
      <c r="J2576" s="2">
        <v>45799.811168981483</v>
      </c>
      <c r="K2576">
        <v>22</v>
      </c>
      <c r="L2576">
        <v>5</v>
      </c>
      <c r="M2576">
        <v>2025</v>
      </c>
      <c r="N2576" t="s">
        <v>27</v>
      </c>
      <c r="O2576">
        <v>80</v>
      </c>
      <c r="P2576">
        <v>80</v>
      </c>
      <c r="R2576" s="3" t="str">
        <f>HYPERLINK("https://panda.att.com.mx/ODKServer/view/binaryData?blobKey=FSSuministroFluidosv3%5B%40version%3Dnull+and+%40uiVersion%3Dnull%5D%2Fdata%5B%40key%3Duuid%3A995e6a09-c21c-40b3-b301-b8661741885f%5D%2FgroupInfoFuel%5B%40ordinal%3D1%5D%2FpicFuelRecibeInterno","Descargar")</f>
        <v>Descargar</v>
      </c>
    </row>
    <row r="2577" spans="1:18" x14ac:dyDescent="0.3">
      <c r="A2577">
        <v>1543051</v>
      </c>
      <c r="B2577" t="s">
        <v>18</v>
      </c>
      <c r="C2577" t="s">
        <v>183</v>
      </c>
      <c r="D2577" t="s">
        <v>1720</v>
      </c>
      <c r="E2577" t="s">
        <v>1721</v>
      </c>
      <c r="F2577" t="s">
        <v>22</v>
      </c>
      <c r="G2577" t="s">
        <v>23</v>
      </c>
      <c r="H2577" t="s">
        <v>24</v>
      </c>
      <c r="I2577" t="s">
        <v>25</v>
      </c>
      <c r="J2577" s="2">
        <v>45801.38113425926</v>
      </c>
      <c r="K2577">
        <v>24</v>
      </c>
      <c r="L2577">
        <v>5</v>
      </c>
      <c r="M2577">
        <v>2025</v>
      </c>
      <c r="N2577" t="s">
        <v>44</v>
      </c>
      <c r="O2577">
        <v>55</v>
      </c>
      <c r="P2577">
        <v>55</v>
      </c>
      <c r="R2577" s="3" t="str">
        <f>HYPERLINK("https://panda.att.com.mx/ODKServer/view/binaryData?blobKey=FSSuministroFluidosv3%5B%40version%3Dnull+and+%40uiVersion%3Dnull%5D%2Fdata%5B%40key%3Duuid%3A74882795-6d20-43d4-8817-2933b89f410f%5D%2FgroupInfoFuel%5B%40ordinal%3D1%5D%2FpicFuelRecibeInterno","Descargar")</f>
        <v>Descargar</v>
      </c>
    </row>
    <row r="2578" spans="1:18" x14ac:dyDescent="0.3">
      <c r="A2578">
        <v>1543050</v>
      </c>
      <c r="B2578" t="s">
        <v>18</v>
      </c>
      <c r="C2578" t="s">
        <v>19</v>
      </c>
      <c r="D2578" t="s">
        <v>42</v>
      </c>
      <c r="E2578" t="s">
        <v>733</v>
      </c>
      <c r="F2578" t="s">
        <v>22</v>
      </c>
      <c r="G2578" t="s">
        <v>23</v>
      </c>
      <c r="H2578" t="s">
        <v>24</v>
      </c>
      <c r="I2578" t="s">
        <v>25</v>
      </c>
      <c r="J2578" s="2">
        <v>45800.996249999997</v>
      </c>
      <c r="K2578">
        <v>23</v>
      </c>
      <c r="L2578">
        <v>5</v>
      </c>
      <c r="M2578">
        <v>2025</v>
      </c>
      <c r="N2578" t="s">
        <v>44</v>
      </c>
      <c r="O2578">
        <v>50</v>
      </c>
      <c r="P2578">
        <v>50</v>
      </c>
      <c r="R2578" s="3" t="str">
        <f>HYPERLINK("https://panda.att.com.mx/ODKServer/view/binaryData?blobKey=FSSuministroFluidosv3%5B%40version%3Dnull+and+%40uiVersion%3Dnull%5D%2Fdata%5B%40key%3Duuid%3Aed80c756-485e-4a69-bf0a-a93716f895e5%5D%2FgroupInfoFuel%5B%40ordinal%3D1%5D%2FpicFuelRecibeInterno","Descargar")</f>
        <v>Descargar</v>
      </c>
    </row>
    <row r="2579" spans="1:18" x14ac:dyDescent="0.3">
      <c r="A2579">
        <v>1543049</v>
      </c>
      <c r="B2579" t="s">
        <v>18</v>
      </c>
      <c r="C2579" t="s">
        <v>28</v>
      </c>
      <c r="D2579" t="s">
        <v>315</v>
      </c>
      <c r="E2579" t="s">
        <v>2165</v>
      </c>
      <c r="F2579" t="s">
        <v>22</v>
      </c>
      <c r="G2579" t="s">
        <v>23</v>
      </c>
      <c r="H2579" t="s">
        <v>24</v>
      </c>
      <c r="I2579" t="s">
        <v>25</v>
      </c>
      <c r="J2579" s="2">
        <v>45799.73940972222</v>
      </c>
      <c r="K2579">
        <v>22</v>
      </c>
      <c r="L2579">
        <v>5</v>
      </c>
      <c r="M2579">
        <v>2025</v>
      </c>
      <c r="N2579" t="s">
        <v>44</v>
      </c>
      <c r="O2579">
        <v>30</v>
      </c>
      <c r="P2579">
        <v>30</v>
      </c>
      <c r="R2579" s="3" t="str">
        <f>HYPERLINK("https://panda.att.com.mx/ODKServer/view/binaryData?blobKey=FSSuministroFluidosv3%5B%40version%3Dnull+and+%40uiVersion%3Dnull%5D%2Fdata%5B%40key%3Duuid%3A33d667b3-2a7d-4712-a09c-6111f735b84a%5D%2FgroupInfoFuel%5B%40ordinal%3D1%5D%2FpicFuelRecibeInterno","Descargar")</f>
        <v>Descargar</v>
      </c>
    </row>
    <row r="2580" spans="1:18" x14ac:dyDescent="0.3">
      <c r="A2580">
        <v>1543048</v>
      </c>
      <c r="B2580" t="s">
        <v>18</v>
      </c>
      <c r="C2580" t="s">
        <v>19</v>
      </c>
      <c r="D2580" t="s">
        <v>42</v>
      </c>
      <c r="E2580" t="s">
        <v>2133</v>
      </c>
      <c r="F2580" t="s">
        <v>22</v>
      </c>
      <c r="G2580" t="s">
        <v>23</v>
      </c>
      <c r="H2580" t="s">
        <v>24</v>
      </c>
      <c r="I2580" t="s">
        <v>25</v>
      </c>
      <c r="J2580" s="2">
        <v>45800.841365740736</v>
      </c>
      <c r="K2580">
        <v>23</v>
      </c>
      <c r="L2580">
        <v>5</v>
      </c>
      <c r="M2580">
        <v>2025</v>
      </c>
      <c r="N2580" t="s">
        <v>44</v>
      </c>
      <c r="O2580">
        <v>50</v>
      </c>
      <c r="P2580">
        <v>50</v>
      </c>
      <c r="R2580" s="3" t="str">
        <f>HYPERLINK("https://panda.att.com.mx/ODKServer/view/binaryData?blobKey=FSSuministroFluidosv3%5B%40version%3Dnull+and+%40uiVersion%3Dnull%5D%2Fdata%5B%40key%3Duuid%3A740c93ea-d6cf-4424-b5fe-4b1e685e81bd%5D%2FgroupInfoFuel%5B%40ordinal%3D1%5D%2FpicFuelRecibeInterno","Descargar")</f>
        <v>Descargar</v>
      </c>
    </row>
    <row r="2581" spans="1:18" x14ac:dyDescent="0.3">
      <c r="A2581">
        <v>1542994</v>
      </c>
      <c r="B2581" t="s">
        <v>18</v>
      </c>
      <c r="C2581" t="s">
        <v>19</v>
      </c>
      <c r="D2581" t="s">
        <v>45</v>
      </c>
      <c r="E2581" t="s">
        <v>752</v>
      </c>
      <c r="F2581" t="s">
        <v>22</v>
      </c>
      <c r="G2581" t="s">
        <v>23</v>
      </c>
      <c r="H2581" t="s">
        <v>24</v>
      </c>
      <c r="I2581" t="s">
        <v>25</v>
      </c>
      <c r="J2581" s="2">
        <v>45801.339606481481</v>
      </c>
      <c r="K2581">
        <v>24</v>
      </c>
      <c r="L2581">
        <v>5</v>
      </c>
      <c r="M2581">
        <v>2025</v>
      </c>
      <c r="N2581" t="s">
        <v>27</v>
      </c>
      <c r="O2581">
        <v>300</v>
      </c>
      <c r="P2581">
        <v>300</v>
      </c>
      <c r="R2581" s="3" t="str">
        <f>HYPERLINK("https://panda.att.com.mx/ODKServer/view/binaryData?blobKey=FSSuministroFluidosv3%5B%40version%3Dnull+and+%40uiVersion%3Dnull%5D%2Fdata%5B%40key%3Duuid%3A020388f2-5b42-40f5-958a-5800b973ca71%5D%2FgroupInfoFuel%5B%40ordinal%3D1%5D%2FpicFuelRecibeInterno","Descargar")</f>
        <v>Descargar</v>
      </c>
    </row>
    <row r="2582" spans="1:18" x14ac:dyDescent="0.3">
      <c r="A2582">
        <v>1542967</v>
      </c>
      <c r="B2582" t="s">
        <v>18</v>
      </c>
      <c r="C2582" t="s">
        <v>68</v>
      </c>
      <c r="D2582" t="s">
        <v>116</v>
      </c>
      <c r="E2582" t="s">
        <v>809</v>
      </c>
      <c r="F2582" t="s">
        <v>22</v>
      </c>
      <c r="G2582" t="s">
        <v>23</v>
      </c>
      <c r="H2582" t="s">
        <v>37</v>
      </c>
      <c r="I2582" t="s">
        <v>25</v>
      </c>
      <c r="J2582" s="2">
        <v>45800.51122685185</v>
      </c>
      <c r="K2582">
        <v>23</v>
      </c>
      <c r="L2582">
        <v>5</v>
      </c>
      <c r="M2582">
        <v>2025</v>
      </c>
      <c r="N2582" t="s">
        <v>27</v>
      </c>
      <c r="O2582">
        <v>80</v>
      </c>
      <c r="P2582">
        <v>80</v>
      </c>
      <c r="R2582" s="3" t="str">
        <f>HYPERLINK("https://panda.att.com.mx/ODKServer/view/binaryData?blobKey=FSSuministroFluidosv3%5B%40version%3Dnull+and+%40uiVersion%3Dnull%5D%2Fdata%5B%40key%3Duuid%3Abbcd511a-21a9-418d-ba7d-defa2763d55c%5D%2FgroupInfoFuel%5B%40ordinal%3D1%5D%2FpicFuelRecibeInterno","Descargar")</f>
        <v>Descargar</v>
      </c>
    </row>
    <row r="2583" spans="1:18" x14ac:dyDescent="0.3">
      <c r="A2583">
        <v>1542926</v>
      </c>
      <c r="B2583" t="s">
        <v>18</v>
      </c>
      <c r="C2583" t="s">
        <v>68</v>
      </c>
      <c r="D2583" t="s">
        <v>69</v>
      </c>
      <c r="E2583" t="s">
        <v>2166</v>
      </c>
      <c r="F2583" t="s">
        <v>22</v>
      </c>
      <c r="G2583" t="s">
        <v>83</v>
      </c>
      <c r="H2583" t="s">
        <v>37</v>
      </c>
      <c r="I2583" t="s">
        <v>25</v>
      </c>
      <c r="J2583" s="2">
        <v>45800.561631944453</v>
      </c>
      <c r="K2583">
        <v>23</v>
      </c>
      <c r="L2583">
        <v>5</v>
      </c>
      <c r="M2583">
        <v>2025</v>
      </c>
      <c r="N2583" t="s">
        <v>27</v>
      </c>
      <c r="O2583">
        <v>150</v>
      </c>
      <c r="Q2583">
        <v>150</v>
      </c>
      <c r="R2583" s="3" t="str">
        <f>HYPERLINK("https://panda.att.com.mx/ODKServer/view/binaryData?blobKey=FSSuministroFluidosv3%5B%40version%3Dnull+and+%40uiVersion%3Dnull%5D%2Fdata%5B%40key%3Duuid%3A8ae4073a-2fed-4c9b-8ab7-a19ead19c5f6%5D%2FgroupInfoFuel%5B%40ordinal%3D1%5D%2FpicFuelRecibeInterno","Descargar")</f>
        <v>Descargar</v>
      </c>
    </row>
    <row r="2584" spans="1:18" x14ac:dyDescent="0.3">
      <c r="A2584">
        <v>1542887</v>
      </c>
      <c r="B2584" t="s">
        <v>18</v>
      </c>
      <c r="C2584" t="s">
        <v>150</v>
      </c>
      <c r="D2584" t="s">
        <v>230</v>
      </c>
      <c r="E2584" t="s">
        <v>1510</v>
      </c>
      <c r="F2584" t="s">
        <v>22</v>
      </c>
      <c r="G2584" t="s">
        <v>23</v>
      </c>
      <c r="H2584" t="s">
        <v>1781</v>
      </c>
      <c r="I2584" t="s">
        <v>25</v>
      </c>
      <c r="J2584" s="2">
        <v>45801.355763888889</v>
      </c>
      <c r="K2584">
        <v>24</v>
      </c>
      <c r="L2584">
        <v>5</v>
      </c>
      <c r="M2584">
        <v>2025</v>
      </c>
      <c r="N2584" t="s">
        <v>27</v>
      </c>
      <c r="O2584">
        <v>300.02</v>
      </c>
      <c r="P2584">
        <v>300.02</v>
      </c>
      <c r="R2584" s="3" t="str">
        <f>HYPERLINK("https://panda.att.com.mx/ODKServer/view/binaryData?blobKey=FSSuministroFluidosv3%5B%40version%3Dnull+and+%40uiVersion%3Dnull%5D%2Fdata%5B%40key%3Duuid%3A211a1bf4-5178-4b60-9a9e-f07cd8830017%5D%2FgroupInfoFuel%5B%40ordinal%3D1%5D%2FpicFuelRecibeInterno","Descargar")</f>
        <v>Descargar</v>
      </c>
    </row>
    <row r="2585" spans="1:18" x14ac:dyDescent="0.3">
      <c r="A2585">
        <v>1542879</v>
      </c>
      <c r="B2585" t="s">
        <v>18</v>
      </c>
      <c r="C2585" t="s">
        <v>55</v>
      </c>
      <c r="D2585" t="s">
        <v>56</v>
      </c>
      <c r="E2585" t="s">
        <v>2167</v>
      </c>
      <c r="F2585" t="s">
        <v>22</v>
      </c>
      <c r="G2585" t="s">
        <v>23</v>
      </c>
      <c r="H2585" t="s">
        <v>1763</v>
      </c>
      <c r="I2585" t="s">
        <v>25</v>
      </c>
      <c r="J2585" s="2">
        <v>45800.626944444448</v>
      </c>
      <c r="K2585">
        <v>23</v>
      </c>
      <c r="L2585">
        <v>5</v>
      </c>
      <c r="M2585">
        <v>2025</v>
      </c>
      <c r="N2585" t="s">
        <v>27</v>
      </c>
      <c r="O2585">
        <v>60</v>
      </c>
      <c r="P2585">
        <v>60</v>
      </c>
      <c r="R2585" s="3" t="str">
        <f>HYPERLINK("https://panda.att.com.mx/ODKServer/view/binaryData?blobKey=FSSuministroFluidosv3%5B%40version%3Dnull+and+%40uiVersion%3Dnull%5D%2Fdata%5B%40key%3Duuid%3A43903ee3-cae4-4d35-bc8d-63aa6c2e97d3%5D%2FgroupInfoFuel%5B%40ordinal%3D1%5D%2FpicFuelRecibeInterno","Descargar")</f>
        <v>Descargar</v>
      </c>
    </row>
    <row r="2586" spans="1:18" x14ac:dyDescent="0.3">
      <c r="A2586">
        <v>1542857</v>
      </c>
      <c r="B2586" t="s">
        <v>18</v>
      </c>
      <c r="C2586" t="s">
        <v>19</v>
      </c>
      <c r="D2586" t="s">
        <v>45</v>
      </c>
      <c r="E2586" t="s">
        <v>2168</v>
      </c>
      <c r="F2586" t="s">
        <v>22</v>
      </c>
      <c r="G2586" t="s">
        <v>23</v>
      </c>
      <c r="H2586" t="s">
        <v>24</v>
      </c>
      <c r="I2586" t="s">
        <v>25</v>
      </c>
      <c r="J2586" s="2">
        <v>45800.682071759264</v>
      </c>
      <c r="K2586">
        <v>23</v>
      </c>
      <c r="L2586">
        <v>5</v>
      </c>
      <c r="M2586">
        <v>2025</v>
      </c>
      <c r="N2586" t="s">
        <v>27</v>
      </c>
      <c r="O2586">
        <v>300</v>
      </c>
      <c r="P2586">
        <v>300</v>
      </c>
      <c r="R2586" s="3" t="str">
        <f>HYPERLINK("https://panda.att.com.mx/ODKServer/view/binaryData?blobKey=FSSuministroFluidosv3%5B%40version%3Dnull+and+%40uiVersion%3Dnull%5D%2Fdata%5B%40key%3Duuid%3A85c60718-51df-45c1-8e03-b20334d7bfae%5D%2FgroupInfoFuel%5B%40ordinal%3D1%5D%2FpicFuelRecibeInterno","Descargar")</f>
        <v>Descargar</v>
      </c>
    </row>
    <row r="2587" spans="1:18" x14ac:dyDescent="0.3">
      <c r="A2587">
        <v>1542856</v>
      </c>
      <c r="B2587" t="s">
        <v>18</v>
      </c>
      <c r="C2587" t="s">
        <v>19</v>
      </c>
      <c r="D2587" t="s">
        <v>45</v>
      </c>
      <c r="E2587" t="s">
        <v>2028</v>
      </c>
      <c r="F2587" t="s">
        <v>22</v>
      </c>
      <c r="G2587" t="s">
        <v>23</v>
      </c>
      <c r="H2587" t="s">
        <v>24</v>
      </c>
      <c r="I2587" t="s">
        <v>25</v>
      </c>
      <c r="J2587" s="2">
        <v>45800.363171296303</v>
      </c>
      <c r="K2587">
        <v>23</v>
      </c>
      <c r="L2587">
        <v>5</v>
      </c>
      <c r="M2587">
        <v>2025</v>
      </c>
      <c r="N2587" t="s">
        <v>27</v>
      </c>
      <c r="O2587">
        <v>300</v>
      </c>
      <c r="P2587">
        <v>300</v>
      </c>
      <c r="R2587" s="3" t="str">
        <f>HYPERLINK("https://panda.att.com.mx/ODKServer/view/binaryData?blobKey=FSSuministroFluidosv3%5B%40version%3Dnull+and+%40uiVersion%3Dnull%5D%2Fdata%5B%40key%3Duuid%3Aea784e35-8a8c-4b9a-8e8b-868d4614945d%5D%2FgroupInfoFuel%5B%40ordinal%3D1%5D%2FpicFuelRecibeInterno","Descargar")</f>
        <v>Descargar</v>
      </c>
    </row>
    <row r="2588" spans="1:18" x14ac:dyDescent="0.3">
      <c r="A2588">
        <v>1542838</v>
      </c>
      <c r="B2588" t="s">
        <v>18</v>
      </c>
      <c r="C2588" t="s">
        <v>34</v>
      </c>
      <c r="D2588" t="s">
        <v>292</v>
      </c>
      <c r="E2588" t="s">
        <v>2080</v>
      </c>
      <c r="F2588" t="s">
        <v>22</v>
      </c>
      <c r="G2588" t="s">
        <v>23</v>
      </c>
      <c r="H2588" t="s">
        <v>37</v>
      </c>
      <c r="I2588" t="s">
        <v>25</v>
      </c>
      <c r="J2588" s="2">
        <v>45800.972696759258</v>
      </c>
      <c r="K2588">
        <v>23</v>
      </c>
      <c r="L2588">
        <v>5</v>
      </c>
      <c r="M2588">
        <v>2025</v>
      </c>
      <c r="N2588" t="s">
        <v>27</v>
      </c>
      <c r="O2588">
        <v>150</v>
      </c>
      <c r="P2588">
        <v>150</v>
      </c>
      <c r="R2588" s="3" t="str">
        <f>HYPERLINK("https://panda.att.com.mx/ODKServer/view/binaryData?blobKey=FSSuministroFluidosv3%5B%40version%3Dnull+and+%40uiVersion%3Dnull%5D%2Fdata%5B%40key%3Duuid%3A11f330cb-8f11-484a-89a7-880c5d5be0a7%5D%2FgroupInfoFuel%5B%40ordinal%3D1%5D%2FpicFuelRecibeInterno","Descargar")</f>
        <v>Descargar</v>
      </c>
    </row>
    <row r="2589" spans="1:18" x14ac:dyDescent="0.3">
      <c r="A2589">
        <v>1542825</v>
      </c>
      <c r="B2589" t="s">
        <v>18</v>
      </c>
      <c r="C2589" t="s">
        <v>59</v>
      </c>
      <c r="D2589" t="s">
        <v>60</v>
      </c>
      <c r="E2589" t="s">
        <v>2169</v>
      </c>
      <c r="F2589" t="s">
        <v>22</v>
      </c>
      <c r="G2589" t="s">
        <v>23</v>
      </c>
      <c r="H2589" t="s">
        <v>37</v>
      </c>
      <c r="I2589" t="s">
        <v>25</v>
      </c>
      <c r="J2589" s="2">
        <v>45799.87431712963</v>
      </c>
      <c r="K2589">
        <v>22</v>
      </c>
      <c r="L2589">
        <v>5</v>
      </c>
      <c r="M2589">
        <v>2025</v>
      </c>
      <c r="N2589" t="s">
        <v>27</v>
      </c>
      <c r="O2589">
        <v>60</v>
      </c>
      <c r="P2589">
        <v>60</v>
      </c>
      <c r="R2589" s="3" t="str">
        <f>HYPERLINK("https://panda.att.com.mx/ODKServer/view/binaryData?blobKey=FSSuministroFluidosv3%5B%40version%3Dnull+and+%40uiVersion%3Dnull%5D%2Fdata%5B%40key%3Duuid%3A21c08895-bc6c-4035-8ed7-1f944b98b1c5%5D%2FgroupInfoFuel%5B%40ordinal%3D1%5D%2FpicFuelRecibeInterno","Descargar")</f>
        <v>Descargar</v>
      </c>
    </row>
    <row r="2590" spans="1:18" x14ac:dyDescent="0.3">
      <c r="A2590">
        <v>1542823</v>
      </c>
      <c r="B2590" t="s">
        <v>18</v>
      </c>
      <c r="C2590" t="s">
        <v>34</v>
      </c>
      <c r="D2590" t="s">
        <v>53</v>
      </c>
      <c r="E2590" t="s">
        <v>2068</v>
      </c>
      <c r="F2590" t="s">
        <v>22</v>
      </c>
      <c r="G2590" t="s">
        <v>83</v>
      </c>
      <c r="H2590" t="s">
        <v>37</v>
      </c>
      <c r="I2590" t="s">
        <v>25</v>
      </c>
      <c r="J2590" s="2">
        <v>45800.804583333331</v>
      </c>
      <c r="K2590">
        <v>23</v>
      </c>
      <c r="L2590">
        <v>5</v>
      </c>
      <c r="M2590">
        <v>2025</v>
      </c>
      <c r="N2590" t="s">
        <v>27</v>
      </c>
      <c r="O2590">
        <v>250</v>
      </c>
      <c r="P2590">
        <v>250</v>
      </c>
      <c r="R2590" s="3" t="str">
        <f>HYPERLINK("https://panda.att.com.mx/ODKServer/view/binaryData?blobKey=FSSuministroFluidosv3%5B%40version%3Dnull+and+%40uiVersion%3Dnull%5D%2Fdata%5B%40key%3Duuid%3A79a06fec-8fa9-424c-adfe-ac9e368b30a0%5D%2FgroupInfoFuel%5B%40ordinal%3D1%5D%2FpicFuelRecibeInterno","Descargar")</f>
        <v>Descargar</v>
      </c>
    </row>
    <row r="2591" spans="1:18" x14ac:dyDescent="0.3">
      <c r="A2591">
        <v>1542822</v>
      </c>
      <c r="B2591" t="s">
        <v>18</v>
      </c>
      <c r="C2591" t="s">
        <v>34</v>
      </c>
      <c r="D2591" t="s">
        <v>53</v>
      </c>
      <c r="E2591" t="s">
        <v>2170</v>
      </c>
      <c r="F2591" t="s">
        <v>22</v>
      </c>
      <c r="G2591" t="s">
        <v>83</v>
      </c>
      <c r="H2591" t="s">
        <v>37</v>
      </c>
      <c r="I2591" t="s">
        <v>25</v>
      </c>
      <c r="J2591" s="2">
        <v>45800.799270833333</v>
      </c>
      <c r="K2591">
        <v>23</v>
      </c>
      <c r="L2591">
        <v>5</v>
      </c>
      <c r="M2591">
        <v>2025</v>
      </c>
      <c r="N2591" t="s">
        <v>27</v>
      </c>
      <c r="O2591">
        <v>50</v>
      </c>
      <c r="P2591">
        <v>50</v>
      </c>
      <c r="R2591" s="3" t="str">
        <f>HYPERLINK("https://panda.att.com.mx/ODKServer/view/binaryData?blobKey=FSSuministroFluidosv3%5B%40version%3Dnull+and+%40uiVersion%3Dnull%5D%2Fdata%5B%40key%3Duuid%3A7b4d603b-3937-461d-9547-b5c68dda2b55%5D%2FgroupInfoFuel%5B%40ordinal%3D1%5D%2FpicFuelRecibeInterno","Descargar")</f>
        <v>Descargar</v>
      </c>
    </row>
    <row r="2592" spans="1:18" x14ac:dyDescent="0.3">
      <c r="A2592">
        <v>1542816</v>
      </c>
      <c r="B2592" t="s">
        <v>18</v>
      </c>
      <c r="C2592" t="s">
        <v>34</v>
      </c>
      <c r="D2592" t="s">
        <v>53</v>
      </c>
      <c r="E2592" t="s">
        <v>144</v>
      </c>
      <c r="F2592" t="s">
        <v>22</v>
      </c>
      <c r="G2592" t="s">
        <v>23</v>
      </c>
      <c r="H2592" t="s">
        <v>37</v>
      </c>
      <c r="I2592" t="s">
        <v>25</v>
      </c>
      <c r="J2592" s="2">
        <v>45800.793553240743</v>
      </c>
      <c r="K2592">
        <v>23</v>
      </c>
      <c r="L2592">
        <v>5</v>
      </c>
      <c r="M2592">
        <v>2025</v>
      </c>
      <c r="N2592" t="s">
        <v>27</v>
      </c>
      <c r="O2592">
        <v>350</v>
      </c>
      <c r="P2592">
        <v>350</v>
      </c>
      <c r="R2592" s="3" t="str">
        <f>HYPERLINK("https://panda.att.com.mx/ODKServer/view/binaryData?blobKey=FSSuministroFluidosv3%5B%40version%3Dnull+and+%40uiVersion%3Dnull%5D%2Fdata%5B%40key%3Duuid%3A47858c22-10f0-4828-95a3-6ed96131cb9b%5D%2FgroupInfoFuel%5B%40ordinal%3D1%5D%2FpicFuelRecibeInterno","Descargar")</f>
        <v>Descargar</v>
      </c>
    </row>
    <row r="2593" spans="1:18" x14ac:dyDescent="0.3">
      <c r="A2593">
        <v>1542815</v>
      </c>
      <c r="B2593" t="s">
        <v>18</v>
      </c>
      <c r="C2593" t="s">
        <v>55</v>
      </c>
      <c r="D2593" t="s">
        <v>2129</v>
      </c>
      <c r="E2593" t="s">
        <v>2150</v>
      </c>
      <c r="F2593" t="s">
        <v>22</v>
      </c>
      <c r="G2593" t="s">
        <v>23</v>
      </c>
      <c r="H2593" t="s">
        <v>1763</v>
      </c>
      <c r="I2593" t="s">
        <v>25</v>
      </c>
      <c r="J2593" s="2">
        <v>45800.636064814818</v>
      </c>
      <c r="K2593">
        <v>23</v>
      </c>
      <c r="L2593">
        <v>5</v>
      </c>
      <c r="M2593">
        <v>2025</v>
      </c>
      <c r="N2593" t="s">
        <v>27</v>
      </c>
      <c r="O2593">
        <v>100</v>
      </c>
      <c r="P2593">
        <v>100</v>
      </c>
      <c r="R2593" s="3" t="str">
        <f>HYPERLINK("https://panda.att.com.mx/ODKServer/view/binaryData?blobKey=FSSuministroFluidosv3%5B%40version%3Dnull+and+%40uiVersion%3Dnull%5D%2Fdata%5B%40key%3Duuid%3Aee927d5b-d006-4c68-a3f6-29b122dba03c%5D%2FgroupInfoFuel%5B%40ordinal%3D1%5D%2FpicFuelRecibeInterno","Descargar")</f>
        <v>Descargar</v>
      </c>
    </row>
    <row r="2594" spans="1:18" x14ac:dyDescent="0.3">
      <c r="A2594">
        <v>1542809</v>
      </c>
      <c r="B2594" t="s">
        <v>18</v>
      </c>
      <c r="C2594" t="s">
        <v>68</v>
      </c>
      <c r="D2594" t="s">
        <v>132</v>
      </c>
      <c r="E2594" t="s">
        <v>522</v>
      </c>
      <c r="F2594" t="s">
        <v>22</v>
      </c>
      <c r="G2594" t="s">
        <v>23</v>
      </c>
      <c r="H2594" t="s">
        <v>37</v>
      </c>
      <c r="I2594" t="s">
        <v>25</v>
      </c>
      <c r="J2594" s="2">
        <v>45800.900335648148</v>
      </c>
      <c r="K2594">
        <v>23</v>
      </c>
      <c r="L2594">
        <v>5</v>
      </c>
      <c r="M2594">
        <v>2025</v>
      </c>
      <c r="N2594" t="s">
        <v>44</v>
      </c>
      <c r="O2594">
        <v>80</v>
      </c>
      <c r="P2594">
        <v>80</v>
      </c>
      <c r="R2594" s="3" t="str">
        <f>HYPERLINK("https://panda.att.com.mx/ODKServer/view/binaryData?blobKey=FSSuministroFluidosv3%5B%40version%3Dnull+and+%40uiVersion%3Dnull%5D%2Fdata%5B%40key%3Duuid%3A9964690f-a470-4b06-8a9d-923d745f0b96%5D%2FgroupInfoFuel%5B%40ordinal%3D1%5D%2FpicFuelRecibeInterno","Descargar")</f>
        <v>Descargar</v>
      </c>
    </row>
    <row r="2595" spans="1:18" x14ac:dyDescent="0.3">
      <c r="A2595">
        <v>1542797</v>
      </c>
      <c r="B2595" t="s">
        <v>18</v>
      </c>
      <c r="C2595" t="s">
        <v>68</v>
      </c>
      <c r="D2595" t="s">
        <v>132</v>
      </c>
      <c r="E2595" t="s">
        <v>2048</v>
      </c>
      <c r="F2595" t="s">
        <v>22</v>
      </c>
      <c r="G2595" t="s">
        <v>23</v>
      </c>
      <c r="H2595" t="s">
        <v>37</v>
      </c>
      <c r="I2595" t="s">
        <v>25</v>
      </c>
      <c r="J2595" s="2">
        <v>45800.881365740737</v>
      </c>
      <c r="K2595">
        <v>23</v>
      </c>
      <c r="L2595">
        <v>5</v>
      </c>
      <c r="M2595">
        <v>2025</v>
      </c>
      <c r="N2595" t="s">
        <v>27</v>
      </c>
      <c r="O2595">
        <v>150</v>
      </c>
      <c r="P2595">
        <v>150</v>
      </c>
      <c r="R2595" s="3" t="str">
        <f>HYPERLINK("https://panda.att.com.mx/ODKServer/view/binaryData?blobKey=FSSuministroFluidosv3%5B%40version%3Dnull+and+%40uiVersion%3Dnull%5D%2Fdata%5B%40key%3Duuid%3A6a64f343-700c-463a-9d55-9cea15773978%5D%2FgroupInfoFuel%5B%40ordinal%3D1%5D%2FpicFuelRecibeInterno","Descargar")</f>
        <v>Descargar</v>
      </c>
    </row>
    <row r="2596" spans="1:18" x14ac:dyDescent="0.3">
      <c r="A2596">
        <v>1542778</v>
      </c>
      <c r="B2596" t="s">
        <v>18</v>
      </c>
      <c r="C2596" t="s">
        <v>19</v>
      </c>
      <c r="D2596" t="s">
        <v>198</v>
      </c>
      <c r="E2596" t="s">
        <v>199</v>
      </c>
      <c r="F2596" t="s">
        <v>22</v>
      </c>
      <c r="G2596" t="s">
        <v>23</v>
      </c>
      <c r="H2596" t="s">
        <v>24</v>
      </c>
      <c r="I2596" t="s">
        <v>25</v>
      </c>
      <c r="J2596" s="2">
        <v>45799.839745370373</v>
      </c>
      <c r="K2596">
        <v>22</v>
      </c>
      <c r="L2596">
        <v>5</v>
      </c>
      <c r="M2596">
        <v>2025</v>
      </c>
      <c r="N2596" t="s">
        <v>27</v>
      </c>
      <c r="O2596">
        <v>50</v>
      </c>
      <c r="P2596">
        <v>50</v>
      </c>
      <c r="R2596" s="3" t="str">
        <f>HYPERLINK("https://panda.att.com.mx/ODKServer/view/binaryData?blobKey=FSSuministroFluidosv3%5B%40version%3Dnull+and+%40uiVersion%3Dnull%5D%2Fdata%5B%40key%3Duuid%3A808e303c-ff0a-4116-a1cb-b465204132f5%5D%2FgroupInfoFuel%5B%40ordinal%3D1%5D%2FpicFuelRecibeInterno","Descargar")</f>
        <v>Descargar</v>
      </c>
    </row>
    <row r="2597" spans="1:18" x14ac:dyDescent="0.3">
      <c r="A2597">
        <v>1542777</v>
      </c>
      <c r="B2597" t="s">
        <v>18</v>
      </c>
      <c r="C2597" t="s">
        <v>68</v>
      </c>
      <c r="D2597" t="s">
        <v>91</v>
      </c>
      <c r="E2597" t="s">
        <v>2171</v>
      </c>
      <c r="F2597" t="s">
        <v>22</v>
      </c>
      <c r="G2597" t="s">
        <v>23</v>
      </c>
      <c r="H2597" t="s">
        <v>37</v>
      </c>
      <c r="I2597" t="s">
        <v>25</v>
      </c>
      <c r="J2597" s="2">
        <v>45800.83357638889</v>
      </c>
      <c r="K2597">
        <v>23</v>
      </c>
      <c r="L2597">
        <v>5</v>
      </c>
      <c r="M2597">
        <v>2025</v>
      </c>
      <c r="N2597" t="s">
        <v>27</v>
      </c>
      <c r="O2597">
        <v>400</v>
      </c>
      <c r="P2597">
        <v>400</v>
      </c>
      <c r="R2597" s="3" t="str">
        <f>HYPERLINK("https://panda.att.com.mx/ODKServer/view/binaryData?blobKey=FSSuministroFluidosv3%5B%40version%3Dnull+and+%40uiVersion%3Dnull%5D%2Fdata%5B%40key%3Duuid%3A73a893f8-cb13-4ddf-9e2d-377f737e3b00%5D%2FgroupInfoFuel%5B%40ordinal%3D1%5D%2FpicFuelRecibeInterno","Descargar")</f>
        <v>Descargar</v>
      </c>
    </row>
    <row r="2598" spans="1:18" x14ac:dyDescent="0.3">
      <c r="A2598">
        <v>1542678</v>
      </c>
      <c r="B2598" t="s">
        <v>18</v>
      </c>
      <c r="C2598" t="s">
        <v>167</v>
      </c>
      <c r="D2598" t="s">
        <v>268</v>
      </c>
      <c r="E2598" t="s">
        <v>2121</v>
      </c>
      <c r="F2598" t="s">
        <v>22</v>
      </c>
      <c r="G2598" t="s">
        <v>83</v>
      </c>
      <c r="H2598" t="s">
        <v>58</v>
      </c>
      <c r="I2598" t="s">
        <v>25</v>
      </c>
      <c r="J2598" s="2">
        <v>45798.629791666674</v>
      </c>
      <c r="K2598">
        <v>21</v>
      </c>
      <c r="L2598">
        <v>5</v>
      </c>
      <c r="M2598">
        <v>2025</v>
      </c>
      <c r="N2598" t="s">
        <v>27</v>
      </c>
      <c r="O2598">
        <v>250</v>
      </c>
      <c r="P2598">
        <v>250</v>
      </c>
      <c r="R2598" s="3" t="str">
        <f>HYPERLINK("https://panda.att.com.mx/ODKServer/view/binaryData?blobKey=FSSuministroFluidosv3%5B%40version%3Dnull+and+%40uiVersion%3Dnull%5D%2Fdata%5B%40key%3Duuid%3Acbccff02-c622-434f-b455-f1ca5874669b%5D%2FgroupInfoFuel%5B%40ordinal%3D1%5D%2FpicFuelRecibeInterno","Descargar")</f>
        <v>Descargar</v>
      </c>
    </row>
    <row r="2599" spans="1:18" x14ac:dyDescent="0.3">
      <c r="A2599">
        <v>1542651</v>
      </c>
      <c r="B2599" t="s">
        <v>18</v>
      </c>
      <c r="C2599" t="s">
        <v>55</v>
      </c>
      <c r="D2599" t="s">
        <v>366</v>
      </c>
      <c r="E2599" t="s">
        <v>1531</v>
      </c>
      <c r="F2599" t="s">
        <v>22</v>
      </c>
      <c r="G2599" t="s">
        <v>23</v>
      </c>
      <c r="H2599" t="s">
        <v>1781</v>
      </c>
      <c r="I2599" t="s">
        <v>25</v>
      </c>
      <c r="J2599" s="2">
        <v>45800.700960648152</v>
      </c>
      <c r="K2599">
        <v>23</v>
      </c>
      <c r="L2599">
        <v>5</v>
      </c>
      <c r="M2599">
        <v>2025</v>
      </c>
      <c r="N2599" t="s">
        <v>27</v>
      </c>
      <c r="O2599">
        <v>129</v>
      </c>
      <c r="P2599">
        <v>129</v>
      </c>
      <c r="R2599" s="3" t="str">
        <f>HYPERLINK("https://panda.att.com.mx/ODKServer/view/binaryData?blobKey=FSSuministroFluidosv3%5B%40version%3Dnull+and+%40uiVersion%3Dnull%5D%2Fdata%5B%40key%3Duuid%3Aa729b24b-fa0e-440b-8fc7-eac7d278ebfc%5D%2FgroupInfoFuel%5B%40ordinal%3D1%5D%2FpicFuelRecibeInterno","Descargar")</f>
        <v>Descargar</v>
      </c>
    </row>
    <row r="2600" spans="1:18" x14ac:dyDescent="0.3">
      <c r="A2600">
        <v>1542618</v>
      </c>
      <c r="B2600" t="s">
        <v>18</v>
      </c>
      <c r="C2600" t="s">
        <v>68</v>
      </c>
      <c r="D2600" t="s">
        <v>69</v>
      </c>
      <c r="E2600" t="s">
        <v>2128</v>
      </c>
      <c r="F2600" t="s">
        <v>22</v>
      </c>
      <c r="G2600" t="s">
        <v>23</v>
      </c>
      <c r="H2600" t="s">
        <v>37</v>
      </c>
      <c r="I2600" t="s">
        <v>25</v>
      </c>
      <c r="J2600" s="2">
        <v>45799.876585648148</v>
      </c>
      <c r="K2600">
        <v>22</v>
      </c>
      <c r="L2600">
        <v>5</v>
      </c>
      <c r="M2600">
        <v>2025</v>
      </c>
      <c r="N2600" t="s">
        <v>44</v>
      </c>
      <c r="O2600">
        <v>50</v>
      </c>
      <c r="P2600">
        <v>50</v>
      </c>
      <c r="R2600" s="3" t="str">
        <f>HYPERLINK("https://panda.att.com.mx/ODKServer/view/binaryData?blobKey=FSSuministroFluidosv3%5B%40version%3Dnull+and+%40uiVersion%3Dnull%5D%2Fdata%5B%40key%3Duuid%3Adfcc397e-ffdf-4361-b3ca-3e483429728a%5D%2FgroupInfoFuel%5B%40ordinal%3D1%5D%2FpicFuelRecibeInterno","Descargar")</f>
        <v>Descargar</v>
      </c>
    </row>
    <row r="2601" spans="1:18" x14ac:dyDescent="0.3">
      <c r="A2601">
        <v>1542503</v>
      </c>
      <c r="B2601" t="s">
        <v>18</v>
      </c>
      <c r="C2601" t="s">
        <v>150</v>
      </c>
      <c r="D2601" t="s">
        <v>230</v>
      </c>
      <c r="E2601" t="s">
        <v>1558</v>
      </c>
      <c r="F2601" t="s">
        <v>22</v>
      </c>
      <c r="G2601" t="s">
        <v>23</v>
      </c>
      <c r="H2601" t="s">
        <v>1781</v>
      </c>
      <c r="I2601" t="s">
        <v>25</v>
      </c>
      <c r="J2601" s="2">
        <v>45800.355844907397</v>
      </c>
      <c r="K2601">
        <v>23</v>
      </c>
      <c r="L2601">
        <v>5</v>
      </c>
      <c r="M2601">
        <v>2025</v>
      </c>
      <c r="N2601" t="s">
        <v>27</v>
      </c>
      <c r="O2601">
        <v>250</v>
      </c>
      <c r="P2601">
        <v>250</v>
      </c>
      <c r="R2601" s="3" t="str">
        <f>HYPERLINK("https://panda.att.com.mx/ODKServer/view/binaryData?blobKey=FSSuministroFluidosv3%5B%40version%3Dnull+and+%40uiVersion%3Dnull%5D%2Fdata%5B%40key%3Duuid%3Accd0b236-01c3-4dcc-8644-e71c09860a39%5D%2FgroupInfoFuel%5B%40ordinal%3D1%5D%2FpicFuelRecibeInterno","Descargar")</f>
        <v>Descargar</v>
      </c>
    </row>
    <row r="2602" spans="1:18" x14ac:dyDescent="0.3">
      <c r="A2602">
        <v>1543563</v>
      </c>
      <c r="B2602" t="s">
        <v>18</v>
      </c>
      <c r="C2602" t="s">
        <v>28</v>
      </c>
      <c r="D2602" t="s">
        <v>513</v>
      </c>
      <c r="E2602" t="s">
        <v>2172</v>
      </c>
      <c r="F2602" t="s">
        <v>22</v>
      </c>
      <c r="G2602" t="s">
        <v>23</v>
      </c>
      <c r="H2602" t="s">
        <v>24</v>
      </c>
      <c r="I2602" t="s">
        <v>25</v>
      </c>
      <c r="J2602" s="2">
        <v>45789.5309837963</v>
      </c>
      <c r="K2602">
        <v>12</v>
      </c>
      <c r="L2602">
        <v>5</v>
      </c>
      <c r="M2602">
        <v>2025</v>
      </c>
      <c r="N2602" t="s">
        <v>27</v>
      </c>
      <c r="O2602">
        <v>500</v>
      </c>
      <c r="Q2602">
        <v>500</v>
      </c>
      <c r="R2602" s="3" t="str">
        <f>HYPERLINK("https://panda.att.com.mx/ODKServer/view/binaryData?blobKey=FSSuministroFluidosv3%5B%40version%3Dnull+and+%40uiVersion%3Dnull%5D%2Fdata%5B%40key%3Duuid%3Accf0072c-a2ff-44c2-a4c7-f1327bad0775%5D%2FgroupInfoFuel%5B%40ordinal%3D1%5D%2FpicFuelRecibeInterno","Descargar")</f>
        <v>Descargar</v>
      </c>
    </row>
    <row r="2603" spans="1:18" x14ac:dyDescent="0.3">
      <c r="A2603">
        <v>1543450</v>
      </c>
      <c r="B2603" t="s">
        <v>18</v>
      </c>
      <c r="C2603" t="s">
        <v>19</v>
      </c>
      <c r="D2603" t="s">
        <v>156</v>
      </c>
      <c r="E2603" t="s">
        <v>2079</v>
      </c>
      <c r="F2603" t="s">
        <v>22</v>
      </c>
      <c r="G2603" t="s">
        <v>23</v>
      </c>
      <c r="H2603" t="s">
        <v>24</v>
      </c>
      <c r="I2603" t="s">
        <v>25</v>
      </c>
      <c r="J2603" s="2">
        <v>45801.811828703707</v>
      </c>
      <c r="K2603">
        <v>24</v>
      </c>
      <c r="L2603">
        <v>5</v>
      </c>
      <c r="M2603">
        <v>2025</v>
      </c>
      <c r="N2603" t="s">
        <v>27</v>
      </c>
      <c r="O2603">
        <v>50</v>
      </c>
      <c r="P2603">
        <v>50</v>
      </c>
      <c r="R2603" s="3" t="str">
        <f>HYPERLINK("https://panda.att.com.mx/ODKServer/view/binaryData?blobKey=FSSuministroFluidosv3%5B%40version%3Dnull+and+%40uiVersion%3Dnull%5D%2Fdata%5B%40key%3Duuid%3A83f2e082-35b9-4335-936a-65503e4798be%5D%2FgroupInfoFuel%5B%40ordinal%3D1%5D%2FpicFuelRecibeInterno","Descargar")</f>
        <v>Descargar</v>
      </c>
    </row>
    <row r="2604" spans="1:18" x14ac:dyDescent="0.3">
      <c r="A2604">
        <v>1543403</v>
      </c>
      <c r="B2604" t="s">
        <v>18</v>
      </c>
      <c r="C2604" t="s">
        <v>19</v>
      </c>
      <c r="D2604" t="s">
        <v>42</v>
      </c>
      <c r="E2604" t="s">
        <v>2133</v>
      </c>
      <c r="F2604" t="s">
        <v>22</v>
      </c>
      <c r="G2604" t="s">
        <v>23</v>
      </c>
      <c r="H2604" t="s">
        <v>24</v>
      </c>
      <c r="I2604" t="s">
        <v>25</v>
      </c>
      <c r="J2604" s="2">
        <v>45801.716446759259</v>
      </c>
      <c r="K2604">
        <v>24</v>
      </c>
      <c r="L2604">
        <v>5</v>
      </c>
      <c r="M2604">
        <v>2025</v>
      </c>
      <c r="N2604" t="s">
        <v>44</v>
      </c>
      <c r="O2604">
        <v>55</v>
      </c>
      <c r="P2604">
        <v>55</v>
      </c>
      <c r="R2604" s="3" t="str">
        <f>HYPERLINK("https://panda.att.com.mx/ODKServer/view/binaryData?blobKey=FSSuministroFluidosv3%5B%40version%3Dnull+and+%40uiVersion%3Dnull%5D%2Fdata%5B%40key%3Duuid%3A109d78f2-e2d3-4e02-b859-32b253163b70%5D%2FgroupInfoFuel%5B%40ordinal%3D1%5D%2FpicFuelRecibeInterno","Descargar")</f>
        <v>Descargar</v>
      </c>
    </row>
    <row r="2605" spans="1:18" x14ac:dyDescent="0.3">
      <c r="A2605">
        <v>1543396</v>
      </c>
      <c r="B2605" t="s">
        <v>18</v>
      </c>
      <c r="C2605" t="s">
        <v>59</v>
      </c>
      <c r="D2605" t="s">
        <v>60</v>
      </c>
      <c r="E2605" t="s">
        <v>2173</v>
      </c>
      <c r="F2605" t="s">
        <v>22</v>
      </c>
      <c r="G2605" t="s">
        <v>23</v>
      </c>
      <c r="H2605" t="s">
        <v>37</v>
      </c>
      <c r="I2605" t="s">
        <v>25</v>
      </c>
      <c r="J2605" s="2">
        <v>45802.431898148148</v>
      </c>
      <c r="K2605">
        <v>25</v>
      </c>
      <c r="L2605">
        <v>5</v>
      </c>
      <c r="M2605">
        <v>2025</v>
      </c>
      <c r="N2605" t="s">
        <v>27</v>
      </c>
      <c r="O2605">
        <v>100</v>
      </c>
      <c r="P2605">
        <v>100</v>
      </c>
      <c r="R2605" s="3" t="str">
        <f>HYPERLINK("https://panda.att.com.mx/ODKServer/view/binaryData?blobKey=FSSuministroFluidosv3%5B%40version%3Dnull+and+%40uiVersion%3Dnull%5D%2Fdata%5B%40key%3Duuid%3A61dd63c3-1033-42e8-969f-30baad28a79c%5D%2FgroupInfoFuel%5B%40ordinal%3D1%5D%2FpicFuelRecibeInterno","Descargar")</f>
        <v>Descargar</v>
      </c>
    </row>
    <row r="2606" spans="1:18" x14ac:dyDescent="0.3">
      <c r="A2606">
        <v>1543385</v>
      </c>
      <c r="B2606" t="s">
        <v>18</v>
      </c>
      <c r="C2606" t="s">
        <v>55</v>
      </c>
      <c r="D2606" t="s">
        <v>56</v>
      </c>
      <c r="E2606" t="s">
        <v>432</v>
      </c>
      <c r="F2606" t="s">
        <v>22</v>
      </c>
      <c r="G2606" t="s">
        <v>23</v>
      </c>
      <c r="H2606" t="s">
        <v>1763</v>
      </c>
      <c r="I2606" t="s">
        <v>25</v>
      </c>
      <c r="J2606" s="2">
        <v>45792.683645833327</v>
      </c>
      <c r="K2606">
        <v>15</v>
      </c>
      <c r="L2606">
        <v>5</v>
      </c>
      <c r="M2606">
        <v>2025</v>
      </c>
      <c r="N2606" t="s">
        <v>27</v>
      </c>
      <c r="O2606">
        <v>100</v>
      </c>
      <c r="P2606">
        <v>100</v>
      </c>
      <c r="R2606" s="3" t="str">
        <f>HYPERLINK("https://panda.att.com.mx/ODKServer/view/binaryData?blobKey=FSSuministroFluidosv3%5B%40version%3Dnull+and+%40uiVersion%3Dnull%5D%2Fdata%5B%40key%3Duuid%3A53b220ec-6fcf-48f9-a164-e79bbc5e3d82%5D%2FgroupInfoFuel%5B%40ordinal%3D1%5D%2FpicFuelRecibeInterno","Descargar")</f>
        <v>Descargar</v>
      </c>
    </row>
    <row r="2607" spans="1:18" x14ac:dyDescent="0.3">
      <c r="A2607">
        <v>1543384</v>
      </c>
      <c r="B2607" t="s">
        <v>18</v>
      </c>
      <c r="C2607" t="s">
        <v>55</v>
      </c>
      <c r="D2607" t="s">
        <v>56</v>
      </c>
      <c r="E2607" t="s">
        <v>2174</v>
      </c>
      <c r="F2607" t="s">
        <v>22</v>
      </c>
      <c r="G2607" t="s">
        <v>23</v>
      </c>
      <c r="H2607" t="s">
        <v>1763</v>
      </c>
      <c r="I2607" t="s">
        <v>25</v>
      </c>
      <c r="J2607" s="2">
        <v>45795.396886574083</v>
      </c>
      <c r="K2607">
        <v>18</v>
      </c>
      <c r="L2607">
        <v>5</v>
      </c>
      <c r="M2607">
        <v>2025</v>
      </c>
      <c r="N2607" t="s">
        <v>27</v>
      </c>
      <c r="O2607">
        <v>200</v>
      </c>
      <c r="P2607">
        <v>200</v>
      </c>
      <c r="R2607" s="3" t="str">
        <f>HYPERLINK("https://panda.att.com.mx/ODKServer/view/binaryData?blobKey=FSSuministroFluidosv3%5B%40version%3Dnull+and+%40uiVersion%3Dnull%5D%2Fdata%5B%40key%3Duuid%3Abf67ffb3-e987-42b3-9f1f-0d52956ffb4c%5D%2FgroupInfoFuel%5B%40ordinal%3D1%5D%2FpicFuelRecibeInterno","Descargar")</f>
        <v>Descargar</v>
      </c>
    </row>
    <row r="2608" spans="1:18" x14ac:dyDescent="0.3">
      <c r="A2608">
        <v>1543383</v>
      </c>
      <c r="B2608" t="s">
        <v>18</v>
      </c>
      <c r="C2608" t="s">
        <v>55</v>
      </c>
      <c r="D2608" t="s">
        <v>56</v>
      </c>
      <c r="E2608" t="s">
        <v>1560</v>
      </c>
      <c r="F2608" t="s">
        <v>22</v>
      </c>
      <c r="G2608" t="s">
        <v>23</v>
      </c>
      <c r="H2608" t="s">
        <v>1763</v>
      </c>
      <c r="I2608" t="s">
        <v>25</v>
      </c>
      <c r="J2608" s="2">
        <v>45784.747314814813</v>
      </c>
      <c r="K2608">
        <v>7</v>
      </c>
      <c r="L2608">
        <v>5</v>
      </c>
      <c r="M2608">
        <v>2025</v>
      </c>
      <c r="N2608" t="s">
        <v>27</v>
      </c>
      <c r="O2608">
        <v>150</v>
      </c>
      <c r="P2608">
        <v>150</v>
      </c>
      <c r="R2608" s="3" t="str">
        <f>HYPERLINK("https://panda.att.com.mx/ODKServer/view/binaryData?blobKey=FSSuministroFluidosv3%5B%40version%3Dnull+and+%40uiVersion%3Dnull%5D%2Fdata%5B%40key%3Duuid%3Ad5d67f6c-0c16-483b-b869-44497247bfb3%5D%2FgroupInfoFuel%5B%40ordinal%3D1%5D%2FpicFuelRecibeInterno","Descargar")</f>
        <v>Descargar</v>
      </c>
    </row>
    <row r="2609" spans="1:18" x14ac:dyDescent="0.3">
      <c r="A2609">
        <v>1543365</v>
      </c>
      <c r="B2609" t="s">
        <v>18</v>
      </c>
      <c r="C2609" t="s">
        <v>34</v>
      </c>
      <c r="D2609" t="s">
        <v>121</v>
      </c>
      <c r="E2609" t="s">
        <v>802</v>
      </c>
      <c r="F2609" t="s">
        <v>33</v>
      </c>
      <c r="G2609" t="s">
        <v>23</v>
      </c>
      <c r="H2609" t="s">
        <v>37</v>
      </c>
      <c r="I2609" t="s">
        <v>25</v>
      </c>
      <c r="J2609" s="2">
        <v>45802.441041666672</v>
      </c>
      <c r="K2609">
        <v>25</v>
      </c>
      <c r="L2609">
        <v>5</v>
      </c>
      <c r="M2609">
        <v>2025</v>
      </c>
      <c r="N2609" t="s">
        <v>27</v>
      </c>
      <c r="O2609">
        <v>450</v>
      </c>
      <c r="Q2609">
        <v>450</v>
      </c>
      <c r="R2609" s="3" t="str">
        <f>HYPERLINK("https://panda.att.com.mx/ODKServer/view/binaryData?blobKey=FSSuministroFluidosv3%5B%40version%3Dnull+and+%40uiVersion%3Dnull%5D%2Fdata%5B%40key%3Duuid%3Ade7a665e-87f7-4f67-997e-ae205b72071f%5D%2FgroupInfoFuel%5B%40ordinal%3D1%5D%2FpicFuelRecibeInterno","Descargar")</f>
        <v>Descargar</v>
      </c>
    </row>
    <row r="2610" spans="1:18" x14ac:dyDescent="0.3">
      <c r="A2610">
        <v>1543318</v>
      </c>
      <c r="B2610" t="s">
        <v>18</v>
      </c>
      <c r="C2610" t="s">
        <v>28</v>
      </c>
      <c r="D2610" t="s">
        <v>1036</v>
      </c>
      <c r="E2610" t="s">
        <v>1189</v>
      </c>
      <c r="F2610" t="s">
        <v>22</v>
      </c>
      <c r="G2610" t="s">
        <v>47</v>
      </c>
      <c r="H2610" t="s">
        <v>24</v>
      </c>
      <c r="I2610" t="s">
        <v>25</v>
      </c>
      <c r="J2610" s="2">
        <v>45802.635150462957</v>
      </c>
      <c r="K2610">
        <v>25</v>
      </c>
      <c r="L2610">
        <v>5</v>
      </c>
      <c r="M2610">
        <v>2025</v>
      </c>
      <c r="N2610" t="s">
        <v>27</v>
      </c>
      <c r="O2610">
        <v>100</v>
      </c>
      <c r="Q2610">
        <v>100</v>
      </c>
      <c r="R2610" s="3" t="str">
        <f>HYPERLINK("https://panda.att.com.mx/ODKServer/view/binaryData?blobKey=FSSuministroFluidosv3%5B%40version%3Dnull+and+%40uiVersion%3Dnull%5D%2Fdata%5B%40key%3Duuid%3Ac8bdd690-1f6a-44ba-a09d-99f9c4acb98f%5D%2FgroupInfoFuel%5B%40ordinal%3D1%5D%2FpicFuelRecibeInterno","Descargar")</f>
        <v>Descargar</v>
      </c>
    </row>
    <row r="2611" spans="1:18" x14ac:dyDescent="0.3">
      <c r="A2611">
        <v>1543283</v>
      </c>
      <c r="B2611" t="s">
        <v>18</v>
      </c>
      <c r="C2611" t="s">
        <v>55</v>
      </c>
      <c r="D2611" t="s">
        <v>56</v>
      </c>
      <c r="E2611" t="s">
        <v>2083</v>
      </c>
      <c r="F2611" t="s">
        <v>22</v>
      </c>
      <c r="G2611" t="s">
        <v>23</v>
      </c>
      <c r="H2611" t="s">
        <v>1763</v>
      </c>
      <c r="I2611" t="s">
        <v>25</v>
      </c>
      <c r="J2611" s="2">
        <v>45802.478472222218</v>
      </c>
      <c r="K2611">
        <v>25</v>
      </c>
      <c r="L2611">
        <v>5</v>
      </c>
      <c r="M2611">
        <v>2025</v>
      </c>
      <c r="N2611" t="s">
        <v>27</v>
      </c>
      <c r="O2611">
        <v>100</v>
      </c>
      <c r="P2611">
        <v>100</v>
      </c>
      <c r="R2611" s="3" t="str">
        <f>HYPERLINK("https://panda.att.com.mx/ODKServer/view/binaryData?blobKey=FSSuministroFluidosv3%5B%40version%3Dnull+and+%40uiVersion%3Dnull%5D%2Fdata%5B%40key%3Duuid%3Abe8b283b-a6e6-4943-82fd-5aa4c34461ef%5D%2FgroupInfoFuel%5B%40ordinal%3D1%5D%2FpicFuelRecibeInterno","Descargar")</f>
        <v>Descargar</v>
      </c>
    </row>
    <row r="2612" spans="1:18" x14ac:dyDescent="0.3">
      <c r="A2612">
        <v>1543202</v>
      </c>
      <c r="B2612" t="s">
        <v>18</v>
      </c>
      <c r="C2612" t="s">
        <v>55</v>
      </c>
      <c r="D2612" t="s">
        <v>56</v>
      </c>
      <c r="E2612" t="s">
        <v>2014</v>
      </c>
      <c r="F2612" t="s">
        <v>22</v>
      </c>
      <c r="G2612" t="s">
        <v>23</v>
      </c>
      <c r="H2612" t="s">
        <v>1763</v>
      </c>
      <c r="I2612" t="s">
        <v>25</v>
      </c>
      <c r="J2612" s="2">
        <v>45802.429490740738</v>
      </c>
      <c r="K2612">
        <v>25</v>
      </c>
      <c r="L2612">
        <v>5</v>
      </c>
      <c r="M2612">
        <v>2025</v>
      </c>
      <c r="N2612" t="s">
        <v>27</v>
      </c>
      <c r="O2612">
        <v>100</v>
      </c>
      <c r="P2612">
        <v>100</v>
      </c>
      <c r="R2612" s="3" t="str">
        <f>HYPERLINK("https://panda.att.com.mx/ODKServer/view/binaryData?blobKey=FSSuministroFluidosv3%5B%40version%3Dnull+and+%40uiVersion%3Dnull%5D%2Fdata%5B%40key%3Duuid%3Aa47caf7b-e06c-4e81-991f-4377d5913078%5D%2FgroupInfoFuel%5B%40ordinal%3D1%5D%2FpicFuelRecibeInterno","Descargar")</f>
        <v>Descargar</v>
      </c>
    </row>
    <row r="2613" spans="1:18" x14ac:dyDescent="0.3">
      <c r="A2613">
        <v>1543169</v>
      </c>
      <c r="B2613" t="s">
        <v>18</v>
      </c>
      <c r="C2613" t="s">
        <v>55</v>
      </c>
      <c r="D2613" t="s">
        <v>56</v>
      </c>
      <c r="E2613" t="s">
        <v>1842</v>
      </c>
      <c r="F2613" t="s">
        <v>22</v>
      </c>
      <c r="G2613" t="s">
        <v>23</v>
      </c>
      <c r="H2613" t="s">
        <v>1763</v>
      </c>
      <c r="I2613" t="s">
        <v>25</v>
      </c>
      <c r="J2613" s="2">
        <v>45802.368263888893</v>
      </c>
      <c r="K2613">
        <v>25</v>
      </c>
      <c r="L2613">
        <v>5</v>
      </c>
      <c r="M2613">
        <v>2025</v>
      </c>
      <c r="N2613" t="s">
        <v>27</v>
      </c>
      <c r="O2613">
        <v>300</v>
      </c>
      <c r="P2613">
        <v>300</v>
      </c>
      <c r="R2613" s="3" t="str">
        <f>HYPERLINK("https://panda.att.com.mx/ODKServer/view/binaryData?blobKey=FSSuministroFluidosv3%5B%40version%3Dnull+and+%40uiVersion%3Dnull%5D%2Fdata%5B%40key%3Duuid%3A2f972f1b-38d5-4753-9434-05385ab690d3%5D%2FgroupInfoFuel%5B%40ordinal%3D1%5D%2FpicFuelRecibeInterno","Descargar")</f>
        <v>Descargar</v>
      </c>
    </row>
    <row r="2614" spans="1:18" x14ac:dyDescent="0.3">
      <c r="A2614">
        <v>1543150</v>
      </c>
      <c r="B2614" t="s">
        <v>18</v>
      </c>
      <c r="C2614" t="s">
        <v>55</v>
      </c>
      <c r="D2614" t="s">
        <v>56</v>
      </c>
      <c r="E2614" t="s">
        <v>2083</v>
      </c>
      <c r="F2614" t="s">
        <v>22</v>
      </c>
      <c r="G2614" t="s">
        <v>23</v>
      </c>
      <c r="H2614" t="s">
        <v>1763</v>
      </c>
      <c r="I2614" t="s">
        <v>25</v>
      </c>
      <c r="J2614" s="2">
        <v>45801.440636574072</v>
      </c>
      <c r="K2614">
        <v>24</v>
      </c>
      <c r="L2614">
        <v>5</v>
      </c>
      <c r="M2614">
        <v>2025</v>
      </c>
      <c r="N2614" t="s">
        <v>27</v>
      </c>
      <c r="O2614">
        <v>100</v>
      </c>
      <c r="P2614">
        <v>100</v>
      </c>
      <c r="R2614" s="3" t="str">
        <f>HYPERLINK("https://panda.att.com.mx/ODKServer/view/binaryData?blobKey=FSSuministroFluidosv3%5B%40version%3Dnull+and+%40uiVersion%3Dnull%5D%2Fdata%5B%40key%3Duuid%3A0e57bd2b-9402-4620-b3c3-350a77edf450%5D%2FgroupInfoFuel%5B%40ordinal%3D1%5D%2FpicFuelRecibeInterno","Descargar")</f>
        <v>Descargar</v>
      </c>
    </row>
    <row r="2615" spans="1:18" x14ac:dyDescent="0.3">
      <c r="A2615">
        <v>1543149</v>
      </c>
      <c r="B2615" t="s">
        <v>18</v>
      </c>
      <c r="C2615" t="s">
        <v>55</v>
      </c>
      <c r="D2615" t="s">
        <v>56</v>
      </c>
      <c r="E2615" t="s">
        <v>2089</v>
      </c>
      <c r="F2615" t="s">
        <v>22</v>
      </c>
      <c r="G2615" t="s">
        <v>23</v>
      </c>
      <c r="H2615" t="s">
        <v>1763</v>
      </c>
      <c r="I2615" t="s">
        <v>25</v>
      </c>
      <c r="J2615" s="2">
        <v>45801.553310185183</v>
      </c>
      <c r="K2615">
        <v>24</v>
      </c>
      <c r="L2615">
        <v>5</v>
      </c>
      <c r="M2615">
        <v>2025</v>
      </c>
      <c r="N2615" t="s">
        <v>27</v>
      </c>
      <c r="O2615">
        <v>300</v>
      </c>
      <c r="P2615">
        <v>300</v>
      </c>
      <c r="R2615" s="3" t="str">
        <f>HYPERLINK("https://panda.att.com.mx/ODKServer/view/binaryData?blobKey=FSSuministroFluidosv3%5B%40version%3Dnull+and+%40uiVersion%3Dnull%5D%2Fdata%5B%40key%3Duuid%3A1adf967a-7d5c-461a-8182-33196efa36d6%5D%2FgroupInfoFuel%5B%40ordinal%3D1%5D%2FpicFuelRecibeInterno","Descargar")</f>
        <v>Descargar</v>
      </c>
    </row>
    <row r="2616" spans="1:18" x14ac:dyDescent="0.3">
      <c r="A2616">
        <v>1543136</v>
      </c>
      <c r="B2616" t="s">
        <v>18</v>
      </c>
      <c r="C2616" t="s">
        <v>28</v>
      </c>
      <c r="D2616" t="s">
        <v>1036</v>
      </c>
      <c r="E2616" t="s">
        <v>2175</v>
      </c>
      <c r="F2616" t="s">
        <v>22</v>
      </c>
      <c r="G2616" t="s">
        <v>23</v>
      </c>
      <c r="H2616" t="s">
        <v>24</v>
      </c>
      <c r="I2616" t="s">
        <v>25</v>
      </c>
      <c r="J2616" s="2">
        <v>45801.769826388889</v>
      </c>
      <c r="K2616">
        <v>24</v>
      </c>
      <c r="L2616">
        <v>5</v>
      </c>
      <c r="M2616">
        <v>2025</v>
      </c>
      <c r="N2616" t="s">
        <v>27</v>
      </c>
      <c r="O2616">
        <v>100</v>
      </c>
      <c r="P2616">
        <v>100</v>
      </c>
      <c r="R2616" s="3" t="str">
        <f>HYPERLINK("https://panda.att.com.mx/ODKServer/view/binaryData?blobKey=FSSuministroFluidosv3%5B%40version%3Dnull+and+%40uiVersion%3Dnull%5D%2Fdata%5B%40key%3Duuid%3Ab1f20584-4281-471a-8bb5-ac9100b68d90%5D%2FgroupInfoFuel%5B%40ordinal%3D1%5D%2FpicFuelRecibeInterno","Descargar")</f>
        <v>Descargar</v>
      </c>
    </row>
    <row r="2617" spans="1:18" x14ac:dyDescent="0.3">
      <c r="A2617">
        <v>1543127</v>
      </c>
      <c r="B2617" t="s">
        <v>18</v>
      </c>
      <c r="C2617" t="s">
        <v>55</v>
      </c>
      <c r="D2617" t="s">
        <v>89</v>
      </c>
      <c r="E2617" t="s">
        <v>885</v>
      </c>
      <c r="F2617" t="s">
        <v>22</v>
      </c>
      <c r="G2617" t="s">
        <v>23</v>
      </c>
      <c r="H2617" t="s">
        <v>1763</v>
      </c>
      <c r="I2617" t="s">
        <v>25</v>
      </c>
      <c r="J2617" s="2">
        <v>45801.747118055559</v>
      </c>
      <c r="K2617">
        <v>24</v>
      </c>
      <c r="L2617">
        <v>5</v>
      </c>
      <c r="M2617">
        <v>2025</v>
      </c>
      <c r="N2617" t="s">
        <v>27</v>
      </c>
      <c r="O2617">
        <v>200</v>
      </c>
      <c r="P2617">
        <v>200</v>
      </c>
      <c r="R2617" s="3" t="str">
        <f>HYPERLINK("https://panda.att.com.mx/ODKServer/view/binaryData?blobKey=FSSuministroFluidosv3%5B%40version%3Dnull+and+%40uiVersion%3Dnull%5D%2Fdata%5B%40key%3Duuid%3A19905cb9-5420-4a7e-94a4-7a10b9e8dcd3%5D%2FgroupInfoFuel%5B%40ordinal%3D1%5D%2FpicFuelRecibeInterno","Descargar")</f>
        <v>Descargar</v>
      </c>
    </row>
    <row r="2618" spans="1:18" x14ac:dyDescent="0.3">
      <c r="A2618">
        <v>1543113</v>
      </c>
      <c r="B2618" t="s">
        <v>18</v>
      </c>
      <c r="C2618" t="s">
        <v>34</v>
      </c>
      <c r="D2618" t="s">
        <v>53</v>
      </c>
      <c r="E2618" t="s">
        <v>2176</v>
      </c>
      <c r="F2618" t="s">
        <v>22</v>
      </c>
      <c r="G2618" t="s">
        <v>23</v>
      </c>
      <c r="H2618" t="s">
        <v>37</v>
      </c>
      <c r="I2618" t="s">
        <v>25</v>
      </c>
      <c r="J2618" s="2">
        <v>45801.508240740739</v>
      </c>
      <c r="K2618">
        <v>24</v>
      </c>
      <c r="L2618">
        <v>5</v>
      </c>
      <c r="M2618">
        <v>2025</v>
      </c>
      <c r="N2618" t="s">
        <v>27</v>
      </c>
      <c r="O2618">
        <v>250</v>
      </c>
      <c r="P2618">
        <v>250</v>
      </c>
      <c r="R2618" s="3" t="str">
        <f>HYPERLINK("https://panda.att.com.mx/ODKServer/view/binaryData?blobKey=FSSuministroFluidosv3%5B%40version%3Dnull+and+%40uiVersion%3Dnull%5D%2Fdata%5B%40key%3Duuid%3Abcfe2160-164c-4e7e-a5fb-b5f55c65f9a9%5D%2FgroupInfoFuel%5B%40ordinal%3D1%5D%2FpicFuelRecibeInterno","Descargar")</f>
        <v>Descargar</v>
      </c>
    </row>
    <row r="2619" spans="1:18" x14ac:dyDescent="0.3">
      <c r="A2619">
        <v>1543094</v>
      </c>
      <c r="B2619" t="s">
        <v>18</v>
      </c>
      <c r="C2619" t="s">
        <v>28</v>
      </c>
      <c r="D2619" t="s">
        <v>1036</v>
      </c>
      <c r="E2619" t="s">
        <v>1664</v>
      </c>
      <c r="F2619" t="s">
        <v>22</v>
      </c>
      <c r="G2619" t="s">
        <v>23</v>
      </c>
      <c r="H2619" t="s">
        <v>37</v>
      </c>
      <c r="I2619" t="s">
        <v>25</v>
      </c>
      <c r="J2619" s="2">
        <v>45801.347083333327</v>
      </c>
      <c r="K2619">
        <v>24</v>
      </c>
      <c r="L2619">
        <v>5</v>
      </c>
      <c r="M2619">
        <v>2025</v>
      </c>
      <c r="N2619" t="s">
        <v>44</v>
      </c>
      <c r="O2619">
        <v>38</v>
      </c>
      <c r="P2619">
        <v>38</v>
      </c>
      <c r="R2619" s="3" t="str">
        <f>HYPERLINK("https://panda.att.com.mx/ODKServer/view/binaryData?blobKey=FSSuministroFluidosv3%5B%40version%3Dnull+and+%40uiVersion%3Dnull%5D%2Fdata%5B%40key%3Duuid%3A0a1cedf8-ff02-4326-b743-74170572aa15%5D%2FgroupInfoFuel%5B%40ordinal%3D1%5D%2FpicFuelRecibeInterno","Descargar")</f>
        <v>Descargar</v>
      </c>
    </row>
    <row r="2620" spans="1:18" x14ac:dyDescent="0.3">
      <c r="A2620">
        <v>1543082</v>
      </c>
      <c r="B2620" t="s">
        <v>18</v>
      </c>
      <c r="C2620" t="s">
        <v>55</v>
      </c>
      <c r="D2620" t="s">
        <v>366</v>
      </c>
      <c r="E2620" t="s">
        <v>2177</v>
      </c>
      <c r="F2620" t="s">
        <v>22</v>
      </c>
      <c r="G2620" t="s">
        <v>23</v>
      </c>
      <c r="H2620" t="s">
        <v>1781</v>
      </c>
      <c r="I2620" t="s">
        <v>25</v>
      </c>
      <c r="J2620" s="2">
        <v>45801.762881944444</v>
      </c>
      <c r="K2620">
        <v>24</v>
      </c>
      <c r="L2620">
        <v>5</v>
      </c>
      <c r="M2620">
        <v>2025</v>
      </c>
      <c r="N2620" t="s">
        <v>27</v>
      </c>
      <c r="O2620">
        <v>72.95</v>
      </c>
      <c r="P2620">
        <v>72.95</v>
      </c>
      <c r="R2620" s="3" t="str">
        <f>HYPERLINK("https://panda.att.com.mx/ODKServer/view/binaryData?blobKey=FSSuministroFluidosv3%5B%40version%3Dnull+and+%40uiVersion%3Dnull%5D%2Fdata%5B%40key%3Duuid%3A337db03f-0997-45b4-b32e-c9ce3b47296c%5D%2FgroupInfoFuel%5B%40ordinal%3D1%5D%2FpicFuelRecibeInterno","Descargar")</f>
        <v>Descargar</v>
      </c>
    </row>
    <row r="2621" spans="1:18" x14ac:dyDescent="0.3">
      <c r="A2621">
        <v>1543081</v>
      </c>
      <c r="B2621" t="s">
        <v>18</v>
      </c>
      <c r="C2621" t="s">
        <v>55</v>
      </c>
      <c r="D2621" t="s">
        <v>366</v>
      </c>
      <c r="E2621" t="s">
        <v>367</v>
      </c>
      <c r="F2621" t="s">
        <v>22</v>
      </c>
      <c r="G2621" t="s">
        <v>23</v>
      </c>
      <c r="H2621" t="s">
        <v>1781</v>
      </c>
      <c r="I2621" t="s">
        <v>25</v>
      </c>
      <c r="J2621" s="2">
        <v>45801.599895833337</v>
      </c>
      <c r="K2621">
        <v>24</v>
      </c>
      <c r="L2621">
        <v>5</v>
      </c>
      <c r="M2621">
        <v>2025</v>
      </c>
      <c r="N2621" t="s">
        <v>27</v>
      </c>
      <c r="O2621">
        <v>200</v>
      </c>
      <c r="P2621">
        <v>200</v>
      </c>
      <c r="R2621" s="3" t="str">
        <f>HYPERLINK("https://panda.att.com.mx/ODKServer/view/binaryData?blobKey=FSSuministroFluidosv3%5B%40version%3Dnull+and+%40uiVersion%3Dnull%5D%2Fdata%5B%40key%3Duuid%3Aae148df4-4106-44fd-a4bf-1fdecab1052d%5D%2FgroupInfoFuel%5B%40ordinal%3D1%5D%2FpicFuelRecibeInterno","Descargar")</f>
        <v>Descargar</v>
      </c>
    </row>
    <row r="2622" spans="1:18" x14ac:dyDescent="0.3">
      <c r="A2622">
        <v>1543074</v>
      </c>
      <c r="B2622" t="s">
        <v>18</v>
      </c>
      <c r="C2622" t="s">
        <v>55</v>
      </c>
      <c r="D2622" t="s">
        <v>56</v>
      </c>
      <c r="E2622" t="s">
        <v>2178</v>
      </c>
      <c r="F2622" t="s">
        <v>22</v>
      </c>
      <c r="G2622" t="s">
        <v>23</v>
      </c>
      <c r="H2622" t="s">
        <v>1763</v>
      </c>
      <c r="I2622" t="s">
        <v>25</v>
      </c>
      <c r="J2622" s="2">
        <v>45793.424560185187</v>
      </c>
      <c r="K2622">
        <v>16</v>
      </c>
      <c r="L2622">
        <v>5</v>
      </c>
      <c r="M2622">
        <v>2025</v>
      </c>
      <c r="N2622" t="s">
        <v>27</v>
      </c>
      <c r="O2622">
        <v>300</v>
      </c>
      <c r="P2622">
        <v>300</v>
      </c>
      <c r="R2622" s="3" t="str">
        <f>HYPERLINK("https://panda.att.com.mx/ODKServer/view/binaryData?blobKey=FSSuministroFluidosv3%5B%40version%3Dnull+and+%40uiVersion%3Dnull%5D%2Fdata%5B%40key%3Duuid%3A71173e0a-73a0-45fd-9525-fbaebcd4d944%5D%2FgroupInfoFuel%5B%40ordinal%3D1%5D%2FpicFuelRecibeInterno","Descargar")</f>
        <v>Descargar</v>
      </c>
    </row>
    <row r="2623" spans="1:18" x14ac:dyDescent="0.3">
      <c r="A2623">
        <v>1543071</v>
      </c>
      <c r="B2623" t="s">
        <v>18</v>
      </c>
      <c r="C2623" t="s">
        <v>100</v>
      </c>
      <c r="D2623" t="s">
        <v>854</v>
      </c>
      <c r="E2623" t="s">
        <v>993</v>
      </c>
      <c r="F2623" t="s">
        <v>22</v>
      </c>
      <c r="G2623" t="s">
        <v>83</v>
      </c>
      <c r="H2623" t="s">
        <v>1781</v>
      </c>
      <c r="I2623" t="s">
        <v>25</v>
      </c>
      <c r="J2623" s="2">
        <v>45801.724398148152</v>
      </c>
      <c r="K2623">
        <v>24</v>
      </c>
      <c r="L2623">
        <v>5</v>
      </c>
      <c r="M2623">
        <v>2025</v>
      </c>
      <c r="N2623" t="s">
        <v>27</v>
      </c>
      <c r="O2623">
        <v>220</v>
      </c>
      <c r="P2623">
        <v>220</v>
      </c>
      <c r="R2623" s="3" t="str">
        <f>HYPERLINK("https://panda.att.com.mx/ODKServer/view/binaryData?blobKey=FSSuministroFluidosv3%5B%40version%3Dnull+and+%40uiVersion%3Dnull%5D%2Fdata%5B%40key%3Duuid%3A5d5d12b0-c9f7-4596-bf6b-0f2538dac650%5D%2FgroupInfoFuel%5B%40ordinal%3D1%5D%2FpicFuelRecibeInterno","Descargar")</f>
        <v>Descargar</v>
      </c>
    </row>
    <row r="2624" spans="1:18" x14ac:dyDescent="0.3">
      <c r="A2624">
        <v>1543070</v>
      </c>
      <c r="B2624" t="s">
        <v>18</v>
      </c>
      <c r="C2624" t="s">
        <v>100</v>
      </c>
      <c r="D2624" t="s">
        <v>716</v>
      </c>
      <c r="E2624" t="s">
        <v>717</v>
      </c>
      <c r="F2624" t="s">
        <v>22</v>
      </c>
      <c r="G2624" t="s">
        <v>83</v>
      </c>
      <c r="H2624" t="s">
        <v>1781</v>
      </c>
      <c r="I2624" t="s">
        <v>25</v>
      </c>
      <c r="J2624" s="2">
        <v>45801.678252314807</v>
      </c>
      <c r="K2624">
        <v>24</v>
      </c>
      <c r="L2624">
        <v>5</v>
      </c>
      <c r="M2624">
        <v>2025</v>
      </c>
      <c r="N2624" t="s">
        <v>27</v>
      </c>
      <c r="O2624">
        <v>150</v>
      </c>
      <c r="P2624">
        <v>150</v>
      </c>
      <c r="R2624" s="3" t="str">
        <f>HYPERLINK("https://panda.att.com.mx/ODKServer/view/binaryData?blobKey=FSSuministroFluidosv3%5B%40version%3Dnull+and+%40uiVersion%3Dnull%5D%2Fdata%5B%40key%3Duuid%3A35eaade0-6bbd-4973-8a6c-f8925cc0f925%5D%2FgroupInfoFuel%5B%40ordinal%3D1%5D%2FpicFuelRecibeInterno","Descargar")</f>
        <v>Descargar</v>
      </c>
    </row>
    <row r="2625" spans="1:18" x14ac:dyDescent="0.3">
      <c r="A2625">
        <v>1543067</v>
      </c>
      <c r="B2625" t="s">
        <v>18</v>
      </c>
      <c r="C2625" t="s">
        <v>100</v>
      </c>
      <c r="D2625" t="s">
        <v>101</v>
      </c>
      <c r="E2625" t="s">
        <v>2037</v>
      </c>
      <c r="F2625" t="s">
        <v>22</v>
      </c>
      <c r="G2625" t="s">
        <v>83</v>
      </c>
      <c r="H2625" t="s">
        <v>1781</v>
      </c>
      <c r="I2625" t="s">
        <v>25</v>
      </c>
      <c r="J2625" s="2">
        <v>45801.484282407408</v>
      </c>
      <c r="K2625">
        <v>24</v>
      </c>
      <c r="L2625">
        <v>5</v>
      </c>
      <c r="M2625">
        <v>2025</v>
      </c>
      <c r="N2625" t="s">
        <v>27</v>
      </c>
      <c r="O2625">
        <v>250</v>
      </c>
      <c r="P2625">
        <v>250</v>
      </c>
      <c r="R2625" s="3" t="str">
        <f>HYPERLINK("https://panda.att.com.mx/ODKServer/view/binaryData?blobKey=FSSuministroFluidosv3%5B%40version%3Dnull+and+%40uiVersion%3Dnull%5D%2Fdata%5B%40key%3Duuid%3A1c30840b-cea7-4118-964e-9a3432591f0e%5D%2FgroupInfoFuel%5B%40ordinal%3D1%5D%2FpicFuelRecibeInterno","Descargar")</f>
        <v>Descargar</v>
      </c>
    </row>
    <row r="2626" spans="1:18" x14ac:dyDescent="0.3">
      <c r="A2626">
        <v>1543052</v>
      </c>
      <c r="B2626" t="s">
        <v>18</v>
      </c>
      <c r="C2626" t="s">
        <v>19</v>
      </c>
      <c r="D2626" t="s">
        <v>42</v>
      </c>
      <c r="E2626" t="s">
        <v>2133</v>
      </c>
      <c r="F2626" t="s">
        <v>22</v>
      </c>
      <c r="G2626" t="s">
        <v>23</v>
      </c>
      <c r="H2626" t="s">
        <v>24</v>
      </c>
      <c r="I2626" t="s">
        <v>25</v>
      </c>
      <c r="J2626" s="2">
        <v>45801.416655092587</v>
      </c>
      <c r="K2626">
        <v>24</v>
      </c>
      <c r="L2626">
        <v>5</v>
      </c>
      <c r="M2626">
        <v>2025</v>
      </c>
      <c r="N2626" t="s">
        <v>44</v>
      </c>
      <c r="O2626">
        <v>50</v>
      </c>
      <c r="P2626">
        <v>50</v>
      </c>
      <c r="R2626" s="3" t="str">
        <f>HYPERLINK("https://panda.att.com.mx/ODKServer/view/binaryData?blobKey=FSSuministroFluidosv3%5B%40version%3Dnull+and+%40uiVersion%3Dnull%5D%2Fdata%5B%40key%3Duuid%3A9d8b059e-1b72-47aa-9171-6f8995121a20%5D%2FgroupInfoFuel%5B%40ordinal%3D1%5D%2FpicFuelRecibeInterno","Descargar")</f>
        <v>Descargar</v>
      </c>
    </row>
    <row r="2627" spans="1:18" x14ac:dyDescent="0.3">
      <c r="A2627">
        <v>1540368</v>
      </c>
      <c r="B2627" t="s">
        <v>18</v>
      </c>
      <c r="C2627" t="s">
        <v>59</v>
      </c>
      <c r="D2627" t="s">
        <v>60</v>
      </c>
      <c r="E2627" t="s">
        <v>2179</v>
      </c>
      <c r="F2627" t="s">
        <v>22</v>
      </c>
      <c r="G2627" t="s">
        <v>23</v>
      </c>
      <c r="H2627" t="s">
        <v>37</v>
      </c>
      <c r="I2627" t="s">
        <v>25</v>
      </c>
      <c r="J2627" s="2">
        <v>45795.769976851851</v>
      </c>
      <c r="K2627">
        <v>18</v>
      </c>
      <c r="L2627">
        <v>5</v>
      </c>
      <c r="M2627">
        <v>2025</v>
      </c>
      <c r="N2627" t="s">
        <v>27</v>
      </c>
      <c r="O2627">
        <v>50</v>
      </c>
      <c r="P2627">
        <v>50</v>
      </c>
      <c r="R2627" s="3" t="str">
        <f>HYPERLINK("https://panda.att.com.mx/ODKServer/view/binaryData?blobKey=FSSuministroFluidosv3%5B%40version%3Dnull+and+%40uiVersion%3Dnull%5D%2Fdata%5B%40key%3Duuid%3A93edd042-4bbe-48f4-8475-9c35a7800919%5D%2FgroupInfoFuel%5B%40ordinal%3D1%5D%2FpicFuelRecibeInterno","Descargar")</f>
        <v>Descargar</v>
      </c>
    </row>
    <row r="2628" spans="1:18" x14ac:dyDescent="0.3">
      <c r="A2628">
        <v>1540352</v>
      </c>
      <c r="B2628" t="s">
        <v>18</v>
      </c>
      <c r="C2628" t="s">
        <v>55</v>
      </c>
      <c r="D2628" t="s">
        <v>56</v>
      </c>
      <c r="E2628" t="s">
        <v>1555</v>
      </c>
      <c r="F2628" t="s">
        <v>22</v>
      </c>
      <c r="G2628" t="s">
        <v>23</v>
      </c>
      <c r="H2628" t="s">
        <v>1763</v>
      </c>
      <c r="I2628" t="s">
        <v>25</v>
      </c>
      <c r="J2628" s="2">
        <v>45796.578958333332</v>
      </c>
      <c r="K2628">
        <v>19</v>
      </c>
      <c r="L2628">
        <v>5</v>
      </c>
      <c r="M2628">
        <v>2025</v>
      </c>
      <c r="N2628" t="s">
        <v>27</v>
      </c>
      <c r="O2628">
        <v>100</v>
      </c>
      <c r="P2628">
        <v>100</v>
      </c>
      <c r="R2628" s="3" t="str">
        <f>HYPERLINK("https://panda.att.com.mx/ODKServer/view/binaryData?blobKey=FSSuministroFluidosv3%5B%40version%3Dnull+and+%40uiVersion%3Dnull%5D%2Fdata%5B%40key%3Duuid%3A50e8bbab-2ac5-4945-a406-a12daf9577c6%5D%2FgroupInfoFuel%5B%40ordinal%3D1%5D%2FpicFuelRecibeInterno","Descargar")</f>
        <v>Descargar</v>
      </c>
    </row>
    <row r="2629" spans="1:18" x14ac:dyDescent="0.3">
      <c r="A2629">
        <v>1540324</v>
      </c>
      <c r="B2629" t="s">
        <v>18</v>
      </c>
      <c r="C2629" t="s">
        <v>19</v>
      </c>
      <c r="D2629" t="s">
        <v>109</v>
      </c>
      <c r="E2629" t="s">
        <v>1136</v>
      </c>
      <c r="F2629" t="s">
        <v>22</v>
      </c>
      <c r="G2629" t="s">
        <v>23</v>
      </c>
      <c r="H2629" t="s">
        <v>24</v>
      </c>
      <c r="I2629" t="s">
        <v>25</v>
      </c>
      <c r="J2629" s="2">
        <v>45791.562488425923</v>
      </c>
      <c r="K2629">
        <v>14</v>
      </c>
      <c r="L2629">
        <v>5</v>
      </c>
      <c r="M2629">
        <v>2025</v>
      </c>
      <c r="N2629" t="s">
        <v>44</v>
      </c>
      <c r="O2629">
        <v>45</v>
      </c>
      <c r="P2629">
        <v>45</v>
      </c>
      <c r="R2629" s="3" t="str">
        <f>HYPERLINK("https://panda.att.com.mx/ODKServer/view/binaryData?blobKey=FSSuministroFluidosv3%5B%40version%3Dnull+and+%40uiVersion%3Dnull%5D%2Fdata%5B%40key%3Duuid%3A848e2d14-b122-4da0-8aa7-baba7216d445%5D%2FgroupInfoFuel%5B%40ordinal%3D1%5D%2FpicFuelRecibeInterno","Descargar")</f>
        <v>Descargar</v>
      </c>
    </row>
    <row r="2630" spans="1:18" x14ac:dyDescent="0.3">
      <c r="A2630">
        <v>1540267</v>
      </c>
      <c r="B2630" t="s">
        <v>18</v>
      </c>
      <c r="C2630" t="s">
        <v>59</v>
      </c>
      <c r="D2630" t="s">
        <v>2112</v>
      </c>
      <c r="E2630" t="s">
        <v>2180</v>
      </c>
      <c r="F2630" t="s">
        <v>22</v>
      </c>
      <c r="G2630" t="s">
        <v>23</v>
      </c>
      <c r="H2630" t="s">
        <v>37</v>
      </c>
      <c r="I2630" t="s">
        <v>25</v>
      </c>
      <c r="J2630" s="2">
        <v>45797.944791666669</v>
      </c>
      <c r="K2630">
        <v>20</v>
      </c>
      <c r="L2630">
        <v>5</v>
      </c>
      <c r="M2630">
        <v>2025</v>
      </c>
      <c r="N2630" t="s">
        <v>27</v>
      </c>
      <c r="O2630">
        <v>350</v>
      </c>
      <c r="Q2630">
        <v>350</v>
      </c>
      <c r="R2630" s="3" t="str">
        <f>HYPERLINK("https://panda.att.com.mx/ODKServer/view/binaryData?blobKey=FSSuministroFluidosv3%5B%40version%3Dnull+and+%40uiVersion%3Dnull%5D%2Fdata%5B%40key%3Duuid%3A24c359ab-b1ce-45dc-81ba-e977b964f77e%5D%2FgroupInfoFuel%5B%40ordinal%3D1%5D%2FpicFuelRecibeInterno","Descargar")</f>
        <v>Descargar</v>
      </c>
    </row>
    <row r="2631" spans="1:18" x14ac:dyDescent="0.3">
      <c r="A2631">
        <v>1540064</v>
      </c>
      <c r="B2631" t="s">
        <v>18</v>
      </c>
      <c r="C2631" t="s">
        <v>68</v>
      </c>
      <c r="D2631" t="s">
        <v>69</v>
      </c>
      <c r="E2631" t="s">
        <v>2128</v>
      </c>
      <c r="F2631" t="s">
        <v>22</v>
      </c>
      <c r="G2631" t="s">
        <v>23</v>
      </c>
      <c r="H2631" t="s">
        <v>37</v>
      </c>
      <c r="I2631" t="s">
        <v>25</v>
      </c>
      <c r="J2631" s="2">
        <v>45797.623692129629</v>
      </c>
      <c r="K2631">
        <v>20</v>
      </c>
      <c r="L2631">
        <v>5</v>
      </c>
      <c r="M2631">
        <v>2025</v>
      </c>
      <c r="N2631" t="s">
        <v>44</v>
      </c>
      <c r="O2631">
        <v>50</v>
      </c>
      <c r="P2631">
        <v>50</v>
      </c>
      <c r="R2631" s="3" t="str">
        <f>HYPERLINK("https://panda.att.com.mx/ODKServer/view/binaryData?blobKey=FSSuministroFluidosv3%5B%40version%3Dnull+and+%40uiVersion%3Dnull%5D%2Fdata%5B%40key%3Duuid%3Ac75f71f5-a9d7-4a11-9f3a-0c07fc8ee5ed%5D%2FgroupInfoFuel%5B%40ordinal%3D1%5D%2FpicFuelRecibeInterno","Descargar")</f>
        <v>Descargar</v>
      </c>
    </row>
    <row r="2632" spans="1:18" x14ac:dyDescent="0.3">
      <c r="A2632">
        <v>1539972</v>
      </c>
      <c r="B2632" t="s">
        <v>18</v>
      </c>
      <c r="C2632" t="s">
        <v>19</v>
      </c>
      <c r="D2632" t="s">
        <v>45</v>
      </c>
      <c r="E2632" t="s">
        <v>1482</v>
      </c>
      <c r="F2632" t="s">
        <v>22</v>
      </c>
      <c r="G2632" t="s">
        <v>23</v>
      </c>
      <c r="H2632" t="s">
        <v>24</v>
      </c>
      <c r="I2632" t="s">
        <v>25</v>
      </c>
      <c r="J2632" s="2">
        <v>45797.316018518519</v>
      </c>
      <c r="K2632">
        <v>20</v>
      </c>
      <c r="L2632">
        <v>5</v>
      </c>
      <c r="M2632">
        <v>2025</v>
      </c>
      <c r="N2632" t="s">
        <v>27</v>
      </c>
      <c r="O2632">
        <v>150</v>
      </c>
      <c r="P2632">
        <v>150</v>
      </c>
      <c r="R2632" s="3" t="str">
        <f>HYPERLINK("https://panda.att.com.mx/ODKServer/view/binaryData?blobKey=FSSuministroFluidosv3%5B%40version%3Dnull+and+%40uiVersion%3Dnull%5D%2Fdata%5B%40key%3Duuid%3Ac013a337-4a30-4803-b1b7-1802082242cc%5D%2FgroupInfoFuel%5B%40ordinal%3D1%5D%2FpicFuelRecibeInterno","Descargar")</f>
        <v>Descargar</v>
      </c>
    </row>
    <row r="2633" spans="1:18" x14ac:dyDescent="0.3">
      <c r="A2633">
        <v>1539948</v>
      </c>
      <c r="B2633" t="s">
        <v>18</v>
      </c>
      <c r="C2633" t="s">
        <v>28</v>
      </c>
      <c r="D2633" t="s">
        <v>177</v>
      </c>
      <c r="E2633" t="s">
        <v>178</v>
      </c>
      <c r="F2633" t="s">
        <v>22</v>
      </c>
      <c r="G2633" t="s">
        <v>23</v>
      </c>
      <c r="H2633" t="s">
        <v>24</v>
      </c>
      <c r="I2633" t="s">
        <v>25</v>
      </c>
      <c r="J2633" s="2">
        <v>45790.785844907397</v>
      </c>
      <c r="K2633">
        <v>13</v>
      </c>
      <c r="L2633">
        <v>5</v>
      </c>
      <c r="M2633">
        <v>2025</v>
      </c>
      <c r="N2633" t="s">
        <v>27</v>
      </c>
      <c r="O2633">
        <v>400</v>
      </c>
      <c r="Q2633">
        <v>400</v>
      </c>
      <c r="R2633" s="3" t="str">
        <f>HYPERLINK("https://panda.att.com.mx/ODKServer/view/binaryData?blobKey=FSSuministroFluidosv3%5B%40version%3Dnull+and+%40uiVersion%3Dnull%5D%2Fdata%5B%40key%3Duuid%3A178b0ad7-b66b-4c2d-bbef-4f66574b3e7d%5D%2FgroupInfoFuel%5B%40ordinal%3D1%5D%2FpicFuelRecibeInterno","Descargar")</f>
        <v>Descargar</v>
      </c>
    </row>
    <row r="2634" spans="1:18" x14ac:dyDescent="0.3">
      <c r="A2634">
        <v>1539947</v>
      </c>
      <c r="B2634" t="s">
        <v>18</v>
      </c>
      <c r="C2634" t="s">
        <v>28</v>
      </c>
      <c r="D2634" t="s">
        <v>29</v>
      </c>
      <c r="E2634" t="s">
        <v>194</v>
      </c>
      <c r="F2634" t="s">
        <v>22</v>
      </c>
      <c r="G2634" t="s">
        <v>23</v>
      </c>
      <c r="H2634" t="s">
        <v>24</v>
      </c>
      <c r="I2634" t="s">
        <v>25</v>
      </c>
      <c r="J2634" s="2">
        <v>45790.568449074082</v>
      </c>
      <c r="K2634">
        <v>13</v>
      </c>
      <c r="L2634">
        <v>5</v>
      </c>
      <c r="M2634">
        <v>2025</v>
      </c>
      <c r="N2634" t="s">
        <v>27</v>
      </c>
      <c r="O2634">
        <v>200</v>
      </c>
      <c r="Q2634">
        <v>200</v>
      </c>
      <c r="R2634" s="3" t="str">
        <f>HYPERLINK("https://panda.att.com.mx/ODKServer/view/binaryData?blobKey=FSSuministroFluidosv3%5B%40version%3Dnull+and+%40uiVersion%3Dnull%5D%2Fdata%5B%40key%3Duuid%3A1aa92232-7359-417b-b158-3d916a0da73e%5D%2FgroupInfoFuel%5B%40ordinal%3D1%5D%2FpicFuelRecibeInterno","Descargar")</f>
        <v>Descargar</v>
      </c>
    </row>
    <row r="2635" spans="1:18" x14ac:dyDescent="0.3">
      <c r="A2635">
        <v>1539880</v>
      </c>
      <c r="B2635" t="s">
        <v>18</v>
      </c>
      <c r="C2635" t="s">
        <v>55</v>
      </c>
      <c r="D2635" t="s">
        <v>56</v>
      </c>
      <c r="E2635" t="s">
        <v>2181</v>
      </c>
      <c r="F2635" t="s">
        <v>22</v>
      </c>
      <c r="G2635" t="s">
        <v>23</v>
      </c>
      <c r="H2635" t="s">
        <v>1763</v>
      </c>
      <c r="I2635" t="s">
        <v>25</v>
      </c>
      <c r="J2635" s="2">
        <v>45792.618773148148</v>
      </c>
      <c r="K2635">
        <v>15</v>
      </c>
      <c r="L2635">
        <v>5</v>
      </c>
      <c r="M2635">
        <v>2025</v>
      </c>
      <c r="N2635" t="s">
        <v>27</v>
      </c>
      <c r="O2635">
        <v>450</v>
      </c>
      <c r="P2635">
        <v>450</v>
      </c>
      <c r="R2635" s="3" t="str">
        <f>HYPERLINK("https://panda.att.com.mx/ODKServer/view/binaryData?blobKey=FSSuministroFluidosv3%5B%40version%3Dnull+and+%40uiVersion%3Dnull%5D%2Fdata%5B%40key%3Duuid%3A3184c723-657e-4a60-ad63-2f0fd995f515%5D%2FgroupInfoFuel%5B%40ordinal%3D1%5D%2FpicFuelRecibeInterno","Descargar")</f>
        <v>Descargar</v>
      </c>
    </row>
    <row r="2636" spans="1:18" x14ac:dyDescent="0.3">
      <c r="A2636">
        <v>1539783</v>
      </c>
      <c r="B2636" t="s">
        <v>18</v>
      </c>
      <c r="C2636" t="s">
        <v>100</v>
      </c>
      <c r="D2636" t="s">
        <v>716</v>
      </c>
      <c r="E2636" t="s">
        <v>717</v>
      </c>
      <c r="F2636" t="s">
        <v>22</v>
      </c>
      <c r="G2636" t="s">
        <v>83</v>
      </c>
      <c r="H2636" t="s">
        <v>1781</v>
      </c>
      <c r="I2636" t="s">
        <v>25</v>
      </c>
      <c r="J2636" s="2">
        <v>45797.46162037037</v>
      </c>
      <c r="K2636">
        <v>20</v>
      </c>
      <c r="L2636">
        <v>5</v>
      </c>
      <c r="M2636">
        <v>2025</v>
      </c>
      <c r="N2636" t="s">
        <v>27</v>
      </c>
      <c r="O2636">
        <v>130</v>
      </c>
      <c r="P2636">
        <v>130</v>
      </c>
      <c r="R2636" s="3" t="str">
        <f>HYPERLINK("https://panda.att.com.mx/ODKServer/view/binaryData?blobKey=FSSuministroFluidosv3%5B%40version%3Dnull+and+%40uiVersion%3Dnull%5D%2Fdata%5B%40key%3Duuid%3A423f2600-250e-44f7-9d47-534c777664c0%5D%2FgroupInfoFuel%5B%40ordinal%3D1%5D%2FpicFuelRecibeInterno","Descargar")</f>
        <v>Descargar</v>
      </c>
    </row>
    <row r="2637" spans="1:18" x14ac:dyDescent="0.3">
      <c r="A2637">
        <v>1539743</v>
      </c>
      <c r="B2637" t="s">
        <v>18</v>
      </c>
      <c r="C2637" t="s">
        <v>55</v>
      </c>
      <c r="D2637" t="s">
        <v>56</v>
      </c>
      <c r="E2637" t="s">
        <v>2182</v>
      </c>
      <c r="F2637" t="s">
        <v>22</v>
      </c>
      <c r="G2637" t="s">
        <v>23</v>
      </c>
      <c r="H2637" t="s">
        <v>1763</v>
      </c>
      <c r="I2637" t="s">
        <v>25</v>
      </c>
      <c r="J2637" s="2">
        <v>45788.425798611112</v>
      </c>
      <c r="K2637">
        <v>11</v>
      </c>
      <c r="L2637">
        <v>5</v>
      </c>
      <c r="M2637">
        <v>2025</v>
      </c>
      <c r="N2637" t="s">
        <v>27</v>
      </c>
      <c r="O2637">
        <v>100</v>
      </c>
      <c r="P2637">
        <v>100</v>
      </c>
      <c r="R2637" s="3" t="str">
        <f>HYPERLINK("https://panda.att.com.mx/ODKServer/view/binaryData?blobKey=FSSuministroFluidosv3%5B%40version%3Dnull+and+%40uiVersion%3Dnull%5D%2Fdata%5B%40key%3Duuid%3Ad7c971d4-192a-4ed2-b58d-ec420a1a6a02%5D%2FgroupInfoFuel%5B%40ordinal%3D1%5D%2FpicFuelRecibeInterno","Descargar")</f>
        <v>Descargar</v>
      </c>
    </row>
    <row r="2638" spans="1:18" x14ac:dyDescent="0.3">
      <c r="A2638">
        <v>1539716</v>
      </c>
      <c r="B2638" t="s">
        <v>18</v>
      </c>
      <c r="C2638" t="s">
        <v>167</v>
      </c>
      <c r="D2638" t="s">
        <v>264</v>
      </c>
      <c r="E2638" t="s">
        <v>2183</v>
      </c>
      <c r="G2638" t="s">
        <v>23</v>
      </c>
      <c r="H2638" t="s">
        <v>58</v>
      </c>
      <c r="I2638" t="s">
        <v>25</v>
      </c>
      <c r="J2638" s="2">
        <v>45796.566851851851</v>
      </c>
      <c r="K2638">
        <v>19</v>
      </c>
      <c r="L2638">
        <v>5</v>
      </c>
      <c r="M2638">
        <v>2025</v>
      </c>
      <c r="N2638" t="s">
        <v>27</v>
      </c>
      <c r="O2638">
        <v>331.64</v>
      </c>
      <c r="P2638">
        <v>331.64</v>
      </c>
      <c r="R2638" s="3" t="str">
        <f>HYPERLINK("https://panda.att.com.mx/ODKServer/view/binaryData?blobKey=FSSuministroFluidosv3%5B%40version%3Dnull+and+%40uiVersion%3Dnull%5D%2Fdata%5B%40key%3Duuid%3A620eac10-f4e8-4c46-808f-82575446ffe4%5D%2FgroupInfoFuel%5B%40ordinal%3D1%5D%2FpicFuelRecibeInterno","Descargar")</f>
        <v>Descargar</v>
      </c>
    </row>
    <row r="2639" spans="1:18" x14ac:dyDescent="0.3">
      <c r="A2639">
        <v>1539629</v>
      </c>
      <c r="B2639" t="s">
        <v>18</v>
      </c>
      <c r="C2639" t="s">
        <v>34</v>
      </c>
      <c r="D2639" t="s">
        <v>53</v>
      </c>
      <c r="E2639" t="s">
        <v>2086</v>
      </c>
      <c r="F2639" t="s">
        <v>22</v>
      </c>
      <c r="G2639" t="s">
        <v>23</v>
      </c>
      <c r="H2639" t="s">
        <v>37</v>
      </c>
      <c r="I2639" t="s">
        <v>25</v>
      </c>
      <c r="J2639" s="2">
        <v>45794.547129629631</v>
      </c>
      <c r="K2639">
        <v>17</v>
      </c>
      <c r="L2639">
        <v>5</v>
      </c>
      <c r="M2639">
        <v>2025</v>
      </c>
      <c r="N2639" t="s">
        <v>27</v>
      </c>
      <c r="O2639">
        <v>300</v>
      </c>
      <c r="P2639">
        <v>300</v>
      </c>
      <c r="R2639" s="3" t="str">
        <f>HYPERLINK("https://panda.att.com.mx/ODKServer/view/binaryData?blobKey=FSSuministroFluidosv3%5B%40version%3Dnull+and+%40uiVersion%3Dnull%5D%2Fdata%5B%40key%3Duuid%3A31a1f15a-af5d-4908-96f9-668d57ea7e52%5D%2FgroupInfoFuel%5B%40ordinal%3D1%5D%2FpicFuelRecibeInterno","Descargar")</f>
        <v>Descargar</v>
      </c>
    </row>
    <row r="2640" spans="1:18" x14ac:dyDescent="0.3">
      <c r="A2640">
        <v>1539507</v>
      </c>
      <c r="B2640" t="s">
        <v>18</v>
      </c>
      <c r="C2640" t="s">
        <v>28</v>
      </c>
      <c r="D2640" t="s">
        <v>181</v>
      </c>
      <c r="E2640" t="s">
        <v>1783</v>
      </c>
      <c r="F2640" t="s">
        <v>22</v>
      </c>
      <c r="G2640" t="s">
        <v>23</v>
      </c>
      <c r="H2640" t="s">
        <v>24</v>
      </c>
      <c r="I2640" t="s">
        <v>25</v>
      </c>
      <c r="J2640" s="2">
        <v>45795.784375000003</v>
      </c>
      <c r="K2640">
        <v>18</v>
      </c>
      <c r="L2640">
        <v>5</v>
      </c>
      <c r="M2640">
        <v>2025</v>
      </c>
      <c r="N2640" t="s">
        <v>44</v>
      </c>
      <c r="O2640">
        <v>50</v>
      </c>
      <c r="P2640">
        <v>50</v>
      </c>
      <c r="R2640" s="3" t="str">
        <f>HYPERLINK("https://panda.att.com.mx/ODKServer/view/binaryData?blobKey=FSSuministroFluidosv3%5B%40version%3Dnull+and+%40uiVersion%3Dnull%5D%2Fdata%5B%40key%3Duuid%3A96f117ae-77cf-4b24-9328-d93dfaa9a8e4%5D%2FgroupInfoFuel%5B%40ordinal%3D1%5D%2FpicFuelRecibeInterno","Descargar")</f>
        <v>Descargar</v>
      </c>
    </row>
    <row r="2641" spans="1:18" x14ac:dyDescent="0.3">
      <c r="A2641">
        <v>1539503</v>
      </c>
      <c r="B2641" t="s">
        <v>18</v>
      </c>
      <c r="C2641" t="s">
        <v>28</v>
      </c>
      <c r="D2641" t="s">
        <v>1054</v>
      </c>
      <c r="E2641" t="s">
        <v>1991</v>
      </c>
      <c r="F2641" t="s">
        <v>22</v>
      </c>
      <c r="G2641" t="s">
        <v>23</v>
      </c>
      <c r="H2641" t="s">
        <v>24</v>
      </c>
      <c r="I2641" t="s">
        <v>25</v>
      </c>
      <c r="J2641" s="2">
        <v>45789.814502314817</v>
      </c>
      <c r="K2641">
        <v>12</v>
      </c>
      <c r="L2641">
        <v>5</v>
      </c>
      <c r="M2641">
        <v>2025</v>
      </c>
      <c r="N2641" t="s">
        <v>27</v>
      </c>
      <c r="O2641">
        <v>500</v>
      </c>
      <c r="P2641">
        <v>500</v>
      </c>
      <c r="R2641" s="3" t="str">
        <f>HYPERLINK("https://panda.att.com.mx/ODKServer/view/binaryData?blobKey=FSSuministroFluidosv3%5B%40version%3Dnull+and+%40uiVersion%3Dnull%5D%2Fdata%5B%40key%3Duuid%3Ae6835fd0-5449-4b66-80ba-cde712992b29%5D%2FgroupInfoFuel%5B%40ordinal%3D1%5D%2FpicFuelRecibeInterno","Descargar")</f>
        <v>Descargar</v>
      </c>
    </row>
    <row r="2642" spans="1:18" x14ac:dyDescent="0.3">
      <c r="A2642">
        <v>1539499</v>
      </c>
      <c r="B2642" t="s">
        <v>18</v>
      </c>
      <c r="C2642" t="s">
        <v>55</v>
      </c>
      <c r="D2642" t="s">
        <v>56</v>
      </c>
      <c r="E2642" t="s">
        <v>2184</v>
      </c>
      <c r="F2642" t="s">
        <v>22</v>
      </c>
      <c r="G2642" t="s">
        <v>23</v>
      </c>
      <c r="H2642" t="s">
        <v>1763</v>
      </c>
      <c r="I2642" t="s">
        <v>25</v>
      </c>
      <c r="J2642" s="2">
        <v>45785.364050925928</v>
      </c>
      <c r="K2642">
        <v>8</v>
      </c>
      <c r="L2642">
        <v>5</v>
      </c>
      <c r="M2642">
        <v>2025</v>
      </c>
      <c r="N2642" t="s">
        <v>27</v>
      </c>
      <c r="O2642">
        <v>250</v>
      </c>
      <c r="P2642">
        <v>250</v>
      </c>
      <c r="R2642" s="3" t="str">
        <f>HYPERLINK("https://panda.att.com.mx/ODKServer/view/binaryData?blobKey=FSSuministroFluidosv3%5B%40version%3Dnull+and+%40uiVersion%3Dnull%5D%2Fdata%5B%40key%3Duuid%3A0be62314-5076-4500-91cb-fadbe29ef90f%5D%2FgroupInfoFuel%5B%40ordinal%3D1%5D%2FpicFuelRecibeInterno","Descargar")</f>
        <v>Descargar</v>
      </c>
    </row>
    <row r="2643" spans="1:18" x14ac:dyDescent="0.3">
      <c r="A2643">
        <v>1539493</v>
      </c>
      <c r="B2643" t="s">
        <v>18</v>
      </c>
      <c r="C2643" t="s">
        <v>55</v>
      </c>
      <c r="D2643" t="s">
        <v>56</v>
      </c>
      <c r="E2643" t="s">
        <v>2083</v>
      </c>
      <c r="F2643" t="s">
        <v>22</v>
      </c>
      <c r="G2643" t="s">
        <v>23</v>
      </c>
      <c r="H2643" t="s">
        <v>1763</v>
      </c>
      <c r="I2643" t="s">
        <v>25</v>
      </c>
      <c r="J2643" s="2">
        <v>45792.551874999997</v>
      </c>
      <c r="K2643">
        <v>15</v>
      </c>
      <c r="L2643">
        <v>5</v>
      </c>
      <c r="M2643">
        <v>2025</v>
      </c>
      <c r="N2643" t="s">
        <v>27</v>
      </c>
      <c r="O2643">
        <v>100</v>
      </c>
      <c r="P2643">
        <v>100</v>
      </c>
      <c r="R2643" s="3" t="str">
        <f>HYPERLINK("https://panda.att.com.mx/ODKServer/view/binaryData?blobKey=FSSuministroFluidosv3%5B%40version%3Dnull+and+%40uiVersion%3Dnull%5D%2Fdata%5B%40key%3Duuid%3A2abf6eed-1bf8-4ad6-822e-bcc33e81a8b4%5D%2FgroupInfoFuel%5B%40ordinal%3D1%5D%2FpicFuelRecibeInterno","Descargar")</f>
        <v>Descargar</v>
      </c>
    </row>
    <row r="2644" spans="1:18" x14ac:dyDescent="0.3">
      <c r="A2644">
        <v>1539492</v>
      </c>
      <c r="B2644" t="s">
        <v>18</v>
      </c>
      <c r="C2644" t="s">
        <v>55</v>
      </c>
      <c r="D2644" t="s">
        <v>56</v>
      </c>
      <c r="E2644" t="s">
        <v>2083</v>
      </c>
      <c r="F2644" t="s">
        <v>22</v>
      </c>
      <c r="G2644" t="s">
        <v>23</v>
      </c>
      <c r="H2644" t="s">
        <v>1763</v>
      </c>
      <c r="I2644" t="s">
        <v>25</v>
      </c>
      <c r="J2644" s="2">
        <v>45796.614085648151</v>
      </c>
      <c r="K2644">
        <v>19</v>
      </c>
      <c r="L2644">
        <v>5</v>
      </c>
      <c r="M2644">
        <v>2025</v>
      </c>
      <c r="N2644" t="s">
        <v>27</v>
      </c>
      <c r="O2644">
        <v>100</v>
      </c>
      <c r="P2644">
        <v>100</v>
      </c>
      <c r="R2644" s="3" t="str">
        <f>HYPERLINK("https://panda.att.com.mx/ODKServer/view/binaryData?blobKey=FSSuministroFluidosv3%5B%40version%3Dnull+and+%40uiVersion%3Dnull%5D%2Fdata%5B%40key%3Duuid%3Aabc136c9-17fd-4f3c-9e11-ea553ca9ca03%5D%2FgroupInfoFuel%5B%40ordinal%3D1%5D%2FpicFuelRecibeInterno","Descargar")</f>
        <v>Descargar</v>
      </c>
    </row>
    <row r="2645" spans="1:18" x14ac:dyDescent="0.3">
      <c r="A2645">
        <v>1539447</v>
      </c>
      <c r="B2645" t="s">
        <v>18</v>
      </c>
      <c r="C2645" t="s">
        <v>55</v>
      </c>
      <c r="D2645" t="s">
        <v>56</v>
      </c>
      <c r="E2645" t="s">
        <v>2182</v>
      </c>
      <c r="F2645" t="s">
        <v>22</v>
      </c>
      <c r="G2645" t="s">
        <v>23</v>
      </c>
      <c r="H2645" t="s">
        <v>1763</v>
      </c>
      <c r="I2645" t="s">
        <v>25</v>
      </c>
      <c r="J2645" s="2">
        <v>45786.409814814811</v>
      </c>
      <c r="K2645">
        <v>9</v>
      </c>
      <c r="L2645">
        <v>5</v>
      </c>
      <c r="M2645">
        <v>2025</v>
      </c>
      <c r="N2645" t="s">
        <v>27</v>
      </c>
      <c r="O2645">
        <v>200</v>
      </c>
      <c r="P2645">
        <v>200</v>
      </c>
      <c r="R2645" s="3" t="str">
        <f>HYPERLINK("https://panda.att.com.mx/ODKServer/view/binaryData?blobKey=FSSuministroFluidosv3%5B%40version%3Dnull+and+%40uiVersion%3Dnull%5D%2Fdata%5B%40key%3Duuid%3A53e2f51e-ad3d-49b0-a67c-d07a4cd776d6%5D%2FgroupInfoFuel%5B%40ordinal%3D1%5D%2FpicFuelRecibeInterno","Descargar")</f>
        <v>Descargar</v>
      </c>
    </row>
    <row r="2646" spans="1:18" x14ac:dyDescent="0.3">
      <c r="A2646">
        <v>1539427</v>
      </c>
      <c r="B2646" t="s">
        <v>18</v>
      </c>
      <c r="C2646" t="s">
        <v>19</v>
      </c>
      <c r="D2646" t="s">
        <v>45</v>
      </c>
      <c r="E2646" t="s">
        <v>752</v>
      </c>
      <c r="F2646" t="s">
        <v>22</v>
      </c>
      <c r="G2646" t="s">
        <v>23</v>
      </c>
      <c r="H2646" t="s">
        <v>24</v>
      </c>
      <c r="I2646" t="s">
        <v>25</v>
      </c>
      <c r="J2646" s="2">
        <v>45794.681284722217</v>
      </c>
      <c r="K2646">
        <v>17</v>
      </c>
      <c r="L2646">
        <v>5</v>
      </c>
      <c r="M2646">
        <v>2025</v>
      </c>
      <c r="N2646" t="s">
        <v>27</v>
      </c>
      <c r="O2646">
        <v>300</v>
      </c>
      <c r="P2646">
        <v>300</v>
      </c>
      <c r="R2646" s="3" t="str">
        <f>HYPERLINK("https://panda.att.com.mx/ODKServer/view/binaryData?blobKey=FSSuministroFluidosv3%5B%40version%3Dnull+and+%40uiVersion%3Dnull%5D%2Fdata%5B%40key%3Duuid%3A7ec79636-2aa0-4ad1-a58d-b8ccf0c4bdf8%5D%2FgroupInfoFuel%5B%40ordinal%3D1%5D%2FpicFuelRecibeInterno","Descargar")</f>
        <v>Descargar</v>
      </c>
    </row>
    <row r="2647" spans="1:18" x14ac:dyDescent="0.3">
      <c r="A2647">
        <v>1539426</v>
      </c>
      <c r="B2647" t="s">
        <v>18</v>
      </c>
      <c r="C2647" t="s">
        <v>19</v>
      </c>
      <c r="D2647" t="s">
        <v>45</v>
      </c>
      <c r="E2647" t="s">
        <v>752</v>
      </c>
      <c r="F2647" t="s">
        <v>22</v>
      </c>
      <c r="G2647" t="s">
        <v>23</v>
      </c>
      <c r="H2647" t="s">
        <v>24</v>
      </c>
      <c r="I2647" t="s">
        <v>25</v>
      </c>
      <c r="J2647" s="2">
        <v>45791.294999999998</v>
      </c>
      <c r="K2647">
        <v>14</v>
      </c>
      <c r="L2647">
        <v>5</v>
      </c>
      <c r="M2647">
        <v>2025</v>
      </c>
      <c r="N2647" t="s">
        <v>27</v>
      </c>
      <c r="O2647">
        <v>300</v>
      </c>
      <c r="P2647">
        <v>300</v>
      </c>
      <c r="R2647" s="3" t="str">
        <f>HYPERLINK("https://panda.att.com.mx/ODKServer/view/binaryData?blobKey=FSSuministroFluidosv3%5B%40version%3Dnull+and+%40uiVersion%3Dnull%5D%2Fdata%5B%40key%3Duuid%3Ab8acc121-56c8-4dba-b3e1-9b3f14da982a%5D%2FgroupInfoFuel%5B%40ordinal%3D1%5D%2FpicFuelRecibeInterno","Descargar")</f>
        <v>Descargar</v>
      </c>
    </row>
    <row r="2648" spans="1:18" x14ac:dyDescent="0.3">
      <c r="A2648">
        <v>1539425</v>
      </c>
      <c r="B2648" t="s">
        <v>18</v>
      </c>
      <c r="C2648" t="s">
        <v>19</v>
      </c>
      <c r="D2648" t="s">
        <v>45</v>
      </c>
      <c r="E2648" t="s">
        <v>752</v>
      </c>
      <c r="F2648" t="s">
        <v>22</v>
      </c>
      <c r="G2648" t="s">
        <v>23</v>
      </c>
      <c r="H2648" t="s">
        <v>24</v>
      </c>
      <c r="I2648" t="s">
        <v>25</v>
      </c>
      <c r="J2648" s="2">
        <v>45787.874502314808</v>
      </c>
      <c r="K2648">
        <v>10</v>
      </c>
      <c r="L2648">
        <v>5</v>
      </c>
      <c r="M2648">
        <v>2025</v>
      </c>
      <c r="N2648" t="s">
        <v>27</v>
      </c>
      <c r="O2648">
        <v>300</v>
      </c>
      <c r="P2648">
        <v>300</v>
      </c>
      <c r="R2648" s="3" t="str">
        <f>HYPERLINK("https://panda.att.com.mx/ODKServer/view/binaryData?blobKey=FSSuministroFluidosv3%5B%40version%3Dnull+and+%40uiVersion%3Dnull%5D%2Fdata%5B%40key%3Duuid%3A8435d3ba-f4d3-4886-bb47-3938b36dbeac%5D%2FgroupInfoFuel%5B%40ordinal%3D1%5D%2FpicFuelRecibeInterno","Descargar")</f>
        <v>Descargar</v>
      </c>
    </row>
    <row r="2649" spans="1:18" x14ac:dyDescent="0.3">
      <c r="A2649">
        <v>1539418</v>
      </c>
      <c r="B2649" t="s">
        <v>18</v>
      </c>
      <c r="C2649" t="s">
        <v>59</v>
      </c>
      <c r="D2649" t="s">
        <v>636</v>
      </c>
      <c r="E2649" t="s">
        <v>1251</v>
      </c>
      <c r="F2649" t="s">
        <v>22</v>
      </c>
      <c r="G2649" t="s">
        <v>23</v>
      </c>
      <c r="H2649" t="s">
        <v>37</v>
      </c>
      <c r="I2649" t="s">
        <v>25</v>
      </c>
      <c r="J2649" s="2">
        <v>45796.850347222222</v>
      </c>
      <c r="K2649">
        <v>19</v>
      </c>
      <c r="L2649">
        <v>5</v>
      </c>
      <c r="M2649">
        <v>2025</v>
      </c>
      <c r="N2649" t="s">
        <v>27</v>
      </c>
      <c r="O2649">
        <v>150</v>
      </c>
      <c r="P2649">
        <v>150</v>
      </c>
      <c r="R2649" s="3" t="str">
        <f>HYPERLINK("https://panda.att.com.mx/ODKServer/view/binaryData?blobKey=FSSuministroFluidosv3%5B%40version%3Dnull+and+%40uiVersion%3Dnull%5D%2Fdata%5B%40key%3Duuid%3A798ace58-7d28-420c-9c42-035263f9951c%5D%2FgroupInfoFuel%5B%40ordinal%3D1%5D%2FpicFuelRecibeInterno","Descargar")</f>
        <v>Descargar</v>
      </c>
    </row>
    <row r="2650" spans="1:18" x14ac:dyDescent="0.3">
      <c r="A2650">
        <v>1539417</v>
      </c>
      <c r="B2650" t="s">
        <v>18</v>
      </c>
      <c r="C2650" t="s">
        <v>28</v>
      </c>
      <c r="D2650" t="s">
        <v>1054</v>
      </c>
      <c r="E2650" t="s">
        <v>1991</v>
      </c>
      <c r="F2650" t="s">
        <v>22</v>
      </c>
      <c r="G2650" t="s">
        <v>23</v>
      </c>
      <c r="H2650" t="s">
        <v>24</v>
      </c>
      <c r="I2650" t="s">
        <v>25</v>
      </c>
      <c r="J2650" s="2">
        <v>45796.469722222217</v>
      </c>
      <c r="K2650">
        <v>19</v>
      </c>
      <c r="L2650">
        <v>5</v>
      </c>
      <c r="M2650">
        <v>2025</v>
      </c>
      <c r="N2650" t="s">
        <v>27</v>
      </c>
      <c r="O2650">
        <v>500</v>
      </c>
      <c r="P2650">
        <v>500</v>
      </c>
      <c r="R2650" s="3" t="str">
        <f>HYPERLINK("https://panda.att.com.mx/ODKServer/view/binaryData?blobKey=FSSuministroFluidosv3%5B%40version%3Dnull+and+%40uiVersion%3Dnull%5D%2Fdata%5B%40key%3Duuid%3Ac77bde43-290b-4dd9-ac5d-72224689ad9f%5D%2FgroupInfoFuel%5B%40ordinal%3D1%5D%2FpicFuelRecibeInterno","Descargar")</f>
        <v>Descargar</v>
      </c>
    </row>
    <row r="2651" spans="1:18" x14ac:dyDescent="0.3">
      <c r="A2651">
        <v>1539390</v>
      </c>
      <c r="B2651" t="s">
        <v>18</v>
      </c>
      <c r="C2651" t="s">
        <v>34</v>
      </c>
      <c r="D2651" t="s">
        <v>53</v>
      </c>
      <c r="E2651" t="s">
        <v>459</v>
      </c>
      <c r="F2651" t="s">
        <v>22</v>
      </c>
      <c r="G2651" t="s">
        <v>83</v>
      </c>
      <c r="H2651" t="s">
        <v>390</v>
      </c>
      <c r="I2651" t="s">
        <v>25</v>
      </c>
      <c r="J2651" s="2">
        <v>45796.518587962957</v>
      </c>
      <c r="K2651">
        <v>19</v>
      </c>
      <c r="L2651">
        <v>5</v>
      </c>
      <c r="M2651">
        <v>2025</v>
      </c>
      <c r="N2651" t="s">
        <v>27</v>
      </c>
      <c r="O2651">
        <v>400</v>
      </c>
      <c r="P2651">
        <v>400</v>
      </c>
      <c r="R2651" s="3" t="str">
        <f>HYPERLINK("https://panda.att.com.mx/ODKServer/view/binaryData?blobKey=FSSuministroFluidosv3%5B%40version%3Dnull+and+%40uiVersion%3Dnull%5D%2Fdata%5B%40key%3Duuid%3A1b6e4e7d-bba8-4dfb-9732-247dfc68a191%5D%2FgroupInfoFuel%5B%40ordinal%3D1%5D%2FpicFuelRecibeInterno","Descargar")</f>
        <v>Descargar</v>
      </c>
    </row>
    <row r="2652" spans="1:18" x14ac:dyDescent="0.3">
      <c r="A2652">
        <v>1539389</v>
      </c>
      <c r="B2652" t="s">
        <v>18</v>
      </c>
      <c r="C2652" t="s">
        <v>34</v>
      </c>
      <c r="D2652" t="s">
        <v>53</v>
      </c>
      <c r="E2652" t="s">
        <v>457</v>
      </c>
      <c r="F2652" t="s">
        <v>22</v>
      </c>
      <c r="G2652" t="s">
        <v>83</v>
      </c>
      <c r="H2652" t="s">
        <v>390</v>
      </c>
      <c r="I2652" t="s">
        <v>25</v>
      </c>
      <c r="J2652" s="2">
        <v>45796.483136574083</v>
      </c>
      <c r="K2652">
        <v>19</v>
      </c>
      <c r="L2652">
        <v>5</v>
      </c>
      <c r="M2652">
        <v>2025</v>
      </c>
      <c r="N2652" t="s">
        <v>27</v>
      </c>
      <c r="O2652">
        <v>250</v>
      </c>
      <c r="P2652">
        <v>250</v>
      </c>
      <c r="R2652" s="3" t="str">
        <f>HYPERLINK("https://panda.att.com.mx/ODKServer/view/binaryData?blobKey=FSSuministroFluidosv3%5B%40version%3Dnull+and+%40uiVersion%3Dnull%5D%2Fdata%5B%40key%3Duuid%3Acf57dadf-9d63-474c-a1fd-994c35916fd6%5D%2FgroupInfoFuel%5B%40ordinal%3D1%5D%2FpicFuelRecibeInterno","Descargar")</f>
        <v>Descargar</v>
      </c>
    </row>
    <row r="2653" spans="1:18" x14ac:dyDescent="0.3">
      <c r="A2653">
        <v>1539388</v>
      </c>
      <c r="B2653" t="s">
        <v>18</v>
      </c>
      <c r="C2653" t="s">
        <v>34</v>
      </c>
      <c r="D2653" t="s">
        <v>53</v>
      </c>
      <c r="E2653" t="s">
        <v>457</v>
      </c>
      <c r="F2653" t="s">
        <v>22</v>
      </c>
      <c r="G2653" t="s">
        <v>47</v>
      </c>
      <c r="H2653" t="s">
        <v>390</v>
      </c>
      <c r="I2653" t="s">
        <v>25</v>
      </c>
      <c r="J2653" s="2">
        <v>45796.462129629632</v>
      </c>
      <c r="K2653">
        <v>19</v>
      </c>
      <c r="L2653">
        <v>5</v>
      </c>
      <c r="M2653">
        <v>2025</v>
      </c>
      <c r="N2653" t="s">
        <v>27</v>
      </c>
      <c r="O2653">
        <v>200</v>
      </c>
      <c r="P2653">
        <v>200</v>
      </c>
      <c r="R2653" s="3" t="str">
        <f>HYPERLINK("https://panda.att.com.mx/ODKServer/view/binaryData?blobKey=FSSuministroFluidosv3%5B%40version%3Dnull+and+%40uiVersion%3Dnull%5D%2Fdata%5B%40key%3Duuid%3Accd1a170-5956-421c-9921-6710cd45689f%5D%2FgroupInfoFuel%5B%40ordinal%3D1%5D%2FpicFuelRecibeInterno","Descargar")</f>
        <v>Descargar</v>
      </c>
    </row>
    <row r="2654" spans="1:18" x14ac:dyDescent="0.3">
      <c r="A2654">
        <v>1539335</v>
      </c>
      <c r="B2654" t="s">
        <v>18</v>
      </c>
      <c r="C2654" t="s">
        <v>59</v>
      </c>
      <c r="D2654" t="s">
        <v>636</v>
      </c>
      <c r="E2654" t="s">
        <v>1900</v>
      </c>
      <c r="F2654" t="s">
        <v>22</v>
      </c>
      <c r="G2654" t="s">
        <v>23</v>
      </c>
      <c r="H2654" t="s">
        <v>37</v>
      </c>
      <c r="I2654" t="s">
        <v>25</v>
      </c>
      <c r="J2654" s="2">
        <v>45796.773356481477</v>
      </c>
      <c r="K2654">
        <v>19</v>
      </c>
      <c r="L2654">
        <v>5</v>
      </c>
      <c r="M2654">
        <v>2025</v>
      </c>
      <c r="N2654" t="s">
        <v>27</v>
      </c>
      <c r="O2654">
        <v>150</v>
      </c>
      <c r="Q2654">
        <v>150</v>
      </c>
      <c r="R2654" s="3" t="str">
        <f>HYPERLINK("https://panda.att.com.mx/ODKServer/view/binaryData?blobKey=FSSuministroFluidosv3%5B%40version%3Dnull+and+%40uiVersion%3Dnull%5D%2Fdata%5B%40key%3Duuid%3Abbe9f496-8681-4863-80e5-e241d7e4bae3%5D%2FgroupInfoFuel%5B%40ordinal%3D1%5D%2FpicFuelRecibeInterno","Descargar")</f>
        <v>Descargar</v>
      </c>
    </row>
    <row r="2655" spans="1:18" x14ac:dyDescent="0.3">
      <c r="A2655">
        <v>1539327</v>
      </c>
      <c r="B2655" t="s">
        <v>18</v>
      </c>
      <c r="C2655" t="s">
        <v>55</v>
      </c>
      <c r="D2655" t="s">
        <v>56</v>
      </c>
      <c r="E2655" t="s">
        <v>1555</v>
      </c>
      <c r="F2655" t="s">
        <v>22</v>
      </c>
      <c r="G2655" t="s">
        <v>23</v>
      </c>
      <c r="H2655" t="s">
        <v>1763</v>
      </c>
      <c r="I2655" t="s">
        <v>25</v>
      </c>
      <c r="J2655" s="2">
        <v>45791.484050925923</v>
      </c>
      <c r="K2655">
        <v>14</v>
      </c>
      <c r="L2655">
        <v>5</v>
      </c>
      <c r="M2655">
        <v>2025</v>
      </c>
      <c r="N2655" t="s">
        <v>27</v>
      </c>
      <c r="O2655">
        <v>100</v>
      </c>
      <c r="P2655">
        <v>100</v>
      </c>
      <c r="R2655" s="3" t="str">
        <f>HYPERLINK("https://panda.att.com.mx/ODKServer/view/binaryData?blobKey=FSSuministroFluidosv3%5B%40version%3Dnull+and+%40uiVersion%3Dnull%5D%2Fdata%5B%40key%3Duuid%3Afa8fc26e-249f-4ac6-bb95-e3deed2c41cc%5D%2FgroupInfoFuel%5B%40ordinal%3D1%5D%2FpicFuelRecibeInterno","Descargar")</f>
        <v>Descargar</v>
      </c>
    </row>
    <row r="2656" spans="1:18" x14ac:dyDescent="0.3">
      <c r="A2656">
        <v>1539293</v>
      </c>
      <c r="B2656" t="s">
        <v>18</v>
      </c>
      <c r="C2656" t="s">
        <v>68</v>
      </c>
      <c r="D2656" t="s">
        <v>258</v>
      </c>
      <c r="E2656" t="s">
        <v>2185</v>
      </c>
      <c r="F2656" t="s">
        <v>22</v>
      </c>
      <c r="G2656" t="s">
        <v>23</v>
      </c>
      <c r="H2656" t="s">
        <v>37</v>
      </c>
      <c r="I2656" t="s">
        <v>25</v>
      </c>
      <c r="J2656" s="2">
        <v>45796.734884259262</v>
      </c>
      <c r="K2656">
        <v>19</v>
      </c>
      <c r="L2656">
        <v>5</v>
      </c>
      <c r="M2656">
        <v>2025</v>
      </c>
      <c r="N2656" t="s">
        <v>27</v>
      </c>
      <c r="O2656">
        <v>87</v>
      </c>
      <c r="P2656">
        <v>87</v>
      </c>
      <c r="R2656" s="3" t="str">
        <f>HYPERLINK("https://panda.att.com.mx/ODKServer/view/binaryData?blobKey=FSSuministroFluidosv3%5B%40version%3Dnull+and+%40uiVersion%3Dnull%5D%2Fdata%5B%40key%3Duuid%3Ae0301bdd-4114-4a60-ada4-fc3c04b29775%5D%2FgroupInfoFuel%5B%40ordinal%3D1%5D%2FpicFuelRecibeInterno","Descargar")</f>
        <v>Descargar</v>
      </c>
    </row>
    <row r="2657" spans="1:18" x14ac:dyDescent="0.3">
      <c r="A2657">
        <v>1539211</v>
      </c>
      <c r="B2657" t="s">
        <v>18</v>
      </c>
      <c r="C2657" t="s">
        <v>55</v>
      </c>
      <c r="D2657" t="s">
        <v>210</v>
      </c>
      <c r="E2657" t="s">
        <v>2186</v>
      </c>
      <c r="F2657" t="s">
        <v>22</v>
      </c>
      <c r="G2657" t="s">
        <v>23</v>
      </c>
      <c r="H2657" t="s">
        <v>1763</v>
      </c>
      <c r="I2657" t="s">
        <v>25</v>
      </c>
      <c r="J2657" s="2">
        <v>45792.507986111108</v>
      </c>
      <c r="K2657">
        <v>15</v>
      </c>
      <c r="L2657">
        <v>5</v>
      </c>
      <c r="M2657">
        <v>2025</v>
      </c>
      <c r="N2657" t="s">
        <v>27</v>
      </c>
      <c r="O2657">
        <v>250</v>
      </c>
      <c r="P2657">
        <v>250</v>
      </c>
      <c r="R2657" s="3" t="str">
        <f>HYPERLINK("https://panda.att.com.mx/ODKServer/view/binaryData?blobKey=FSSuministroFluidosv3%5B%40version%3Dnull+and+%40uiVersion%3Dnull%5D%2Fdata%5B%40key%3Duuid%3A248a25d4-26a4-403c-948f-fa98ce09db0d%5D%2FgroupInfoFuel%5B%40ordinal%3D1%5D%2FpicFuelRecibeInterno","Descargar")</f>
        <v>Descargar</v>
      </c>
    </row>
    <row r="2658" spans="1:18" x14ac:dyDescent="0.3">
      <c r="A2658">
        <v>1539190</v>
      </c>
      <c r="B2658" t="s">
        <v>18</v>
      </c>
      <c r="C2658" t="s">
        <v>68</v>
      </c>
      <c r="D2658" t="s">
        <v>258</v>
      </c>
      <c r="E2658" t="s">
        <v>2187</v>
      </c>
      <c r="F2658" t="s">
        <v>22</v>
      </c>
      <c r="G2658" t="s">
        <v>23</v>
      </c>
      <c r="H2658" t="s">
        <v>37</v>
      </c>
      <c r="I2658" t="s">
        <v>25</v>
      </c>
      <c r="J2658" s="2">
        <v>45796.678946759261</v>
      </c>
      <c r="K2658">
        <v>19</v>
      </c>
      <c r="L2658">
        <v>5</v>
      </c>
      <c r="M2658">
        <v>2025</v>
      </c>
      <c r="N2658" t="s">
        <v>27</v>
      </c>
      <c r="O2658">
        <v>223</v>
      </c>
      <c r="Q2658">
        <v>223</v>
      </c>
      <c r="R2658" s="3" t="str">
        <f>HYPERLINK("https://panda.att.com.mx/ODKServer/view/binaryData?blobKey=FSSuministroFluidosv3%5B%40version%3Dnull+and+%40uiVersion%3Dnull%5D%2Fdata%5B%40key%3Duuid%3Acd81eebd-6ed6-4f9a-a01f-7a2c0dc4ae7e%5D%2FgroupInfoFuel%5B%40ordinal%3D1%5D%2FpicFuelRecibeInterno","Descargar")</f>
        <v>Descargar</v>
      </c>
    </row>
    <row r="2659" spans="1:18" x14ac:dyDescent="0.3">
      <c r="A2659">
        <v>1539129</v>
      </c>
      <c r="B2659" t="s">
        <v>18</v>
      </c>
      <c r="C2659" t="s">
        <v>167</v>
      </c>
      <c r="D2659" t="s">
        <v>168</v>
      </c>
      <c r="E2659" t="s">
        <v>169</v>
      </c>
      <c r="F2659" t="s">
        <v>22</v>
      </c>
      <c r="G2659" t="s">
        <v>83</v>
      </c>
      <c r="H2659" t="s">
        <v>58</v>
      </c>
      <c r="I2659" t="s">
        <v>25</v>
      </c>
      <c r="J2659" s="2">
        <v>45796.622870370367</v>
      </c>
      <c r="K2659">
        <v>19</v>
      </c>
      <c r="L2659">
        <v>5</v>
      </c>
      <c r="M2659">
        <v>2025</v>
      </c>
      <c r="N2659" t="s">
        <v>27</v>
      </c>
      <c r="O2659">
        <v>450</v>
      </c>
      <c r="P2659">
        <v>450</v>
      </c>
      <c r="R2659" s="3" t="str">
        <f>HYPERLINK("https://panda.att.com.mx/ODKServer/view/binaryData?blobKey=FSSuministroFluidosv3%5B%40version%3Dnull+and+%40uiVersion%3Dnull%5D%2Fdata%5B%40key%3Duuid%3Ad1e49eba-3107-48de-a91f-f9fa03b86685%5D%2FgroupInfoFuel%5B%40ordinal%3D1%5D%2FpicFuelRecibeInterno","Descargar")</f>
        <v>Descargar</v>
      </c>
    </row>
    <row r="2660" spans="1:18" x14ac:dyDescent="0.3">
      <c r="A2660">
        <v>1539096</v>
      </c>
      <c r="B2660" t="s">
        <v>18</v>
      </c>
      <c r="C2660" t="s">
        <v>100</v>
      </c>
      <c r="D2660" t="s">
        <v>854</v>
      </c>
      <c r="E2660" t="s">
        <v>993</v>
      </c>
      <c r="F2660" t="s">
        <v>22</v>
      </c>
      <c r="G2660" t="s">
        <v>83</v>
      </c>
      <c r="H2660" t="s">
        <v>1781</v>
      </c>
      <c r="I2660" t="s">
        <v>25</v>
      </c>
      <c r="J2660" s="2">
        <v>45796.517129629632</v>
      </c>
      <c r="K2660">
        <v>19</v>
      </c>
      <c r="L2660">
        <v>5</v>
      </c>
      <c r="M2660">
        <v>2025</v>
      </c>
      <c r="N2660" t="s">
        <v>27</v>
      </c>
      <c r="O2660">
        <v>220</v>
      </c>
      <c r="P2660">
        <v>220</v>
      </c>
      <c r="R2660" s="3" t="str">
        <f>HYPERLINK("https://panda.att.com.mx/ODKServer/view/binaryData?blobKey=FSSuministroFluidosv3%5B%40version%3Dnull+and+%40uiVersion%3Dnull%5D%2Fdata%5B%40key%3Duuid%3A1453f8f6-dc40-4e84-8a90-403defeb3a58%5D%2FgroupInfoFuel%5B%40ordinal%3D1%5D%2FpicFuelRecibeInterno","Descargar")</f>
        <v>Descargar</v>
      </c>
    </row>
    <row r="2661" spans="1:18" x14ac:dyDescent="0.3">
      <c r="A2661">
        <v>1539081</v>
      </c>
      <c r="B2661" t="s">
        <v>18</v>
      </c>
      <c r="C2661" t="s">
        <v>19</v>
      </c>
      <c r="D2661" t="s">
        <v>45</v>
      </c>
      <c r="E2661" t="s">
        <v>2028</v>
      </c>
      <c r="F2661" t="s">
        <v>22</v>
      </c>
      <c r="G2661" t="s">
        <v>23</v>
      </c>
      <c r="H2661" t="s">
        <v>24</v>
      </c>
      <c r="I2661" t="s">
        <v>25</v>
      </c>
      <c r="J2661" s="2">
        <v>45792.33866898148</v>
      </c>
      <c r="K2661">
        <v>15</v>
      </c>
      <c r="L2661">
        <v>5</v>
      </c>
      <c r="M2661">
        <v>2025</v>
      </c>
      <c r="N2661" t="s">
        <v>27</v>
      </c>
      <c r="O2661">
        <v>300</v>
      </c>
      <c r="P2661">
        <v>300</v>
      </c>
      <c r="R2661" s="3" t="str">
        <f>HYPERLINK("https://panda.att.com.mx/ODKServer/view/binaryData?blobKey=FSSuministroFluidosv3%5B%40version%3Dnull+and+%40uiVersion%3Dnull%5D%2Fdata%5B%40key%3Duuid%3Aaeffd9fd-9691-4bb6-8574-5aef80aeb7bb%5D%2FgroupInfoFuel%5B%40ordinal%3D1%5D%2FpicFuelRecibeInterno","Descargar")</f>
        <v>Descargar</v>
      </c>
    </row>
    <row r="2662" spans="1:18" x14ac:dyDescent="0.3">
      <c r="A2662">
        <v>1538996</v>
      </c>
      <c r="B2662" t="s">
        <v>18</v>
      </c>
      <c r="C2662" t="s">
        <v>55</v>
      </c>
      <c r="D2662" t="s">
        <v>56</v>
      </c>
      <c r="E2662" t="s">
        <v>2188</v>
      </c>
      <c r="F2662" t="s">
        <v>22</v>
      </c>
      <c r="G2662" t="s">
        <v>23</v>
      </c>
      <c r="H2662" t="s">
        <v>1763</v>
      </c>
      <c r="I2662" t="s">
        <v>25</v>
      </c>
      <c r="J2662" t="s">
        <v>2189</v>
      </c>
      <c r="K2662">
        <v>12</v>
      </c>
      <c r="L2662">
        <v>4</v>
      </c>
      <c r="M2662">
        <v>2025</v>
      </c>
      <c r="N2662" t="s">
        <v>27</v>
      </c>
      <c r="O2662">
        <v>110</v>
      </c>
      <c r="P2662">
        <v>110</v>
      </c>
      <c r="R2662" s="3" t="str">
        <f>HYPERLINK("https://panda.att.com.mx/ODKServer/view/binaryData?blobKey=FSSuministroFluidosv3%5B%40version%3Dnull+and+%40uiVersion%3Dnull%5D%2Fdata%5B%40key%3Duuid%3A26075815-2360-4755-931f-34c018ca0feb%5D%2FgroupInfoFuel%5B%40ordinal%3D1%5D%2FpicFuelRecibeInterno","Descargar")</f>
        <v>Descargar</v>
      </c>
    </row>
    <row r="2663" spans="1:18" x14ac:dyDescent="0.3">
      <c r="A2663">
        <v>1538985</v>
      </c>
      <c r="B2663" t="s">
        <v>18</v>
      </c>
      <c r="C2663" t="s">
        <v>167</v>
      </c>
      <c r="D2663" t="s">
        <v>509</v>
      </c>
      <c r="E2663" t="s">
        <v>510</v>
      </c>
      <c r="F2663" t="s">
        <v>22</v>
      </c>
      <c r="G2663" t="s">
        <v>23</v>
      </c>
      <c r="H2663" t="s">
        <v>58</v>
      </c>
      <c r="I2663" t="s">
        <v>84</v>
      </c>
      <c r="J2663" s="2">
        <v>45794.402962962973</v>
      </c>
      <c r="K2663">
        <v>17</v>
      </c>
      <c r="L2663">
        <v>5</v>
      </c>
      <c r="M2663">
        <v>2025</v>
      </c>
      <c r="N2663" t="s">
        <v>27</v>
      </c>
      <c r="O2663">
        <v>80</v>
      </c>
      <c r="P2663">
        <v>80</v>
      </c>
      <c r="R2663" s="3" t="str">
        <f>HYPERLINK("https://panda.att.com.mx/ODKServer/view/binaryData?blobKey=FSSuministroFluidosv3%5B%40version%3Dnull+and+%40uiVersion%3Dnull%5D%2Fdata%5B%40key%3Duuid%3A9b59b3e4-86b0-432b-aaa6-68303630f70f%5D%2FgroupInfoFuel%5B%40ordinal%3D1%5D%2FpicFuelRecibeInterno","Descargar")</f>
        <v>Descargar</v>
      </c>
    </row>
    <row r="2664" spans="1:18" x14ac:dyDescent="0.3">
      <c r="A2664">
        <v>1538969</v>
      </c>
      <c r="B2664" t="s">
        <v>18</v>
      </c>
      <c r="C2664" t="s">
        <v>55</v>
      </c>
      <c r="D2664" t="s">
        <v>288</v>
      </c>
      <c r="E2664" t="s">
        <v>440</v>
      </c>
      <c r="F2664" t="s">
        <v>22</v>
      </c>
      <c r="G2664" t="s">
        <v>23</v>
      </c>
      <c r="H2664" t="s">
        <v>1763</v>
      </c>
      <c r="I2664" t="s">
        <v>25</v>
      </c>
      <c r="J2664" s="2">
        <v>45796.320277777777</v>
      </c>
      <c r="K2664">
        <v>19</v>
      </c>
      <c r="L2664">
        <v>5</v>
      </c>
      <c r="M2664">
        <v>2025</v>
      </c>
      <c r="N2664" t="s">
        <v>27</v>
      </c>
      <c r="O2664">
        <v>350</v>
      </c>
      <c r="P2664">
        <v>350</v>
      </c>
      <c r="R2664" s="3" t="str">
        <f>HYPERLINK("https://panda.att.com.mx/ODKServer/view/binaryData?blobKey=FSSuministroFluidosv3%5B%40version%3Dnull+and+%40uiVersion%3Dnull%5D%2Fdata%5B%40key%3Duuid%3A4d86984d-66f9-46e5-bd46-d5a36e8f74f7%5D%2FgroupInfoFuel%5B%40ordinal%3D1%5D%2FpicFuelRecibeInterno","Descargar")</f>
        <v>Descargar</v>
      </c>
    </row>
    <row r="2665" spans="1:18" x14ac:dyDescent="0.3">
      <c r="A2665">
        <v>1538892</v>
      </c>
      <c r="B2665" t="s">
        <v>18</v>
      </c>
      <c r="C2665" t="s">
        <v>68</v>
      </c>
      <c r="D2665" t="s">
        <v>258</v>
      </c>
      <c r="E2665" t="s">
        <v>2190</v>
      </c>
      <c r="F2665" t="s">
        <v>22</v>
      </c>
      <c r="G2665" t="s">
        <v>23</v>
      </c>
      <c r="H2665" t="s">
        <v>37</v>
      </c>
      <c r="I2665" t="s">
        <v>25</v>
      </c>
      <c r="J2665" s="2">
        <v>45796.468576388892</v>
      </c>
      <c r="K2665">
        <v>19</v>
      </c>
      <c r="L2665">
        <v>5</v>
      </c>
      <c r="M2665">
        <v>2025</v>
      </c>
      <c r="N2665" t="s">
        <v>27</v>
      </c>
      <c r="O2665">
        <v>150</v>
      </c>
      <c r="P2665">
        <v>150</v>
      </c>
      <c r="R2665" s="3" t="str">
        <f>HYPERLINK("https://panda.att.com.mx/ODKServer/view/binaryData?blobKey=FSSuministroFluidosv3%5B%40version%3Dnull+and+%40uiVersion%3Dnull%5D%2Fdata%5B%40key%3Duuid%3Aaf20a822-a4f7-413e-89af-7bbb1f682a85%5D%2FgroupInfoFuel%5B%40ordinal%3D1%5D%2FpicFuelRecibeInterno","Descargar")</f>
        <v>Descargar</v>
      </c>
    </row>
    <row r="2666" spans="1:18" x14ac:dyDescent="0.3">
      <c r="A2666">
        <v>1538840</v>
      </c>
      <c r="B2666" t="s">
        <v>18</v>
      </c>
      <c r="C2666" t="s">
        <v>19</v>
      </c>
      <c r="D2666" t="s">
        <v>156</v>
      </c>
      <c r="E2666" t="s">
        <v>157</v>
      </c>
      <c r="F2666" t="s">
        <v>22</v>
      </c>
      <c r="G2666" t="s">
        <v>23</v>
      </c>
      <c r="H2666" t="s">
        <v>24</v>
      </c>
      <c r="I2666" t="s">
        <v>25</v>
      </c>
      <c r="J2666" s="2">
        <v>45790.649560185193</v>
      </c>
      <c r="K2666">
        <v>13</v>
      </c>
      <c r="L2666">
        <v>5</v>
      </c>
      <c r="M2666">
        <v>2025</v>
      </c>
      <c r="N2666" t="s">
        <v>44</v>
      </c>
      <c r="O2666">
        <v>33</v>
      </c>
      <c r="P2666">
        <v>33</v>
      </c>
      <c r="R2666" s="3" t="str">
        <f>HYPERLINK("https://panda.att.com.mx/ODKServer/view/binaryData?blobKey=FSSuministroFluidosv3%5B%40version%3Dnull+and+%40uiVersion%3Dnull%5D%2Fdata%5B%40key%3Duuid%3A58bb368a-d1d7-4388-a7b2-bde68dbcd875%5D%2FgroupInfoFuel%5B%40ordinal%3D1%5D%2FpicFuelRecibeInterno","Descargar")</f>
        <v>Descargar</v>
      </c>
    </row>
    <row r="2667" spans="1:18" x14ac:dyDescent="0.3">
      <c r="A2667">
        <v>1538814</v>
      </c>
      <c r="B2667" t="s">
        <v>18</v>
      </c>
      <c r="C2667" t="s">
        <v>100</v>
      </c>
      <c r="D2667" t="s">
        <v>101</v>
      </c>
      <c r="E2667" t="s">
        <v>2037</v>
      </c>
      <c r="F2667" t="s">
        <v>22</v>
      </c>
      <c r="G2667" t="s">
        <v>83</v>
      </c>
      <c r="H2667" t="s">
        <v>1781</v>
      </c>
      <c r="I2667" t="s">
        <v>25</v>
      </c>
      <c r="J2667" s="2">
        <v>45796.435902777783</v>
      </c>
      <c r="K2667">
        <v>19</v>
      </c>
      <c r="L2667">
        <v>5</v>
      </c>
      <c r="M2667">
        <v>2025</v>
      </c>
      <c r="N2667" t="s">
        <v>27</v>
      </c>
      <c r="O2667">
        <v>250</v>
      </c>
      <c r="P2667">
        <v>250</v>
      </c>
      <c r="R2667" s="3" t="str">
        <f>HYPERLINK("https://panda.att.com.mx/ODKServer/view/binaryData?blobKey=FSSuministroFluidosv3%5B%40version%3Dnull+and+%40uiVersion%3Dnull%5D%2Fdata%5B%40key%3Duuid%3Acdd39b90-eeea-4039-ac39-649d4a3370b0%5D%2FgroupInfoFuel%5B%40ordinal%3D1%5D%2FpicFuelRecibeInterno","Descargar")</f>
        <v>Descargar</v>
      </c>
    </row>
    <row r="2668" spans="1:18" x14ac:dyDescent="0.3">
      <c r="A2668">
        <v>1538813</v>
      </c>
      <c r="B2668" t="s">
        <v>18</v>
      </c>
      <c r="C2668" t="s">
        <v>68</v>
      </c>
      <c r="D2668" t="s">
        <v>258</v>
      </c>
      <c r="E2668" t="s">
        <v>2146</v>
      </c>
      <c r="F2668" t="s">
        <v>22</v>
      </c>
      <c r="G2668" t="s">
        <v>23</v>
      </c>
      <c r="H2668" t="s">
        <v>37</v>
      </c>
      <c r="I2668" t="s">
        <v>25</v>
      </c>
      <c r="J2668" s="2">
        <v>45796.422592592593</v>
      </c>
      <c r="K2668">
        <v>19</v>
      </c>
      <c r="L2668">
        <v>5</v>
      </c>
      <c r="M2668">
        <v>2025</v>
      </c>
      <c r="N2668" t="s">
        <v>27</v>
      </c>
      <c r="O2668">
        <v>200</v>
      </c>
      <c r="P2668">
        <v>200</v>
      </c>
      <c r="R2668" s="3" t="str">
        <f>HYPERLINK("https://panda.att.com.mx/ODKServer/view/binaryData?blobKey=FSSuministroFluidosv3%5B%40version%3Dnull+and+%40uiVersion%3Dnull%5D%2Fdata%5B%40key%3Duuid%3A6fd915e1-8f45-45fc-b107-ba3c46eab63c%5D%2FgroupInfoFuel%5B%40ordinal%3D1%5D%2FpicFuelRecibeInterno","Descargar")</f>
        <v>Descargar</v>
      </c>
    </row>
    <row r="2669" spans="1:18" x14ac:dyDescent="0.3">
      <c r="A2669">
        <v>1538750</v>
      </c>
      <c r="B2669" t="s">
        <v>18</v>
      </c>
      <c r="C2669" t="s">
        <v>167</v>
      </c>
      <c r="D2669" t="s">
        <v>268</v>
      </c>
      <c r="E2669" t="s">
        <v>2121</v>
      </c>
      <c r="F2669" t="s">
        <v>22</v>
      </c>
      <c r="G2669" t="s">
        <v>83</v>
      </c>
      <c r="H2669" t="s">
        <v>58</v>
      </c>
      <c r="I2669" t="s">
        <v>25</v>
      </c>
      <c r="J2669" s="2">
        <v>45794.506435185183</v>
      </c>
      <c r="K2669">
        <v>17</v>
      </c>
      <c r="L2669">
        <v>5</v>
      </c>
      <c r="M2669">
        <v>2025</v>
      </c>
      <c r="N2669" t="s">
        <v>27</v>
      </c>
      <c r="O2669">
        <v>300</v>
      </c>
      <c r="P2669">
        <v>300</v>
      </c>
      <c r="R2669" s="3" t="str">
        <f>HYPERLINK("https://panda.att.com.mx/ODKServer/view/binaryData?blobKey=FSSuministroFluidosv3%5B%40version%3Dnull+and+%40uiVersion%3Dnull%5D%2Fdata%5B%40key%3Duuid%3A4b260fad-5508-4e06-b7b6-2df70280ea89%5D%2FgroupInfoFuel%5B%40ordinal%3D1%5D%2FpicFuelRecibeInterno","Descargar")</f>
        <v>Descargar</v>
      </c>
    </row>
    <row r="2670" spans="1:18" x14ac:dyDescent="0.3">
      <c r="A2670">
        <v>1538749</v>
      </c>
      <c r="B2670" t="s">
        <v>18</v>
      </c>
      <c r="C2670" t="s">
        <v>167</v>
      </c>
      <c r="D2670" t="s">
        <v>268</v>
      </c>
      <c r="E2670" t="s">
        <v>1997</v>
      </c>
      <c r="F2670" t="s">
        <v>22</v>
      </c>
      <c r="G2670" t="s">
        <v>23</v>
      </c>
      <c r="H2670" t="s">
        <v>58</v>
      </c>
      <c r="I2670" t="s">
        <v>25</v>
      </c>
      <c r="J2670" s="2">
        <v>45794.648425925923</v>
      </c>
      <c r="K2670">
        <v>17</v>
      </c>
      <c r="L2670">
        <v>5</v>
      </c>
      <c r="M2670">
        <v>2025</v>
      </c>
      <c r="N2670" t="s">
        <v>27</v>
      </c>
      <c r="O2670">
        <v>38</v>
      </c>
      <c r="P2670">
        <v>38</v>
      </c>
      <c r="R2670" s="3" t="str">
        <f>HYPERLINK("https://panda.att.com.mx/ODKServer/view/binaryData?blobKey=FSSuministroFluidosv3%5B%40version%3Dnull+and+%40uiVersion%3Dnull%5D%2Fdata%5B%40key%3Duuid%3A4b22b769-c35d-4c84-bdc1-c5b804b81c26%5D%2FgroupInfoFuel%5B%40ordinal%3D1%5D%2FpicFuelRecibeInterno","Descargar")</f>
        <v>Descargar</v>
      </c>
    </row>
    <row r="2671" spans="1:18" x14ac:dyDescent="0.3">
      <c r="A2671">
        <v>1538679</v>
      </c>
      <c r="B2671" t="s">
        <v>18</v>
      </c>
      <c r="C2671" t="s">
        <v>100</v>
      </c>
      <c r="D2671" t="s">
        <v>833</v>
      </c>
      <c r="E2671" t="s">
        <v>1587</v>
      </c>
      <c r="F2671" t="s">
        <v>22</v>
      </c>
      <c r="G2671" t="s">
        <v>23</v>
      </c>
      <c r="H2671" t="s">
        <v>1781</v>
      </c>
      <c r="I2671" t="s">
        <v>25</v>
      </c>
      <c r="J2671" s="2">
        <v>45795.976168981477</v>
      </c>
      <c r="K2671">
        <v>18</v>
      </c>
      <c r="L2671">
        <v>5</v>
      </c>
      <c r="M2671">
        <v>2025</v>
      </c>
      <c r="N2671" t="s">
        <v>44</v>
      </c>
      <c r="O2671">
        <v>50</v>
      </c>
      <c r="P2671">
        <v>50</v>
      </c>
      <c r="R2671" s="3" t="str">
        <f>HYPERLINK("https://panda.att.com.mx/ODKServer/view/binaryData?blobKey=FSSuministroFluidosv3%5B%40version%3Dnull+and+%40uiVersion%3Dnull%5D%2Fdata%5B%40key%3Duuid%3A5e68e958-b3f9-4d47-9cfb-75e99258a57c%5D%2FgroupInfoFuel%5B%40ordinal%3D1%5D%2FpicFuelRecibeInterno","Descargar")</f>
        <v>Descargar</v>
      </c>
    </row>
    <row r="2672" spans="1:18" x14ac:dyDescent="0.3">
      <c r="A2672">
        <v>1538666</v>
      </c>
      <c r="B2672" t="s">
        <v>18</v>
      </c>
      <c r="C2672" t="s">
        <v>55</v>
      </c>
      <c r="D2672" t="s">
        <v>56</v>
      </c>
      <c r="E2672" t="s">
        <v>2089</v>
      </c>
      <c r="F2672" t="s">
        <v>22</v>
      </c>
      <c r="G2672" t="s">
        <v>23</v>
      </c>
      <c r="H2672" t="s">
        <v>1763</v>
      </c>
      <c r="I2672" t="s">
        <v>25</v>
      </c>
      <c r="J2672" s="2">
        <v>45792.730810185189</v>
      </c>
      <c r="K2672">
        <v>15</v>
      </c>
      <c r="L2672">
        <v>5</v>
      </c>
      <c r="M2672">
        <v>2025</v>
      </c>
      <c r="N2672" t="s">
        <v>27</v>
      </c>
      <c r="O2672">
        <v>130</v>
      </c>
      <c r="P2672">
        <v>130</v>
      </c>
      <c r="R2672" s="3" t="str">
        <f>HYPERLINK("https://panda.att.com.mx/ODKServer/view/binaryData?blobKey=FSSuministroFluidosv3%5B%40version%3Dnull+and+%40uiVersion%3Dnull%5D%2Fdata%5B%40key%3Duuid%3A95fc6e69-c354-4149-94f7-6b6a24fe8951%5D%2FgroupInfoFuel%5B%40ordinal%3D1%5D%2FpicFuelRecibeInterno","Descargar")</f>
        <v>Descargar</v>
      </c>
    </row>
    <row r="2673" spans="1:18" x14ac:dyDescent="0.3">
      <c r="A2673">
        <v>1538652</v>
      </c>
      <c r="B2673" t="s">
        <v>18</v>
      </c>
      <c r="C2673" t="s">
        <v>55</v>
      </c>
      <c r="D2673" t="s">
        <v>56</v>
      </c>
      <c r="E2673" t="s">
        <v>432</v>
      </c>
      <c r="F2673" t="s">
        <v>22</v>
      </c>
      <c r="G2673" t="s">
        <v>23</v>
      </c>
      <c r="H2673" t="s">
        <v>1763</v>
      </c>
      <c r="I2673" t="s">
        <v>25</v>
      </c>
      <c r="J2673" s="2">
        <v>45780.687511574077</v>
      </c>
      <c r="K2673">
        <v>3</v>
      </c>
      <c r="L2673">
        <v>5</v>
      </c>
      <c r="M2673">
        <v>2025</v>
      </c>
      <c r="N2673" t="s">
        <v>27</v>
      </c>
      <c r="O2673">
        <v>150</v>
      </c>
      <c r="P2673">
        <v>150</v>
      </c>
      <c r="R2673" s="3" t="str">
        <f>HYPERLINK("https://panda.att.com.mx/ODKServer/view/binaryData?blobKey=FSSuministroFluidosv3%5B%40version%3Dnull+and+%40uiVersion%3Dnull%5D%2Fdata%5B%40key%3Duuid%3A710a880b-83a7-4219-bec7-723823ede61c%5D%2FgroupInfoFuel%5B%40ordinal%3D1%5D%2FpicFuelRecibeInterno","Descargar")</f>
        <v>Descargar</v>
      </c>
    </row>
    <row r="2674" spans="1:18" x14ac:dyDescent="0.3">
      <c r="A2674">
        <v>1538651</v>
      </c>
      <c r="B2674" t="s">
        <v>18</v>
      </c>
      <c r="C2674" t="s">
        <v>55</v>
      </c>
      <c r="D2674" t="s">
        <v>56</v>
      </c>
      <c r="E2674" t="s">
        <v>1555</v>
      </c>
      <c r="F2674" t="s">
        <v>22</v>
      </c>
      <c r="G2674" t="s">
        <v>23</v>
      </c>
      <c r="H2674" t="s">
        <v>1763</v>
      </c>
      <c r="I2674" t="s">
        <v>25</v>
      </c>
      <c r="J2674" s="2">
        <v>45783.669131944444</v>
      </c>
      <c r="K2674">
        <v>6</v>
      </c>
      <c r="L2674">
        <v>5</v>
      </c>
      <c r="M2674">
        <v>2025</v>
      </c>
      <c r="N2674" t="s">
        <v>27</v>
      </c>
      <c r="O2674">
        <v>100</v>
      </c>
      <c r="P2674">
        <v>100</v>
      </c>
      <c r="R2674" s="3" t="str">
        <f>HYPERLINK("https://panda.att.com.mx/ODKServer/view/binaryData?blobKey=FSSuministroFluidosv3%5B%40version%3Dnull+and+%40uiVersion%3Dnull%5D%2Fdata%5B%40key%3Duuid%3A590849db-e33b-467a-ae13-2be3770096f2%5D%2FgroupInfoFuel%5B%40ordinal%3D1%5D%2FpicFuelRecibeInterno","Descargar")</f>
        <v>Descargar</v>
      </c>
    </row>
    <row r="2675" spans="1:18" x14ac:dyDescent="0.3">
      <c r="A2675">
        <v>1538649</v>
      </c>
      <c r="B2675" t="s">
        <v>18</v>
      </c>
      <c r="C2675" t="s">
        <v>55</v>
      </c>
      <c r="D2675" t="s">
        <v>56</v>
      </c>
      <c r="E2675" t="s">
        <v>2089</v>
      </c>
      <c r="F2675" t="s">
        <v>22</v>
      </c>
      <c r="G2675" t="s">
        <v>23</v>
      </c>
      <c r="H2675" t="s">
        <v>1763</v>
      </c>
      <c r="I2675" t="s">
        <v>25</v>
      </c>
      <c r="J2675" s="2">
        <v>45784.463877314818</v>
      </c>
      <c r="K2675">
        <v>7</v>
      </c>
      <c r="L2675">
        <v>5</v>
      </c>
      <c r="M2675">
        <v>2025</v>
      </c>
      <c r="N2675" t="s">
        <v>27</v>
      </c>
      <c r="O2675">
        <v>100</v>
      </c>
      <c r="P2675">
        <v>100</v>
      </c>
      <c r="R2675" s="3" t="str">
        <f>HYPERLINK("https://panda.att.com.mx/ODKServer/view/binaryData?blobKey=FSSuministroFluidosv3%5B%40version%3Dnull+and+%40uiVersion%3Dnull%5D%2Fdata%5B%40key%3Duuid%3A7c974f2d-172a-4f74-b87f-28c2c5653b8d%5D%2FgroupInfoFuel%5B%40ordinal%3D1%5D%2FpicFuelRecibeInterno","Descargar")</f>
        <v>Descargar</v>
      </c>
    </row>
    <row r="2676" spans="1:18" x14ac:dyDescent="0.3">
      <c r="A2676">
        <v>1538648</v>
      </c>
      <c r="B2676" t="s">
        <v>18</v>
      </c>
      <c r="C2676" t="s">
        <v>55</v>
      </c>
      <c r="D2676" t="s">
        <v>56</v>
      </c>
      <c r="E2676" t="s">
        <v>1555</v>
      </c>
      <c r="F2676" t="s">
        <v>22</v>
      </c>
      <c r="G2676" t="s">
        <v>23</v>
      </c>
      <c r="H2676" t="s">
        <v>1763</v>
      </c>
      <c r="I2676" t="s">
        <v>25</v>
      </c>
      <c r="J2676" s="2">
        <v>45784.583437499998</v>
      </c>
      <c r="K2676">
        <v>7</v>
      </c>
      <c r="L2676">
        <v>5</v>
      </c>
      <c r="M2676">
        <v>2025</v>
      </c>
      <c r="N2676" t="s">
        <v>27</v>
      </c>
      <c r="O2676">
        <v>100</v>
      </c>
      <c r="P2676">
        <v>100</v>
      </c>
      <c r="R2676" s="3" t="str">
        <f>HYPERLINK("https://panda.att.com.mx/ODKServer/view/binaryData?blobKey=FSSuministroFluidosv3%5B%40version%3Dnull+and+%40uiVersion%3Dnull%5D%2Fdata%5B%40key%3Duuid%3A0ed96dd9-f242-4b25-8c51-215620fb1cb3%5D%2FgroupInfoFuel%5B%40ordinal%3D1%5D%2FpicFuelRecibeInterno","Descargar")</f>
        <v>Descargar</v>
      </c>
    </row>
    <row r="2677" spans="1:18" x14ac:dyDescent="0.3">
      <c r="A2677">
        <v>1541323</v>
      </c>
      <c r="B2677" t="s">
        <v>18</v>
      </c>
      <c r="C2677" t="s">
        <v>55</v>
      </c>
      <c r="D2677" t="s">
        <v>288</v>
      </c>
      <c r="E2677" t="s">
        <v>440</v>
      </c>
      <c r="F2677" t="s">
        <v>22</v>
      </c>
      <c r="G2677" t="s">
        <v>23</v>
      </c>
      <c r="H2677" t="s">
        <v>1763</v>
      </c>
      <c r="I2677" t="s">
        <v>25</v>
      </c>
      <c r="J2677" s="2">
        <v>45799.333564814813</v>
      </c>
      <c r="K2677">
        <v>22</v>
      </c>
      <c r="L2677">
        <v>5</v>
      </c>
      <c r="M2677">
        <v>2025</v>
      </c>
      <c r="N2677" t="s">
        <v>27</v>
      </c>
      <c r="O2677">
        <v>250</v>
      </c>
      <c r="P2677">
        <v>250</v>
      </c>
      <c r="R2677" s="3" t="str">
        <f>HYPERLINK("https://panda.att.com.mx/ODKServer/view/binaryData?blobKey=FSSuministroFluidosv3%5B%40version%3Dnull+and+%40uiVersion%3Dnull%5D%2Fdata%5B%40key%3Duuid%3Ac652b996-b5bb-4c3b-98d8-8272f15279d3%5D%2FgroupInfoFuel%5B%40ordinal%3D1%5D%2FpicFuelRecibeInterno","Descargar")</f>
        <v>Descargar</v>
      </c>
    </row>
    <row r="2678" spans="1:18" x14ac:dyDescent="0.3">
      <c r="A2678">
        <v>1541320</v>
      </c>
      <c r="B2678" t="s">
        <v>18</v>
      </c>
      <c r="C2678" t="s">
        <v>100</v>
      </c>
      <c r="D2678" t="s">
        <v>854</v>
      </c>
      <c r="E2678" t="s">
        <v>993</v>
      </c>
      <c r="F2678" t="s">
        <v>22</v>
      </c>
      <c r="G2678" t="s">
        <v>83</v>
      </c>
      <c r="H2678" t="s">
        <v>1781</v>
      </c>
      <c r="I2678" t="s">
        <v>25</v>
      </c>
      <c r="J2678" s="2">
        <v>45799.312754629631</v>
      </c>
      <c r="K2678">
        <v>22</v>
      </c>
      <c r="L2678">
        <v>5</v>
      </c>
      <c r="M2678">
        <v>2025</v>
      </c>
      <c r="N2678" t="s">
        <v>27</v>
      </c>
      <c r="O2678">
        <v>217</v>
      </c>
      <c r="P2678">
        <v>217</v>
      </c>
      <c r="R2678" s="3" t="str">
        <f>HYPERLINK("https://panda.att.com.mx/ODKServer/view/binaryData?blobKey=FSSuministroFluidosv3%5B%40version%3Dnull+and+%40uiVersion%3Dnull%5D%2Fdata%5B%40key%3Duuid%3A99c7bf96-e1a4-48a5-937c-4845a6ee4482%5D%2FgroupInfoFuel%5B%40ordinal%3D1%5D%2FpicFuelRecibeInterno","Descargar")</f>
        <v>Descargar</v>
      </c>
    </row>
    <row r="2679" spans="1:18" x14ac:dyDescent="0.3">
      <c r="A2679">
        <v>1541307</v>
      </c>
      <c r="B2679" t="s">
        <v>18</v>
      </c>
      <c r="C2679" t="s">
        <v>28</v>
      </c>
      <c r="D2679" t="s">
        <v>118</v>
      </c>
      <c r="E2679" t="s">
        <v>864</v>
      </c>
      <c r="F2679" t="s">
        <v>22</v>
      </c>
      <c r="G2679" t="s">
        <v>23</v>
      </c>
      <c r="H2679" t="s">
        <v>24</v>
      </c>
      <c r="I2679" t="s">
        <v>25</v>
      </c>
      <c r="J2679" s="2">
        <v>45798.527777777781</v>
      </c>
      <c r="K2679">
        <v>21</v>
      </c>
      <c r="L2679">
        <v>5</v>
      </c>
      <c r="M2679">
        <v>2025</v>
      </c>
      <c r="N2679" t="s">
        <v>44</v>
      </c>
      <c r="O2679">
        <v>20</v>
      </c>
      <c r="Q2679">
        <v>20</v>
      </c>
      <c r="R2679" s="3" t="str">
        <f>HYPERLINK("https://panda.att.com.mx/ODKServer/view/binaryData?blobKey=FSSuministroFluidosv3%5B%40version%3Dnull+and+%40uiVersion%3Dnull%5D%2Fdata%5B%40key%3Duuid%3A41f489f7-7c98-4554-ab3f-87c9728beac2%5D%2FgroupInfoFuel%5B%40ordinal%3D1%5D%2FpicFuelRecibeInterno","Descargar")</f>
        <v>Descargar</v>
      </c>
    </row>
    <row r="2680" spans="1:18" x14ac:dyDescent="0.3">
      <c r="A2680">
        <v>1541198</v>
      </c>
      <c r="B2680" t="s">
        <v>18</v>
      </c>
      <c r="C2680" t="s">
        <v>68</v>
      </c>
      <c r="D2680" t="s">
        <v>258</v>
      </c>
      <c r="E2680" t="s">
        <v>2191</v>
      </c>
      <c r="F2680" t="s">
        <v>22</v>
      </c>
      <c r="G2680" t="s">
        <v>23</v>
      </c>
      <c r="H2680" t="s">
        <v>37</v>
      </c>
      <c r="I2680" t="s">
        <v>25</v>
      </c>
      <c r="J2680" s="2">
        <v>45798.427060185182</v>
      </c>
      <c r="K2680">
        <v>21</v>
      </c>
      <c r="L2680">
        <v>5</v>
      </c>
      <c r="M2680">
        <v>2025</v>
      </c>
      <c r="N2680" t="s">
        <v>27</v>
      </c>
      <c r="O2680">
        <v>300</v>
      </c>
      <c r="P2680">
        <v>300</v>
      </c>
      <c r="R2680" s="3" t="str">
        <f>HYPERLINK("https://panda.att.com.mx/ODKServer/view/binaryData?blobKey=FSSuministroFluidosv3%5B%40version%3Dnull+and+%40uiVersion%3Dnull%5D%2Fdata%5B%40key%3Duuid%3Ab4be4a8b-7013-4633-964b-e46f9ff632db%5D%2FgroupInfoFuel%5B%40ordinal%3D1%5D%2FpicFuelRecibeInterno","Descargar")</f>
        <v>Descargar</v>
      </c>
    </row>
    <row r="2681" spans="1:18" x14ac:dyDescent="0.3">
      <c r="A2681">
        <v>1541152</v>
      </c>
      <c r="B2681" t="s">
        <v>18</v>
      </c>
      <c r="C2681" t="s">
        <v>34</v>
      </c>
      <c r="D2681" t="s">
        <v>53</v>
      </c>
      <c r="E2681" t="s">
        <v>2192</v>
      </c>
      <c r="F2681" t="s">
        <v>22</v>
      </c>
      <c r="G2681" t="s">
        <v>23</v>
      </c>
      <c r="H2681" t="s">
        <v>37</v>
      </c>
      <c r="I2681" t="s">
        <v>25</v>
      </c>
      <c r="J2681" s="2">
        <v>45798.842523148152</v>
      </c>
      <c r="K2681">
        <v>21</v>
      </c>
      <c r="L2681">
        <v>5</v>
      </c>
      <c r="M2681">
        <v>2025</v>
      </c>
      <c r="N2681" t="s">
        <v>27</v>
      </c>
      <c r="O2681">
        <v>400</v>
      </c>
      <c r="Q2681">
        <v>400</v>
      </c>
      <c r="R2681" s="3" t="str">
        <f>HYPERLINK("https://panda.att.com.mx/ODKServer/view/binaryData?blobKey=FSSuministroFluidosv3%5B%40version%3Dnull+and+%40uiVersion%3Dnull%5D%2Fdata%5B%40key%3Duuid%3A005f017e-de08-4b43-82e3-28057daf116d%5D%2FgroupInfoFuel%5B%40ordinal%3D1%5D%2FpicFuelRecibeInterno","Descargar")</f>
        <v>Descargar</v>
      </c>
    </row>
    <row r="2682" spans="1:18" x14ac:dyDescent="0.3">
      <c r="A2682">
        <v>1541142</v>
      </c>
      <c r="B2682" t="s">
        <v>18</v>
      </c>
      <c r="C2682" t="s">
        <v>59</v>
      </c>
      <c r="D2682" t="s">
        <v>60</v>
      </c>
      <c r="E2682" t="s">
        <v>2193</v>
      </c>
      <c r="F2682" t="s">
        <v>22</v>
      </c>
      <c r="G2682" t="s">
        <v>23</v>
      </c>
      <c r="H2682" t="s">
        <v>37</v>
      </c>
      <c r="I2682" t="s">
        <v>25</v>
      </c>
      <c r="J2682" s="2">
        <v>45792.553668981483</v>
      </c>
      <c r="K2682">
        <v>15</v>
      </c>
      <c r="L2682">
        <v>5</v>
      </c>
      <c r="M2682">
        <v>2025</v>
      </c>
      <c r="N2682" t="s">
        <v>27</v>
      </c>
      <c r="O2682">
        <v>50</v>
      </c>
      <c r="P2682">
        <v>50</v>
      </c>
      <c r="R2682" s="3" t="str">
        <f>HYPERLINK("https://panda.att.com.mx/ODKServer/view/binaryData?blobKey=FSSuministroFluidosv3%5B%40version%3Dnull+and+%40uiVersion%3Dnull%5D%2Fdata%5B%40key%3Duuid%3Ae4a34846-cfb9-4f52-bd12-e0bcf30f6ad5%5D%2FgroupInfoFuel%5B%40ordinal%3D1%5D%2FpicFuelRecibeInterno","Descargar")</f>
        <v>Descargar</v>
      </c>
    </row>
    <row r="2683" spans="1:18" x14ac:dyDescent="0.3">
      <c r="A2683">
        <v>1541136</v>
      </c>
      <c r="B2683" t="s">
        <v>18</v>
      </c>
      <c r="C2683" t="s">
        <v>68</v>
      </c>
      <c r="D2683" t="s">
        <v>91</v>
      </c>
      <c r="E2683" t="s">
        <v>2194</v>
      </c>
      <c r="F2683" t="s">
        <v>22</v>
      </c>
      <c r="G2683" t="s">
        <v>23</v>
      </c>
      <c r="H2683" t="s">
        <v>37</v>
      </c>
      <c r="I2683" t="s">
        <v>25</v>
      </c>
      <c r="J2683" s="2">
        <v>45798.854050925933</v>
      </c>
      <c r="K2683">
        <v>21</v>
      </c>
      <c r="L2683">
        <v>5</v>
      </c>
      <c r="M2683">
        <v>2025</v>
      </c>
      <c r="N2683" t="s">
        <v>27</v>
      </c>
      <c r="O2683">
        <v>150</v>
      </c>
      <c r="P2683">
        <v>150</v>
      </c>
      <c r="R2683" s="3" t="str">
        <f>HYPERLINK("https://panda.att.com.mx/ODKServer/view/binaryData?blobKey=FSSuministroFluidosv3%5B%40version%3Dnull+and+%40uiVersion%3Dnull%5D%2Fdata%5B%40key%3Duuid%3Ad76eec4e-91f7-4cca-b5c3-f66953a6122a%5D%2FgroupInfoFuel%5B%40ordinal%3D1%5D%2FpicFuelRecibeInterno","Descargar")</f>
        <v>Descargar</v>
      </c>
    </row>
    <row r="2684" spans="1:18" x14ac:dyDescent="0.3">
      <c r="A2684">
        <v>1541132</v>
      </c>
      <c r="B2684" t="s">
        <v>18</v>
      </c>
      <c r="C2684" t="s">
        <v>19</v>
      </c>
      <c r="D2684" t="s">
        <v>189</v>
      </c>
      <c r="E2684" t="s">
        <v>1081</v>
      </c>
      <c r="F2684" t="s">
        <v>22</v>
      </c>
      <c r="G2684" t="s">
        <v>23</v>
      </c>
      <c r="H2684" t="s">
        <v>24</v>
      </c>
      <c r="I2684" t="s">
        <v>25</v>
      </c>
      <c r="J2684" s="2">
        <v>45784.417951388888</v>
      </c>
      <c r="K2684">
        <v>7</v>
      </c>
      <c r="L2684">
        <v>5</v>
      </c>
      <c r="M2684">
        <v>2025</v>
      </c>
      <c r="N2684" t="s">
        <v>27</v>
      </c>
      <c r="O2684">
        <v>100</v>
      </c>
      <c r="P2684">
        <v>100</v>
      </c>
      <c r="R2684" s="3" t="str">
        <f>HYPERLINK("https://panda.att.com.mx/ODKServer/view/binaryData?blobKey=FSSuministroFluidosv3%5B%40version%3Dnull+and+%40uiVersion%3Dnull%5D%2Fdata%5B%40key%3Duuid%3A7fb09d72-5ab1-4835-ad08-3e3f21ddd02f%5D%2FgroupInfoFuel%5B%40ordinal%3D1%5D%2FpicFuelRecibeInterno","Descargar")</f>
        <v>Descargar</v>
      </c>
    </row>
    <row r="2685" spans="1:18" x14ac:dyDescent="0.3">
      <c r="A2685">
        <v>1541128</v>
      </c>
      <c r="B2685" t="s">
        <v>18</v>
      </c>
      <c r="C2685" t="s">
        <v>19</v>
      </c>
      <c r="D2685" t="s">
        <v>189</v>
      </c>
      <c r="E2685" t="s">
        <v>2161</v>
      </c>
      <c r="F2685" t="s">
        <v>22</v>
      </c>
      <c r="G2685" t="s">
        <v>23</v>
      </c>
      <c r="H2685" t="s">
        <v>24</v>
      </c>
      <c r="I2685" t="s">
        <v>25</v>
      </c>
      <c r="J2685" s="2">
        <v>45785.560254629629</v>
      </c>
      <c r="K2685">
        <v>8</v>
      </c>
      <c r="L2685">
        <v>5</v>
      </c>
      <c r="M2685">
        <v>2025</v>
      </c>
      <c r="N2685" t="s">
        <v>27</v>
      </c>
      <c r="O2685">
        <v>200</v>
      </c>
      <c r="P2685">
        <v>200</v>
      </c>
      <c r="R2685" s="3" t="str">
        <f>HYPERLINK("https://panda.att.com.mx/ODKServer/view/binaryData?blobKey=FSSuministroFluidosv3%5B%40version%3Dnull+and+%40uiVersion%3Dnull%5D%2Fdata%5B%40key%3Duuid%3Aa5017435-0a7f-4a42-badc-a481984baeda%5D%2FgroupInfoFuel%5B%40ordinal%3D1%5D%2FpicFuelRecibeInterno","Descargar")</f>
        <v>Descargar</v>
      </c>
    </row>
    <row r="2686" spans="1:18" x14ac:dyDescent="0.3">
      <c r="A2686">
        <v>1541121</v>
      </c>
      <c r="B2686" t="s">
        <v>18</v>
      </c>
      <c r="C2686" t="s">
        <v>19</v>
      </c>
      <c r="D2686" t="s">
        <v>45</v>
      </c>
      <c r="E2686" t="s">
        <v>2195</v>
      </c>
      <c r="F2686" t="s">
        <v>22</v>
      </c>
      <c r="G2686" t="s">
        <v>23</v>
      </c>
      <c r="H2686" t="s">
        <v>24</v>
      </c>
      <c r="I2686" t="s">
        <v>25</v>
      </c>
      <c r="J2686" s="2">
        <v>45793.510706018518</v>
      </c>
      <c r="K2686">
        <v>16</v>
      </c>
      <c r="L2686">
        <v>5</v>
      </c>
      <c r="M2686">
        <v>2025</v>
      </c>
      <c r="N2686" t="s">
        <v>27</v>
      </c>
      <c r="O2686">
        <v>150</v>
      </c>
      <c r="P2686">
        <v>150</v>
      </c>
      <c r="R2686" s="3" t="str">
        <f>HYPERLINK("https://panda.att.com.mx/ODKServer/view/binaryData?blobKey=FSSuministroFluidosv3%5B%40version%3Dnull+and+%40uiVersion%3Dnull%5D%2Fdata%5B%40key%3Duuid%3A05569e21-e8e0-4ded-9315-fa557be5d49a%5D%2FgroupInfoFuel%5B%40ordinal%3D1%5D%2FpicFuelRecibeInterno","Descargar")</f>
        <v>Descargar</v>
      </c>
    </row>
    <row r="2687" spans="1:18" x14ac:dyDescent="0.3">
      <c r="A2687">
        <v>1541114</v>
      </c>
      <c r="B2687" t="s">
        <v>18</v>
      </c>
      <c r="C2687" t="s">
        <v>34</v>
      </c>
      <c r="D2687" t="s">
        <v>53</v>
      </c>
      <c r="E2687" t="s">
        <v>1771</v>
      </c>
      <c r="F2687" t="s">
        <v>22</v>
      </c>
      <c r="G2687" t="s">
        <v>83</v>
      </c>
      <c r="H2687" t="s">
        <v>37</v>
      </c>
      <c r="I2687" t="s">
        <v>25</v>
      </c>
      <c r="J2687" s="2">
        <v>45798.665046296293</v>
      </c>
      <c r="K2687">
        <v>21</v>
      </c>
      <c r="L2687">
        <v>5</v>
      </c>
      <c r="M2687">
        <v>2025</v>
      </c>
      <c r="N2687" t="s">
        <v>27</v>
      </c>
      <c r="O2687">
        <v>800</v>
      </c>
      <c r="Q2687">
        <v>800</v>
      </c>
      <c r="R2687" s="3" t="str">
        <f>HYPERLINK("https://panda.att.com.mx/ODKServer/view/binaryData?blobKey=FSSuministroFluidosv3%5B%40version%3Dnull+and+%40uiVersion%3Dnull%5D%2Fdata%5B%40key%3Duuid%3A8db85c96-f0be-4378-9a64-6c6171b60384%5D%2FgroupInfoFuel%5B%40ordinal%3D1%5D%2FpicFuelRecibeInterno","Descargar")</f>
        <v>Descargar</v>
      </c>
    </row>
    <row r="2688" spans="1:18" x14ac:dyDescent="0.3">
      <c r="A2688">
        <v>1541107</v>
      </c>
      <c r="B2688" t="s">
        <v>18</v>
      </c>
      <c r="C2688" t="s">
        <v>183</v>
      </c>
      <c r="D2688" t="s">
        <v>688</v>
      </c>
      <c r="E2688" t="s">
        <v>689</v>
      </c>
      <c r="F2688" t="s">
        <v>22</v>
      </c>
      <c r="G2688" t="s">
        <v>23</v>
      </c>
      <c r="H2688" t="s">
        <v>37</v>
      </c>
      <c r="I2688" t="s">
        <v>25</v>
      </c>
      <c r="J2688" s="2">
        <v>45798.651354166657</v>
      </c>
      <c r="K2688">
        <v>21</v>
      </c>
      <c r="L2688">
        <v>5</v>
      </c>
      <c r="M2688">
        <v>2025</v>
      </c>
      <c r="N2688" t="s">
        <v>27</v>
      </c>
      <c r="O2688">
        <v>100</v>
      </c>
      <c r="P2688">
        <v>100</v>
      </c>
      <c r="R2688" s="3" t="str">
        <f>HYPERLINK("https://panda.att.com.mx/ODKServer/view/binaryData?blobKey=FSSuministroFluidosv3%5B%40version%3Dnull+and+%40uiVersion%3Dnull%5D%2Fdata%5B%40key%3Duuid%3A4b6ac1cd-a3e4-4fb5-99fc-7c04f661a580%5D%2FgroupInfoFuel%5B%40ordinal%3D1%5D%2FpicFuelRecibeInterno","Descargar")</f>
        <v>Descargar</v>
      </c>
    </row>
    <row r="2689" spans="1:18" x14ac:dyDescent="0.3">
      <c r="A2689">
        <v>1540878</v>
      </c>
      <c r="B2689" t="s">
        <v>18</v>
      </c>
      <c r="C2689" t="s">
        <v>100</v>
      </c>
      <c r="D2689" t="s">
        <v>716</v>
      </c>
      <c r="E2689" t="s">
        <v>1352</v>
      </c>
      <c r="F2689" t="s">
        <v>22</v>
      </c>
      <c r="G2689" t="s">
        <v>23</v>
      </c>
      <c r="H2689" t="s">
        <v>1781</v>
      </c>
      <c r="I2689" t="s">
        <v>25</v>
      </c>
      <c r="J2689" s="2">
        <v>45798.612476851849</v>
      </c>
      <c r="K2689">
        <v>21</v>
      </c>
      <c r="L2689">
        <v>5</v>
      </c>
      <c r="M2689">
        <v>2025</v>
      </c>
      <c r="N2689" t="s">
        <v>27</v>
      </c>
      <c r="O2689">
        <v>70</v>
      </c>
      <c r="P2689">
        <v>70</v>
      </c>
      <c r="R2689" s="3" t="str">
        <f>HYPERLINK("https://panda.att.com.mx/ODKServer/view/binaryData?blobKey=FSSuministroFluidosv3%5B%40version%3Dnull+and+%40uiVersion%3Dnull%5D%2Fdata%5B%40key%3Duuid%3A3d833e40-a529-4b17-8c88-6fa2e7f8c817%5D%2FgroupInfoFuel%5B%40ordinal%3D1%5D%2FpicFuelRecibeInterno","Descargar")</f>
        <v>Descargar</v>
      </c>
    </row>
    <row r="2690" spans="1:18" x14ac:dyDescent="0.3">
      <c r="A2690">
        <v>1540705</v>
      </c>
      <c r="B2690" t="s">
        <v>18</v>
      </c>
      <c r="C2690" t="s">
        <v>28</v>
      </c>
      <c r="D2690" t="s">
        <v>118</v>
      </c>
      <c r="E2690" t="s">
        <v>195</v>
      </c>
      <c r="F2690" t="s">
        <v>22</v>
      </c>
      <c r="G2690" t="s">
        <v>23</v>
      </c>
      <c r="H2690" t="s">
        <v>24</v>
      </c>
      <c r="I2690" t="s">
        <v>25</v>
      </c>
      <c r="J2690" s="2">
        <v>45797.502638888887</v>
      </c>
      <c r="K2690">
        <v>20</v>
      </c>
      <c r="L2690">
        <v>5</v>
      </c>
      <c r="M2690">
        <v>2025</v>
      </c>
      <c r="N2690" t="s">
        <v>27</v>
      </c>
      <c r="O2690">
        <v>300</v>
      </c>
      <c r="P2690">
        <v>300</v>
      </c>
      <c r="R2690" s="3" t="str">
        <f>HYPERLINK("https://panda.att.com.mx/ODKServer/view/binaryData?blobKey=FSSuministroFluidosv3%5B%40version%3Dnull+and+%40uiVersion%3Dnull%5D%2Fdata%5B%40key%3Duuid%3A01770b87-b8ee-4bde-835c-a7a0f7936483%5D%2FgroupInfoFuel%5B%40ordinal%3D1%5D%2FpicFuelRecibeInterno","Descargar")</f>
        <v>Descargar</v>
      </c>
    </row>
    <row r="2691" spans="1:18" x14ac:dyDescent="0.3">
      <c r="A2691">
        <v>1540687</v>
      </c>
      <c r="B2691" t="s">
        <v>18</v>
      </c>
      <c r="C2691" t="s">
        <v>19</v>
      </c>
      <c r="D2691" t="s">
        <v>156</v>
      </c>
      <c r="E2691" t="s">
        <v>2196</v>
      </c>
      <c r="F2691" t="s">
        <v>22</v>
      </c>
      <c r="G2691" t="s">
        <v>23</v>
      </c>
      <c r="H2691" t="s">
        <v>24</v>
      </c>
      <c r="I2691" t="s">
        <v>25</v>
      </c>
      <c r="J2691" s="2">
        <v>45794.708298611113</v>
      </c>
      <c r="K2691">
        <v>17</v>
      </c>
      <c r="L2691">
        <v>5</v>
      </c>
      <c r="M2691">
        <v>2025</v>
      </c>
      <c r="N2691" t="s">
        <v>44</v>
      </c>
      <c r="O2691">
        <v>27</v>
      </c>
      <c r="P2691">
        <v>27</v>
      </c>
      <c r="R2691" s="3" t="str">
        <f>HYPERLINK("https://panda.att.com.mx/ODKServer/view/binaryData?blobKey=FSSuministroFluidosv3%5B%40version%3Dnull+and+%40uiVersion%3Dnull%5D%2Fdata%5B%40key%3Duuid%3A1d4c7a89-0c47-4b70-9f85-3b99700fc72e%5D%2FgroupInfoFuel%5B%40ordinal%3D1%5D%2FpicFuelRecibeInterno","Descargar")</f>
        <v>Descargar</v>
      </c>
    </row>
    <row r="2692" spans="1:18" x14ac:dyDescent="0.3">
      <c r="A2692">
        <v>1540656</v>
      </c>
      <c r="B2692" t="s">
        <v>18</v>
      </c>
      <c r="C2692" t="s">
        <v>150</v>
      </c>
      <c r="D2692" t="s">
        <v>230</v>
      </c>
      <c r="E2692" t="s">
        <v>1510</v>
      </c>
      <c r="F2692" t="s">
        <v>22</v>
      </c>
      <c r="G2692" t="s">
        <v>23</v>
      </c>
      <c r="H2692" t="s">
        <v>1781</v>
      </c>
      <c r="I2692" t="s">
        <v>25</v>
      </c>
      <c r="J2692" s="2">
        <v>45798.521331018521</v>
      </c>
      <c r="K2692">
        <v>21</v>
      </c>
      <c r="L2692">
        <v>5</v>
      </c>
      <c r="M2692">
        <v>2025</v>
      </c>
      <c r="N2692" t="s">
        <v>27</v>
      </c>
      <c r="O2692">
        <v>300</v>
      </c>
      <c r="P2692">
        <v>300</v>
      </c>
      <c r="R2692" s="3" t="str">
        <f>HYPERLINK("https://panda.att.com.mx/ODKServer/view/binaryData?blobKey=FSSuministroFluidosv3%5B%40version%3Dnull+and+%40uiVersion%3Dnull%5D%2Fdata%5B%40key%3Duuid%3A27b4c624-4382-4686-a378-b7505b245477%5D%2FgroupInfoFuel%5B%40ordinal%3D1%5D%2FpicFuelRecibeInterno","Descargar")</f>
        <v>Descargar</v>
      </c>
    </row>
    <row r="2693" spans="1:18" x14ac:dyDescent="0.3">
      <c r="A2693">
        <v>1540587</v>
      </c>
      <c r="B2693" t="s">
        <v>18</v>
      </c>
      <c r="C2693" t="s">
        <v>183</v>
      </c>
      <c r="D2693" t="s">
        <v>841</v>
      </c>
      <c r="E2693" t="s">
        <v>2123</v>
      </c>
      <c r="F2693" t="s">
        <v>22</v>
      </c>
      <c r="G2693" t="s">
        <v>23</v>
      </c>
      <c r="H2693" t="s">
        <v>1763</v>
      </c>
      <c r="I2693" t="s">
        <v>25</v>
      </c>
      <c r="J2693" s="2">
        <v>45793.715879629628</v>
      </c>
      <c r="K2693">
        <v>16</v>
      </c>
      <c r="L2693">
        <v>5</v>
      </c>
      <c r="M2693">
        <v>2025</v>
      </c>
      <c r="N2693" t="s">
        <v>27</v>
      </c>
      <c r="O2693">
        <v>100</v>
      </c>
      <c r="P2693">
        <v>100</v>
      </c>
      <c r="R2693" s="3" t="str">
        <f>HYPERLINK("https://panda.att.com.mx/ODKServer/view/binaryData?blobKey=FSSuministroFluidosv3%5B%40version%3Dnull+and+%40uiVersion%3Dnull%5D%2Fdata%5B%40key%3Duuid%3Ac1ba45df-26e4-45ca-9f25-8cbb460adcca%5D%2FgroupInfoFuel%5B%40ordinal%3D1%5D%2FpicFuelRecibeInterno","Descargar")</f>
        <v>Descargar</v>
      </c>
    </row>
    <row r="2694" spans="1:18" x14ac:dyDescent="0.3">
      <c r="A2694">
        <v>1540586</v>
      </c>
      <c r="B2694" t="s">
        <v>18</v>
      </c>
      <c r="C2694" t="s">
        <v>55</v>
      </c>
      <c r="D2694" t="s">
        <v>56</v>
      </c>
      <c r="E2694" t="s">
        <v>2108</v>
      </c>
      <c r="F2694" t="s">
        <v>22</v>
      </c>
      <c r="G2694" t="s">
        <v>23</v>
      </c>
      <c r="H2694" t="s">
        <v>1763</v>
      </c>
      <c r="I2694" t="s">
        <v>25</v>
      </c>
      <c r="J2694" s="2">
        <v>45793.82403935185</v>
      </c>
      <c r="K2694">
        <v>16</v>
      </c>
      <c r="L2694">
        <v>5</v>
      </c>
      <c r="M2694">
        <v>2025</v>
      </c>
      <c r="N2694" t="s">
        <v>27</v>
      </c>
      <c r="O2694">
        <v>100</v>
      </c>
      <c r="P2694">
        <v>100</v>
      </c>
      <c r="R2694" s="3" t="str">
        <f>HYPERLINK("https://panda.att.com.mx/ODKServer/view/binaryData?blobKey=FSSuministroFluidosv3%5B%40version%3Dnull+and+%40uiVersion%3Dnull%5D%2Fdata%5B%40key%3Duuid%3A93ac0f58-0926-403c-b513-6e70d6056ba9%5D%2FgroupInfoFuel%5B%40ordinal%3D1%5D%2FpicFuelRecibeInterno","Descargar")</f>
        <v>Descargar</v>
      </c>
    </row>
    <row r="2695" spans="1:18" x14ac:dyDescent="0.3">
      <c r="A2695">
        <v>1540577</v>
      </c>
      <c r="B2695" t="s">
        <v>18</v>
      </c>
      <c r="C2695" t="s">
        <v>55</v>
      </c>
      <c r="D2695" t="s">
        <v>56</v>
      </c>
      <c r="E2695" t="s">
        <v>1670</v>
      </c>
      <c r="F2695" t="s">
        <v>22</v>
      </c>
      <c r="G2695" t="s">
        <v>23</v>
      </c>
      <c r="H2695" t="s">
        <v>1763</v>
      </c>
      <c r="I2695" t="s">
        <v>25</v>
      </c>
      <c r="J2695" s="2">
        <v>45786.576990740738</v>
      </c>
      <c r="K2695">
        <v>9</v>
      </c>
      <c r="L2695">
        <v>5</v>
      </c>
      <c r="M2695">
        <v>2025</v>
      </c>
      <c r="N2695" t="s">
        <v>27</v>
      </c>
      <c r="O2695">
        <v>400</v>
      </c>
      <c r="P2695">
        <v>400</v>
      </c>
      <c r="R2695" s="3" t="str">
        <f>HYPERLINK("https://panda.att.com.mx/ODKServer/view/binaryData?blobKey=FSSuministroFluidosv3%5B%40version%3Dnull+and+%40uiVersion%3Dnull%5D%2Fdata%5B%40key%3Duuid%3Ad4483313-28ee-4fa0-8c19-11710596c323%5D%2FgroupInfoFuel%5B%40ordinal%3D1%5D%2FpicFuelRecibeInterno","Descargar")</f>
        <v>Descargar</v>
      </c>
    </row>
    <row r="2696" spans="1:18" x14ac:dyDescent="0.3">
      <c r="A2696">
        <v>1540576</v>
      </c>
      <c r="B2696" t="s">
        <v>18</v>
      </c>
      <c r="C2696" t="s">
        <v>55</v>
      </c>
      <c r="D2696" t="s">
        <v>56</v>
      </c>
      <c r="E2696" t="s">
        <v>1670</v>
      </c>
      <c r="F2696" t="s">
        <v>22</v>
      </c>
      <c r="G2696" t="s">
        <v>23</v>
      </c>
      <c r="H2696" t="s">
        <v>1763</v>
      </c>
      <c r="I2696" t="s">
        <v>25</v>
      </c>
      <c r="J2696" s="2">
        <v>45782.515567129631</v>
      </c>
      <c r="K2696">
        <v>5</v>
      </c>
      <c r="L2696">
        <v>5</v>
      </c>
      <c r="M2696">
        <v>2025</v>
      </c>
      <c r="N2696" t="s">
        <v>27</v>
      </c>
      <c r="O2696">
        <v>400</v>
      </c>
      <c r="P2696">
        <v>400</v>
      </c>
      <c r="R2696" s="3" t="str">
        <f>HYPERLINK("https://panda.att.com.mx/ODKServer/view/binaryData?blobKey=FSSuministroFluidosv3%5B%40version%3Dnull+and+%40uiVersion%3Dnull%5D%2Fdata%5B%40key%3Duuid%3A0145f4fd-65c4-4050-96e1-3161c0241de1%5D%2FgroupInfoFuel%5B%40ordinal%3D1%5D%2FpicFuelRecibeInterno","Descargar")</f>
        <v>Descargar</v>
      </c>
    </row>
    <row r="2697" spans="1:18" x14ac:dyDescent="0.3">
      <c r="A2697">
        <v>1540468</v>
      </c>
      <c r="B2697" t="s">
        <v>18</v>
      </c>
      <c r="C2697" t="s">
        <v>68</v>
      </c>
      <c r="D2697" t="s">
        <v>258</v>
      </c>
      <c r="E2697" t="s">
        <v>2197</v>
      </c>
      <c r="F2697" t="s">
        <v>22</v>
      </c>
      <c r="G2697" t="s">
        <v>23</v>
      </c>
      <c r="H2697" t="s">
        <v>37</v>
      </c>
      <c r="I2697" t="s">
        <v>25</v>
      </c>
      <c r="J2697" s="2">
        <v>45789.715208333328</v>
      </c>
      <c r="K2697">
        <v>12</v>
      </c>
      <c r="L2697">
        <v>5</v>
      </c>
      <c r="M2697">
        <v>2025</v>
      </c>
      <c r="N2697" t="s">
        <v>27</v>
      </c>
      <c r="O2697">
        <v>300</v>
      </c>
      <c r="P2697">
        <v>300</v>
      </c>
      <c r="R2697" s="3" t="str">
        <f>HYPERLINK("https://panda.att.com.mx/ODKServer/view/binaryData?blobKey=FSSuministroFluidosv3%5B%40version%3Dnull+and+%40uiVersion%3Dnull%5D%2Fdata%5B%40key%3Duuid%3A17aaa67a-b9c7-469e-89f2-c521d78870dc%5D%2FgroupInfoFuel%5B%40ordinal%3D1%5D%2FpicFuelRecibeInterno","Descargar")</f>
        <v>Descargar</v>
      </c>
    </row>
    <row r="2698" spans="1:18" x14ac:dyDescent="0.3">
      <c r="A2698">
        <v>1540425</v>
      </c>
      <c r="B2698" t="s">
        <v>18</v>
      </c>
      <c r="C2698" t="s">
        <v>34</v>
      </c>
      <c r="D2698" t="s">
        <v>53</v>
      </c>
      <c r="E2698" t="s">
        <v>2198</v>
      </c>
      <c r="F2698" t="s">
        <v>22</v>
      </c>
      <c r="G2698" t="s">
        <v>23</v>
      </c>
      <c r="H2698" t="s">
        <v>37</v>
      </c>
      <c r="I2698" t="s">
        <v>25</v>
      </c>
      <c r="J2698" s="2">
        <v>45797.925983796304</v>
      </c>
      <c r="K2698">
        <v>20</v>
      </c>
      <c r="L2698">
        <v>5</v>
      </c>
      <c r="M2698">
        <v>2025</v>
      </c>
      <c r="N2698" t="s">
        <v>27</v>
      </c>
      <c r="O2698">
        <v>100</v>
      </c>
      <c r="P2698">
        <v>100</v>
      </c>
      <c r="R2698" s="3" t="str">
        <f>HYPERLINK("https://panda.att.com.mx/ODKServer/view/binaryData?blobKey=FSSuministroFluidosv3%5B%40version%3Dnull+and+%40uiVersion%3Dnull%5D%2Fdata%5B%40key%3Duuid%3Ad40d6104-4068-4d32-9507-0a0f68cd3bc1%5D%2FgroupInfoFuel%5B%40ordinal%3D1%5D%2FpicFuelRecibeInterno","Descargar")</f>
        <v>Descargar</v>
      </c>
    </row>
    <row r="2699" spans="1:18" x14ac:dyDescent="0.3">
      <c r="A2699">
        <v>1540418</v>
      </c>
      <c r="B2699" t="s">
        <v>18</v>
      </c>
      <c r="C2699" t="s">
        <v>28</v>
      </c>
      <c r="D2699" t="s">
        <v>181</v>
      </c>
      <c r="E2699" t="s">
        <v>218</v>
      </c>
      <c r="F2699" t="s">
        <v>22</v>
      </c>
      <c r="G2699" t="s">
        <v>23</v>
      </c>
      <c r="H2699" t="s">
        <v>24</v>
      </c>
      <c r="I2699" t="s">
        <v>25</v>
      </c>
      <c r="J2699" s="2">
        <v>45793.415289351848</v>
      </c>
      <c r="K2699">
        <v>16</v>
      </c>
      <c r="L2699">
        <v>5</v>
      </c>
      <c r="M2699">
        <v>2025</v>
      </c>
      <c r="N2699" t="s">
        <v>27</v>
      </c>
      <c r="O2699">
        <v>299.77999999999997</v>
      </c>
      <c r="P2699">
        <v>299.77999999999997</v>
      </c>
      <c r="R2699" s="3" t="str">
        <f>HYPERLINK("https://panda.att.com.mx/ODKServer/view/binaryData?blobKey=FSSuministroFluidosv3%5B%40version%3Dnull+and+%40uiVersion%3Dnull%5D%2Fdata%5B%40key%3Duuid%3A6dc7aae8-5276-4ba6-9c3f-d58f917e9b08%5D%2FgroupInfoFuel%5B%40ordinal%3D1%5D%2FpicFuelRecibeInterno","Descargar")</f>
        <v>Descargar</v>
      </c>
    </row>
    <row r="2700" spans="1:18" x14ac:dyDescent="0.3">
      <c r="A2700">
        <v>1540390</v>
      </c>
      <c r="B2700" t="s">
        <v>18</v>
      </c>
      <c r="C2700" t="s">
        <v>34</v>
      </c>
      <c r="D2700" t="s">
        <v>53</v>
      </c>
      <c r="E2700" t="s">
        <v>1979</v>
      </c>
      <c r="F2700" t="s">
        <v>22</v>
      </c>
      <c r="G2700" t="s">
        <v>23</v>
      </c>
      <c r="H2700" t="s">
        <v>37</v>
      </c>
      <c r="I2700" t="s">
        <v>25</v>
      </c>
      <c r="J2700" s="2">
        <v>45797.442129629628</v>
      </c>
      <c r="K2700">
        <v>20</v>
      </c>
      <c r="L2700">
        <v>5</v>
      </c>
      <c r="M2700">
        <v>2025</v>
      </c>
      <c r="N2700" t="s">
        <v>27</v>
      </c>
      <c r="O2700">
        <v>250</v>
      </c>
      <c r="P2700">
        <v>250</v>
      </c>
      <c r="R2700" s="3" t="str">
        <f>HYPERLINK("https://panda.att.com.mx/ODKServer/view/binaryData?blobKey=FSSuministroFluidosv3%5B%40version%3Dnull+and+%40uiVersion%3Dnull%5D%2Fdata%5B%40key%3Duuid%3A5a00d8cc-8ec7-486a-9a1b-6b4dc961bdc6%5D%2FgroupInfoFuel%5B%40ordinal%3D1%5D%2FpicFuelRecibeInterno","Descargar")</f>
        <v>Descargar</v>
      </c>
    </row>
    <row r="2701" spans="1:18" x14ac:dyDescent="0.3">
      <c r="A2701">
        <v>1540370</v>
      </c>
      <c r="B2701" t="s">
        <v>18</v>
      </c>
      <c r="C2701" t="s">
        <v>68</v>
      </c>
      <c r="D2701" t="s">
        <v>91</v>
      </c>
      <c r="E2701" t="s">
        <v>2194</v>
      </c>
      <c r="F2701" t="s">
        <v>22</v>
      </c>
      <c r="G2701" t="s">
        <v>23</v>
      </c>
      <c r="H2701" t="s">
        <v>37</v>
      </c>
      <c r="I2701" t="s">
        <v>25</v>
      </c>
      <c r="J2701" s="2">
        <v>45797.644953703697</v>
      </c>
      <c r="K2701">
        <v>20</v>
      </c>
      <c r="L2701">
        <v>5</v>
      </c>
      <c r="M2701">
        <v>2025</v>
      </c>
      <c r="N2701" t="s">
        <v>27</v>
      </c>
      <c r="O2701">
        <v>150</v>
      </c>
      <c r="P2701">
        <v>150</v>
      </c>
      <c r="R2701" s="3" t="str">
        <f>HYPERLINK("https://panda.att.com.mx/ODKServer/view/binaryData?blobKey=FSSuministroFluidosv3%5B%40version%3Dnull+and+%40uiVersion%3Dnull%5D%2Fdata%5B%40key%3Duuid%3Af1d1ab76-6dc7-4303-bbe7-85bb6075e740%5D%2FgroupInfoFuel%5B%40ordinal%3D1%5D%2FpicFuelRecibeInterno","Descargar")</f>
        <v>Descargar</v>
      </c>
    </row>
    <row r="2702" spans="1:18" x14ac:dyDescent="0.3">
      <c r="A2702">
        <v>1538647</v>
      </c>
      <c r="B2702" t="s">
        <v>18</v>
      </c>
      <c r="C2702" t="s">
        <v>55</v>
      </c>
      <c r="D2702" t="s">
        <v>56</v>
      </c>
      <c r="E2702" t="s">
        <v>1555</v>
      </c>
      <c r="F2702" t="s">
        <v>22</v>
      </c>
      <c r="G2702" t="s">
        <v>23</v>
      </c>
      <c r="H2702" t="s">
        <v>1763</v>
      </c>
      <c r="I2702" t="s">
        <v>25</v>
      </c>
      <c r="J2702" s="2">
        <v>45785.590405092589</v>
      </c>
      <c r="K2702">
        <v>8</v>
      </c>
      <c r="L2702">
        <v>5</v>
      </c>
      <c r="M2702">
        <v>2025</v>
      </c>
      <c r="N2702" t="s">
        <v>27</v>
      </c>
      <c r="O2702">
        <v>100</v>
      </c>
      <c r="P2702">
        <v>100</v>
      </c>
      <c r="R2702" s="3" t="str">
        <f>HYPERLINK("https://panda.att.com.mx/ODKServer/view/binaryData?blobKey=FSSuministroFluidosv3%5B%40version%3Dnull+and+%40uiVersion%3Dnull%5D%2Fdata%5B%40key%3Duuid%3A637888cd-62ee-4ece-8f2c-cbe2eadd3016%5D%2FgroupInfoFuel%5B%40ordinal%3D1%5D%2FpicFuelRecibeInterno","Descargar")</f>
        <v>Descargar</v>
      </c>
    </row>
    <row r="2703" spans="1:18" x14ac:dyDescent="0.3">
      <c r="A2703">
        <v>1538641</v>
      </c>
      <c r="B2703" t="s">
        <v>18</v>
      </c>
      <c r="C2703" t="s">
        <v>55</v>
      </c>
      <c r="D2703" t="s">
        <v>56</v>
      </c>
      <c r="E2703" t="s">
        <v>1555</v>
      </c>
      <c r="F2703" t="s">
        <v>22</v>
      </c>
      <c r="G2703" t="s">
        <v>23</v>
      </c>
      <c r="H2703" t="s">
        <v>1763</v>
      </c>
      <c r="I2703" t="s">
        <v>25</v>
      </c>
      <c r="J2703" s="2">
        <v>45792.500636574077</v>
      </c>
      <c r="K2703">
        <v>15</v>
      </c>
      <c r="L2703">
        <v>5</v>
      </c>
      <c r="M2703">
        <v>2025</v>
      </c>
      <c r="N2703" t="s">
        <v>27</v>
      </c>
      <c r="O2703">
        <v>100</v>
      </c>
      <c r="P2703">
        <v>100</v>
      </c>
      <c r="R2703" s="3" t="str">
        <f>HYPERLINK("https://panda.att.com.mx/ODKServer/view/binaryData?blobKey=FSSuministroFluidosv3%5B%40version%3Dnull+and+%40uiVersion%3Dnull%5D%2Fdata%5B%40key%3Duuid%3Aaf91fbd9-12e3-46c8-ab76-c38077698034%5D%2FgroupInfoFuel%5B%40ordinal%3D1%5D%2FpicFuelRecibeInterno","Descargar")</f>
        <v>Descargar</v>
      </c>
    </row>
    <row r="2704" spans="1:18" x14ac:dyDescent="0.3">
      <c r="A2704">
        <v>1538640</v>
      </c>
      <c r="B2704" t="s">
        <v>18</v>
      </c>
      <c r="C2704" t="s">
        <v>55</v>
      </c>
      <c r="D2704" t="s">
        <v>56</v>
      </c>
      <c r="E2704" t="s">
        <v>1517</v>
      </c>
      <c r="F2704" t="s">
        <v>22</v>
      </c>
      <c r="G2704" t="s">
        <v>23</v>
      </c>
      <c r="H2704" t="s">
        <v>1763</v>
      </c>
      <c r="I2704" t="s">
        <v>25</v>
      </c>
      <c r="J2704" s="2">
        <v>45794.451203703713</v>
      </c>
      <c r="K2704">
        <v>17</v>
      </c>
      <c r="L2704">
        <v>5</v>
      </c>
      <c r="M2704">
        <v>2025</v>
      </c>
      <c r="N2704" t="s">
        <v>27</v>
      </c>
      <c r="O2704">
        <v>100</v>
      </c>
      <c r="P2704">
        <v>100</v>
      </c>
      <c r="R2704" s="3" t="str">
        <f>HYPERLINK("https://panda.att.com.mx/ODKServer/view/binaryData?blobKey=FSSuministroFluidosv3%5B%40version%3Dnull+and+%40uiVersion%3Dnull%5D%2Fdata%5B%40key%3Duuid%3A4134e060-9629-410e-a664-577d48c05dbf%5D%2FgroupInfoFuel%5B%40ordinal%3D1%5D%2FpicFuelRecibeInterno","Descargar")</f>
        <v>Descargar</v>
      </c>
    </row>
    <row r="2705" spans="1:18" x14ac:dyDescent="0.3">
      <c r="A2705">
        <v>1538639</v>
      </c>
      <c r="B2705" t="s">
        <v>18</v>
      </c>
      <c r="C2705" t="s">
        <v>55</v>
      </c>
      <c r="D2705" t="s">
        <v>56</v>
      </c>
      <c r="E2705" t="s">
        <v>1842</v>
      </c>
      <c r="F2705" t="s">
        <v>22</v>
      </c>
      <c r="G2705" t="s">
        <v>23</v>
      </c>
      <c r="H2705" t="s">
        <v>1763</v>
      </c>
      <c r="I2705" t="s">
        <v>25</v>
      </c>
      <c r="J2705" s="2">
        <v>45794.499259259261</v>
      </c>
      <c r="K2705">
        <v>17</v>
      </c>
      <c r="L2705">
        <v>5</v>
      </c>
      <c r="M2705">
        <v>2025</v>
      </c>
      <c r="N2705" t="s">
        <v>27</v>
      </c>
      <c r="O2705">
        <v>150</v>
      </c>
      <c r="P2705">
        <v>150</v>
      </c>
      <c r="R2705" s="3" t="str">
        <f>HYPERLINK("https://panda.att.com.mx/ODKServer/view/binaryData?blobKey=FSSuministroFluidosv3%5B%40version%3Dnull+and+%40uiVersion%3Dnull%5D%2Fdata%5B%40key%3Duuid%3A61ea0277-bb62-48e8-b79a-c08be8f7eb58%5D%2FgroupInfoFuel%5B%40ordinal%3D1%5D%2FpicFuelRecibeInterno","Descargar")</f>
        <v>Descargar</v>
      </c>
    </row>
    <row r="2706" spans="1:18" x14ac:dyDescent="0.3">
      <c r="A2706">
        <v>1538638</v>
      </c>
      <c r="B2706" t="s">
        <v>18</v>
      </c>
      <c r="C2706" t="s">
        <v>55</v>
      </c>
      <c r="D2706" t="s">
        <v>56</v>
      </c>
      <c r="E2706" t="s">
        <v>1555</v>
      </c>
      <c r="F2706" t="s">
        <v>22</v>
      </c>
      <c r="G2706" t="s">
        <v>23</v>
      </c>
      <c r="H2706" t="s">
        <v>1763</v>
      </c>
      <c r="I2706" t="s">
        <v>25</v>
      </c>
      <c r="J2706" s="2">
        <v>45794.546516203707</v>
      </c>
      <c r="K2706">
        <v>17</v>
      </c>
      <c r="L2706">
        <v>5</v>
      </c>
      <c r="M2706">
        <v>2025</v>
      </c>
      <c r="N2706" t="s">
        <v>27</v>
      </c>
      <c r="O2706">
        <v>100</v>
      </c>
      <c r="P2706">
        <v>100</v>
      </c>
      <c r="R2706" s="3" t="str">
        <f>HYPERLINK("https://panda.att.com.mx/ODKServer/view/binaryData?blobKey=FSSuministroFluidosv3%5B%40version%3Dnull+and+%40uiVersion%3Dnull%5D%2Fdata%5B%40key%3Duuid%3A2df0f554-2e04-42bf-8e38-ff9f880d62eb%5D%2FgroupInfoFuel%5B%40ordinal%3D1%5D%2FpicFuelRecibeInterno","Descargar")</f>
        <v>Descargar</v>
      </c>
    </row>
    <row r="2707" spans="1:18" x14ac:dyDescent="0.3">
      <c r="A2707">
        <v>1538636</v>
      </c>
      <c r="B2707" t="s">
        <v>18</v>
      </c>
      <c r="C2707" t="s">
        <v>55</v>
      </c>
      <c r="D2707" t="s">
        <v>56</v>
      </c>
      <c r="E2707" t="s">
        <v>2083</v>
      </c>
      <c r="F2707" t="s">
        <v>22</v>
      </c>
      <c r="G2707" t="s">
        <v>23</v>
      </c>
      <c r="H2707" t="s">
        <v>1763</v>
      </c>
      <c r="I2707" t="s">
        <v>25</v>
      </c>
      <c r="J2707" s="2">
        <v>45794.58699074074</v>
      </c>
      <c r="K2707">
        <v>17</v>
      </c>
      <c r="L2707">
        <v>5</v>
      </c>
      <c r="M2707">
        <v>2025</v>
      </c>
      <c r="N2707" t="s">
        <v>27</v>
      </c>
      <c r="O2707">
        <v>100</v>
      </c>
      <c r="P2707">
        <v>100</v>
      </c>
      <c r="R2707" s="3" t="str">
        <f>HYPERLINK("https://panda.att.com.mx/ODKServer/view/binaryData?blobKey=FSSuministroFluidosv3%5B%40version%3Dnull+and+%40uiVersion%3Dnull%5D%2Fdata%5B%40key%3Duuid%3A619b45bf-28fe-4804-a6a2-b8ed25c53e99%5D%2FgroupInfoFuel%5B%40ordinal%3D1%5D%2FpicFuelRecibeInterno","Descargar")</f>
        <v>Descargar</v>
      </c>
    </row>
    <row r="2708" spans="1:18" x14ac:dyDescent="0.3">
      <c r="A2708">
        <v>1538635</v>
      </c>
      <c r="B2708" t="s">
        <v>18</v>
      </c>
      <c r="C2708" t="s">
        <v>55</v>
      </c>
      <c r="D2708" t="s">
        <v>56</v>
      </c>
      <c r="E2708" t="s">
        <v>2089</v>
      </c>
      <c r="F2708" t="s">
        <v>22</v>
      </c>
      <c r="G2708" t="s">
        <v>83</v>
      </c>
      <c r="H2708" t="s">
        <v>1763</v>
      </c>
      <c r="I2708" t="s">
        <v>25</v>
      </c>
      <c r="J2708" s="2">
        <v>45795.440972222219</v>
      </c>
      <c r="K2708">
        <v>18</v>
      </c>
      <c r="L2708">
        <v>5</v>
      </c>
      <c r="M2708">
        <v>2025</v>
      </c>
      <c r="N2708" t="s">
        <v>27</v>
      </c>
      <c r="O2708">
        <v>200</v>
      </c>
      <c r="P2708">
        <v>200</v>
      </c>
      <c r="R2708" s="3" t="str">
        <f>HYPERLINK("https://panda.att.com.mx/ODKServer/view/binaryData?blobKey=FSSuministroFluidosv3%5B%40version%3Dnull+and+%40uiVersion%3Dnull%5D%2Fdata%5B%40key%3Duuid%3Ac3da9230-876e-4cf6-a50c-513069262329%5D%2FgroupInfoFuel%5B%40ordinal%3D1%5D%2FpicFuelRecibeInterno","Descargar")</f>
        <v>Descargar</v>
      </c>
    </row>
    <row r="2709" spans="1:18" x14ac:dyDescent="0.3">
      <c r="A2709">
        <v>1538634</v>
      </c>
      <c r="B2709" t="s">
        <v>18</v>
      </c>
      <c r="C2709" t="s">
        <v>55</v>
      </c>
      <c r="D2709" t="s">
        <v>56</v>
      </c>
      <c r="E2709" t="s">
        <v>2199</v>
      </c>
      <c r="F2709" t="s">
        <v>22</v>
      </c>
      <c r="G2709" t="s">
        <v>23</v>
      </c>
      <c r="H2709" t="s">
        <v>1763</v>
      </c>
      <c r="I2709" t="s">
        <v>25</v>
      </c>
      <c r="J2709" s="2">
        <v>45795.578287037039</v>
      </c>
      <c r="K2709">
        <v>18</v>
      </c>
      <c r="L2709">
        <v>5</v>
      </c>
      <c r="M2709">
        <v>2025</v>
      </c>
      <c r="N2709" t="s">
        <v>27</v>
      </c>
      <c r="O2709">
        <v>100</v>
      </c>
      <c r="P2709">
        <v>100</v>
      </c>
      <c r="R2709" s="3" t="str">
        <f>HYPERLINK("https://panda.att.com.mx/ODKServer/view/binaryData?blobKey=FSSuministroFluidosv3%5B%40version%3Dnull+and+%40uiVersion%3Dnull%5D%2Fdata%5B%40key%3Duuid%3A4da7b9d9-2bf1-4bb8-bb30-42c8ab8ab190%5D%2FgroupInfoFuel%5B%40ordinal%3D1%5D%2FpicFuelRecibeInterno","Descargar")</f>
        <v>Descargar</v>
      </c>
    </row>
    <row r="2710" spans="1:18" x14ac:dyDescent="0.3">
      <c r="A2710">
        <v>1538633</v>
      </c>
      <c r="B2710" t="s">
        <v>18</v>
      </c>
      <c r="C2710" t="s">
        <v>55</v>
      </c>
      <c r="D2710" t="s">
        <v>56</v>
      </c>
      <c r="E2710" t="s">
        <v>1555</v>
      </c>
      <c r="F2710" t="s">
        <v>22</v>
      </c>
      <c r="G2710" t="s">
        <v>23</v>
      </c>
      <c r="H2710" t="s">
        <v>1763</v>
      </c>
      <c r="I2710" t="s">
        <v>25</v>
      </c>
      <c r="J2710" s="2">
        <v>45795.628287037027</v>
      </c>
      <c r="K2710">
        <v>18</v>
      </c>
      <c r="L2710">
        <v>5</v>
      </c>
      <c r="M2710">
        <v>2025</v>
      </c>
      <c r="N2710" t="s">
        <v>27</v>
      </c>
      <c r="O2710">
        <v>100</v>
      </c>
      <c r="P2710">
        <v>100</v>
      </c>
      <c r="R2710" s="3" t="str">
        <f>HYPERLINK("https://panda.att.com.mx/ODKServer/view/binaryData?blobKey=FSSuministroFluidosv3%5B%40version%3Dnull+and+%40uiVersion%3Dnull%5D%2Fdata%5B%40key%3Duuid%3A86d2193b-0973-478a-98d4-98ac2d713fcd%5D%2FgroupInfoFuel%5B%40ordinal%3D1%5D%2FpicFuelRecibeInterno","Descargar")</f>
        <v>Descargar</v>
      </c>
    </row>
    <row r="2711" spans="1:18" x14ac:dyDescent="0.3">
      <c r="A2711">
        <v>1538628</v>
      </c>
      <c r="B2711" t="s">
        <v>18</v>
      </c>
      <c r="C2711" t="s">
        <v>55</v>
      </c>
      <c r="D2711" t="s">
        <v>56</v>
      </c>
      <c r="E2711" t="s">
        <v>2083</v>
      </c>
      <c r="F2711" t="s">
        <v>22</v>
      </c>
      <c r="G2711" t="s">
        <v>23</v>
      </c>
      <c r="H2711" t="s">
        <v>1763</v>
      </c>
      <c r="I2711" t="s">
        <v>25</v>
      </c>
      <c r="J2711" s="2">
        <v>45795.666192129633</v>
      </c>
      <c r="K2711">
        <v>18</v>
      </c>
      <c r="L2711">
        <v>5</v>
      </c>
      <c r="M2711">
        <v>2025</v>
      </c>
      <c r="N2711" t="s">
        <v>27</v>
      </c>
      <c r="O2711">
        <v>100</v>
      </c>
      <c r="P2711">
        <v>100</v>
      </c>
      <c r="R2711" s="3" t="str">
        <f>HYPERLINK("https://panda.att.com.mx/ODKServer/view/binaryData?blobKey=FSSuministroFluidosv3%5B%40version%3Dnull+and+%40uiVersion%3Dnull%5D%2Fdata%5B%40key%3Duuid%3A4fdd3a18-5212-4c9c-868d-38ede7a33c0d%5D%2FgroupInfoFuel%5B%40ordinal%3D1%5D%2FpicFuelRecibeInterno","Descargar")</f>
        <v>Descargar</v>
      </c>
    </row>
    <row r="2712" spans="1:18" x14ac:dyDescent="0.3">
      <c r="A2712">
        <v>1538576</v>
      </c>
      <c r="B2712" t="s">
        <v>18</v>
      </c>
      <c r="C2712" t="s">
        <v>34</v>
      </c>
      <c r="D2712" t="s">
        <v>53</v>
      </c>
      <c r="E2712" t="s">
        <v>206</v>
      </c>
      <c r="F2712" t="s">
        <v>22</v>
      </c>
      <c r="G2712" t="s">
        <v>23</v>
      </c>
      <c r="H2712" t="s">
        <v>37</v>
      </c>
      <c r="I2712" t="s">
        <v>25</v>
      </c>
      <c r="J2712" s="2">
        <v>45795.799502314818</v>
      </c>
      <c r="K2712">
        <v>18</v>
      </c>
      <c r="L2712">
        <v>5</v>
      </c>
      <c r="M2712">
        <v>2025</v>
      </c>
      <c r="N2712" t="s">
        <v>27</v>
      </c>
      <c r="O2712">
        <v>300</v>
      </c>
      <c r="P2712">
        <v>300</v>
      </c>
      <c r="R2712" s="3" t="str">
        <f>HYPERLINK("https://panda.att.com.mx/ODKServer/view/binaryData?blobKey=FSSuministroFluidosv3%5B%40version%3Dnull+and+%40uiVersion%3Dnull%5D%2Fdata%5B%40key%3Duuid%3A5934d32d-b5b7-489d-8552-40fb56db4afd%5D%2FgroupInfoFuel%5B%40ordinal%3D1%5D%2FpicFuelRecibeInterno","Descargar")</f>
        <v>Descargar</v>
      </c>
    </row>
    <row r="2713" spans="1:18" x14ac:dyDescent="0.3">
      <c r="A2713">
        <v>1538518</v>
      </c>
      <c r="B2713" t="s">
        <v>18</v>
      </c>
      <c r="C2713" t="s">
        <v>100</v>
      </c>
      <c r="D2713" t="s">
        <v>716</v>
      </c>
      <c r="E2713" t="s">
        <v>717</v>
      </c>
      <c r="F2713" t="s">
        <v>22</v>
      </c>
      <c r="G2713" t="s">
        <v>83</v>
      </c>
      <c r="H2713" t="s">
        <v>1781</v>
      </c>
      <c r="I2713" t="s">
        <v>25</v>
      </c>
      <c r="J2713" s="2">
        <v>45795.505358796298</v>
      </c>
      <c r="K2713">
        <v>18</v>
      </c>
      <c r="L2713">
        <v>5</v>
      </c>
      <c r="M2713">
        <v>2025</v>
      </c>
      <c r="N2713" t="s">
        <v>27</v>
      </c>
      <c r="O2713">
        <v>150</v>
      </c>
      <c r="P2713">
        <v>150</v>
      </c>
      <c r="R2713" s="3" t="str">
        <f>HYPERLINK("https://panda.att.com.mx/ODKServer/view/binaryData?blobKey=FSSuministroFluidosv3%5B%40version%3Dnull+and+%40uiVersion%3Dnull%5D%2Fdata%5B%40key%3Duuid%3Af30bc2e8-bb18-4bfe-8bee-3b07f1041bec%5D%2FgroupInfoFuel%5B%40ordinal%3D1%5D%2FpicFuelRecibeInterno","Descargar")</f>
        <v>Descargar</v>
      </c>
    </row>
    <row r="2714" spans="1:18" x14ac:dyDescent="0.3">
      <c r="A2714">
        <v>1538506</v>
      </c>
      <c r="B2714" t="s">
        <v>18</v>
      </c>
      <c r="C2714" t="s">
        <v>150</v>
      </c>
      <c r="D2714" t="s">
        <v>230</v>
      </c>
      <c r="E2714" t="s">
        <v>1510</v>
      </c>
      <c r="F2714" t="s">
        <v>22</v>
      </c>
      <c r="G2714" t="s">
        <v>23</v>
      </c>
      <c r="H2714" t="s">
        <v>1781</v>
      </c>
      <c r="I2714" t="s">
        <v>25</v>
      </c>
      <c r="J2714" s="2">
        <v>45795.330706018518</v>
      </c>
      <c r="K2714">
        <v>18</v>
      </c>
      <c r="L2714">
        <v>5</v>
      </c>
      <c r="M2714">
        <v>2025</v>
      </c>
      <c r="N2714" t="s">
        <v>27</v>
      </c>
      <c r="O2714">
        <v>250</v>
      </c>
      <c r="P2714">
        <v>250</v>
      </c>
      <c r="R2714" s="3" t="str">
        <f>HYPERLINK("https://panda.att.com.mx/ODKServer/view/binaryData?blobKey=FSSuministroFluidosv3%5B%40version%3Dnull+and+%40uiVersion%3Dnull%5D%2Fdata%5B%40key%3Duuid%3A4a59ce11-3d66-4be2-9593-ffc149b4d29f%5D%2FgroupInfoFuel%5B%40ordinal%3D1%5D%2FpicFuelRecibeInterno","Descargar")</f>
        <v>Descargar</v>
      </c>
    </row>
    <row r="2715" spans="1:18" x14ac:dyDescent="0.3">
      <c r="A2715">
        <v>1538484</v>
      </c>
      <c r="B2715" t="s">
        <v>18</v>
      </c>
      <c r="C2715" t="s">
        <v>19</v>
      </c>
      <c r="D2715" t="s">
        <v>62</v>
      </c>
      <c r="E2715" t="s">
        <v>2200</v>
      </c>
      <c r="F2715" t="s">
        <v>22</v>
      </c>
      <c r="G2715" t="s">
        <v>23</v>
      </c>
      <c r="H2715" t="s">
        <v>24</v>
      </c>
      <c r="I2715" t="s">
        <v>25</v>
      </c>
      <c r="J2715" s="2">
        <v>45794.960775462961</v>
      </c>
      <c r="K2715">
        <v>17</v>
      </c>
      <c r="L2715">
        <v>5</v>
      </c>
      <c r="M2715">
        <v>2025</v>
      </c>
      <c r="N2715" t="s">
        <v>27</v>
      </c>
      <c r="O2715">
        <v>50</v>
      </c>
      <c r="P2715">
        <v>50</v>
      </c>
      <c r="R2715" s="3" t="str">
        <f>HYPERLINK("https://panda.att.com.mx/ODKServer/view/binaryData?blobKey=FSSuministroFluidosv3%5B%40version%3Dnull+and+%40uiVersion%3Dnull%5D%2Fdata%5B%40key%3Duuid%3A08b1468e-ed17-4c2a-b691-adf15d9c2599%5D%2FgroupInfoFuel%5B%40ordinal%3D1%5D%2FpicFuelRecibeInterno","Descargar")</f>
        <v>Descargar</v>
      </c>
    </row>
    <row r="2716" spans="1:18" x14ac:dyDescent="0.3">
      <c r="A2716">
        <v>1538469</v>
      </c>
      <c r="B2716" t="s">
        <v>18</v>
      </c>
      <c r="C2716" t="s">
        <v>167</v>
      </c>
      <c r="D2716" t="s">
        <v>268</v>
      </c>
      <c r="E2716" t="s">
        <v>2121</v>
      </c>
      <c r="F2716" t="s">
        <v>22</v>
      </c>
      <c r="G2716" t="s">
        <v>23</v>
      </c>
      <c r="H2716" t="s">
        <v>58</v>
      </c>
      <c r="I2716" t="s">
        <v>84</v>
      </c>
      <c r="J2716" s="2">
        <v>45792.675682870373</v>
      </c>
      <c r="K2716">
        <v>15</v>
      </c>
      <c r="L2716">
        <v>5</v>
      </c>
      <c r="M2716">
        <v>2025</v>
      </c>
      <c r="N2716" t="s">
        <v>27</v>
      </c>
      <c r="O2716">
        <v>250</v>
      </c>
      <c r="P2716">
        <v>250</v>
      </c>
      <c r="R2716" s="3" t="str">
        <f>HYPERLINK("https://panda.att.com.mx/ODKServer/view/binaryData?blobKey=FSSuministroFluidosv3%5B%40version%3Dnull+and+%40uiVersion%3Dnull%5D%2Fdata%5B%40key%3Duuid%3A8f915ee6-1672-4c7e-8740-5ca08779fccf%5D%2FgroupInfoFuel%5B%40ordinal%3D1%5D%2FpicFuelRecibeInterno","Descargar")</f>
        <v>Descargar</v>
      </c>
    </row>
    <row r="2717" spans="1:18" x14ac:dyDescent="0.3">
      <c r="A2717">
        <v>1538462</v>
      </c>
      <c r="B2717" t="s">
        <v>18</v>
      </c>
      <c r="C2717" t="s">
        <v>19</v>
      </c>
      <c r="D2717" t="s">
        <v>170</v>
      </c>
      <c r="E2717" t="s">
        <v>171</v>
      </c>
      <c r="F2717" t="s">
        <v>22</v>
      </c>
      <c r="G2717" t="s">
        <v>23</v>
      </c>
      <c r="H2717" t="s">
        <v>24</v>
      </c>
      <c r="I2717" t="s">
        <v>25</v>
      </c>
      <c r="J2717" s="2">
        <v>45791.78528935185</v>
      </c>
      <c r="K2717">
        <v>14</v>
      </c>
      <c r="L2717">
        <v>5</v>
      </c>
      <c r="M2717">
        <v>2025</v>
      </c>
      <c r="N2717" t="s">
        <v>27</v>
      </c>
      <c r="O2717">
        <v>400</v>
      </c>
      <c r="P2717">
        <v>400</v>
      </c>
      <c r="R2717" s="3" t="str">
        <f>HYPERLINK("https://panda.att.com.mx/ODKServer/view/binaryData?blobKey=FSSuministroFluidosv3%5B%40version%3Dnull+and+%40uiVersion%3Dnull%5D%2Fdata%5B%40key%3Duuid%3A2ddb397d-8a1f-4ac1-8274-c5ca43770a8e%5D%2FgroupInfoFuel%5B%40ordinal%3D1%5D%2FpicFuelRecibeInterno","Descargar")</f>
        <v>Descargar</v>
      </c>
    </row>
    <row r="2718" spans="1:18" x14ac:dyDescent="0.3">
      <c r="A2718">
        <v>1538461</v>
      </c>
      <c r="B2718" t="s">
        <v>18</v>
      </c>
      <c r="C2718" t="s">
        <v>19</v>
      </c>
      <c r="D2718" t="s">
        <v>170</v>
      </c>
      <c r="E2718" t="s">
        <v>171</v>
      </c>
      <c r="F2718" t="s">
        <v>22</v>
      </c>
      <c r="G2718" t="s">
        <v>23</v>
      </c>
      <c r="H2718" t="s">
        <v>24</v>
      </c>
      <c r="I2718" t="s">
        <v>25</v>
      </c>
      <c r="J2718" s="2">
        <v>45789.466365740736</v>
      </c>
      <c r="K2718">
        <v>12</v>
      </c>
      <c r="L2718">
        <v>5</v>
      </c>
      <c r="M2718">
        <v>2025</v>
      </c>
      <c r="N2718" t="s">
        <v>27</v>
      </c>
      <c r="O2718">
        <v>300</v>
      </c>
      <c r="P2718">
        <v>300</v>
      </c>
      <c r="R2718" s="3" t="str">
        <f>HYPERLINK("https://panda.att.com.mx/ODKServer/view/binaryData?blobKey=FSSuministroFluidosv3%5B%40version%3Dnull+and+%40uiVersion%3Dnull%5D%2Fdata%5B%40key%3Duuid%3Ae19b8a12-d84e-449f-bc21-d5ee6683cf43%5D%2FgroupInfoFuel%5B%40ordinal%3D1%5D%2FpicFuelRecibeInterno","Descargar")</f>
        <v>Descargar</v>
      </c>
    </row>
    <row r="2719" spans="1:18" x14ac:dyDescent="0.3">
      <c r="A2719">
        <v>1538441</v>
      </c>
      <c r="B2719" t="s">
        <v>18</v>
      </c>
      <c r="C2719" t="s">
        <v>183</v>
      </c>
      <c r="D2719" t="s">
        <v>305</v>
      </c>
      <c r="E2719" t="s">
        <v>2201</v>
      </c>
      <c r="F2719" t="s">
        <v>22</v>
      </c>
      <c r="G2719" t="s">
        <v>83</v>
      </c>
      <c r="H2719" t="s">
        <v>24</v>
      </c>
      <c r="I2719" t="s">
        <v>25</v>
      </c>
      <c r="J2719" s="2">
        <v>45794.512384259258</v>
      </c>
      <c r="K2719">
        <v>17</v>
      </c>
      <c r="L2719">
        <v>5</v>
      </c>
      <c r="M2719">
        <v>2025</v>
      </c>
      <c r="N2719" t="s">
        <v>27</v>
      </c>
      <c r="O2719">
        <v>300</v>
      </c>
      <c r="Q2719">
        <v>300</v>
      </c>
      <c r="R2719" s="3" t="str">
        <f>HYPERLINK("https://panda.att.com.mx/ODKServer/view/binaryData?blobKey=FSSuministroFluidosv3%5B%40version%3Dnull+and+%40uiVersion%3Dnull%5D%2Fdata%5B%40key%3Duuid%3A5c350b9b-a9d2-4c8b-8c3a-02c3fd30122d%5D%2FgroupInfoFuel%5B%40ordinal%3D1%5D%2FpicFuelRecibeInterno","Descargar")</f>
        <v>Descargar</v>
      </c>
    </row>
    <row r="2720" spans="1:18" x14ac:dyDescent="0.3">
      <c r="A2720">
        <v>1538393</v>
      </c>
      <c r="B2720" t="s">
        <v>18</v>
      </c>
      <c r="C2720" t="s">
        <v>28</v>
      </c>
      <c r="D2720" t="s">
        <v>513</v>
      </c>
      <c r="E2720" t="s">
        <v>2202</v>
      </c>
      <c r="F2720" t="s">
        <v>22</v>
      </c>
      <c r="G2720" t="s">
        <v>23</v>
      </c>
      <c r="H2720" t="s">
        <v>24</v>
      </c>
      <c r="I2720" t="s">
        <v>25</v>
      </c>
      <c r="J2720" s="2">
        <v>45794.204699074071</v>
      </c>
      <c r="K2720">
        <v>17</v>
      </c>
      <c r="L2720">
        <v>5</v>
      </c>
      <c r="M2720">
        <v>2025</v>
      </c>
      <c r="N2720" t="s">
        <v>44</v>
      </c>
      <c r="O2720">
        <v>40</v>
      </c>
      <c r="P2720">
        <v>40</v>
      </c>
      <c r="R2720" s="3" t="str">
        <f>HYPERLINK("https://panda.att.com.mx/ODKServer/view/binaryData?blobKey=FSSuministroFluidosv3%5B%40version%3Dnull+and+%40uiVersion%3Dnull%5D%2Fdata%5B%40key%3Duuid%3Ae4657c9c-bb7e-4564-958d-9f486afb8f1f%5D%2FgroupInfoFuel%5B%40ordinal%3D1%5D%2FpicFuelRecibeInterno","Descargar")</f>
        <v>Descargar</v>
      </c>
    </row>
    <row r="2721" spans="1:18" x14ac:dyDescent="0.3">
      <c r="A2721">
        <v>1538392</v>
      </c>
      <c r="B2721" t="s">
        <v>18</v>
      </c>
      <c r="C2721" t="s">
        <v>19</v>
      </c>
      <c r="D2721" t="s">
        <v>42</v>
      </c>
      <c r="E2721" t="s">
        <v>2203</v>
      </c>
      <c r="F2721" t="s">
        <v>22</v>
      </c>
      <c r="G2721" t="s">
        <v>23</v>
      </c>
      <c r="H2721" t="s">
        <v>24</v>
      </c>
      <c r="I2721" t="s">
        <v>25</v>
      </c>
      <c r="J2721" s="2">
        <v>45791.751747685194</v>
      </c>
      <c r="K2721">
        <v>14</v>
      </c>
      <c r="L2721">
        <v>5</v>
      </c>
      <c r="M2721">
        <v>2025</v>
      </c>
      <c r="N2721" t="s">
        <v>44</v>
      </c>
      <c r="O2721">
        <v>45</v>
      </c>
      <c r="P2721">
        <v>45</v>
      </c>
      <c r="R2721" s="3" t="str">
        <f>HYPERLINK("https://panda.att.com.mx/ODKServer/view/binaryData?blobKey=FSSuministroFluidosv3%5B%40version%3Dnull+and+%40uiVersion%3Dnull%5D%2Fdata%5B%40key%3Duuid%3Ab8c069b1-dc5b-4910-b7b4-cdc0b7971843%5D%2FgroupInfoFuel%5B%40ordinal%3D1%5D%2FpicFuelRecibeInterno","Descargar")</f>
        <v>Descargar</v>
      </c>
    </row>
    <row r="2722" spans="1:18" x14ac:dyDescent="0.3">
      <c r="A2722">
        <v>1538388</v>
      </c>
      <c r="B2722" t="s">
        <v>18</v>
      </c>
      <c r="C2722" t="s">
        <v>28</v>
      </c>
      <c r="D2722" t="s">
        <v>513</v>
      </c>
      <c r="E2722" t="s">
        <v>2204</v>
      </c>
      <c r="F2722" t="s">
        <v>22</v>
      </c>
      <c r="G2722" t="s">
        <v>23</v>
      </c>
      <c r="H2722" t="s">
        <v>24</v>
      </c>
      <c r="I2722" t="s">
        <v>25</v>
      </c>
      <c r="J2722" s="2">
        <v>45794.284803240742</v>
      </c>
      <c r="K2722">
        <v>17</v>
      </c>
      <c r="L2722">
        <v>5</v>
      </c>
      <c r="M2722">
        <v>2025</v>
      </c>
      <c r="N2722" t="s">
        <v>27</v>
      </c>
      <c r="O2722">
        <v>250</v>
      </c>
      <c r="P2722">
        <v>250</v>
      </c>
      <c r="R2722" s="3" t="str">
        <f>HYPERLINK("https://panda.att.com.mx/ODKServer/view/binaryData?blobKey=FSSuministroFluidosv3%5B%40version%3Dnull+and+%40uiVersion%3Dnull%5D%2Fdata%5B%40key%3Duuid%3A51b17afd-81a5-4448-820c-43a7ca622b8f%5D%2FgroupInfoFuel%5B%40ordinal%3D1%5D%2FpicFuelRecibeInterno","Descargar")</f>
        <v>Descargar</v>
      </c>
    </row>
    <row r="2723" spans="1:18" x14ac:dyDescent="0.3">
      <c r="A2723">
        <v>1538364</v>
      </c>
      <c r="B2723" t="s">
        <v>18</v>
      </c>
      <c r="C2723" t="s">
        <v>55</v>
      </c>
      <c r="D2723" t="s">
        <v>366</v>
      </c>
      <c r="E2723" t="s">
        <v>1544</v>
      </c>
      <c r="F2723" t="s">
        <v>22</v>
      </c>
      <c r="G2723" t="s">
        <v>23</v>
      </c>
      <c r="H2723" t="s">
        <v>1781</v>
      </c>
      <c r="I2723" t="s">
        <v>25</v>
      </c>
      <c r="J2723" s="2">
        <v>45794.529548611114</v>
      </c>
      <c r="K2723">
        <v>17</v>
      </c>
      <c r="L2723">
        <v>5</v>
      </c>
      <c r="M2723">
        <v>2025</v>
      </c>
      <c r="N2723" t="s">
        <v>27</v>
      </c>
      <c r="O2723">
        <v>60</v>
      </c>
      <c r="P2723">
        <v>60</v>
      </c>
      <c r="R2723" s="3" t="str">
        <f>HYPERLINK("https://panda.att.com.mx/ODKServer/view/binaryData?blobKey=FSSuministroFluidosv3%5B%40version%3Dnull+and+%40uiVersion%3Dnull%5D%2Fdata%5B%40key%3Duuid%3A41609d81-9bb3-4d9c-9176-4d78b6556721%5D%2FgroupInfoFuel%5B%40ordinal%3D1%5D%2FpicFuelRecibeInterno","Descargar")</f>
        <v>Descargar</v>
      </c>
    </row>
    <row r="2724" spans="1:18" x14ac:dyDescent="0.3">
      <c r="A2724">
        <v>1538324</v>
      </c>
      <c r="B2724" t="s">
        <v>18</v>
      </c>
      <c r="C2724" t="s">
        <v>150</v>
      </c>
      <c r="D2724" t="s">
        <v>164</v>
      </c>
      <c r="E2724" t="s">
        <v>165</v>
      </c>
      <c r="F2724" t="s">
        <v>22</v>
      </c>
      <c r="G2724" t="s">
        <v>23</v>
      </c>
      <c r="H2724" t="s">
        <v>1781</v>
      </c>
      <c r="I2724" t="s">
        <v>25</v>
      </c>
      <c r="J2724" s="2">
        <v>45794.334131944437</v>
      </c>
      <c r="K2724">
        <v>17</v>
      </c>
      <c r="L2724">
        <v>5</v>
      </c>
      <c r="M2724">
        <v>2025</v>
      </c>
      <c r="N2724" t="s">
        <v>27</v>
      </c>
      <c r="O2724">
        <v>400.02</v>
      </c>
      <c r="P2724">
        <v>400.02</v>
      </c>
      <c r="R2724" s="3" t="str">
        <f>HYPERLINK("https://panda.att.com.mx/ODKServer/view/binaryData?blobKey=FSSuministroFluidosv3%5B%40version%3Dnull+and+%40uiVersion%3Dnull%5D%2Fdata%5B%40key%3Duuid%3Ad5629384-fdf1-4af5-bde6-d444d54d1512%5D%2FgroupInfoFuel%5B%40ordinal%3D1%5D%2FpicFuelRecibeInterno","Descargar")</f>
        <v>Descargar</v>
      </c>
    </row>
    <row r="2725" spans="1:18" x14ac:dyDescent="0.3">
      <c r="A2725">
        <v>1538232</v>
      </c>
      <c r="B2725" t="s">
        <v>18</v>
      </c>
      <c r="C2725" t="s">
        <v>55</v>
      </c>
      <c r="D2725" t="s">
        <v>56</v>
      </c>
      <c r="E2725" t="s">
        <v>2205</v>
      </c>
      <c r="F2725" t="s">
        <v>22</v>
      </c>
      <c r="G2725" t="s">
        <v>23</v>
      </c>
      <c r="H2725" t="s">
        <v>1763</v>
      </c>
      <c r="I2725" t="s">
        <v>25</v>
      </c>
      <c r="J2725" s="2">
        <v>45793.514675925922</v>
      </c>
      <c r="K2725">
        <v>16</v>
      </c>
      <c r="L2725">
        <v>5</v>
      </c>
      <c r="M2725">
        <v>2025</v>
      </c>
      <c r="N2725" t="s">
        <v>27</v>
      </c>
      <c r="O2725">
        <v>150</v>
      </c>
      <c r="P2725">
        <v>150</v>
      </c>
      <c r="R2725" s="3" t="str">
        <f>HYPERLINK("https://panda.att.com.mx/ODKServer/view/binaryData?blobKey=FSSuministroFluidosv3%5B%40version%3Dnull+and+%40uiVersion%3Dnull%5D%2Fdata%5B%40key%3Duuid%3A2c1ad9af-1b4a-4634-9ca9-51b3d304de08%5D%2FgroupInfoFuel%5B%40ordinal%3D1%5D%2FpicFuelRecibeInterno","Descargar")</f>
        <v>Descargar</v>
      </c>
    </row>
    <row r="2726" spans="1:18" x14ac:dyDescent="0.3">
      <c r="A2726">
        <v>1538231</v>
      </c>
      <c r="B2726" t="s">
        <v>18</v>
      </c>
      <c r="C2726" t="s">
        <v>55</v>
      </c>
      <c r="D2726" t="s">
        <v>56</v>
      </c>
      <c r="E2726" t="s">
        <v>2083</v>
      </c>
      <c r="F2726" t="s">
        <v>22</v>
      </c>
      <c r="G2726" t="s">
        <v>23</v>
      </c>
      <c r="H2726" t="s">
        <v>1763</v>
      </c>
      <c r="I2726" t="s">
        <v>25</v>
      </c>
      <c r="J2726" s="2">
        <v>45793.629930555559</v>
      </c>
      <c r="K2726">
        <v>16</v>
      </c>
      <c r="L2726">
        <v>5</v>
      </c>
      <c r="M2726">
        <v>2025</v>
      </c>
      <c r="N2726" t="s">
        <v>27</v>
      </c>
      <c r="O2726">
        <v>100</v>
      </c>
      <c r="P2726">
        <v>100</v>
      </c>
      <c r="R2726" s="3" t="str">
        <f>HYPERLINK("https://panda.att.com.mx/ODKServer/view/binaryData?blobKey=FSSuministroFluidosv3%5B%40version%3Dnull+and+%40uiVersion%3Dnull%5D%2Fdata%5B%40key%3Duuid%3Af999daf3-7b69-47f9-a418-4f64d08a9aff%5D%2FgroupInfoFuel%5B%40ordinal%3D1%5D%2FpicFuelRecibeInterno","Descargar")</f>
        <v>Descargar</v>
      </c>
    </row>
    <row r="2727" spans="1:18" x14ac:dyDescent="0.3">
      <c r="A2727">
        <v>1538230</v>
      </c>
      <c r="B2727" t="s">
        <v>18</v>
      </c>
      <c r="C2727" t="s">
        <v>55</v>
      </c>
      <c r="D2727" t="s">
        <v>56</v>
      </c>
      <c r="E2727" t="s">
        <v>1555</v>
      </c>
      <c r="F2727" t="s">
        <v>22</v>
      </c>
      <c r="G2727" t="s">
        <v>23</v>
      </c>
      <c r="H2727" t="s">
        <v>1763</v>
      </c>
      <c r="I2727" t="s">
        <v>25</v>
      </c>
      <c r="J2727" s="2">
        <v>45782.629270833328</v>
      </c>
      <c r="K2727">
        <v>5</v>
      </c>
      <c r="L2727">
        <v>5</v>
      </c>
      <c r="M2727">
        <v>2025</v>
      </c>
      <c r="N2727" t="s">
        <v>27</v>
      </c>
      <c r="O2727">
        <v>100</v>
      </c>
      <c r="P2727">
        <v>100</v>
      </c>
      <c r="R2727" s="3" t="str">
        <f>HYPERLINK("https://panda.att.com.mx/ODKServer/view/binaryData?blobKey=FSSuministroFluidosv3%5B%40version%3Dnull+and+%40uiVersion%3Dnull%5D%2Fdata%5B%40key%3Duuid%3A921a346c-7e98-4124-b6bd-4f78e999320e%5D%2FgroupInfoFuel%5B%40ordinal%3D1%5D%2FpicFuelRecibeInterno","Descargar")</f>
        <v>Descargar</v>
      </c>
    </row>
    <row r="2728" spans="1:18" x14ac:dyDescent="0.3">
      <c r="A2728">
        <v>1538228</v>
      </c>
      <c r="B2728" t="s">
        <v>18</v>
      </c>
      <c r="C2728" t="s">
        <v>55</v>
      </c>
      <c r="D2728" t="s">
        <v>56</v>
      </c>
      <c r="E2728" t="s">
        <v>1555</v>
      </c>
      <c r="F2728" t="s">
        <v>22</v>
      </c>
      <c r="G2728" t="s">
        <v>23</v>
      </c>
      <c r="H2728" t="s">
        <v>1763</v>
      </c>
      <c r="I2728" t="s">
        <v>25</v>
      </c>
      <c r="J2728" s="2">
        <v>45793.572210648148</v>
      </c>
      <c r="K2728">
        <v>16</v>
      </c>
      <c r="L2728">
        <v>5</v>
      </c>
      <c r="M2728">
        <v>2025</v>
      </c>
      <c r="N2728" t="s">
        <v>27</v>
      </c>
      <c r="O2728">
        <v>100</v>
      </c>
      <c r="P2728">
        <v>100</v>
      </c>
      <c r="R2728" s="3" t="str">
        <f>HYPERLINK("https://panda.att.com.mx/ODKServer/view/binaryData?blobKey=FSSuministroFluidosv3%5B%40version%3Dnull+and+%40uiVersion%3Dnull%5D%2Fdata%5B%40key%3Duuid%3Ac81ddd29-a36d-441e-94cd-fd91883ed4de%5D%2FgroupInfoFuel%5B%40ordinal%3D1%5D%2FpicFuelRecibeInterno","Descargar")</f>
        <v>Descargar</v>
      </c>
    </row>
    <row r="2729" spans="1:18" x14ac:dyDescent="0.3">
      <c r="A2729">
        <v>1538227</v>
      </c>
      <c r="B2729" t="s">
        <v>18</v>
      </c>
      <c r="C2729" t="s">
        <v>55</v>
      </c>
      <c r="D2729" t="s">
        <v>56</v>
      </c>
      <c r="E2729" t="s">
        <v>2089</v>
      </c>
      <c r="F2729" t="s">
        <v>22</v>
      </c>
      <c r="G2729" t="s">
        <v>23</v>
      </c>
      <c r="H2729" t="s">
        <v>1763</v>
      </c>
      <c r="I2729" t="s">
        <v>25</v>
      </c>
      <c r="J2729" s="2">
        <v>45782.470347222217</v>
      </c>
      <c r="K2729">
        <v>5</v>
      </c>
      <c r="L2729">
        <v>5</v>
      </c>
      <c r="M2729">
        <v>2025</v>
      </c>
      <c r="N2729" t="s">
        <v>27</v>
      </c>
      <c r="O2729">
        <v>120</v>
      </c>
      <c r="P2729">
        <v>120</v>
      </c>
      <c r="R2729" s="3" t="str">
        <f>HYPERLINK("https://panda.att.com.mx/ODKServer/view/binaryData?blobKey=FSSuministroFluidosv3%5B%40version%3Dnull+and+%40uiVersion%3Dnull%5D%2Fdata%5B%40key%3Duuid%3A4903b142-7659-489a-9845-8f456eab7232%5D%2FgroupInfoFuel%5B%40ordinal%3D1%5D%2FpicFuelRecibeInterno","Descargar")</f>
        <v>Descargar</v>
      </c>
    </row>
    <row r="2730" spans="1:18" x14ac:dyDescent="0.3">
      <c r="A2730">
        <v>1538226</v>
      </c>
      <c r="B2730" t="s">
        <v>18</v>
      </c>
      <c r="C2730" t="s">
        <v>55</v>
      </c>
      <c r="D2730" t="s">
        <v>56</v>
      </c>
      <c r="E2730" t="s">
        <v>57</v>
      </c>
      <c r="F2730" t="s">
        <v>22</v>
      </c>
      <c r="G2730" t="s">
        <v>23</v>
      </c>
      <c r="H2730" t="s">
        <v>1763</v>
      </c>
      <c r="I2730" t="s">
        <v>25</v>
      </c>
      <c r="J2730" s="2">
        <v>45782.678553240738</v>
      </c>
      <c r="K2730">
        <v>5</v>
      </c>
      <c r="L2730">
        <v>5</v>
      </c>
      <c r="M2730">
        <v>2025</v>
      </c>
      <c r="N2730" t="s">
        <v>27</v>
      </c>
      <c r="O2730">
        <v>100</v>
      </c>
      <c r="P2730">
        <v>100</v>
      </c>
      <c r="R2730" s="3" t="str">
        <f>HYPERLINK("https://panda.att.com.mx/ODKServer/view/binaryData?blobKey=FSSuministroFluidosv3%5B%40version%3Dnull+and+%40uiVersion%3Dnull%5D%2Fdata%5B%40key%3Duuid%3Ac8a7d266-60d8-4002-ae15-5105c854f02c%5D%2FgroupInfoFuel%5B%40ordinal%3D1%5D%2FpicFuelRecibeInterno","Descargar")</f>
        <v>Descargar</v>
      </c>
    </row>
    <row r="2731" spans="1:18" x14ac:dyDescent="0.3">
      <c r="A2731">
        <v>1538218</v>
      </c>
      <c r="B2731" t="s">
        <v>18</v>
      </c>
      <c r="C2731" t="s">
        <v>19</v>
      </c>
      <c r="D2731" t="s">
        <v>45</v>
      </c>
      <c r="E2731" t="s">
        <v>1263</v>
      </c>
      <c r="F2731" t="s">
        <v>22</v>
      </c>
      <c r="G2731" t="s">
        <v>23</v>
      </c>
      <c r="H2731" t="s">
        <v>24</v>
      </c>
      <c r="I2731" t="s">
        <v>25</v>
      </c>
      <c r="J2731" s="2">
        <v>45789.498969907407</v>
      </c>
      <c r="K2731">
        <v>12</v>
      </c>
      <c r="L2731">
        <v>5</v>
      </c>
      <c r="M2731">
        <v>2025</v>
      </c>
      <c r="N2731" t="s">
        <v>27</v>
      </c>
      <c r="O2731">
        <v>300</v>
      </c>
      <c r="P2731">
        <v>300</v>
      </c>
      <c r="R2731" s="3" t="str">
        <f>HYPERLINK("https://panda.att.com.mx/ODKServer/view/binaryData?blobKey=FSSuministroFluidosv3%5B%40version%3Dnull+and+%40uiVersion%3Dnull%5D%2Fdata%5B%40key%3Duuid%3A618f41cd-f89b-4234-a123-86086e6ed1ec%5D%2FgroupInfoFuel%5B%40ordinal%3D1%5D%2FpicFuelRecibeInterno","Descargar")</f>
        <v>Descargar</v>
      </c>
    </row>
    <row r="2732" spans="1:18" x14ac:dyDescent="0.3">
      <c r="A2732">
        <v>1538216</v>
      </c>
      <c r="B2732" t="s">
        <v>18</v>
      </c>
      <c r="C2732" t="s">
        <v>59</v>
      </c>
      <c r="D2732" t="s">
        <v>60</v>
      </c>
      <c r="E2732" t="s">
        <v>2206</v>
      </c>
      <c r="F2732" t="s">
        <v>22</v>
      </c>
      <c r="G2732" t="s">
        <v>23</v>
      </c>
      <c r="H2732" t="s">
        <v>37</v>
      </c>
      <c r="I2732" t="s">
        <v>25</v>
      </c>
      <c r="J2732" s="2">
        <v>45793.867546296293</v>
      </c>
      <c r="K2732">
        <v>16</v>
      </c>
      <c r="L2732">
        <v>5</v>
      </c>
      <c r="M2732">
        <v>2025</v>
      </c>
      <c r="N2732" t="s">
        <v>27</v>
      </c>
      <c r="O2732">
        <v>120</v>
      </c>
      <c r="P2732">
        <v>120</v>
      </c>
      <c r="R2732" s="3" t="str">
        <f>HYPERLINK("https://panda.att.com.mx/ODKServer/view/binaryData?blobKey=FSSuministroFluidosv3%5B%40version%3Dnull+and+%40uiVersion%3Dnull%5D%2Fdata%5B%40key%3Duuid%3A220d881a-8ab6-48f0-be0a-acbdbb3afa89%5D%2FgroupInfoFuel%5B%40ordinal%3D1%5D%2FpicFuelRecibeInterno","Descargar")</f>
        <v>Descargar</v>
      </c>
    </row>
    <row r="2733" spans="1:18" x14ac:dyDescent="0.3">
      <c r="A2733">
        <v>1538212</v>
      </c>
      <c r="B2733" t="s">
        <v>18</v>
      </c>
      <c r="C2733" t="s">
        <v>59</v>
      </c>
      <c r="D2733" t="s">
        <v>60</v>
      </c>
      <c r="E2733" t="s">
        <v>2207</v>
      </c>
      <c r="F2733" t="s">
        <v>22</v>
      </c>
      <c r="G2733" t="s">
        <v>23</v>
      </c>
      <c r="H2733" t="s">
        <v>37</v>
      </c>
      <c r="I2733" t="s">
        <v>25</v>
      </c>
      <c r="J2733" s="2">
        <v>45793.694178240738</v>
      </c>
      <c r="K2733">
        <v>16</v>
      </c>
      <c r="L2733">
        <v>5</v>
      </c>
      <c r="M2733">
        <v>2025</v>
      </c>
      <c r="N2733" t="s">
        <v>27</v>
      </c>
      <c r="O2733">
        <v>80</v>
      </c>
      <c r="P2733">
        <v>80</v>
      </c>
      <c r="R2733" s="3" t="str">
        <f>HYPERLINK("https://panda.att.com.mx/ODKServer/view/binaryData?blobKey=FSSuministroFluidosv3%5B%40version%3Dnull+and+%40uiVersion%3Dnull%5D%2Fdata%5B%40key%3Duuid%3Ab61fd70b-287e-401f-9b82-789271815dcf%5D%2FgroupInfoFuel%5B%40ordinal%3D1%5D%2FpicFuelRecibeInterno","Descargar")</f>
        <v>Descargar</v>
      </c>
    </row>
    <row r="2734" spans="1:18" x14ac:dyDescent="0.3">
      <c r="A2734">
        <v>1538096</v>
      </c>
      <c r="B2734" t="s">
        <v>18</v>
      </c>
      <c r="C2734" t="s">
        <v>100</v>
      </c>
      <c r="D2734" t="s">
        <v>101</v>
      </c>
      <c r="E2734" t="s">
        <v>2208</v>
      </c>
      <c r="F2734" t="s">
        <v>22</v>
      </c>
      <c r="G2734" t="s">
        <v>23</v>
      </c>
      <c r="H2734" t="s">
        <v>1781</v>
      </c>
      <c r="I2734" t="s">
        <v>25</v>
      </c>
      <c r="J2734" s="2">
        <v>45793.75341435185</v>
      </c>
      <c r="K2734">
        <v>16</v>
      </c>
      <c r="L2734">
        <v>5</v>
      </c>
      <c r="M2734">
        <v>2025</v>
      </c>
      <c r="N2734" t="s">
        <v>27</v>
      </c>
      <c r="O2734">
        <v>200</v>
      </c>
      <c r="P2734">
        <v>200</v>
      </c>
      <c r="R2734" s="3" t="str">
        <f>HYPERLINK("https://panda.att.com.mx/ODKServer/view/binaryData?blobKey=FSSuministroFluidosv3%5B%40version%3Dnull+and+%40uiVersion%3Dnull%5D%2Fdata%5B%40key%3Duuid%3A0d7b1b85-8b83-410d-aabf-4f36f3a43966%5D%2FgroupInfoFuel%5B%40ordinal%3D1%5D%2FpicFuelRecibeInterno","Descargar")</f>
        <v>Descargar</v>
      </c>
    </row>
    <row r="2735" spans="1:18" x14ac:dyDescent="0.3">
      <c r="A2735">
        <v>1538027</v>
      </c>
      <c r="B2735" t="s">
        <v>18</v>
      </c>
      <c r="C2735" t="s">
        <v>100</v>
      </c>
      <c r="D2735" t="s">
        <v>101</v>
      </c>
      <c r="E2735" t="s">
        <v>1552</v>
      </c>
      <c r="F2735" t="s">
        <v>22</v>
      </c>
      <c r="G2735" t="s">
        <v>23</v>
      </c>
      <c r="H2735" t="s">
        <v>1781</v>
      </c>
      <c r="I2735" t="s">
        <v>25</v>
      </c>
      <c r="J2735" s="2">
        <v>45793.714085648149</v>
      </c>
      <c r="K2735">
        <v>16</v>
      </c>
      <c r="L2735">
        <v>5</v>
      </c>
      <c r="M2735">
        <v>2025</v>
      </c>
      <c r="N2735" t="s">
        <v>27</v>
      </c>
      <c r="O2735">
        <v>200</v>
      </c>
      <c r="P2735">
        <v>200</v>
      </c>
      <c r="R2735" s="3" t="str">
        <f>HYPERLINK("https://panda.att.com.mx/ODKServer/view/binaryData?blobKey=FSSuministroFluidosv3%5B%40version%3Dnull+and+%40uiVersion%3Dnull%5D%2Fdata%5B%40key%3Duuid%3A80f16d7e-e260-45db-9d8f-a6428672a89f%5D%2FgroupInfoFuel%5B%40ordinal%3D1%5D%2FpicFuelRecibeInterno","Descargar")</f>
        <v>Descargar</v>
      </c>
    </row>
    <row r="2736" spans="1:18" x14ac:dyDescent="0.3">
      <c r="A2736">
        <v>1538014</v>
      </c>
      <c r="B2736" t="s">
        <v>18</v>
      </c>
      <c r="C2736" t="s">
        <v>55</v>
      </c>
      <c r="D2736" t="s">
        <v>56</v>
      </c>
      <c r="E2736" t="s">
        <v>2083</v>
      </c>
      <c r="F2736" t="s">
        <v>22</v>
      </c>
      <c r="G2736" t="s">
        <v>23</v>
      </c>
      <c r="H2736" t="s">
        <v>1763</v>
      </c>
      <c r="I2736" t="s">
        <v>25</v>
      </c>
      <c r="J2736" s="2">
        <v>45791.433807870373</v>
      </c>
      <c r="K2736">
        <v>14</v>
      </c>
      <c r="L2736">
        <v>5</v>
      </c>
      <c r="M2736">
        <v>2025</v>
      </c>
      <c r="N2736" t="s">
        <v>27</v>
      </c>
      <c r="O2736">
        <v>100</v>
      </c>
      <c r="P2736">
        <v>100</v>
      </c>
      <c r="R2736" s="3" t="str">
        <f>HYPERLINK("https://panda.att.com.mx/ODKServer/view/binaryData?blobKey=FSSuministroFluidosv3%5B%40version%3Dnull+and+%40uiVersion%3Dnull%5D%2Fdata%5B%40key%3Duuid%3A243f13fa-46ee-46e4-a3a5-b6c30126dd65%5D%2FgroupInfoFuel%5B%40ordinal%3D1%5D%2FpicFuelRecibeInterno","Descargar")</f>
        <v>Descargar</v>
      </c>
    </row>
    <row r="2737" spans="1:18" x14ac:dyDescent="0.3">
      <c r="A2737">
        <v>1537995</v>
      </c>
      <c r="B2737" t="s">
        <v>18</v>
      </c>
      <c r="C2737" t="s">
        <v>100</v>
      </c>
      <c r="D2737" t="s">
        <v>101</v>
      </c>
      <c r="E2737" t="s">
        <v>1585</v>
      </c>
      <c r="F2737" t="s">
        <v>22</v>
      </c>
      <c r="G2737" t="s">
        <v>23</v>
      </c>
      <c r="H2737" t="s">
        <v>1781</v>
      </c>
      <c r="I2737" t="s">
        <v>25</v>
      </c>
      <c r="J2737" s="2">
        <v>45793.68377314815</v>
      </c>
      <c r="K2737">
        <v>16</v>
      </c>
      <c r="L2737">
        <v>5</v>
      </c>
      <c r="M2737">
        <v>2025</v>
      </c>
      <c r="N2737" t="s">
        <v>27</v>
      </c>
      <c r="O2737">
        <v>200</v>
      </c>
      <c r="P2737">
        <v>200</v>
      </c>
      <c r="R2737" s="3" t="str">
        <f>HYPERLINK("https://panda.att.com.mx/ODKServer/view/binaryData?blobKey=FSSuministroFluidosv3%5B%40version%3Dnull+and+%40uiVersion%3Dnull%5D%2Fdata%5B%40key%3Duuid%3A45c46aaf-6e7f-4927-b0cb-999093df1846%5D%2FgroupInfoFuel%5B%40ordinal%3D1%5D%2FpicFuelRecibeInterno","Descargar")</f>
        <v>Descargar</v>
      </c>
    </row>
    <row r="2738" spans="1:18" x14ac:dyDescent="0.3">
      <c r="A2738">
        <v>1537905</v>
      </c>
      <c r="B2738" t="s">
        <v>18</v>
      </c>
      <c r="C2738" t="s">
        <v>100</v>
      </c>
      <c r="D2738" t="s">
        <v>716</v>
      </c>
      <c r="E2738" t="s">
        <v>1589</v>
      </c>
      <c r="F2738" t="s">
        <v>22</v>
      </c>
      <c r="G2738" t="s">
        <v>23</v>
      </c>
      <c r="H2738" t="s">
        <v>1781</v>
      </c>
      <c r="I2738" t="s">
        <v>25</v>
      </c>
      <c r="J2738" s="2">
        <v>45793.60837962963</v>
      </c>
      <c r="K2738">
        <v>16</v>
      </c>
      <c r="L2738">
        <v>5</v>
      </c>
      <c r="M2738">
        <v>2025</v>
      </c>
      <c r="N2738" t="s">
        <v>27</v>
      </c>
      <c r="O2738">
        <v>200</v>
      </c>
      <c r="P2738">
        <v>200</v>
      </c>
      <c r="R2738" s="3" t="str">
        <f>HYPERLINK("https://panda.att.com.mx/ODKServer/view/binaryData?blobKey=FSSuministroFluidosv3%5B%40version%3Dnull+and+%40uiVersion%3Dnull%5D%2Fdata%5B%40key%3Duuid%3A71b9f1c4-29a8-457e-8314-7babf3492150%5D%2FgroupInfoFuel%5B%40ordinal%3D1%5D%2FpicFuelRecibeInterno","Descargar")</f>
        <v>Descargar</v>
      </c>
    </row>
    <row r="2739" spans="1:18" x14ac:dyDescent="0.3">
      <c r="A2739">
        <v>1537860</v>
      </c>
      <c r="B2739" t="s">
        <v>18</v>
      </c>
      <c r="C2739" t="s">
        <v>100</v>
      </c>
      <c r="D2739" t="s">
        <v>854</v>
      </c>
      <c r="E2739" t="s">
        <v>993</v>
      </c>
      <c r="F2739" t="s">
        <v>22</v>
      </c>
      <c r="G2739" t="s">
        <v>83</v>
      </c>
      <c r="H2739" t="s">
        <v>1781</v>
      </c>
      <c r="I2739" t="s">
        <v>25</v>
      </c>
      <c r="J2739" s="2">
        <v>45793.558599537027</v>
      </c>
      <c r="K2739">
        <v>16</v>
      </c>
      <c r="L2739">
        <v>5</v>
      </c>
      <c r="M2739">
        <v>2025</v>
      </c>
      <c r="N2739" t="s">
        <v>27</v>
      </c>
      <c r="O2739">
        <v>220</v>
      </c>
      <c r="P2739">
        <v>220</v>
      </c>
      <c r="R2739" s="3" t="str">
        <f>HYPERLINK("https://panda.att.com.mx/ODKServer/view/binaryData?blobKey=FSSuministroFluidosv3%5B%40version%3Dnull+and+%40uiVersion%3Dnull%5D%2Fdata%5B%40key%3Duuid%3Ac75912f4-4ba1-4298-b18b-42df5f71f0d5%5D%2FgroupInfoFuel%5B%40ordinal%3D1%5D%2FpicFuelRecibeInterno","Descargar")</f>
        <v>Descargar</v>
      </c>
    </row>
    <row r="2740" spans="1:18" x14ac:dyDescent="0.3">
      <c r="A2740">
        <v>1537737</v>
      </c>
      <c r="B2740" t="s">
        <v>18</v>
      </c>
      <c r="C2740" t="s">
        <v>55</v>
      </c>
      <c r="D2740" t="s">
        <v>64</v>
      </c>
      <c r="E2740" t="s">
        <v>2209</v>
      </c>
      <c r="F2740" t="s">
        <v>22</v>
      </c>
      <c r="G2740" t="s">
        <v>23</v>
      </c>
      <c r="H2740" t="s">
        <v>1763</v>
      </c>
      <c r="I2740" t="s">
        <v>25</v>
      </c>
      <c r="J2740" s="2">
        <v>45793.430474537039</v>
      </c>
      <c r="K2740">
        <v>16</v>
      </c>
      <c r="L2740">
        <v>5</v>
      </c>
      <c r="M2740">
        <v>2025</v>
      </c>
      <c r="N2740" t="s">
        <v>44</v>
      </c>
      <c r="O2740">
        <v>40</v>
      </c>
      <c r="P2740">
        <v>40</v>
      </c>
      <c r="R2740" s="3" t="str">
        <f>HYPERLINK("https://panda.att.com.mx/ODKServer/view/binaryData?blobKey=FSSuministroFluidosv3%5B%40version%3Dnull+and+%40uiVersion%3Dnull%5D%2Fdata%5B%40key%3Duuid%3A56b89c1c-0d28-455b-bab2-3b92e9898f90%5D%2FgroupInfoFuel%5B%40ordinal%3D1%5D%2FpicFuelRecibeInterno","Descargar")</f>
        <v>Descargar</v>
      </c>
    </row>
    <row r="2741" spans="1:18" x14ac:dyDescent="0.3">
      <c r="A2741">
        <v>1537671</v>
      </c>
      <c r="B2741" t="s">
        <v>18</v>
      </c>
      <c r="C2741" t="s">
        <v>150</v>
      </c>
      <c r="D2741" t="s">
        <v>230</v>
      </c>
      <c r="E2741" t="s">
        <v>890</v>
      </c>
      <c r="F2741" t="s">
        <v>22</v>
      </c>
      <c r="G2741" t="s">
        <v>23</v>
      </c>
      <c r="H2741" t="s">
        <v>1781</v>
      </c>
      <c r="I2741" t="s">
        <v>25</v>
      </c>
      <c r="J2741" s="2">
        <v>45792.700902777768</v>
      </c>
      <c r="K2741">
        <v>15</v>
      </c>
      <c r="L2741">
        <v>5</v>
      </c>
      <c r="M2741">
        <v>2025</v>
      </c>
      <c r="N2741" t="s">
        <v>27</v>
      </c>
      <c r="O2741">
        <v>150.04</v>
      </c>
      <c r="P2741">
        <v>150.04</v>
      </c>
      <c r="R2741" s="3" t="str">
        <f>HYPERLINK("https://panda.att.com.mx/ODKServer/view/binaryData?blobKey=FSSuministroFluidosv3%5B%40version%3Dnull+and+%40uiVersion%3Dnull%5D%2Fdata%5B%40key%3Duuid%3Aa6039cf2-7e64-40af-aba4-54d5125e7b87%5D%2FgroupInfoFuel%5B%40ordinal%3D1%5D%2FpicFuelRecibeInterno","Descargar")</f>
        <v>Descargar</v>
      </c>
    </row>
    <row r="2742" spans="1:18" x14ac:dyDescent="0.3">
      <c r="A2742">
        <v>1537539</v>
      </c>
      <c r="B2742" t="s">
        <v>18</v>
      </c>
      <c r="C2742" t="s">
        <v>150</v>
      </c>
      <c r="D2742" t="s">
        <v>1550</v>
      </c>
      <c r="E2742" t="s">
        <v>2210</v>
      </c>
      <c r="F2742" t="s">
        <v>22</v>
      </c>
      <c r="G2742" t="s">
        <v>23</v>
      </c>
      <c r="H2742" t="s">
        <v>1781</v>
      </c>
      <c r="I2742" t="s">
        <v>25</v>
      </c>
      <c r="J2742" s="2">
        <v>45792.696851851862</v>
      </c>
      <c r="K2742">
        <v>15</v>
      </c>
      <c r="L2742">
        <v>5</v>
      </c>
      <c r="M2742">
        <v>2025</v>
      </c>
      <c r="N2742" t="s">
        <v>27</v>
      </c>
      <c r="O2742">
        <v>230</v>
      </c>
      <c r="P2742">
        <v>230</v>
      </c>
      <c r="R2742" s="3" t="str">
        <f>HYPERLINK("https://panda.att.com.mx/ODKServer/view/binaryData?blobKey=FSSuministroFluidosv3%5B%40version%3Dnull+and+%40uiVersion%3Dnull%5D%2Fdata%5B%40key%3Duuid%3A7fb325ff-0628-4f1b-aee5-df861a5e7a7b%5D%2FgroupInfoFuel%5B%40ordinal%3D1%5D%2FpicFuelRecibeInterno","Descargar")</f>
        <v>Descargar</v>
      </c>
    </row>
    <row r="2743" spans="1:18" x14ac:dyDescent="0.3">
      <c r="A2743">
        <v>1537524</v>
      </c>
      <c r="B2743" t="s">
        <v>18</v>
      </c>
      <c r="C2743" t="s">
        <v>55</v>
      </c>
      <c r="D2743" t="s">
        <v>56</v>
      </c>
      <c r="E2743" t="s">
        <v>1560</v>
      </c>
      <c r="F2743" t="s">
        <v>22</v>
      </c>
      <c r="G2743" t="s">
        <v>23</v>
      </c>
      <c r="H2743" t="s">
        <v>1763</v>
      </c>
      <c r="I2743" t="s">
        <v>25</v>
      </c>
      <c r="J2743" s="2">
        <v>45779.462245370371</v>
      </c>
      <c r="K2743">
        <v>2</v>
      </c>
      <c r="L2743">
        <v>5</v>
      </c>
      <c r="M2743">
        <v>2025</v>
      </c>
      <c r="N2743" t="s">
        <v>27</v>
      </c>
      <c r="O2743">
        <v>200</v>
      </c>
      <c r="P2743">
        <v>200</v>
      </c>
      <c r="R2743" s="3" t="str">
        <f>HYPERLINK("https://panda.att.com.mx/ODKServer/view/binaryData?blobKey=FSSuministroFluidosv3%5B%40version%3Dnull+and+%40uiVersion%3Dnull%5D%2Fdata%5B%40key%3Duuid%3A166b1f4f-6a53-451e-bbc2-96e705bbc82b%5D%2FgroupInfoFuel%5B%40ordinal%3D1%5D%2FpicFuelRecibeInterno","Descargar")</f>
        <v>Descargar</v>
      </c>
    </row>
    <row r="2744" spans="1:18" x14ac:dyDescent="0.3">
      <c r="A2744">
        <v>1537517</v>
      </c>
      <c r="B2744" t="s">
        <v>18</v>
      </c>
      <c r="C2744" t="s">
        <v>34</v>
      </c>
      <c r="D2744" t="s">
        <v>51</v>
      </c>
      <c r="E2744" t="s">
        <v>631</v>
      </c>
      <c r="F2744" t="s">
        <v>22</v>
      </c>
      <c r="G2744" t="s">
        <v>23</v>
      </c>
      <c r="H2744" t="s">
        <v>24</v>
      </c>
      <c r="I2744" t="s">
        <v>25</v>
      </c>
      <c r="J2744" s="2">
        <v>45792.580416666657</v>
      </c>
      <c r="K2744">
        <v>15</v>
      </c>
      <c r="L2744">
        <v>5</v>
      </c>
      <c r="M2744">
        <v>2025</v>
      </c>
      <c r="N2744" t="s">
        <v>27</v>
      </c>
      <c r="O2744">
        <v>150</v>
      </c>
      <c r="P2744">
        <v>150</v>
      </c>
      <c r="R2744" s="3" t="str">
        <f>HYPERLINK("https://panda.att.com.mx/ODKServer/view/binaryData?blobKey=FSSuministroFluidosv3%5B%40version%3Dnull+and+%40uiVersion%3Dnull%5D%2Fdata%5B%40key%3Duuid%3Adc031471-eb82-4a19-93ae-b3f78246fd66%5D%2FgroupInfoFuel%5B%40ordinal%3D1%5D%2FpicFuelRecibeInterno","Descargar")</f>
        <v>Descargar</v>
      </c>
    </row>
    <row r="2745" spans="1:18" x14ac:dyDescent="0.3">
      <c r="A2745">
        <v>1537442</v>
      </c>
      <c r="B2745" t="s">
        <v>18</v>
      </c>
      <c r="C2745" t="s">
        <v>100</v>
      </c>
      <c r="D2745" t="s">
        <v>716</v>
      </c>
      <c r="E2745" t="s">
        <v>717</v>
      </c>
      <c r="F2745" t="s">
        <v>22</v>
      </c>
      <c r="G2745" t="s">
        <v>83</v>
      </c>
      <c r="H2745" t="s">
        <v>1781</v>
      </c>
      <c r="I2745" t="s">
        <v>25</v>
      </c>
      <c r="J2745" s="2">
        <v>45792.890625</v>
      </c>
      <c r="K2745">
        <v>15</v>
      </c>
      <c r="L2745">
        <v>5</v>
      </c>
      <c r="M2745">
        <v>2025</v>
      </c>
      <c r="N2745" t="s">
        <v>27</v>
      </c>
      <c r="O2745">
        <v>120</v>
      </c>
      <c r="P2745">
        <v>120</v>
      </c>
      <c r="R2745" s="3" t="str">
        <f>HYPERLINK("https://panda.att.com.mx/ODKServer/view/binaryData?blobKey=FSSuministroFluidosv3%5B%40version%3Dnull+and+%40uiVersion%3Dnull%5D%2Fdata%5B%40key%3Duuid%3A6663844e-4740-4141-bbba-0275565ef814%5D%2FgroupInfoFuel%5B%40ordinal%3D1%5D%2FpicFuelRecibeInterno","Descargar")</f>
        <v>Descargar</v>
      </c>
    </row>
    <row r="2746" spans="1:18" x14ac:dyDescent="0.3">
      <c r="A2746">
        <v>1537435</v>
      </c>
      <c r="B2746" t="s">
        <v>18</v>
      </c>
      <c r="C2746" t="s">
        <v>34</v>
      </c>
      <c r="D2746" t="s">
        <v>53</v>
      </c>
      <c r="E2746" t="s">
        <v>2211</v>
      </c>
      <c r="F2746" t="s">
        <v>22</v>
      </c>
      <c r="G2746" t="s">
        <v>23</v>
      </c>
      <c r="H2746" t="s">
        <v>37</v>
      </c>
      <c r="I2746" t="s">
        <v>25</v>
      </c>
      <c r="J2746" s="2">
        <v>45792.878854166673</v>
      </c>
      <c r="K2746">
        <v>15</v>
      </c>
      <c r="L2746">
        <v>5</v>
      </c>
      <c r="M2746">
        <v>2025</v>
      </c>
      <c r="N2746" t="s">
        <v>27</v>
      </c>
      <c r="O2746">
        <v>350</v>
      </c>
      <c r="P2746">
        <v>350</v>
      </c>
      <c r="R2746" s="3" t="str">
        <f>HYPERLINK("https://panda.att.com.mx/ODKServer/view/binaryData?blobKey=FSSuministroFluidosv3%5B%40version%3Dnull+and+%40uiVersion%3Dnull%5D%2Fdata%5B%40key%3Duuid%3Af418a860-e330-4c3c-b52d-843008fa39c8%5D%2FgroupInfoFuel%5B%40ordinal%3D1%5D%2FpicFuelRecibeInterno","Descargar")</f>
        <v>Descargar</v>
      </c>
    </row>
    <row r="2747" spans="1:18" x14ac:dyDescent="0.3">
      <c r="A2747">
        <v>1537434</v>
      </c>
      <c r="B2747" t="s">
        <v>18</v>
      </c>
      <c r="C2747" t="s">
        <v>59</v>
      </c>
      <c r="D2747" t="s">
        <v>60</v>
      </c>
      <c r="E2747" t="s">
        <v>2207</v>
      </c>
      <c r="F2747" t="s">
        <v>22</v>
      </c>
      <c r="G2747" t="s">
        <v>23</v>
      </c>
      <c r="H2747" t="s">
        <v>37</v>
      </c>
      <c r="I2747" t="s">
        <v>25</v>
      </c>
      <c r="J2747" s="2">
        <v>45791.881203703713</v>
      </c>
      <c r="K2747">
        <v>14</v>
      </c>
      <c r="L2747">
        <v>5</v>
      </c>
      <c r="M2747">
        <v>2025</v>
      </c>
      <c r="N2747" t="s">
        <v>27</v>
      </c>
      <c r="O2747">
        <v>180</v>
      </c>
      <c r="P2747">
        <v>180</v>
      </c>
      <c r="R2747" s="3" t="str">
        <f>HYPERLINK("https://panda.att.com.mx/ODKServer/view/binaryData?blobKey=FSSuministroFluidosv3%5B%40version%3Dnull+and+%40uiVersion%3Dnull%5D%2Fdata%5B%40key%3Duuid%3Ad955ae65-6b25-41cd-acd2-16a04f867059%5D%2FgroupInfoFuel%5B%40ordinal%3D1%5D%2FpicFuelRecibeInterno","Descargar")</f>
        <v>Descargar</v>
      </c>
    </row>
    <row r="2748" spans="1:18" x14ac:dyDescent="0.3">
      <c r="A2748">
        <v>1537421</v>
      </c>
      <c r="B2748" t="s">
        <v>18</v>
      </c>
      <c r="C2748" t="s">
        <v>55</v>
      </c>
      <c r="D2748" t="s">
        <v>56</v>
      </c>
      <c r="E2748" t="s">
        <v>432</v>
      </c>
      <c r="F2748" t="s">
        <v>22</v>
      </c>
      <c r="G2748" t="s">
        <v>23</v>
      </c>
      <c r="H2748" t="s">
        <v>1763</v>
      </c>
      <c r="I2748" t="s">
        <v>25</v>
      </c>
      <c r="J2748" s="2">
        <v>45782.440879629627</v>
      </c>
      <c r="K2748">
        <v>5</v>
      </c>
      <c r="L2748">
        <v>5</v>
      </c>
      <c r="M2748">
        <v>2025</v>
      </c>
      <c r="N2748" t="s">
        <v>27</v>
      </c>
      <c r="O2748">
        <v>250</v>
      </c>
      <c r="P2748">
        <v>250</v>
      </c>
      <c r="R2748" s="3" t="str">
        <f>HYPERLINK("https://panda.att.com.mx/ODKServer/view/binaryData?blobKey=FSSuministroFluidosv3%5B%40version%3Dnull+and+%40uiVersion%3Dnull%5D%2Fdata%5B%40key%3Duuid%3Aed66faf8-efa2-477f-b256-a975ac089c39%5D%2FgroupInfoFuel%5B%40ordinal%3D1%5D%2FpicFuelRecibeInterno","Descargar")</f>
        <v>Descargar</v>
      </c>
    </row>
    <row r="2749" spans="1:18" x14ac:dyDescent="0.3">
      <c r="A2749">
        <v>1537415</v>
      </c>
      <c r="B2749" t="s">
        <v>18</v>
      </c>
      <c r="C2749" t="s">
        <v>55</v>
      </c>
      <c r="D2749" t="s">
        <v>56</v>
      </c>
      <c r="E2749" t="s">
        <v>2212</v>
      </c>
      <c r="F2749" t="s">
        <v>22</v>
      </c>
      <c r="G2749" t="s">
        <v>23</v>
      </c>
      <c r="H2749" t="s">
        <v>1763</v>
      </c>
      <c r="I2749" t="s">
        <v>25</v>
      </c>
      <c r="J2749" s="2">
        <v>45786.419791666667</v>
      </c>
      <c r="K2749">
        <v>9</v>
      </c>
      <c r="L2749">
        <v>5</v>
      </c>
      <c r="M2749">
        <v>2025</v>
      </c>
      <c r="N2749" t="s">
        <v>27</v>
      </c>
      <c r="O2749">
        <v>100</v>
      </c>
      <c r="P2749">
        <v>100</v>
      </c>
      <c r="R2749" s="3" t="str">
        <f>HYPERLINK("https://panda.att.com.mx/ODKServer/view/binaryData?blobKey=FSSuministroFluidosv3%5B%40version%3Dnull+and+%40uiVersion%3Dnull%5D%2Fdata%5B%40key%3Duuid%3A6e4f9d62-43ff-4679-a716-60c10831b30b%5D%2FgroupInfoFuel%5B%40ordinal%3D1%5D%2FpicFuelRecibeInterno","Descargar")</f>
        <v>Descargar</v>
      </c>
    </row>
    <row r="2750" spans="1:18" x14ac:dyDescent="0.3">
      <c r="A2750">
        <v>1537408</v>
      </c>
      <c r="B2750" t="s">
        <v>18</v>
      </c>
      <c r="C2750" t="s">
        <v>55</v>
      </c>
      <c r="D2750" t="s">
        <v>56</v>
      </c>
      <c r="E2750" t="s">
        <v>1555</v>
      </c>
      <c r="F2750" t="s">
        <v>22</v>
      </c>
      <c r="G2750" t="s">
        <v>23</v>
      </c>
      <c r="H2750" t="s">
        <v>1763</v>
      </c>
      <c r="I2750" t="s">
        <v>25</v>
      </c>
      <c r="J2750" s="2">
        <v>45786.518009259264</v>
      </c>
      <c r="K2750">
        <v>9</v>
      </c>
      <c r="L2750">
        <v>5</v>
      </c>
      <c r="M2750">
        <v>2025</v>
      </c>
      <c r="N2750" t="s">
        <v>27</v>
      </c>
      <c r="O2750">
        <v>100</v>
      </c>
      <c r="P2750">
        <v>100</v>
      </c>
      <c r="R2750" s="3" t="str">
        <f>HYPERLINK("https://panda.att.com.mx/ODKServer/view/binaryData?blobKey=FSSuministroFluidosv3%5B%40version%3Dnull+and+%40uiVersion%3Dnull%5D%2Fdata%5B%40key%3Duuid%3A331f184f-6b33-4c1a-a0b1-fec608729e8f%5D%2FgroupInfoFuel%5B%40ordinal%3D1%5D%2FpicFuelRecibeInterno","Descargar")</f>
        <v>Descargar</v>
      </c>
    </row>
    <row r="2751" spans="1:18" x14ac:dyDescent="0.3">
      <c r="A2751">
        <v>1537380</v>
      </c>
      <c r="B2751" t="s">
        <v>18</v>
      </c>
      <c r="C2751" t="s">
        <v>34</v>
      </c>
      <c r="D2751" t="s">
        <v>53</v>
      </c>
      <c r="E2751" t="s">
        <v>2213</v>
      </c>
      <c r="F2751" t="s">
        <v>22</v>
      </c>
      <c r="G2751" t="s">
        <v>23</v>
      </c>
      <c r="H2751" t="s">
        <v>37</v>
      </c>
      <c r="I2751" t="s">
        <v>25</v>
      </c>
      <c r="J2751" s="2">
        <v>45792.768541666657</v>
      </c>
      <c r="K2751">
        <v>15</v>
      </c>
      <c r="L2751">
        <v>5</v>
      </c>
      <c r="M2751">
        <v>2025</v>
      </c>
      <c r="N2751" t="s">
        <v>27</v>
      </c>
      <c r="O2751">
        <v>350</v>
      </c>
      <c r="P2751">
        <v>350</v>
      </c>
      <c r="R2751" s="3" t="str">
        <f>HYPERLINK("https://panda.att.com.mx/ODKServer/view/binaryData?blobKey=FSSuministroFluidosv3%5B%40version%3Dnull+and+%40uiVersion%3Dnull%5D%2Fdata%5B%40key%3Duuid%3A7490cfce-ff07-4cad-a237-c5a60d3ea049%5D%2FgroupInfoFuel%5B%40ordinal%3D1%5D%2FpicFuelRecibeInterno","Descargar")</f>
        <v>Descargar</v>
      </c>
    </row>
    <row r="2752" spans="1:18" x14ac:dyDescent="0.3">
      <c r="A2752">
        <v>1534939</v>
      </c>
      <c r="B2752" t="s">
        <v>18</v>
      </c>
      <c r="C2752" t="s">
        <v>55</v>
      </c>
      <c r="D2752" t="s">
        <v>56</v>
      </c>
      <c r="E2752" t="s">
        <v>1555</v>
      </c>
      <c r="F2752" t="s">
        <v>22</v>
      </c>
      <c r="G2752" t="s">
        <v>23</v>
      </c>
      <c r="H2752" t="s">
        <v>1763</v>
      </c>
      <c r="I2752" t="s">
        <v>25</v>
      </c>
      <c r="J2752" s="2">
        <v>45787.559074074074</v>
      </c>
      <c r="K2752">
        <v>10</v>
      </c>
      <c r="L2752">
        <v>5</v>
      </c>
      <c r="M2752">
        <v>2025</v>
      </c>
      <c r="N2752" t="s">
        <v>27</v>
      </c>
      <c r="O2752">
        <v>100</v>
      </c>
      <c r="P2752">
        <v>100</v>
      </c>
      <c r="R2752" s="3" t="str">
        <f>HYPERLINK("https://panda.att.com.mx/ODKServer/view/binaryData?blobKey=FSSuministroFluidosv3%5B%40version%3Dnull+and+%40uiVersion%3Dnull%5D%2Fdata%5B%40key%3Duuid%3A71fa825b-94f2-4c60-a60c-dd5043ea9aff%5D%2FgroupInfoFuel%5B%40ordinal%3D1%5D%2FpicFuelRecibeInterno","Descargar")</f>
        <v>Descargar</v>
      </c>
    </row>
    <row r="2753" spans="1:18" x14ac:dyDescent="0.3">
      <c r="A2753">
        <v>1534938</v>
      </c>
      <c r="B2753" t="s">
        <v>18</v>
      </c>
      <c r="C2753" t="s">
        <v>55</v>
      </c>
      <c r="D2753" t="s">
        <v>56</v>
      </c>
      <c r="E2753" t="s">
        <v>2182</v>
      </c>
      <c r="F2753" t="s">
        <v>22</v>
      </c>
      <c r="G2753" t="s">
        <v>23</v>
      </c>
      <c r="H2753" t="s">
        <v>1763</v>
      </c>
      <c r="I2753" t="s">
        <v>25</v>
      </c>
      <c r="J2753" s="2">
        <v>45787.438067129631</v>
      </c>
      <c r="K2753">
        <v>10</v>
      </c>
      <c r="L2753">
        <v>5</v>
      </c>
      <c r="M2753">
        <v>2025</v>
      </c>
      <c r="N2753" t="s">
        <v>27</v>
      </c>
      <c r="O2753">
        <v>100</v>
      </c>
      <c r="P2753">
        <v>100</v>
      </c>
      <c r="R2753" s="3" t="str">
        <f>HYPERLINK("https://panda.att.com.mx/ODKServer/view/binaryData?blobKey=FSSuministroFluidosv3%5B%40version%3Dnull+and+%40uiVersion%3Dnull%5D%2Fdata%5B%40key%3Duuid%3Ae1b573a5-5ef4-440c-9ab2-a493a1916345%5D%2FgroupInfoFuel%5B%40ordinal%3D1%5D%2FpicFuelRecibeInterno","Descargar")</f>
        <v>Descargar</v>
      </c>
    </row>
    <row r="2754" spans="1:18" x14ac:dyDescent="0.3">
      <c r="A2754">
        <v>1534933</v>
      </c>
      <c r="B2754" t="s">
        <v>18</v>
      </c>
      <c r="C2754" t="s">
        <v>55</v>
      </c>
      <c r="D2754" t="s">
        <v>56</v>
      </c>
      <c r="E2754" t="s">
        <v>2083</v>
      </c>
      <c r="F2754" t="s">
        <v>22</v>
      </c>
      <c r="G2754" t="s">
        <v>23</v>
      </c>
      <c r="H2754" t="s">
        <v>1763</v>
      </c>
      <c r="I2754" t="s">
        <v>25</v>
      </c>
      <c r="J2754" s="2">
        <v>45782.565949074073</v>
      </c>
      <c r="K2754">
        <v>5</v>
      </c>
      <c r="L2754">
        <v>5</v>
      </c>
      <c r="M2754">
        <v>2025</v>
      </c>
      <c r="N2754" t="s">
        <v>27</v>
      </c>
      <c r="O2754">
        <v>100</v>
      </c>
      <c r="P2754">
        <v>100</v>
      </c>
      <c r="R2754" s="3" t="str">
        <f>HYPERLINK("https://panda.att.com.mx/ODKServer/view/binaryData?blobKey=FSSuministroFluidosv3%5B%40version%3Dnull+and+%40uiVersion%3Dnull%5D%2Fdata%5B%40key%3Duuid%3A20eec9bb-1573-451e-a5eb-0146c947e3da%5D%2FgroupInfoFuel%5B%40ordinal%3D1%5D%2FpicFuelRecibeInterno","Descargar")</f>
        <v>Descargar</v>
      </c>
    </row>
    <row r="2755" spans="1:18" x14ac:dyDescent="0.3">
      <c r="A2755">
        <v>1534932</v>
      </c>
      <c r="B2755" t="s">
        <v>18</v>
      </c>
      <c r="C2755" t="s">
        <v>34</v>
      </c>
      <c r="D2755" t="s">
        <v>71</v>
      </c>
      <c r="E2755" t="s">
        <v>72</v>
      </c>
      <c r="F2755" t="s">
        <v>22</v>
      </c>
      <c r="G2755" t="s">
        <v>23</v>
      </c>
      <c r="H2755" t="s">
        <v>37</v>
      </c>
      <c r="I2755" t="s">
        <v>25</v>
      </c>
      <c r="J2755" s="2">
        <v>45789.685011574067</v>
      </c>
      <c r="K2755">
        <v>12</v>
      </c>
      <c r="L2755">
        <v>5</v>
      </c>
      <c r="M2755">
        <v>2025</v>
      </c>
      <c r="N2755" t="s">
        <v>27</v>
      </c>
      <c r="O2755">
        <v>500</v>
      </c>
      <c r="P2755">
        <v>500</v>
      </c>
      <c r="R2755" s="3" t="str">
        <f>HYPERLINK("https://panda.att.com.mx/ODKServer/view/binaryData?blobKey=FSSuministroFluidosv3%5B%40version%3Dnull+and+%40uiVersion%3Dnull%5D%2Fdata%5B%40key%3Duuid%3Ac787df28-1333-4379-ab34-33174f41e60c%5D%2FgroupInfoFuel%5B%40ordinal%3D1%5D%2FpicFuelRecibeInterno","Descargar")</f>
        <v>Descargar</v>
      </c>
    </row>
    <row r="2756" spans="1:18" x14ac:dyDescent="0.3">
      <c r="A2756">
        <v>1534931</v>
      </c>
      <c r="B2756" t="s">
        <v>18</v>
      </c>
      <c r="C2756" t="s">
        <v>100</v>
      </c>
      <c r="D2756" t="s">
        <v>854</v>
      </c>
      <c r="E2756" t="s">
        <v>993</v>
      </c>
      <c r="F2756" t="s">
        <v>22</v>
      </c>
      <c r="G2756" t="s">
        <v>83</v>
      </c>
      <c r="H2756" t="s">
        <v>1781</v>
      </c>
      <c r="I2756" t="s">
        <v>25</v>
      </c>
      <c r="J2756" s="2">
        <v>45790.505902777782</v>
      </c>
      <c r="K2756">
        <v>13</v>
      </c>
      <c r="L2756">
        <v>5</v>
      </c>
      <c r="M2756">
        <v>2025</v>
      </c>
      <c r="N2756" t="s">
        <v>27</v>
      </c>
      <c r="O2756">
        <v>220</v>
      </c>
      <c r="P2756">
        <v>220</v>
      </c>
      <c r="R2756" s="3" t="str">
        <f>HYPERLINK("https://panda.att.com.mx/ODKServer/view/binaryData?blobKey=FSSuministroFluidosv3%5B%40version%3Dnull+and+%40uiVersion%3Dnull%5D%2Fdata%5B%40key%3Duuid%3A50561ce4-9466-409e-97e9-f8bb4619caaa%5D%2FgroupInfoFuel%5B%40ordinal%3D1%5D%2FpicFuelRecibeInterno","Descargar")</f>
        <v>Descargar</v>
      </c>
    </row>
    <row r="2757" spans="1:18" x14ac:dyDescent="0.3">
      <c r="A2757">
        <v>1534930</v>
      </c>
      <c r="B2757" t="s">
        <v>18</v>
      </c>
      <c r="C2757" t="s">
        <v>55</v>
      </c>
      <c r="D2757" t="s">
        <v>56</v>
      </c>
      <c r="E2757" t="s">
        <v>2083</v>
      </c>
      <c r="F2757" t="s">
        <v>22</v>
      </c>
      <c r="G2757" t="s">
        <v>23</v>
      </c>
      <c r="H2757" t="s">
        <v>1763</v>
      </c>
      <c r="I2757" t="s">
        <v>25</v>
      </c>
      <c r="J2757" s="2">
        <v>45786.549398148149</v>
      </c>
      <c r="K2757">
        <v>9</v>
      </c>
      <c r="L2757">
        <v>5</v>
      </c>
      <c r="M2757">
        <v>2025</v>
      </c>
      <c r="N2757" t="s">
        <v>27</v>
      </c>
      <c r="O2757">
        <v>100</v>
      </c>
      <c r="P2757">
        <v>100</v>
      </c>
      <c r="R2757" s="3" t="str">
        <f>HYPERLINK("https://panda.att.com.mx/ODKServer/view/binaryData?blobKey=FSSuministroFluidosv3%5B%40version%3Dnull+and+%40uiVersion%3Dnull%5D%2Fdata%5B%40key%3Duuid%3A439b1424-f509-413d-bf00-f4bdbf6ad08b%5D%2FgroupInfoFuel%5B%40ordinal%3D1%5D%2FpicFuelRecibeInterno","Descargar")</f>
        <v>Descargar</v>
      </c>
    </row>
    <row r="2758" spans="1:18" x14ac:dyDescent="0.3">
      <c r="A2758">
        <v>1534911</v>
      </c>
      <c r="B2758" t="s">
        <v>18</v>
      </c>
      <c r="C2758" t="s">
        <v>55</v>
      </c>
      <c r="D2758" t="s">
        <v>56</v>
      </c>
      <c r="E2758" t="s">
        <v>1842</v>
      </c>
      <c r="F2758" t="s">
        <v>22</v>
      </c>
      <c r="G2758" t="s">
        <v>23</v>
      </c>
      <c r="H2758" t="s">
        <v>1763</v>
      </c>
      <c r="I2758" t="s">
        <v>25</v>
      </c>
      <c r="J2758" s="2">
        <v>45786.455393518518</v>
      </c>
      <c r="K2758">
        <v>9</v>
      </c>
      <c r="L2758">
        <v>5</v>
      </c>
      <c r="M2758">
        <v>2025</v>
      </c>
      <c r="N2758" t="s">
        <v>27</v>
      </c>
      <c r="O2758">
        <v>300</v>
      </c>
      <c r="P2758">
        <v>300</v>
      </c>
      <c r="R2758" s="3" t="str">
        <f>HYPERLINK("https://panda.att.com.mx/ODKServer/view/binaryData?blobKey=FSSuministroFluidosv3%5B%40version%3Dnull+and+%40uiVersion%3Dnull%5D%2Fdata%5B%40key%3Duuid%3A064d74f0-2870-42fa-aeb8-46be4ee32265%5D%2FgroupInfoFuel%5B%40ordinal%3D1%5D%2FpicFuelRecibeInterno","Descargar")</f>
        <v>Descargar</v>
      </c>
    </row>
    <row r="2759" spans="1:18" x14ac:dyDescent="0.3">
      <c r="A2759">
        <v>1534903</v>
      </c>
      <c r="B2759" t="s">
        <v>18</v>
      </c>
      <c r="C2759" t="s">
        <v>55</v>
      </c>
      <c r="D2759" t="s">
        <v>56</v>
      </c>
      <c r="E2759" t="s">
        <v>2083</v>
      </c>
      <c r="F2759" t="s">
        <v>22</v>
      </c>
      <c r="G2759" t="s">
        <v>23</v>
      </c>
      <c r="H2759" t="s">
        <v>1763</v>
      </c>
      <c r="I2759" t="s">
        <v>25</v>
      </c>
      <c r="J2759" s="2">
        <v>45783.718865740739</v>
      </c>
      <c r="K2759">
        <v>6</v>
      </c>
      <c r="L2759">
        <v>5</v>
      </c>
      <c r="M2759">
        <v>2025</v>
      </c>
      <c r="N2759" t="s">
        <v>27</v>
      </c>
      <c r="O2759">
        <v>100</v>
      </c>
      <c r="P2759">
        <v>100</v>
      </c>
      <c r="R2759" s="3" t="str">
        <f>HYPERLINK("https://panda.att.com.mx/ODKServer/view/binaryData?blobKey=FSSuministroFluidosv3%5B%40version%3Dnull+and+%40uiVersion%3Dnull%5D%2Fdata%5B%40key%3Duuid%3Aceb5a424-f863-4ef7-95b8-e6143ceb2c36%5D%2FgroupInfoFuel%5B%40ordinal%3D1%5D%2FpicFuelRecibeInterno","Descargar")</f>
        <v>Descargar</v>
      </c>
    </row>
    <row r="2760" spans="1:18" x14ac:dyDescent="0.3">
      <c r="A2760">
        <v>1534893</v>
      </c>
      <c r="B2760" t="s">
        <v>18</v>
      </c>
      <c r="C2760" t="s">
        <v>150</v>
      </c>
      <c r="D2760" t="s">
        <v>164</v>
      </c>
      <c r="E2760" t="s">
        <v>165</v>
      </c>
      <c r="F2760" t="s">
        <v>22</v>
      </c>
      <c r="G2760" t="s">
        <v>23</v>
      </c>
      <c r="H2760" t="s">
        <v>1781</v>
      </c>
      <c r="I2760" t="s">
        <v>25</v>
      </c>
      <c r="J2760" s="2">
        <v>45790.430856481478</v>
      </c>
      <c r="K2760">
        <v>13</v>
      </c>
      <c r="L2760">
        <v>5</v>
      </c>
      <c r="M2760">
        <v>2025</v>
      </c>
      <c r="N2760" t="s">
        <v>27</v>
      </c>
      <c r="O2760">
        <v>400.02</v>
      </c>
      <c r="P2760">
        <v>400.02</v>
      </c>
      <c r="R2760" s="3" t="str">
        <f>HYPERLINK("https://panda.att.com.mx/ODKServer/view/binaryData?blobKey=FSSuministroFluidosv3%5B%40version%3Dnull+and+%40uiVersion%3Dnull%5D%2Fdata%5B%40key%3Duuid%3Aae17b216-af7d-401e-a78b-59476d9bb39d%5D%2FgroupInfoFuel%5B%40ordinal%3D1%5D%2FpicFuelRecibeInterno","Descargar")</f>
        <v>Descargar</v>
      </c>
    </row>
    <row r="2761" spans="1:18" x14ac:dyDescent="0.3">
      <c r="A2761">
        <v>1534830</v>
      </c>
      <c r="B2761" t="s">
        <v>18</v>
      </c>
      <c r="C2761" t="s">
        <v>19</v>
      </c>
      <c r="D2761" t="s">
        <v>140</v>
      </c>
      <c r="E2761" t="s">
        <v>1599</v>
      </c>
      <c r="F2761" t="s">
        <v>22</v>
      </c>
      <c r="G2761" t="s">
        <v>23</v>
      </c>
      <c r="H2761" t="s">
        <v>24</v>
      </c>
      <c r="I2761" t="s">
        <v>25</v>
      </c>
      <c r="J2761" s="2">
        <v>45784.584085648137</v>
      </c>
      <c r="K2761">
        <v>7</v>
      </c>
      <c r="L2761">
        <v>5</v>
      </c>
      <c r="M2761">
        <v>2025</v>
      </c>
      <c r="N2761" t="s">
        <v>27</v>
      </c>
      <c r="O2761">
        <v>350</v>
      </c>
      <c r="P2761">
        <v>350</v>
      </c>
      <c r="R2761" s="3" t="str">
        <f>HYPERLINK("https://panda.att.com.mx/ODKServer/view/binaryData?blobKey=FSSuministroFluidosv3%5B%40version%3Dnull+and+%40uiVersion%3Dnull%5D%2Fdata%5B%40key%3Duuid%3Ace39d74c-749c-44d1-82b2-f55256649c11%5D%2FgroupInfoFuel%5B%40ordinal%3D1%5D%2FpicFuelRecibeInterno","Descargar")</f>
        <v>Descargar</v>
      </c>
    </row>
    <row r="2762" spans="1:18" x14ac:dyDescent="0.3">
      <c r="A2762">
        <v>1534824</v>
      </c>
      <c r="B2762" t="s">
        <v>18</v>
      </c>
      <c r="C2762" t="s">
        <v>34</v>
      </c>
      <c r="D2762" t="s">
        <v>53</v>
      </c>
      <c r="E2762" t="s">
        <v>2192</v>
      </c>
      <c r="F2762" t="s">
        <v>22</v>
      </c>
      <c r="G2762" t="s">
        <v>23</v>
      </c>
      <c r="H2762" t="s">
        <v>37</v>
      </c>
      <c r="I2762" t="s">
        <v>25</v>
      </c>
      <c r="J2762" s="2">
        <v>45787.437534722223</v>
      </c>
      <c r="K2762">
        <v>10</v>
      </c>
      <c r="L2762">
        <v>5</v>
      </c>
      <c r="M2762">
        <v>2025</v>
      </c>
      <c r="N2762" t="s">
        <v>27</v>
      </c>
      <c r="O2762">
        <v>400</v>
      </c>
      <c r="Q2762">
        <v>400</v>
      </c>
      <c r="R2762" s="3" t="str">
        <f>HYPERLINK("https://panda.att.com.mx/ODKServer/view/binaryData?blobKey=FSSuministroFluidosv3%5B%40version%3Dnull+and+%40uiVersion%3Dnull%5D%2Fdata%5B%40key%3Duuid%3A54db53e0-bf48-4133-b639-927c827b5026%5D%2FgroupInfoFuel%5B%40ordinal%3D1%5D%2FpicFuelRecibeInterno","Descargar")</f>
        <v>Descargar</v>
      </c>
    </row>
    <row r="2763" spans="1:18" x14ac:dyDescent="0.3">
      <c r="A2763">
        <v>1534746</v>
      </c>
      <c r="B2763" t="s">
        <v>18</v>
      </c>
      <c r="C2763" t="s">
        <v>28</v>
      </c>
      <c r="D2763" t="s">
        <v>118</v>
      </c>
      <c r="E2763" t="s">
        <v>1231</v>
      </c>
      <c r="F2763" t="s">
        <v>22</v>
      </c>
      <c r="G2763" t="s">
        <v>23</v>
      </c>
      <c r="H2763" t="s">
        <v>24</v>
      </c>
      <c r="I2763" t="s">
        <v>25</v>
      </c>
      <c r="J2763" s="2">
        <v>45790.411631944437</v>
      </c>
      <c r="K2763">
        <v>13</v>
      </c>
      <c r="L2763">
        <v>5</v>
      </c>
      <c r="M2763">
        <v>2025</v>
      </c>
      <c r="N2763" t="s">
        <v>27</v>
      </c>
      <c r="O2763">
        <v>200</v>
      </c>
      <c r="P2763">
        <v>200</v>
      </c>
      <c r="R2763" s="3" t="str">
        <f>HYPERLINK("https://panda.att.com.mx/ODKServer/view/binaryData?blobKey=FSSuministroFluidosv3%5B%40version%3Dnull+and+%40uiVersion%3Dnull%5D%2Fdata%5B%40key%3Duuid%3A579ccdb1-3ecc-4295-9ea5-044f415e66b5%5D%2FgroupInfoFuel%5B%40ordinal%3D1%5D%2FpicFuelRecibeInterno","Descargar")</f>
        <v>Descargar</v>
      </c>
    </row>
    <row r="2764" spans="1:18" x14ac:dyDescent="0.3">
      <c r="A2764">
        <v>1534640</v>
      </c>
      <c r="B2764" t="s">
        <v>18</v>
      </c>
      <c r="C2764" t="s">
        <v>28</v>
      </c>
      <c r="D2764" t="s">
        <v>138</v>
      </c>
      <c r="E2764" t="s">
        <v>2214</v>
      </c>
      <c r="F2764" t="s">
        <v>22</v>
      </c>
      <c r="G2764" t="s">
        <v>23</v>
      </c>
      <c r="H2764" t="s">
        <v>24</v>
      </c>
      <c r="I2764" t="s">
        <v>25</v>
      </c>
      <c r="J2764" t="s">
        <v>2215</v>
      </c>
      <c r="K2764">
        <v>8</v>
      </c>
      <c r="L2764">
        <v>4</v>
      </c>
      <c r="M2764">
        <v>2025</v>
      </c>
      <c r="N2764" t="s">
        <v>44</v>
      </c>
      <c r="O2764">
        <v>60</v>
      </c>
      <c r="P2764">
        <v>60</v>
      </c>
      <c r="R2764" s="3" t="str">
        <f>HYPERLINK("https://panda.att.com.mx/ODKServer/view/binaryData?blobKey=FSSuministroFluidosv3%5B%40version%3Dnull+and+%40uiVersion%3Dnull%5D%2Fdata%5B%40key%3Duuid%3A9444d7e1-3739-4102-a7c8-788d5b984d8d%5D%2FgroupInfoFuel%5B%40ordinal%3D1%5D%2FpicFuelRecibeInterno","Descargar")</f>
        <v>Descargar</v>
      </c>
    </row>
    <row r="2765" spans="1:18" x14ac:dyDescent="0.3">
      <c r="A2765">
        <v>1534601</v>
      </c>
      <c r="B2765" t="s">
        <v>18</v>
      </c>
      <c r="C2765" t="s">
        <v>34</v>
      </c>
      <c r="D2765" t="s">
        <v>53</v>
      </c>
      <c r="E2765" t="s">
        <v>2216</v>
      </c>
      <c r="F2765" t="s">
        <v>22</v>
      </c>
      <c r="G2765" t="s">
        <v>23</v>
      </c>
      <c r="H2765" t="s">
        <v>37</v>
      </c>
      <c r="I2765" t="s">
        <v>25</v>
      </c>
      <c r="J2765" s="2">
        <v>45789.99145833333</v>
      </c>
      <c r="K2765">
        <v>12</v>
      </c>
      <c r="L2765">
        <v>5</v>
      </c>
      <c r="M2765">
        <v>2025</v>
      </c>
      <c r="N2765" t="s">
        <v>27</v>
      </c>
      <c r="O2765">
        <v>100</v>
      </c>
      <c r="P2765">
        <v>100</v>
      </c>
      <c r="R2765" s="3" t="str">
        <f>HYPERLINK("https://panda.att.com.mx/ODKServer/view/binaryData?blobKey=FSSuministroFluidosv3%5B%40version%3Dnull+and+%40uiVersion%3Dnull%5D%2Fdata%5B%40key%3Duuid%3A0a5fef05-b08c-4e00-a66a-c976793d91b7%5D%2FgroupInfoFuel%5B%40ordinal%3D1%5D%2FpicFuelRecibeInterno","Descargar")</f>
        <v>Descargar</v>
      </c>
    </row>
    <row r="2766" spans="1:18" x14ac:dyDescent="0.3">
      <c r="A2766">
        <v>1534557</v>
      </c>
      <c r="B2766" t="s">
        <v>18</v>
      </c>
      <c r="C2766" t="s">
        <v>28</v>
      </c>
      <c r="D2766" t="s">
        <v>1105</v>
      </c>
      <c r="E2766" t="s">
        <v>2217</v>
      </c>
      <c r="F2766" t="s">
        <v>22</v>
      </c>
      <c r="G2766" t="s">
        <v>23</v>
      </c>
      <c r="H2766" t="s">
        <v>24</v>
      </c>
      <c r="I2766" t="s">
        <v>25</v>
      </c>
      <c r="J2766" s="2">
        <v>45788.891712962963</v>
      </c>
      <c r="K2766">
        <v>11</v>
      </c>
      <c r="L2766">
        <v>5</v>
      </c>
      <c r="M2766">
        <v>2025</v>
      </c>
      <c r="N2766" t="s">
        <v>27</v>
      </c>
      <c r="O2766">
        <v>100</v>
      </c>
      <c r="P2766">
        <v>100</v>
      </c>
      <c r="R2766" s="3" t="str">
        <f>HYPERLINK("https://panda.att.com.mx/ODKServer/view/binaryData?blobKey=FSSuministroFluidosv3%5B%40version%3Dnull+and+%40uiVersion%3Dnull%5D%2Fdata%5B%40key%3Duuid%3A4e43aaae-deed-4189-a618-c3e3580334d1%5D%2FgroupInfoFuel%5B%40ordinal%3D1%5D%2FpicFuelRecibeInterno","Descargar")</f>
        <v>Descargar</v>
      </c>
    </row>
    <row r="2767" spans="1:18" x14ac:dyDescent="0.3">
      <c r="A2767">
        <v>1534458</v>
      </c>
      <c r="B2767" t="s">
        <v>18</v>
      </c>
      <c r="C2767" t="s">
        <v>55</v>
      </c>
      <c r="D2767" t="s">
        <v>64</v>
      </c>
      <c r="E2767" t="s">
        <v>798</v>
      </c>
      <c r="F2767" t="s">
        <v>22</v>
      </c>
      <c r="G2767" t="s">
        <v>23</v>
      </c>
      <c r="H2767" t="s">
        <v>1763</v>
      </c>
      <c r="I2767" t="s">
        <v>25</v>
      </c>
      <c r="J2767" s="2">
        <v>45781.351111111107</v>
      </c>
      <c r="K2767">
        <v>4</v>
      </c>
      <c r="L2767">
        <v>5</v>
      </c>
      <c r="M2767">
        <v>2025</v>
      </c>
      <c r="N2767" t="s">
        <v>27</v>
      </c>
      <c r="O2767">
        <v>200</v>
      </c>
      <c r="P2767">
        <v>200</v>
      </c>
      <c r="R2767" s="3" t="str">
        <f>HYPERLINK("https://panda.att.com.mx/ODKServer/view/binaryData?blobKey=FSSuministroFluidosv3%5B%40version%3Dnull+and+%40uiVersion%3Dnull%5D%2Fdata%5B%40key%3Duuid%3A51bd85b6-03ba-4dcd-9692-de399e3550ec%5D%2FgroupInfoFuel%5B%40ordinal%3D1%5D%2FpicFuelRecibeInterno","Descargar")</f>
        <v>Descargar</v>
      </c>
    </row>
    <row r="2768" spans="1:18" x14ac:dyDescent="0.3">
      <c r="A2768">
        <v>1534457</v>
      </c>
      <c r="B2768" t="s">
        <v>18</v>
      </c>
      <c r="C2768" t="s">
        <v>55</v>
      </c>
      <c r="D2768" t="s">
        <v>64</v>
      </c>
      <c r="E2768" t="s">
        <v>2209</v>
      </c>
      <c r="F2768" t="s">
        <v>22</v>
      </c>
      <c r="G2768" t="s">
        <v>23</v>
      </c>
      <c r="H2768" t="s">
        <v>1763</v>
      </c>
      <c r="I2768" t="s">
        <v>25</v>
      </c>
      <c r="J2768" s="2">
        <v>45783.286909722221</v>
      </c>
      <c r="K2768">
        <v>6</v>
      </c>
      <c r="L2768">
        <v>5</v>
      </c>
      <c r="M2768">
        <v>2025</v>
      </c>
      <c r="N2768" t="s">
        <v>44</v>
      </c>
      <c r="O2768">
        <v>50</v>
      </c>
      <c r="P2768">
        <v>50</v>
      </c>
      <c r="R2768" s="3" t="str">
        <f>HYPERLINK("https://panda.att.com.mx/ODKServer/view/binaryData?blobKey=FSSuministroFluidosv3%5B%40version%3Dnull+and+%40uiVersion%3Dnull%5D%2Fdata%5B%40key%3Duuid%3A2db43f6d-e62f-4e18-b2c5-537646b5669b%5D%2FgroupInfoFuel%5B%40ordinal%3D1%5D%2FpicFuelRecibeInterno","Descargar")</f>
        <v>Descargar</v>
      </c>
    </row>
    <row r="2769" spans="1:18" x14ac:dyDescent="0.3">
      <c r="A2769">
        <v>1534408</v>
      </c>
      <c r="B2769" t="s">
        <v>18</v>
      </c>
      <c r="C2769" t="s">
        <v>55</v>
      </c>
      <c r="D2769" t="s">
        <v>56</v>
      </c>
      <c r="E2769" t="s">
        <v>1842</v>
      </c>
      <c r="F2769" t="s">
        <v>22</v>
      </c>
      <c r="G2769" t="s">
        <v>23</v>
      </c>
      <c r="H2769" t="s">
        <v>1763</v>
      </c>
      <c r="I2769" t="s">
        <v>25</v>
      </c>
      <c r="J2769" s="2">
        <v>45783.551076388889</v>
      </c>
      <c r="K2769">
        <v>6</v>
      </c>
      <c r="L2769">
        <v>5</v>
      </c>
      <c r="M2769">
        <v>2025</v>
      </c>
      <c r="N2769" t="s">
        <v>27</v>
      </c>
      <c r="O2769">
        <v>300</v>
      </c>
      <c r="P2769">
        <v>300</v>
      </c>
      <c r="R2769" s="3" t="str">
        <f>HYPERLINK("https://panda.att.com.mx/ODKServer/view/binaryData?blobKey=FSSuministroFluidosv3%5B%40version%3Dnull+and+%40uiVersion%3Dnull%5D%2Fdata%5B%40key%3Duuid%3Acc4e1982-ea5c-4679-9c8d-a87784f1bb3b%5D%2FgroupInfoFuel%5B%40ordinal%3D1%5D%2FpicFuelRecibeInterno","Descargar")</f>
        <v>Descargar</v>
      </c>
    </row>
    <row r="2770" spans="1:18" x14ac:dyDescent="0.3">
      <c r="A2770">
        <v>1534341</v>
      </c>
      <c r="B2770" t="s">
        <v>18</v>
      </c>
      <c r="C2770" t="s">
        <v>28</v>
      </c>
      <c r="D2770" t="s">
        <v>1054</v>
      </c>
      <c r="E2770" t="s">
        <v>2218</v>
      </c>
      <c r="F2770" t="s">
        <v>22</v>
      </c>
      <c r="G2770" t="s">
        <v>23</v>
      </c>
      <c r="H2770" t="s">
        <v>24</v>
      </c>
      <c r="I2770" t="s">
        <v>25</v>
      </c>
      <c r="J2770" s="2">
        <v>45789.691157407397</v>
      </c>
      <c r="K2770">
        <v>12</v>
      </c>
      <c r="L2770">
        <v>5</v>
      </c>
      <c r="M2770">
        <v>2025</v>
      </c>
      <c r="N2770" t="s">
        <v>27</v>
      </c>
      <c r="O2770">
        <v>200</v>
      </c>
      <c r="P2770">
        <v>200</v>
      </c>
      <c r="R2770" s="3" t="str">
        <f>HYPERLINK("https://panda.att.com.mx/ODKServer/view/binaryData?blobKey=FSSuministroFluidosv3%5B%40version%3Dnull+and+%40uiVersion%3Dnull%5D%2Fdata%5B%40key%3Duuid%3A49acb2ee-d00b-41e9-a84d-126995e77b12%5D%2FgroupInfoFuel%5B%40ordinal%3D1%5D%2FpicFuelRecibeInterno","Descargar")</f>
        <v>Descargar</v>
      </c>
    </row>
    <row r="2771" spans="1:18" x14ac:dyDescent="0.3">
      <c r="A2771">
        <v>1534334</v>
      </c>
      <c r="B2771" t="s">
        <v>18</v>
      </c>
      <c r="C2771" t="s">
        <v>55</v>
      </c>
      <c r="D2771" t="s">
        <v>56</v>
      </c>
      <c r="E2771" t="s">
        <v>2083</v>
      </c>
      <c r="F2771" t="s">
        <v>22</v>
      </c>
      <c r="G2771" t="s">
        <v>23</v>
      </c>
      <c r="H2771" t="s">
        <v>1763</v>
      </c>
      <c r="I2771" t="s">
        <v>25</v>
      </c>
      <c r="J2771" s="2">
        <v>45788.365636574083</v>
      </c>
      <c r="K2771">
        <v>11</v>
      </c>
      <c r="L2771">
        <v>5</v>
      </c>
      <c r="M2771">
        <v>2025</v>
      </c>
      <c r="N2771" t="s">
        <v>27</v>
      </c>
      <c r="O2771">
        <v>100</v>
      </c>
      <c r="P2771">
        <v>100</v>
      </c>
      <c r="R2771" s="3" t="str">
        <f>HYPERLINK("https://panda.att.com.mx/ODKServer/view/binaryData?blobKey=FSSuministroFluidosv3%5B%40version%3Dnull+and+%40uiVersion%3Dnull%5D%2Fdata%5B%40key%3Duuid%3A610c7900-2b9d-41bf-aab7-a046dbc2ca16%5D%2FgroupInfoFuel%5B%40ordinal%3D1%5D%2FpicFuelRecibeInterno","Descargar")</f>
        <v>Descargar</v>
      </c>
    </row>
    <row r="2772" spans="1:18" x14ac:dyDescent="0.3">
      <c r="A2772">
        <v>1534313</v>
      </c>
      <c r="B2772" t="s">
        <v>18</v>
      </c>
      <c r="C2772" t="s">
        <v>68</v>
      </c>
      <c r="D2772" t="s">
        <v>132</v>
      </c>
      <c r="E2772" t="s">
        <v>1545</v>
      </c>
      <c r="F2772" t="s">
        <v>22</v>
      </c>
      <c r="G2772" t="s">
        <v>23</v>
      </c>
      <c r="H2772" t="s">
        <v>37</v>
      </c>
      <c r="I2772" t="s">
        <v>25</v>
      </c>
      <c r="J2772" s="2">
        <v>45789.708275462966</v>
      </c>
      <c r="K2772">
        <v>12</v>
      </c>
      <c r="L2772">
        <v>5</v>
      </c>
      <c r="M2772">
        <v>2025</v>
      </c>
      <c r="N2772" t="s">
        <v>44</v>
      </c>
      <c r="O2772">
        <v>50</v>
      </c>
      <c r="P2772">
        <v>50</v>
      </c>
      <c r="R2772" s="3" t="str">
        <f>HYPERLINK("https://panda.att.com.mx/ODKServer/view/binaryData?blobKey=FSSuministroFluidosv3%5B%40version%3Dnull+and+%40uiVersion%3Dnull%5D%2Fdata%5B%40key%3Duuid%3A231bb027-61a4-4525-b92d-2e4009c0a896%5D%2FgroupInfoFuel%5B%40ordinal%3D1%5D%2FpicFuelRecibeInterno","Descargar")</f>
        <v>Descargar</v>
      </c>
    </row>
    <row r="2773" spans="1:18" x14ac:dyDescent="0.3">
      <c r="A2773">
        <v>1534271</v>
      </c>
      <c r="B2773" t="s">
        <v>18</v>
      </c>
      <c r="C2773" t="s">
        <v>55</v>
      </c>
      <c r="D2773" t="s">
        <v>366</v>
      </c>
      <c r="E2773" t="s">
        <v>2219</v>
      </c>
      <c r="F2773" t="s">
        <v>22</v>
      </c>
      <c r="G2773" t="s">
        <v>83</v>
      </c>
      <c r="H2773" t="s">
        <v>1781</v>
      </c>
      <c r="I2773" t="s">
        <v>25</v>
      </c>
      <c r="J2773" s="2">
        <v>45789.626805555563</v>
      </c>
      <c r="K2773">
        <v>12</v>
      </c>
      <c r="L2773">
        <v>5</v>
      </c>
      <c r="M2773">
        <v>2025</v>
      </c>
      <c r="N2773" t="s">
        <v>27</v>
      </c>
      <c r="O2773">
        <v>100</v>
      </c>
      <c r="P2773">
        <v>100</v>
      </c>
      <c r="R2773" s="3" t="str">
        <f>HYPERLINK("https://panda.att.com.mx/ODKServer/view/binaryData?blobKey=FSSuministroFluidosv3%5B%40version%3Dnull+and+%40uiVersion%3Dnull%5D%2Fdata%5B%40key%3Duuid%3A0ae97e2f-b4de-4bcb-a4ac-7aeb24442ccb%5D%2FgroupInfoFuel%5B%40ordinal%3D1%5D%2FpicFuelRecibeInterno","Descargar")</f>
        <v>Descargar</v>
      </c>
    </row>
    <row r="2774" spans="1:18" x14ac:dyDescent="0.3">
      <c r="A2774">
        <v>1534219</v>
      </c>
      <c r="B2774" t="s">
        <v>18</v>
      </c>
      <c r="C2774" t="s">
        <v>167</v>
      </c>
      <c r="D2774" t="s">
        <v>215</v>
      </c>
      <c r="E2774" t="s">
        <v>674</v>
      </c>
      <c r="F2774" t="s">
        <v>22</v>
      </c>
      <c r="G2774" t="s">
        <v>23</v>
      </c>
      <c r="H2774" t="s">
        <v>58</v>
      </c>
      <c r="I2774" t="s">
        <v>25</v>
      </c>
      <c r="J2774" s="2">
        <v>45789.644409722219</v>
      </c>
      <c r="K2774">
        <v>12</v>
      </c>
      <c r="L2774">
        <v>5</v>
      </c>
      <c r="M2774">
        <v>2025</v>
      </c>
      <c r="N2774" t="s">
        <v>27</v>
      </c>
      <c r="O2774">
        <v>100</v>
      </c>
      <c r="P2774">
        <v>100</v>
      </c>
      <c r="R2774" s="3" t="str">
        <f>HYPERLINK("https://panda.att.com.mx/ODKServer/view/binaryData?blobKey=FSSuministroFluidosv3%5B%40version%3Dnull+and+%40uiVersion%3Dnull%5D%2Fdata%5B%40key%3Duuid%3Af9e8ac21-44af-4f16-898c-0f2d72492ec2%5D%2FgroupInfoFuel%5B%40ordinal%3D1%5D%2FpicFuelRecibeInterno","Descargar")</f>
        <v>Descargar</v>
      </c>
    </row>
    <row r="2775" spans="1:18" x14ac:dyDescent="0.3">
      <c r="A2775">
        <v>1534194</v>
      </c>
      <c r="B2775" t="s">
        <v>18</v>
      </c>
      <c r="C2775" t="s">
        <v>28</v>
      </c>
      <c r="D2775" t="s">
        <v>1036</v>
      </c>
      <c r="E2775" t="s">
        <v>1189</v>
      </c>
      <c r="F2775" t="s">
        <v>22</v>
      </c>
      <c r="G2775" t="s">
        <v>23</v>
      </c>
      <c r="H2775" t="s">
        <v>24</v>
      </c>
      <c r="I2775" t="s">
        <v>25</v>
      </c>
      <c r="J2775" s="2">
        <v>45787.619016203702</v>
      </c>
      <c r="K2775">
        <v>10</v>
      </c>
      <c r="L2775">
        <v>5</v>
      </c>
      <c r="M2775">
        <v>2025</v>
      </c>
      <c r="N2775" t="s">
        <v>27</v>
      </c>
      <c r="O2775">
        <v>120</v>
      </c>
      <c r="Q2775">
        <v>120</v>
      </c>
      <c r="R2775" s="3" t="str">
        <f>HYPERLINK("https://panda.att.com.mx/ODKServer/view/binaryData?blobKey=FSSuministroFluidosv3%5B%40version%3Dnull+and+%40uiVersion%3Dnull%5D%2Fdata%5B%40key%3Duuid%3A8f09906b-f2f7-4c81-b65a-e3e7cf4dda67%5D%2FgroupInfoFuel%5B%40ordinal%3D1%5D%2FpicFuelRecibeInterno","Descargar")</f>
        <v>Descargar</v>
      </c>
    </row>
    <row r="2776" spans="1:18" x14ac:dyDescent="0.3">
      <c r="A2776">
        <v>1534146</v>
      </c>
      <c r="B2776" t="s">
        <v>18</v>
      </c>
      <c r="C2776" t="s">
        <v>150</v>
      </c>
      <c r="D2776" t="s">
        <v>151</v>
      </c>
      <c r="E2776" t="s">
        <v>2220</v>
      </c>
      <c r="F2776" t="s">
        <v>22</v>
      </c>
      <c r="G2776" t="s">
        <v>23</v>
      </c>
      <c r="H2776" t="s">
        <v>1781</v>
      </c>
      <c r="I2776" t="s">
        <v>25</v>
      </c>
      <c r="J2776" s="2">
        <v>45789.562152777777</v>
      </c>
      <c r="K2776">
        <v>12</v>
      </c>
      <c r="L2776">
        <v>5</v>
      </c>
      <c r="M2776">
        <v>2025</v>
      </c>
      <c r="N2776" t="s">
        <v>27</v>
      </c>
      <c r="O2776">
        <v>100</v>
      </c>
      <c r="P2776">
        <v>100</v>
      </c>
      <c r="R2776" s="3" t="str">
        <f>HYPERLINK("https://panda.att.com.mx/ODKServer/view/binaryData?blobKey=FSSuministroFluidosv3%5B%40version%3Dnull+and+%40uiVersion%3Dnull%5D%2Fdata%5B%40key%3Duuid%3A1e52c64b-7125-48b5-b08a-980018ea9aab%5D%2FgroupInfoFuel%5B%40ordinal%3D1%5D%2FpicFuelRecibeInterno","Descargar")</f>
        <v>Descargar</v>
      </c>
    </row>
    <row r="2777" spans="1:18" x14ac:dyDescent="0.3">
      <c r="A2777">
        <v>1537379</v>
      </c>
      <c r="B2777" t="s">
        <v>18</v>
      </c>
      <c r="C2777" t="s">
        <v>34</v>
      </c>
      <c r="D2777" t="s">
        <v>53</v>
      </c>
      <c r="E2777" t="s">
        <v>1771</v>
      </c>
      <c r="F2777" t="s">
        <v>22</v>
      </c>
      <c r="G2777" t="s">
        <v>23</v>
      </c>
      <c r="H2777" t="s">
        <v>37</v>
      </c>
      <c r="I2777" t="s">
        <v>25</v>
      </c>
      <c r="J2777" s="2">
        <v>45792.76021990741</v>
      </c>
      <c r="K2777">
        <v>15</v>
      </c>
      <c r="L2777">
        <v>5</v>
      </c>
      <c r="M2777">
        <v>2025</v>
      </c>
      <c r="N2777" t="s">
        <v>27</v>
      </c>
      <c r="O2777">
        <v>700</v>
      </c>
      <c r="Q2777">
        <v>700</v>
      </c>
      <c r="R2777" s="3" t="str">
        <f>HYPERLINK("https://panda.att.com.mx/ODKServer/view/binaryData?blobKey=FSSuministroFluidosv3%5B%40version%3Dnull+and+%40uiVersion%3Dnull%5D%2Fdata%5B%40key%3Duuid%3A25a6bb62-abf3-4700-9308-5e9348f0eacc%5D%2FgroupInfoFuel%5B%40ordinal%3D1%5D%2FpicFuelRecibeInterno","Descargar")</f>
        <v>Descargar</v>
      </c>
    </row>
    <row r="2778" spans="1:18" x14ac:dyDescent="0.3">
      <c r="A2778">
        <v>1537255</v>
      </c>
      <c r="B2778" t="s">
        <v>18</v>
      </c>
      <c r="C2778" t="s">
        <v>183</v>
      </c>
      <c r="D2778" t="s">
        <v>305</v>
      </c>
      <c r="E2778" t="s">
        <v>2201</v>
      </c>
      <c r="F2778" t="s">
        <v>22</v>
      </c>
      <c r="G2778" t="s">
        <v>83</v>
      </c>
      <c r="H2778" t="s">
        <v>24</v>
      </c>
      <c r="I2778" t="s">
        <v>25</v>
      </c>
      <c r="J2778" s="2">
        <v>45792.52511574074</v>
      </c>
      <c r="K2778">
        <v>15</v>
      </c>
      <c r="L2778">
        <v>5</v>
      </c>
      <c r="M2778">
        <v>2025</v>
      </c>
      <c r="N2778" t="s">
        <v>27</v>
      </c>
      <c r="O2778">
        <v>200</v>
      </c>
      <c r="Q2778">
        <v>200</v>
      </c>
      <c r="R2778" s="3" t="str">
        <f>HYPERLINK("https://panda.att.com.mx/ODKServer/view/binaryData?blobKey=FSSuministroFluidosv3%5B%40version%3Dnull+and+%40uiVersion%3Dnull%5D%2Fdata%5B%40key%3Duuid%3Aa9a58b25-e2d5-4481-8741-f8b0b7e7e1a3%5D%2FgroupInfoFuel%5B%40ordinal%3D1%5D%2FpicFuelRecibeInterno","Descargar")</f>
        <v>Descargar</v>
      </c>
    </row>
    <row r="2779" spans="1:18" x14ac:dyDescent="0.3">
      <c r="A2779">
        <v>1537230</v>
      </c>
      <c r="B2779" t="s">
        <v>18</v>
      </c>
      <c r="C2779" t="s">
        <v>55</v>
      </c>
      <c r="D2779" t="s">
        <v>64</v>
      </c>
      <c r="E2779" t="s">
        <v>2209</v>
      </c>
      <c r="F2779" t="s">
        <v>22</v>
      </c>
      <c r="G2779" t="s">
        <v>23</v>
      </c>
      <c r="H2779" t="s">
        <v>1763</v>
      </c>
      <c r="I2779" t="s">
        <v>25</v>
      </c>
      <c r="J2779" s="2">
        <v>45792.685428240737</v>
      </c>
      <c r="K2779">
        <v>15</v>
      </c>
      <c r="L2779">
        <v>5</v>
      </c>
      <c r="M2779">
        <v>2025</v>
      </c>
      <c r="N2779" t="s">
        <v>44</v>
      </c>
      <c r="O2779">
        <v>45</v>
      </c>
      <c r="P2779">
        <v>45</v>
      </c>
      <c r="R2779" s="3" t="str">
        <f>HYPERLINK("https://panda.att.com.mx/ODKServer/view/binaryData?blobKey=FSSuministroFluidosv3%5B%40version%3Dnull+and+%40uiVersion%3Dnull%5D%2Fdata%5B%40key%3Duuid%3A52ddea21-1fdb-4748-9953-84a358e8d173%5D%2FgroupInfoFuel%5B%40ordinal%3D1%5D%2FpicFuelRecibeInterno","Descargar")</f>
        <v>Descargar</v>
      </c>
    </row>
    <row r="2780" spans="1:18" x14ac:dyDescent="0.3">
      <c r="A2780">
        <v>1537027</v>
      </c>
      <c r="B2780" t="s">
        <v>18</v>
      </c>
      <c r="C2780" t="s">
        <v>19</v>
      </c>
      <c r="D2780" t="s">
        <v>45</v>
      </c>
      <c r="E2780" t="s">
        <v>1628</v>
      </c>
      <c r="F2780" t="s">
        <v>22</v>
      </c>
      <c r="G2780" t="s">
        <v>23</v>
      </c>
      <c r="H2780" t="s">
        <v>24</v>
      </c>
      <c r="I2780" t="s">
        <v>25</v>
      </c>
      <c r="J2780" s="2">
        <v>45785.609224537038</v>
      </c>
      <c r="K2780">
        <v>8</v>
      </c>
      <c r="L2780">
        <v>5</v>
      </c>
      <c r="M2780">
        <v>2025</v>
      </c>
      <c r="N2780" t="s">
        <v>27</v>
      </c>
      <c r="O2780">
        <v>200</v>
      </c>
      <c r="P2780">
        <v>200</v>
      </c>
      <c r="R2780" s="3" t="str">
        <f>HYPERLINK("https://panda.att.com.mx/ODKServer/view/binaryData?blobKey=FSSuministroFluidosv3%5B%40version%3Dnull+and+%40uiVersion%3Dnull%5D%2Fdata%5B%40key%3Duuid%3A35f38592-e339-4edd-b1ef-13bbcc68111d%5D%2FgroupInfoFuel%5B%40ordinal%3D1%5D%2FpicFuelRecibeInterno","Descargar")</f>
        <v>Descargar</v>
      </c>
    </row>
    <row r="2781" spans="1:18" x14ac:dyDescent="0.3">
      <c r="A2781">
        <v>1537010</v>
      </c>
      <c r="B2781" t="s">
        <v>18</v>
      </c>
      <c r="C2781" t="s">
        <v>100</v>
      </c>
      <c r="D2781" t="s">
        <v>101</v>
      </c>
      <c r="E2781" t="s">
        <v>126</v>
      </c>
      <c r="F2781" t="s">
        <v>22</v>
      </c>
      <c r="G2781" t="s">
        <v>83</v>
      </c>
      <c r="H2781" t="s">
        <v>1781</v>
      </c>
      <c r="I2781" t="s">
        <v>25</v>
      </c>
      <c r="J2781" s="2">
        <v>45792.563969907409</v>
      </c>
      <c r="K2781">
        <v>15</v>
      </c>
      <c r="L2781">
        <v>5</v>
      </c>
      <c r="M2781">
        <v>2025</v>
      </c>
      <c r="N2781" t="s">
        <v>27</v>
      </c>
      <c r="O2781">
        <v>300</v>
      </c>
      <c r="P2781">
        <v>300</v>
      </c>
      <c r="R2781" s="3" t="str">
        <f>HYPERLINK("https://panda.att.com.mx/ODKServer/view/binaryData?blobKey=FSSuministroFluidosv3%5B%40version%3Dnull+and+%40uiVersion%3Dnull%5D%2Fdata%5B%40key%3Duuid%3A360909ae-f27f-4d4d-a91f-3ea8ed377784%5D%2FgroupInfoFuel%5B%40ordinal%3D1%5D%2FpicFuelRecibeInterno","Descargar")</f>
        <v>Descargar</v>
      </c>
    </row>
    <row r="2782" spans="1:18" x14ac:dyDescent="0.3">
      <c r="A2782">
        <v>1536970</v>
      </c>
      <c r="B2782" t="s">
        <v>18</v>
      </c>
      <c r="C2782" t="s">
        <v>34</v>
      </c>
      <c r="D2782" t="s">
        <v>53</v>
      </c>
      <c r="E2782" t="s">
        <v>2221</v>
      </c>
      <c r="F2782" t="s">
        <v>22</v>
      </c>
      <c r="G2782" t="s">
        <v>23</v>
      </c>
      <c r="H2782" t="s">
        <v>37</v>
      </c>
      <c r="I2782" t="s">
        <v>25</v>
      </c>
      <c r="J2782" s="2">
        <v>45792.464282407411</v>
      </c>
      <c r="K2782">
        <v>15</v>
      </c>
      <c r="L2782">
        <v>5</v>
      </c>
      <c r="M2782">
        <v>2025</v>
      </c>
      <c r="N2782" t="s">
        <v>27</v>
      </c>
      <c r="O2782">
        <v>200</v>
      </c>
      <c r="P2782">
        <v>200</v>
      </c>
      <c r="R2782" s="3" t="str">
        <f>HYPERLINK("https://panda.att.com.mx/ODKServer/view/binaryData?blobKey=FSSuministroFluidosv3%5B%40version%3Dnull+and+%40uiVersion%3Dnull%5D%2Fdata%5B%40key%3Duuid%3A04270a41-b7b1-4b4a-a21f-1ba6d5ff9b48%5D%2FgroupInfoFuel%5B%40ordinal%3D1%5D%2FpicFuelRecibeInterno","Descargar")</f>
        <v>Descargar</v>
      </c>
    </row>
    <row r="2783" spans="1:18" x14ac:dyDescent="0.3">
      <c r="A2783">
        <v>1536950</v>
      </c>
      <c r="B2783" t="s">
        <v>18</v>
      </c>
      <c r="C2783" t="s">
        <v>100</v>
      </c>
      <c r="D2783" t="s">
        <v>101</v>
      </c>
      <c r="E2783" t="s">
        <v>2037</v>
      </c>
      <c r="F2783" t="s">
        <v>22</v>
      </c>
      <c r="G2783" t="s">
        <v>23</v>
      </c>
      <c r="H2783" t="s">
        <v>1781</v>
      </c>
      <c r="I2783" t="s">
        <v>25</v>
      </c>
      <c r="J2783" s="2">
        <v>45792.4768287037</v>
      </c>
      <c r="K2783">
        <v>15</v>
      </c>
      <c r="L2783">
        <v>5</v>
      </c>
      <c r="M2783">
        <v>2025</v>
      </c>
      <c r="N2783" t="s">
        <v>27</v>
      </c>
      <c r="O2783">
        <v>250</v>
      </c>
      <c r="P2783">
        <v>250</v>
      </c>
      <c r="R2783" s="3" t="str">
        <f>HYPERLINK("https://panda.att.com.mx/ODKServer/view/binaryData?blobKey=FSSuministroFluidosv3%5B%40version%3Dnull+and+%40uiVersion%3Dnull%5D%2Fdata%5B%40key%3Duuid%3Add158b6a-bc34-4883-bceb-d3ec446ad90c%5D%2FgroupInfoFuel%5B%40ordinal%3D1%5D%2FpicFuelRecibeInterno","Descargar")</f>
        <v>Descargar</v>
      </c>
    </row>
    <row r="2784" spans="1:18" x14ac:dyDescent="0.3">
      <c r="A2784">
        <v>1536901</v>
      </c>
      <c r="B2784" t="s">
        <v>18</v>
      </c>
      <c r="C2784" t="s">
        <v>19</v>
      </c>
      <c r="D2784" t="s">
        <v>62</v>
      </c>
      <c r="E2784" t="s">
        <v>2222</v>
      </c>
      <c r="F2784" t="s">
        <v>22</v>
      </c>
      <c r="G2784" t="s">
        <v>23</v>
      </c>
      <c r="H2784" t="s">
        <v>24</v>
      </c>
      <c r="I2784" t="s">
        <v>25</v>
      </c>
      <c r="J2784" s="2">
        <v>45792.411909722221</v>
      </c>
      <c r="K2784">
        <v>15</v>
      </c>
      <c r="L2784">
        <v>5</v>
      </c>
      <c r="M2784">
        <v>2025</v>
      </c>
      <c r="N2784" t="s">
        <v>27</v>
      </c>
      <c r="O2784">
        <v>160</v>
      </c>
      <c r="P2784">
        <v>160</v>
      </c>
      <c r="R2784" s="3" t="str">
        <f>HYPERLINK("https://panda.att.com.mx/ODKServer/view/binaryData?blobKey=FSSuministroFluidosv3%5B%40version%3Dnull+and+%40uiVersion%3Dnull%5D%2Fdata%5B%40key%3Duuid%3A0995f3b3-85a9-44e3-bf89-677da9e62ef5%5D%2FgroupInfoFuel%5B%40ordinal%3D1%5D%2FpicFuelRecibeInterno","Descargar")</f>
        <v>Descargar</v>
      </c>
    </row>
    <row r="2785" spans="1:18" x14ac:dyDescent="0.3">
      <c r="A2785">
        <v>1536847</v>
      </c>
      <c r="B2785" t="s">
        <v>18</v>
      </c>
      <c r="C2785" t="s">
        <v>19</v>
      </c>
      <c r="D2785" t="s">
        <v>62</v>
      </c>
      <c r="E2785" t="s">
        <v>2222</v>
      </c>
      <c r="F2785" t="s">
        <v>22</v>
      </c>
      <c r="G2785" t="s">
        <v>23</v>
      </c>
      <c r="H2785" t="s">
        <v>24</v>
      </c>
      <c r="I2785" t="s">
        <v>25</v>
      </c>
      <c r="J2785" s="2">
        <v>45792.404456018521</v>
      </c>
      <c r="K2785">
        <v>15</v>
      </c>
      <c r="L2785">
        <v>5</v>
      </c>
      <c r="M2785">
        <v>2025</v>
      </c>
      <c r="N2785" t="s">
        <v>27</v>
      </c>
      <c r="O2785">
        <v>100</v>
      </c>
      <c r="P2785">
        <v>100</v>
      </c>
      <c r="R2785" s="3" t="str">
        <f>HYPERLINK("https://panda.att.com.mx/ODKServer/view/binaryData?blobKey=FSSuministroFluidosv3%5B%40version%3Dnull+and+%40uiVersion%3Dnull%5D%2Fdata%5B%40key%3Duuid%3A22b406d3-e6b6-49a3-9509-7b15e5264b40%5D%2FgroupInfoFuel%5B%40ordinal%3D1%5D%2FpicFuelRecibeInterno","Descargar")</f>
        <v>Descargar</v>
      </c>
    </row>
    <row r="2786" spans="1:18" x14ac:dyDescent="0.3">
      <c r="A2786">
        <v>1536804</v>
      </c>
      <c r="B2786" t="s">
        <v>18</v>
      </c>
      <c r="C2786" t="s">
        <v>150</v>
      </c>
      <c r="D2786" t="s">
        <v>151</v>
      </c>
      <c r="E2786" t="s">
        <v>2220</v>
      </c>
      <c r="F2786" t="s">
        <v>22</v>
      </c>
      <c r="G2786" t="s">
        <v>23</v>
      </c>
      <c r="H2786" t="s">
        <v>1781</v>
      </c>
      <c r="I2786" t="s">
        <v>25</v>
      </c>
      <c r="J2786" s="2">
        <v>45792.439293981479</v>
      </c>
      <c r="K2786">
        <v>15</v>
      </c>
      <c r="L2786">
        <v>5</v>
      </c>
      <c r="M2786">
        <v>2025</v>
      </c>
      <c r="N2786" t="s">
        <v>27</v>
      </c>
      <c r="O2786">
        <v>100</v>
      </c>
      <c r="P2786">
        <v>100</v>
      </c>
      <c r="R2786" s="3" t="str">
        <f>HYPERLINK("https://panda.att.com.mx/ODKServer/view/binaryData?blobKey=FSSuministroFluidosv3%5B%40version%3Dnull+and+%40uiVersion%3Dnull%5D%2Fdata%5B%40key%3Duuid%3A63c07dbe-5e5f-49d4-9fb1-f799d26279b8%5D%2FgroupInfoFuel%5B%40ordinal%3D1%5D%2FpicFuelRecibeInterno","Descargar")</f>
        <v>Descargar</v>
      </c>
    </row>
    <row r="2787" spans="1:18" x14ac:dyDescent="0.3">
      <c r="A2787">
        <v>1536803</v>
      </c>
      <c r="B2787" t="s">
        <v>18</v>
      </c>
      <c r="C2787" t="s">
        <v>59</v>
      </c>
      <c r="D2787" t="s">
        <v>1242</v>
      </c>
      <c r="E2787" t="s">
        <v>2223</v>
      </c>
      <c r="F2787" t="s">
        <v>22</v>
      </c>
      <c r="G2787" t="s">
        <v>23</v>
      </c>
      <c r="H2787" t="s">
        <v>1816</v>
      </c>
      <c r="I2787" t="s">
        <v>25</v>
      </c>
      <c r="J2787" s="2">
        <v>45792.335405092592</v>
      </c>
      <c r="K2787">
        <v>15</v>
      </c>
      <c r="L2787">
        <v>5</v>
      </c>
      <c r="M2787">
        <v>2025</v>
      </c>
      <c r="N2787" t="s">
        <v>44</v>
      </c>
      <c r="O2787">
        <v>40</v>
      </c>
      <c r="P2787">
        <v>40</v>
      </c>
      <c r="R2787" s="3" t="str">
        <f>HYPERLINK("https://panda.att.com.mx/ODKServer/view/binaryData?blobKey=FSSuministroFluidosv3%5B%40version%3Dnull+and+%40uiVersion%3Dnull%5D%2Fdata%5B%40key%3Duuid%3A8ff1b7b4-3578-4042-bb55-b48e1fefae56%5D%2FgroupInfoFuel%5B%40ordinal%3D1%5D%2FpicFuelRecibeInterno","Descargar")</f>
        <v>Descargar</v>
      </c>
    </row>
    <row r="2788" spans="1:18" x14ac:dyDescent="0.3">
      <c r="A2788">
        <v>1536795</v>
      </c>
      <c r="B2788" t="s">
        <v>18</v>
      </c>
      <c r="C2788" t="s">
        <v>150</v>
      </c>
      <c r="D2788" t="s">
        <v>230</v>
      </c>
      <c r="E2788" t="s">
        <v>1510</v>
      </c>
      <c r="F2788" t="s">
        <v>22</v>
      </c>
      <c r="G2788" t="s">
        <v>23</v>
      </c>
      <c r="H2788" t="s">
        <v>1781</v>
      </c>
      <c r="I2788" t="s">
        <v>25</v>
      </c>
      <c r="J2788" s="2">
        <v>45792.434421296297</v>
      </c>
      <c r="K2788">
        <v>15</v>
      </c>
      <c r="L2788">
        <v>5</v>
      </c>
      <c r="M2788">
        <v>2025</v>
      </c>
      <c r="N2788" t="s">
        <v>27</v>
      </c>
      <c r="O2788">
        <v>250.03</v>
      </c>
      <c r="P2788">
        <v>250.03</v>
      </c>
      <c r="R2788" s="3" t="str">
        <f>HYPERLINK("https://panda.att.com.mx/ODKServer/view/binaryData?blobKey=FSSuministroFluidosv3%5B%40version%3Dnull+and+%40uiVersion%3Dnull%5D%2Fdata%5B%40key%3Duuid%3A9c19d630-be84-40a2-9f67-f1b1544330f6%5D%2FgroupInfoFuel%5B%40ordinal%3D1%5D%2FpicFuelRecibeInterno","Descargar")</f>
        <v>Descargar</v>
      </c>
    </row>
    <row r="2789" spans="1:18" x14ac:dyDescent="0.3">
      <c r="A2789">
        <v>1536779</v>
      </c>
      <c r="B2789" t="s">
        <v>18</v>
      </c>
      <c r="C2789" t="s">
        <v>167</v>
      </c>
      <c r="D2789" t="s">
        <v>264</v>
      </c>
      <c r="E2789" t="s">
        <v>2183</v>
      </c>
      <c r="G2789" t="s">
        <v>23</v>
      </c>
      <c r="H2789" t="s">
        <v>58</v>
      </c>
      <c r="I2789" t="s">
        <v>25</v>
      </c>
      <c r="J2789" s="2">
        <v>45791.463229166657</v>
      </c>
      <c r="K2789">
        <v>14</v>
      </c>
      <c r="L2789">
        <v>5</v>
      </c>
      <c r="M2789">
        <v>2025</v>
      </c>
      <c r="N2789" t="s">
        <v>27</v>
      </c>
      <c r="O2789">
        <v>450</v>
      </c>
      <c r="P2789">
        <v>450</v>
      </c>
      <c r="R2789" s="3" t="str">
        <f>HYPERLINK("https://panda.att.com.mx/ODKServer/view/binaryData?blobKey=FSSuministroFluidosv3%5B%40version%3Dnull+and+%40uiVersion%3Dnull%5D%2Fdata%5B%40key%3Duuid%3Ab356ae2a-99a5-49f2-b7e4-fc85a79ae266%5D%2FgroupInfoFuel%5B%40ordinal%3D1%5D%2FpicFuelRecibeInterno","Descargar")</f>
        <v>Descargar</v>
      </c>
    </row>
    <row r="2790" spans="1:18" x14ac:dyDescent="0.3">
      <c r="A2790">
        <v>1536763</v>
      </c>
      <c r="B2790" t="s">
        <v>18</v>
      </c>
      <c r="C2790" t="s">
        <v>167</v>
      </c>
      <c r="D2790" t="s">
        <v>264</v>
      </c>
      <c r="E2790" t="s">
        <v>1633</v>
      </c>
      <c r="F2790" t="s">
        <v>22</v>
      </c>
      <c r="G2790" t="s">
        <v>23</v>
      </c>
      <c r="H2790" t="s">
        <v>58</v>
      </c>
      <c r="I2790" t="s">
        <v>25</v>
      </c>
      <c r="J2790" s="2">
        <v>45790.684374999997</v>
      </c>
      <c r="K2790">
        <v>13</v>
      </c>
      <c r="L2790">
        <v>5</v>
      </c>
      <c r="M2790">
        <v>2025</v>
      </c>
      <c r="N2790" t="s">
        <v>27</v>
      </c>
      <c r="O2790">
        <v>250</v>
      </c>
      <c r="P2790">
        <v>250</v>
      </c>
      <c r="R2790" s="3" t="str">
        <f>HYPERLINK("https://panda.att.com.mx/ODKServer/view/binaryData?blobKey=FSSuministroFluidosv3%5B%40version%3Dnull+and+%40uiVersion%3Dnull%5D%2Fdata%5B%40key%3Duuid%3A39e79efb-fbe8-4926-afac-30caf8288bc9%5D%2FgroupInfoFuel%5B%40ordinal%3D1%5D%2FpicFuelRecibeInterno","Descargar")</f>
        <v>Descargar</v>
      </c>
    </row>
    <row r="2791" spans="1:18" x14ac:dyDescent="0.3">
      <c r="A2791">
        <v>1536741</v>
      </c>
      <c r="B2791" t="s">
        <v>18</v>
      </c>
      <c r="C2791" t="s">
        <v>150</v>
      </c>
      <c r="D2791" t="s">
        <v>2224</v>
      </c>
      <c r="E2791" t="s">
        <v>2225</v>
      </c>
      <c r="F2791" t="s">
        <v>22</v>
      </c>
      <c r="G2791" t="s">
        <v>23</v>
      </c>
      <c r="H2791" t="s">
        <v>1781</v>
      </c>
      <c r="I2791" t="s">
        <v>25</v>
      </c>
      <c r="J2791" s="2">
        <v>45792.319918981477</v>
      </c>
      <c r="K2791">
        <v>15</v>
      </c>
      <c r="L2791">
        <v>5</v>
      </c>
      <c r="M2791">
        <v>2025</v>
      </c>
      <c r="N2791" t="s">
        <v>27</v>
      </c>
      <c r="O2791">
        <v>150.04</v>
      </c>
      <c r="P2791">
        <v>150.04</v>
      </c>
      <c r="R2791" s="3" t="str">
        <f>HYPERLINK("https://panda.att.com.mx/ODKServer/view/binaryData?blobKey=FSSuministroFluidosv3%5B%40version%3Dnull+and+%40uiVersion%3Dnull%5D%2Fdata%5B%40key%3Duuid%3A74b4c20a-6335-4d98-a2a1-17faa0ec1f43%5D%2FgroupInfoFuel%5B%40ordinal%3D1%5D%2FpicFuelRecibeInterno","Descargar")</f>
        <v>Descargar</v>
      </c>
    </row>
    <row r="2792" spans="1:18" x14ac:dyDescent="0.3">
      <c r="A2792">
        <v>1536724</v>
      </c>
      <c r="B2792" t="s">
        <v>18</v>
      </c>
      <c r="C2792" t="s">
        <v>55</v>
      </c>
      <c r="D2792" t="s">
        <v>64</v>
      </c>
      <c r="E2792" t="s">
        <v>2209</v>
      </c>
      <c r="F2792" t="s">
        <v>22</v>
      </c>
      <c r="G2792" t="s">
        <v>23</v>
      </c>
      <c r="H2792" t="s">
        <v>1763</v>
      </c>
      <c r="I2792" t="s">
        <v>25</v>
      </c>
      <c r="J2792" s="2">
        <v>45792.323229166657</v>
      </c>
      <c r="K2792">
        <v>15</v>
      </c>
      <c r="L2792">
        <v>5</v>
      </c>
      <c r="M2792">
        <v>2025</v>
      </c>
      <c r="N2792" t="s">
        <v>44</v>
      </c>
      <c r="O2792">
        <v>45</v>
      </c>
      <c r="P2792">
        <v>45</v>
      </c>
      <c r="R2792" s="3" t="str">
        <f>HYPERLINK("https://panda.att.com.mx/ODKServer/view/binaryData?blobKey=FSSuministroFluidosv3%5B%40version%3Dnull+and+%40uiVersion%3Dnull%5D%2Fdata%5B%40key%3Duuid%3A8d2014a8-c1d6-4fde-bcb1-0a77bdd42bab%5D%2FgroupInfoFuel%5B%40ordinal%3D1%5D%2FpicFuelRecibeInterno","Descargar")</f>
        <v>Descargar</v>
      </c>
    </row>
    <row r="2793" spans="1:18" x14ac:dyDescent="0.3">
      <c r="A2793">
        <v>1536714</v>
      </c>
      <c r="B2793" t="s">
        <v>18</v>
      </c>
      <c r="C2793" t="s">
        <v>55</v>
      </c>
      <c r="D2793" t="s">
        <v>64</v>
      </c>
      <c r="E2793" t="s">
        <v>2209</v>
      </c>
      <c r="F2793" t="s">
        <v>22</v>
      </c>
      <c r="G2793" t="s">
        <v>23</v>
      </c>
      <c r="H2793" t="s">
        <v>1763</v>
      </c>
      <c r="I2793" t="s">
        <v>25</v>
      </c>
      <c r="J2793" s="2">
        <v>45791.675995370373</v>
      </c>
      <c r="K2793">
        <v>14</v>
      </c>
      <c r="L2793">
        <v>5</v>
      </c>
      <c r="M2793">
        <v>2025</v>
      </c>
      <c r="N2793" t="s">
        <v>44</v>
      </c>
      <c r="O2793">
        <v>45</v>
      </c>
      <c r="P2793">
        <v>45</v>
      </c>
      <c r="R2793" s="3" t="str">
        <f>HYPERLINK("https://panda.att.com.mx/ODKServer/view/binaryData?blobKey=FSSuministroFluidosv3%5B%40version%3Dnull+and+%40uiVersion%3Dnull%5D%2Fdata%5B%40key%3Duuid%3Af72912c4-884c-49f1-a490-2340c26129d4%5D%2FgroupInfoFuel%5B%40ordinal%3D1%5D%2FpicFuelRecibeInterno","Descargar")</f>
        <v>Descargar</v>
      </c>
    </row>
    <row r="2794" spans="1:18" x14ac:dyDescent="0.3">
      <c r="A2794">
        <v>1536591</v>
      </c>
      <c r="B2794" t="s">
        <v>18</v>
      </c>
      <c r="C2794" t="s">
        <v>34</v>
      </c>
      <c r="D2794" t="s">
        <v>972</v>
      </c>
      <c r="E2794" t="s">
        <v>2226</v>
      </c>
      <c r="F2794" t="s">
        <v>22</v>
      </c>
      <c r="G2794" t="s">
        <v>23</v>
      </c>
      <c r="H2794" t="s">
        <v>37</v>
      </c>
      <c r="I2794" t="s">
        <v>25</v>
      </c>
      <c r="J2794" s="2">
        <v>45791.889305555553</v>
      </c>
      <c r="K2794">
        <v>14</v>
      </c>
      <c r="L2794">
        <v>5</v>
      </c>
      <c r="M2794">
        <v>2025</v>
      </c>
      <c r="N2794" t="s">
        <v>27</v>
      </c>
      <c r="O2794">
        <v>200</v>
      </c>
      <c r="P2794">
        <v>200</v>
      </c>
      <c r="R2794" s="3" t="str">
        <f>HYPERLINK("https://panda.att.com.mx/ODKServer/view/binaryData?blobKey=FSSuministroFluidosv3%5B%40version%3Dnull+and+%40uiVersion%3Dnull%5D%2Fdata%5B%40key%3Duuid%3Ac2399bdf-f861-4977-a1de-779b8951add6%5D%2FgroupInfoFuel%5B%40ordinal%3D1%5D%2FpicFuelRecibeInterno","Descargar")</f>
        <v>Descargar</v>
      </c>
    </row>
    <row r="2795" spans="1:18" x14ac:dyDescent="0.3">
      <c r="A2795">
        <v>1536587</v>
      </c>
      <c r="B2795" t="s">
        <v>18</v>
      </c>
      <c r="C2795" t="s">
        <v>28</v>
      </c>
      <c r="D2795" t="s">
        <v>1484</v>
      </c>
      <c r="E2795" t="s">
        <v>1485</v>
      </c>
      <c r="F2795" t="s">
        <v>22</v>
      </c>
      <c r="G2795" t="s">
        <v>23</v>
      </c>
      <c r="H2795" t="s">
        <v>24</v>
      </c>
      <c r="I2795" t="s">
        <v>25</v>
      </c>
      <c r="J2795" s="2">
        <v>45789.77375</v>
      </c>
      <c r="K2795">
        <v>12</v>
      </c>
      <c r="L2795">
        <v>5</v>
      </c>
      <c r="M2795">
        <v>2025</v>
      </c>
      <c r="N2795" t="s">
        <v>27</v>
      </c>
      <c r="O2795">
        <v>300</v>
      </c>
      <c r="P2795">
        <v>300</v>
      </c>
      <c r="R2795" s="3" t="str">
        <f>HYPERLINK("https://panda.att.com.mx/ODKServer/view/binaryData?blobKey=FSSuministroFluidosv3%5B%40version%3Dnull+and+%40uiVersion%3Dnull%5D%2Fdata%5B%40key%3Duuid%3Ad23e346b-e950-430e-90e2-8ad21ce8464d%5D%2FgroupInfoFuel%5B%40ordinal%3D1%5D%2FpicFuelRecibeInterno","Descargar")</f>
        <v>Descargar</v>
      </c>
    </row>
    <row r="2796" spans="1:18" x14ac:dyDescent="0.3">
      <c r="A2796">
        <v>1536576</v>
      </c>
      <c r="B2796" t="s">
        <v>18</v>
      </c>
      <c r="C2796" t="s">
        <v>34</v>
      </c>
      <c r="D2796" t="s">
        <v>53</v>
      </c>
      <c r="E2796" t="s">
        <v>1979</v>
      </c>
      <c r="F2796" t="s">
        <v>22</v>
      </c>
      <c r="G2796" t="s">
        <v>23</v>
      </c>
      <c r="H2796" t="s">
        <v>37</v>
      </c>
      <c r="I2796" t="s">
        <v>25</v>
      </c>
      <c r="J2796" s="2">
        <v>45791.859201388892</v>
      </c>
      <c r="K2796">
        <v>14</v>
      </c>
      <c r="L2796">
        <v>5</v>
      </c>
      <c r="M2796">
        <v>2025</v>
      </c>
      <c r="N2796" t="s">
        <v>27</v>
      </c>
      <c r="O2796">
        <v>350</v>
      </c>
      <c r="P2796">
        <v>350</v>
      </c>
      <c r="R2796" s="3" t="str">
        <f>HYPERLINK("https://panda.att.com.mx/ODKServer/view/binaryData?blobKey=FSSuministroFluidosv3%5B%40version%3Dnull+and+%40uiVersion%3Dnull%5D%2Fdata%5B%40key%3Duuid%3A04088065-bb19-4d3a-bc09-4f66c26d7b28%5D%2FgroupInfoFuel%5B%40ordinal%3D1%5D%2FpicFuelRecibeInterno","Descargar")</f>
        <v>Descargar</v>
      </c>
    </row>
    <row r="2797" spans="1:18" x14ac:dyDescent="0.3">
      <c r="A2797">
        <v>1536560</v>
      </c>
      <c r="B2797" t="s">
        <v>18</v>
      </c>
      <c r="C2797" t="s">
        <v>34</v>
      </c>
      <c r="D2797" t="s">
        <v>53</v>
      </c>
      <c r="E2797" t="s">
        <v>2227</v>
      </c>
      <c r="F2797" t="s">
        <v>22</v>
      </c>
      <c r="G2797" t="s">
        <v>23</v>
      </c>
      <c r="H2797" t="s">
        <v>37</v>
      </c>
      <c r="I2797" t="s">
        <v>25</v>
      </c>
      <c r="J2797" s="2">
        <v>45791.858078703714</v>
      </c>
      <c r="K2797">
        <v>14</v>
      </c>
      <c r="L2797">
        <v>5</v>
      </c>
      <c r="M2797">
        <v>2025</v>
      </c>
      <c r="N2797" t="s">
        <v>27</v>
      </c>
      <c r="O2797">
        <v>400</v>
      </c>
      <c r="Q2797">
        <v>400</v>
      </c>
      <c r="R2797" s="3" t="str">
        <f>HYPERLINK("https://panda.att.com.mx/ODKServer/view/binaryData?blobKey=FSSuministroFluidosv3%5B%40version%3Dnull+and+%40uiVersion%3Dnull%5D%2Fdata%5B%40key%3Duuid%3A758033dc-728a-41e8-9803-81d6d532c650%5D%2FgroupInfoFuel%5B%40ordinal%3D1%5D%2FpicFuelRecibeInterno","Descargar")</f>
        <v>Descargar</v>
      </c>
    </row>
    <row r="2798" spans="1:18" x14ac:dyDescent="0.3">
      <c r="A2798">
        <v>1536503</v>
      </c>
      <c r="B2798" t="s">
        <v>18</v>
      </c>
      <c r="C2798" t="s">
        <v>34</v>
      </c>
      <c r="D2798" t="s">
        <v>53</v>
      </c>
      <c r="E2798" t="s">
        <v>144</v>
      </c>
      <c r="F2798" t="s">
        <v>22</v>
      </c>
      <c r="G2798" t="s">
        <v>23</v>
      </c>
      <c r="H2798" t="s">
        <v>37</v>
      </c>
      <c r="I2798" t="s">
        <v>25</v>
      </c>
      <c r="J2798" s="2">
        <v>45791.774826388893</v>
      </c>
      <c r="K2798">
        <v>14</v>
      </c>
      <c r="L2798">
        <v>5</v>
      </c>
      <c r="M2798">
        <v>2025</v>
      </c>
      <c r="N2798" t="s">
        <v>27</v>
      </c>
      <c r="O2798">
        <v>350</v>
      </c>
      <c r="P2798">
        <v>350</v>
      </c>
      <c r="R2798" s="3" t="str">
        <f>HYPERLINK("https://panda.att.com.mx/ODKServer/view/binaryData?blobKey=FSSuministroFluidosv3%5B%40version%3Dnull+and+%40uiVersion%3Dnull%5D%2Fdata%5B%40key%3Duuid%3A12de0d59-5c9e-4fcd-98f2-3033131f3f48%5D%2FgroupInfoFuel%5B%40ordinal%3D1%5D%2FpicFuelRecibeInterno","Descargar")</f>
        <v>Descargar</v>
      </c>
    </row>
    <row r="2799" spans="1:18" x14ac:dyDescent="0.3">
      <c r="A2799">
        <v>1536404</v>
      </c>
      <c r="B2799" t="s">
        <v>18</v>
      </c>
      <c r="C2799" t="s">
        <v>19</v>
      </c>
      <c r="D2799" t="s">
        <v>42</v>
      </c>
      <c r="E2799" t="s">
        <v>2228</v>
      </c>
      <c r="F2799" t="s">
        <v>22</v>
      </c>
      <c r="G2799" t="s">
        <v>23</v>
      </c>
      <c r="H2799" t="s">
        <v>24</v>
      </c>
      <c r="I2799" t="s">
        <v>25</v>
      </c>
      <c r="J2799" s="2">
        <v>45791.602442129632</v>
      </c>
      <c r="K2799">
        <v>14</v>
      </c>
      <c r="L2799">
        <v>5</v>
      </c>
      <c r="M2799">
        <v>2025</v>
      </c>
      <c r="N2799" t="s">
        <v>27</v>
      </c>
      <c r="O2799">
        <v>150</v>
      </c>
      <c r="P2799">
        <v>150</v>
      </c>
      <c r="R2799" s="3" t="str">
        <f>HYPERLINK("https://panda.att.com.mx/ODKServer/view/binaryData?blobKey=FSSuministroFluidosv3%5B%40version%3Dnull+and+%40uiVersion%3Dnull%5D%2Fdata%5B%40key%3Duuid%3Acb64ab6c-6f44-4463-94a9-b3d518aee39d%5D%2FgroupInfoFuel%5B%40ordinal%3D1%5D%2FpicFuelRecibeInterno","Descargar")</f>
        <v>Descargar</v>
      </c>
    </row>
    <row r="2800" spans="1:18" x14ac:dyDescent="0.3">
      <c r="A2800">
        <v>1536403</v>
      </c>
      <c r="B2800" t="s">
        <v>18</v>
      </c>
      <c r="C2800" t="s">
        <v>19</v>
      </c>
      <c r="D2800" t="s">
        <v>42</v>
      </c>
      <c r="E2800" t="s">
        <v>1563</v>
      </c>
      <c r="F2800" t="s">
        <v>22</v>
      </c>
      <c r="G2800" t="s">
        <v>23</v>
      </c>
      <c r="H2800" t="s">
        <v>24</v>
      </c>
      <c r="I2800" t="s">
        <v>25</v>
      </c>
      <c r="J2800" s="2">
        <v>45791.692847222221</v>
      </c>
      <c r="K2800">
        <v>14</v>
      </c>
      <c r="L2800">
        <v>5</v>
      </c>
      <c r="M2800">
        <v>2025</v>
      </c>
      <c r="N2800" t="s">
        <v>44</v>
      </c>
      <c r="O2800">
        <v>150</v>
      </c>
      <c r="P2800">
        <v>150</v>
      </c>
      <c r="R2800" s="3" t="str">
        <f>HYPERLINK("https://panda.att.com.mx/ODKServer/view/binaryData?blobKey=FSSuministroFluidosv3%5B%40version%3Dnull+and+%40uiVersion%3Dnull%5D%2Fdata%5B%40key%3Duuid%3A94c719fb-438c-402d-affe-2d806ee4a692%5D%2FgroupInfoFuel%5B%40ordinal%3D1%5D%2FpicFuelRecibeInterno","Descargar")</f>
        <v>Descargar</v>
      </c>
    </row>
    <row r="2801" spans="1:18" x14ac:dyDescent="0.3">
      <c r="A2801">
        <v>1536402</v>
      </c>
      <c r="B2801" t="s">
        <v>18</v>
      </c>
      <c r="C2801" t="s">
        <v>19</v>
      </c>
      <c r="D2801" t="s">
        <v>42</v>
      </c>
      <c r="E2801" t="s">
        <v>43</v>
      </c>
      <c r="F2801" t="s">
        <v>22</v>
      </c>
      <c r="G2801" t="s">
        <v>23</v>
      </c>
      <c r="H2801" t="s">
        <v>24</v>
      </c>
      <c r="I2801" t="s">
        <v>25</v>
      </c>
      <c r="J2801" s="2">
        <v>45791.418946759259</v>
      </c>
      <c r="K2801">
        <v>14</v>
      </c>
      <c r="L2801">
        <v>5</v>
      </c>
      <c r="M2801">
        <v>2025</v>
      </c>
      <c r="N2801" t="s">
        <v>27</v>
      </c>
      <c r="O2801">
        <v>130</v>
      </c>
      <c r="P2801">
        <v>130</v>
      </c>
      <c r="R2801" s="3" t="str">
        <f>HYPERLINK("https://panda.att.com.mx/ODKServer/view/binaryData?blobKey=FSSuministroFluidosv3%5B%40version%3Dnull+and+%40uiVersion%3Dnull%5D%2Fdata%5B%40key%3Duuid%3Ad779fe13-d9b5-4feb-8152-c9c12eb027de%5D%2FgroupInfoFuel%5B%40ordinal%3D1%5D%2FpicFuelRecibeInterno","Descargar")</f>
        <v>Descargar</v>
      </c>
    </row>
    <row r="2802" spans="1:18" x14ac:dyDescent="0.3">
      <c r="A2802">
        <v>1535495</v>
      </c>
      <c r="B2802" t="s">
        <v>18</v>
      </c>
      <c r="C2802" t="s">
        <v>19</v>
      </c>
      <c r="D2802" t="s">
        <v>198</v>
      </c>
      <c r="E2802" t="s">
        <v>199</v>
      </c>
      <c r="F2802" t="s">
        <v>22</v>
      </c>
      <c r="G2802" t="s">
        <v>23</v>
      </c>
      <c r="H2802" t="s">
        <v>24</v>
      </c>
      <c r="I2802" t="s">
        <v>25</v>
      </c>
      <c r="J2802" s="2">
        <v>45790.682951388888</v>
      </c>
      <c r="K2802">
        <v>13</v>
      </c>
      <c r="L2802">
        <v>5</v>
      </c>
      <c r="M2802">
        <v>2025</v>
      </c>
      <c r="N2802" t="s">
        <v>27</v>
      </c>
      <c r="O2802">
        <v>155</v>
      </c>
      <c r="P2802">
        <v>155</v>
      </c>
      <c r="R2802" s="3" t="str">
        <f>HYPERLINK("https://panda.att.com.mx/ODKServer/view/binaryData?blobKey=FSSuministroFluidosv3%5B%40version%3Dnull+and+%40uiVersion%3Dnull%5D%2Fdata%5B%40key%3Duuid%3A424c0e4d-8ed8-4f79-ad90-f26ecd364c36%5D%2FgroupInfoFuel%5B%40ordinal%3D1%5D%2FpicFuelRecibeInterno","Descargar")</f>
        <v>Descargar</v>
      </c>
    </row>
    <row r="2803" spans="1:18" x14ac:dyDescent="0.3">
      <c r="A2803">
        <v>1535494</v>
      </c>
      <c r="B2803" t="s">
        <v>18</v>
      </c>
      <c r="C2803" t="s">
        <v>183</v>
      </c>
      <c r="D2803" t="s">
        <v>305</v>
      </c>
      <c r="E2803" t="s">
        <v>1879</v>
      </c>
      <c r="F2803" t="s">
        <v>22</v>
      </c>
      <c r="G2803" t="s">
        <v>23</v>
      </c>
      <c r="H2803" t="s">
        <v>24</v>
      </c>
      <c r="I2803" t="s">
        <v>25</v>
      </c>
      <c r="J2803" s="2">
        <v>45788.583587962959</v>
      </c>
      <c r="K2803">
        <v>11</v>
      </c>
      <c r="L2803">
        <v>5</v>
      </c>
      <c r="M2803">
        <v>2025</v>
      </c>
      <c r="N2803" t="s">
        <v>44</v>
      </c>
      <c r="O2803">
        <v>29</v>
      </c>
      <c r="P2803">
        <v>29</v>
      </c>
      <c r="R2803" s="3" t="str">
        <f>HYPERLINK("https://panda.att.com.mx/ODKServer/view/binaryData?blobKey=FSSuministroFluidosv3%5B%40version%3Dnull+and+%40uiVersion%3Dnull%5D%2Fdata%5B%40key%3Duuid%3A2e9ab7b1-7f84-46c0-b2e9-b6192a5078ac%5D%2FgroupInfoFuel%5B%40ordinal%3D1%5D%2FpicFuelRecibeInterno","Descargar")</f>
        <v>Descargar</v>
      </c>
    </row>
    <row r="2804" spans="1:18" x14ac:dyDescent="0.3">
      <c r="A2804">
        <v>1535487</v>
      </c>
      <c r="B2804" t="s">
        <v>18</v>
      </c>
      <c r="C2804" t="s">
        <v>19</v>
      </c>
      <c r="D2804" t="s">
        <v>198</v>
      </c>
      <c r="E2804" t="s">
        <v>199</v>
      </c>
      <c r="F2804" t="s">
        <v>22</v>
      </c>
      <c r="G2804" t="s">
        <v>23</v>
      </c>
      <c r="H2804" t="s">
        <v>24</v>
      </c>
      <c r="I2804" t="s">
        <v>25</v>
      </c>
      <c r="J2804" s="2">
        <v>45787.752685185187</v>
      </c>
      <c r="K2804">
        <v>10</v>
      </c>
      <c r="L2804">
        <v>5</v>
      </c>
      <c r="M2804">
        <v>2025</v>
      </c>
      <c r="N2804" t="s">
        <v>27</v>
      </c>
      <c r="O2804">
        <v>150</v>
      </c>
      <c r="P2804">
        <v>150</v>
      </c>
      <c r="R2804" s="3" t="str">
        <f>HYPERLINK("https://panda.att.com.mx/ODKServer/view/binaryData?blobKey=FSSuministroFluidosv3%5B%40version%3Dnull+and+%40uiVersion%3Dnull%5D%2Fdata%5B%40key%3Duuid%3A7c1bf609-52b7-41fe-99eb-c45fa0670bab%5D%2FgroupInfoFuel%5B%40ordinal%3D1%5D%2FpicFuelRecibeInterno","Descargar")</f>
        <v>Descargar</v>
      </c>
    </row>
    <row r="2805" spans="1:18" x14ac:dyDescent="0.3">
      <c r="A2805">
        <v>1535477</v>
      </c>
      <c r="B2805" t="s">
        <v>18</v>
      </c>
      <c r="C2805" t="s">
        <v>28</v>
      </c>
      <c r="D2805" t="s">
        <v>467</v>
      </c>
      <c r="E2805" t="s">
        <v>944</v>
      </c>
      <c r="F2805" t="s">
        <v>22</v>
      </c>
      <c r="G2805" t="s">
        <v>23</v>
      </c>
      <c r="H2805" t="s">
        <v>24</v>
      </c>
      <c r="I2805" t="s">
        <v>25</v>
      </c>
      <c r="J2805" s="2">
        <v>45790.380416666667</v>
      </c>
      <c r="K2805">
        <v>13</v>
      </c>
      <c r="L2805">
        <v>5</v>
      </c>
      <c r="M2805">
        <v>2025</v>
      </c>
      <c r="N2805" t="s">
        <v>27</v>
      </c>
      <c r="O2805">
        <v>400</v>
      </c>
      <c r="P2805">
        <v>400</v>
      </c>
      <c r="R2805" s="3" t="str">
        <f>HYPERLINK("https://panda.att.com.mx/ODKServer/view/binaryData?blobKey=FSSuministroFluidosv3%5B%40version%3Dnull+and+%40uiVersion%3Dnull%5D%2Fdata%5B%40key%3Duuid%3Afec0ae99-6aa7-457a-aa9b-1eceb516673c%5D%2FgroupInfoFuel%5B%40ordinal%3D1%5D%2FpicFuelRecibeInterno","Descargar")</f>
        <v>Descargar</v>
      </c>
    </row>
    <row r="2806" spans="1:18" x14ac:dyDescent="0.3">
      <c r="A2806">
        <v>1535458</v>
      </c>
      <c r="B2806" t="s">
        <v>18</v>
      </c>
      <c r="C2806" t="s">
        <v>28</v>
      </c>
      <c r="D2806" t="s">
        <v>1642</v>
      </c>
      <c r="E2806" t="s">
        <v>2229</v>
      </c>
      <c r="F2806" t="s">
        <v>22</v>
      </c>
      <c r="G2806" t="s">
        <v>23</v>
      </c>
      <c r="H2806" t="s">
        <v>24</v>
      </c>
      <c r="I2806" t="s">
        <v>25</v>
      </c>
      <c r="J2806" s="2">
        <v>45790.558391203696</v>
      </c>
      <c r="K2806">
        <v>13</v>
      </c>
      <c r="L2806">
        <v>5</v>
      </c>
      <c r="M2806">
        <v>2025</v>
      </c>
      <c r="N2806" t="s">
        <v>27</v>
      </c>
      <c r="O2806">
        <v>300</v>
      </c>
      <c r="P2806">
        <v>300</v>
      </c>
      <c r="R2806" s="3" t="str">
        <f>HYPERLINK("https://panda.att.com.mx/ODKServer/view/binaryData?blobKey=FSSuministroFluidosv3%5B%40version%3Dnull+and+%40uiVersion%3Dnull%5D%2Fdata%5B%40key%3Duuid%3A04b29604-bb7e-4318-b03d-353118d6e0f7%5D%2FgroupInfoFuel%5B%40ordinal%3D1%5D%2FpicFuelRecibeInterno","Descargar")</f>
        <v>Descargar</v>
      </c>
    </row>
    <row r="2807" spans="1:18" x14ac:dyDescent="0.3">
      <c r="A2807">
        <v>1535457</v>
      </c>
      <c r="B2807" t="s">
        <v>18</v>
      </c>
      <c r="C2807" t="s">
        <v>55</v>
      </c>
      <c r="D2807" t="s">
        <v>366</v>
      </c>
      <c r="E2807" t="s">
        <v>2230</v>
      </c>
      <c r="F2807" t="s">
        <v>22</v>
      </c>
      <c r="G2807" t="s">
        <v>83</v>
      </c>
      <c r="H2807" t="s">
        <v>1781</v>
      </c>
      <c r="I2807" t="s">
        <v>25</v>
      </c>
      <c r="J2807" s="2">
        <v>45789.797465277778</v>
      </c>
      <c r="K2807">
        <v>12</v>
      </c>
      <c r="L2807">
        <v>5</v>
      </c>
      <c r="M2807">
        <v>2025</v>
      </c>
      <c r="N2807" t="s">
        <v>27</v>
      </c>
      <c r="O2807">
        <v>100</v>
      </c>
      <c r="P2807">
        <v>100</v>
      </c>
      <c r="R2807" s="3" t="str">
        <f>HYPERLINK("https://panda.att.com.mx/ODKServer/view/binaryData?blobKey=FSSuministroFluidosv3%5B%40version%3Dnull+and+%40uiVersion%3Dnull%5D%2Fdata%5B%40key%3Duuid%3A4f47b35e-c907-4809-99a8-5b2ed50fd17e%5D%2FgroupInfoFuel%5B%40ordinal%3D1%5D%2FpicFuelRecibeInterno","Descargar")</f>
        <v>Descargar</v>
      </c>
    </row>
    <row r="2808" spans="1:18" x14ac:dyDescent="0.3">
      <c r="A2808">
        <v>1535456</v>
      </c>
      <c r="B2808" t="s">
        <v>18</v>
      </c>
      <c r="C2808" t="s">
        <v>55</v>
      </c>
      <c r="D2808" t="s">
        <v>366</v>
      </c>
      <c r="E2808" t="s">
        <v>2230</v>
      </c>
      <c r="F2808" t="s">
        <v>22</v>
      </c>
      <c r="G2808" t="s">
        <v>83</v>
      </c>
      <c r="H2808" t="s">
        <v>1781</v>
      </c>
      <c r="I2808" t="s">
        <v>25</v>
      </c>
      <c r="J2808" s="2">
        <v>45790.650914351849</v>
      </c>
      <c r="K2808">
        <v>13</v>
      </c>
      <c r="L2808">
        <v>5</v>
      </c>
      <c r="M2808">
        <v>2025</v>
      </c>
      <c r="N2808" t="s">
        <v>27</v>
      </c>
      <c r="O2808">
        <v>162</v>
      </c>
      <c r="P2808">
        <v>162</v>
      </c>
      <c r="R2808" s="3" t="str">
        <f>HYPERLINK("https://panda.att.com.mx/ODKServer/view/binaryData?blobKey=FSSuministroFluidosv3%5B%40version%3Dnull+and+%40uiVersion%3Dnull%5D%2Fdata%5B%40key%3Duuid%3A565ed42d-e7da-4372-a01b-d9b8bcb7684e%5D%2FgroupInfoFuel%5B%40ordinal%3D1%5D%2FpicFuelRecibeInterno","Descargar")</f>
        <v>Descargar</v>
      </c>
    </row>
    <row r="2809" spans="1:18" x14ac:dyDescent="0.3">
      <c r="A2809">
        <v>1535432</v>
      </c>
      <c r="B2809" t="s">
        <v>18</v>
      </c>
      <c r="C2809" t="s">
        <v>55</v>
      </c>
      <c r="D2809" t="s">
        <v>56</v>
      </c>
      <c r="E2809" t="s">
        <v>2089</v>
      </c>
      <c r="F2809" t="s">
        <v>22</v>
      </c>
      <c r="G2809" t="s">
        <v>23</v>
      </c>
      <c r="H2809" t="s">
        <v>1763</v>
      </c>
      <c r="I2809" t="s">
        <v>25</v>
      </c>
      <c r="J2809" s="2">
        <v>45787.625127314823</v>
      </c>
      <c r="K2809">
        <v>10</v>
      </c>
      <c r="L2809">
        <v>5</v>
      </c>
      <c r="M2809">
        <v>2025</v>
      </c>
      <c r="N2809" t="s">
        <v>27</v>
      </c>
      <c r="O2809">
        <v>100</v>
      </c>
      <c r="P2809">
        <v>100</v>
      </c>
      <c r="R2809" s="3" t="str">
        <f>HYPERLINK("https://panda.att.com.mx/ODKServer/view/binaryData?blobKey=FSSuministroFluidosv3%5B%40version%3Dnull+and+%40uiVersion%3Dnull%5D%2Fdata%5B%40key%3Duuid%3A294217fc-bca3-475f-880b-f24da93c27ba%5D%2FgroupInfoFuel%5B%40ordinal%3D1%5D%2FpicFuelRecibeInterno","Descargar")</f>
        <v>Descargar</v>
      </c>
    </row>
    <row r="2810" spans="1:18" x14ac:dyDescent="0.3">
      <c r="A2810">
        <v>1535404</v>
      </c>
      <c r="B2810" t="s">
        <v>18</v>
      </c>
      <c r="C2810" t="s">
        <v>68</v>
      </c>
      <c r="D2810" t="s">
        <v>91</v>
      </c>
      <c r="E2810" t="s">
        <v>2231</v>
      </c>
      <c r="F2810" t="s">
        <v>22</v>
      </c>
      <c r="G2810" t="s">
        <v>23</v>
      </c>
      <c r="H2810" t="s">
        <v>37</v>
      </c>
      <c r="I2810" t="s">
        <v>25</v>
      </c>
      <c r="J2810" s="2">
        <v>45790.777349537027</v>
      </c>
      <c r="K2810">
        <v>13</v>
      </c>
      <c r="L2810">
        <v>5</v>
      </c>
      <c r="M2810">
        <v>2025</v>
      </c>
      <c r="N2810" t="s">
        <v>27</v>
      </c>
      <c r="O2810">
        <v>200</v>
      </c>
      <c r="P2810">
        <v>200</v>
      </c>
      <c r="R2810" s="3" t="str">
        <f>HYPERLINK("https://panda.att.com.mx/ODKServer/view/binaryData?blobKey=FSSuministroFluidosv3%5B%40version%3Dnull+and+%40uiVersion%3Dnull%5D%2Fdata%5B%40key%3Duuid%3Af6e3fec1-811b-4471-a28f-3c0a89d99510%5D%2FgroupInfoFuel%5B%40ordinal%3D1%5D%2FpicFuelRecibeInterno","Descargar")</f>
        <v>Descargar</v>
      </c>
    </row>
    <row r="2811" spans="1:18" x14ac:dyDescent="0.3">
      <c r="A2811">
        <v>1535375</v>
      </c>
      <c r="B2811" t="s">
        <v>18</v>
      </c>
      <c r="C2811" t="s">
        <v>28</v>
      </c>
      <c r="D2811" t="s">
        <v>1036</v>
      </c>
      <c r="E2811" t="s">
        <v>1042</v>
      </c>
      <c r="F2811" t="s">
        <v>22</v>
      </c>
      <c r="G2811" t="s">
        <v>23</v>
      </c>
      <c r="H2811" t="s">
        <v>24</v>
      </c>
      <c r="I2811" t="s">
        <v>25</v>
      </c>
      <c r="J2811" s="2">
        <v>45788.52547453704</v>
      </c>
      <c r="K2811">
        <v>11</v>
      </c>
      <c r="L2811">
        <v>5</v>
      </c>
      <c r="M2811">
        <v>2025</v>
      </c>
      <c r="N2811" t="s">
        <v>27</v>
      </c>
      <c r="O2811">
        <v>100</v>
      </c>
      <c r="P2811">
        <v>100</v>
      </c>
      <c r="R2811" s="3" t="str">
        <f>HYPERLINK("https://panda.att.com.mx/ODKServer/view/binaryData?blobKey=FSSuministroFluidosv3%5B%40version%3Dnull+and+%40uiVersion%3Dnull%5D%2Fdata%5B%40key%3Duuid%3Ae26be9e3-854e-4dff-aea8-a81d66abc3d7%5D%2FgroupInfoFuel%5B%40ordinal%3D1%5D%2FpicFuelRecibeInterno","Descargar")</f>
        <v>Descargar</v>
      </c>
    </row>
    <row r="2812" spans="1:18" x14ac:dyDescent="0.3">
      <c r="A2812">
        <v>1535306</v>
      </c>
      <c r="B2812" t="s">
        <v>18</v>
      </c>
      <c r="C2812" t="s">
        <v>100</v>
      </c>
      <c r="D2812" t="s">
        <v>651</v>
      </c>
      <c r="E2812" t="s">
        <v>652</v>
      </c>
      <c r="F2812" t="s">
        <v>22</v>
      </c>
      <c r="G2812" t="s">
        <v>23</v>
      </c>
      <c r="H2812" t="s">
        <v>1781</v>
      </c>
      <c r="I2812" t="s">
        <v>25</v>
      </c>
      <c r="J2812" s="2">
        <v>45790.737685185188</v>
      </c>
      <c r="K2812">
        <v>13</v>
      </c>
      <c r="L2812">
        <v>5</v>
      </c>
      <c r="M2812">
        <v>2025</v>
      </c>
      <c r="N2812" t="s">
        <v>27</v>
      </c>
      <c r="O2812">
        <v>300</v>
      </c>
      <c r="P2812">
        <v>300</v>
      </c>
      <c r="R2812" s="3" t="str">
        <f>HYPERLINK("https://panda.att.com.mx/ODKServer/view/binaryData?blobKey=FSSuministroFluidosv3%5B%40version%3Dnull+and+%40uiVersion%3Dnull%5D%2Fdata%5B%40key%3Duuid%3Ae4252165-3038-4d38-a586-320f57888485%5D%2FgroupInfoFuel%5B%40ordinal%3D1%5D%2FpicFuelRecibeInterno","Descargar")</f>
        <v>Descargar</v>
      </c>
    </row>
    <row r="2813" spans="1:18" x14ac:dyDescent="0.3">
      <c r="A2813">
        <v>1535260</v>
      </c>
      <c r="B2813" t="s">
        <v>18</v>
      </c>
      <c r="C2813" t="s">
        <v>59</v>
      </c>
      <c r="D2813" t="s">
        <v>60</v>
      </c>
      <c r="E2813" t="s">
        <v>424</v>
      </c>
      <c r="F2813" t="s">
        <v>22</v>
      </c>
      <c r="G2813" t="s">
        <v>23</v>
      </c>
      <c r="H2813" t="s">
        <v>1816</v>
      </c>
      <c r="I2813" t="s">
        <v>25</v>
      </c>
      <c r="J2813" s="2">
        <v>45787.512488425928</v>
      </c>
      <c r="K2813">
        <v>10</v>
      </c>
      <c r="L2813">
        <v>5</v>
      </c>
      <c r="M2813">
        <v>2025</v>
      </c>
      <c r="N2813" t="s">
        <v>27</v>
      </c>
      <c r="O2813">
        <v>203.4</v>
      </c>
      <c r="P2813">
        <v>203.4</v>
      </c>
      <c r="R2813" s="3" t="str">
        <f>HYPERLINK("https://panda.att.com.mx/ODKServer/view/binaryData?blobKey=FSSuministroFluidosv3%5B%40version%3Dnull+and+%40uiVersion%3Dnull%5D%2Fdata%5B%40key%3Duuid%3A9e154146-67d0-42a0-955c-1961484a2de0%5D%2FgroupInfoFuel%5B%40ordinal%3D1%5D%2FpicFuelRecibeInterno","Descargar")</f>
        <v>Descargar</v>
      </c>
    </row>
    <row r="2814" spans="1:18" x14ac:dyDescent="0.3">
      <c r="A2814">
        <v>1535198</v>
      </c>
      <c r="B2814" t="s">
        <v>18</v>
      </c>
      <c r="C2814" t="s">
        <v>55</v>
      </c>
      <c r="D2814" t="s">
        <v>56</v>
      </c>
      <c r="E2814" t="s">
        <v>2089</v>
      </c>
      <c r="F2814" t="s">
        <v>22</v>
      </c>
      <c r="G2814" t="s">
        <v>23</v>
      </c>
      <c r="H2814" t="s">
        <v>1763</v>
      </c>
      <c r="I2814" t="s">
        <v>25</v>
      </c>
      <c r="J2814" s="2">
        <v>45783.674583333333</v>
      </c>
      <c r="K2814">
        <v>6</v>
      </c>
      <c r="L2814">
        <v>5</v>
      </c>
      <c r="M2814">
        <v>2025</v>
      </c>
      <c r="N2814" t="s">
        <v>27</v>
      </c>
      <c r="O2814">
        <v>120</v>
      </c>
      <c r="P2814">
        <v>120</v>
      </c>
      <c r="R2814" s="3" t="str">
        <f>HYPERLINK("https://panda.att.com.mx/ODKServer/view/binaryData?blobKey=FSSuministroFluidosv3%5B%40version%3Dnull+and+%40uiVersion%3Dnull%5D%2Fdata%5B%40key%3Duuid%3Af80a8152-1b6b-4f76-a88b-f606822a3d48%5D%2FgroupInfoFuel%5B%40ordinal%3D1%5D%2FpicFuelRecibeInterno","Descargar")</f>
        <v>Descargar</v>
      </c>
    </row>
    <row r="2815" spans="1:18" x14ac:dyDescent="0.3">
      <c r="A2815">
        <v>1535149</v>
      </c>
      <c r="B2815" t="s">
        <v>18</v>
      </c>
      <c r="C2815" t="s">
        <v>28</v>
      </c>
      <c r="D2815" t="s">
        <v>1105</v>
      </c>
      <c r="E2815" t="s">
        <v>2217</v>
      </c>
      <c r="F2815" t="s">
        <v>22</v>
      </c>
      <c r="G2815" t="s">
        <v>23</v>
      </c>
      <c r="H2815" t="s">
        <v>24</v>
      </c>
      <c r="I2815" t="s">
        <v>25</v>
      </c>
      <c r="J2815" s="2">
        <v>45788.546493055554</v>
      </c>
      <c r="K2815">
        <v>11</v>
      </c>
      <c r="L2815">
        <v>5</v>
      </c>
      <c r="M2815">
        <v>2025</v>
      </c>
      <c r="N2815" t="s">
        <v>44</v>
      </c>
      <c r="O2815">
        <v>50</v>
      </c>
      <c r="Q2815">
        <v>50</v>
      </c>
      <c r="R2815" s="3" t="str">
        <f>HYPERLINK("https://panda.att.com.mx/ODKServer/view/binaryData?blobKey=FSSuministroFluidosv3%5B%40version%3Dnull+and+%40uiVersion%3Dnull%5D%2Fdata%5B%40key%3Duuid%3A57e72b02-9ac3-4f91-a10f-ec4edaf0d77b%5D%2FgroupInfoFuel%5B%40ordinal%3D1%5D%2FpicFuelRecibeInterno","Descargar")</f>
        <v>Descargar</v>
      </c>
    </row>
    <row r="2816" spans="1:18" x14ac:dyDescent="0.3">
      <c r="A2816">
        <v>1535141</v>
      </c>
      <c r="B2816" t="s">
        <v>18</v>
      </c>
      <c r="C2816" t="s">
        <v>19</v>
      </c>
      <c r="D2816" t="s">
        <v>189</v>
      </c>
      <c r="E2816" t="s">
        <v>2161</v>
      </c>
      <c r="F2816" t="s">
        <v>22</v>
      </c>
      <c r="G2816" t="s">
        <v>83</v>
      </c>
      <c r="H2816" t="s">
        <v>24</v>
      </c>
      <c r="I2816" t="s">
        <v>25</v>
      </c>
      <c r="J2816" s="2">
        <v>45782.378703703696</v>
      </c>
      <c r="K2816">
        <v>5</v>
      </c>
      <c r="L2816">
        <v>5</v>
      </c>
      <c r="M2816">
        <v>2025</v>
      </c>
      <c r="N2816" t="s">
        <v>27</v>
      </c>
      <c r="O2816">
        <v>200</v>
      </c>
      <c r="P2816">
        <v>200</v>
      </c>
      <c r="R2816" s="3" t="str">
        <f>HYPERLINK("https://panda.att.com.mx/ODKServer/view/binaryData?blobKey=FSSuministroFluidosv3%5B%40version%3Dnull+and+%40uiVersion%3Dnull%5D%2Fdata%5B%40key%3Duuid%3A4d623fe1-44d2-450c-919a-ae08a9f364ad%5D%2FgroupInfoFuel%5B%40ordinal%3D1%5D%2FpicFuelRecibeInterno","Descargar")</f>
        <v>Descargar</v>
      </c>
    </row>
    <row r="2817" spans="1:18" x14ac:dyDescent="0.3">
      <c r="A2817">
        <v>1535137</v>
      </c>
      <c r="B2817" t="s">
        <v>18</v>
      </c>
      <c r="C2817" t="s">
        <v>19</v>
      </c>
      <c r="D2817" t="s">
        <v>189</v>
      </c>
      <c r="E2817" t="s">
        <v>2161</v>
      </c>
      <c r="F2817" t="s">
        <v>22</v>
      </c>
      <c r="G2817" t="s">
        <v>83</v>
      </c>
      <c r="H2817" t="s">
        <v>24</v>
      </c>
      <c r="I2817" t="s">
        <v>25</v>
      </c>
      <c r="J2817" s="2">
        <v>45787.535462962973</v>
      </c>
      <c r="K2817">
        <v>10</v>
      </c>
      <c r="L2817">
        <v>5</v>
      </c>
      <c r="M2817">
        <v>2025</v>
      </c>
      <c r="N2817" t="s">
        <v>27</v>
      </c>
      <c r="O2817">
        <v>200</v>
      </c>
      <c r="P2817">
        <v>200</v>
      </c>
      <c r="R2817" s="3" t="str">
        <f>HYPERLINK("https://panda.att.com.mx/ODKServer/view/binaryData?blobKey=FSSuministroFluidosv3%5B%40version%3Dnull+and+%40uiVersion%3Dnull%5D%2Fdata%5B%40key%3Duuid%3Aea736eb2-96cf-4a75-b8f6-782cbb6d5567%5D%2FgroupInfoFuel%5B%40ordinal%3D1%5D%2FpicFuelRecibeInterno","Descargar")</f>
        <v>Descargar</v>
      </c>
    </row>
    <row r="2818" spans="1:18" x14ac:dyDescent="0.3">
      <c r="A2818">
        <v>1535122</v>
      </c>
      <c r="B2818" t="s">
        <v>18</v>
      </c>
      <c r="C2818" t="s">
        <v>55</v>
      </c>
      <c r="D2818" t="s">
        <v>56</v>
      </c>
      <c r="E2818" t="s">
        <v>2188</v>
      </c>
      <c r="F2818" t="s">
        <v>22</v>
      </c>
      <c r="G2818" t="s">
        <v>23</v>
      </c>
      <c r="H2818" t="s">
        <v>1763</v>
      </c>
      <c r="I2818" t="s">
        <v>25</v>
      </c>
      <c r="J2818" s="2">
        <v>45744.716793981483</v>
      </c>
      <c r="K2818">
        <v>28</v>
      </c>
      <c r="L2818">
        <v>3</v>
      </c>
      <c r="M2818">
        <v>2025</v>
      </c>
      <c r="N2818" t="s">
        <v>27</v>
      </c>
      <c r="O2818">
        <v>100</v>
      </c>
      <c r="P2818">
        <v>100</v>
      </c>
      <c r="R2818" s="3" t="str">
        <f>HYPERLINK("https://panda.att.com.mx/ODKServer/view/binaryData?blobKey=FSSuministroFluidosv3%5B%40version%3Dnull+and+%40uiVersion%3Dnull%5D%2Fdata%5B%40key%3Duuid%3A2c4731bf-3109-435e-a668-389af295da05%5D%2FgroupInfoFuel%5B%40ordinal%3D1%5D%2FpicFuelRecibeInterno","Descargar")</f>
        <v>Descargar</v>
      </c>
    </row>
    <row r="2819" spans="1:18" x14ac:dyDescent="0.3">
      <c r="A2819">
        <v>1535121</v>
      </c>
      <c r="B2819" t="s">
        <v>18</v>
      </c>
      <c r="C2819" t="s">
        <v>55</v>
      </c>
      <c r="D2819" t="s">
        <v>56</v>
      </c>
      <c r="E2819" t="s">
        <v>2188</v>
      </c>
      <c r="F2819" t="s">
        <v>22</v>
      </c>
      <c r="G2819" t="s">
        <v>23</v>
      </c>
      <c r="H2819" t="s">
        <v>1763</v>
      </c>
      <c r="I2819" t="s">
        <v>25</v>
      </c>
      <c r="J2819" t="s">
        <v>2232</v>
      </c>
      <c r="K2819">
        <v>2</v>
      </c>
      <c r="L2819">
        <v>4</v>
      </c>
      <c r="M2819">
        <v>2025</v>
      </c>
      <c r="N2819" t="s">
        <v>27</v>
      </c>
      <c r="O2819">
        <v>100</v>
      </c>
      <c r="P2819">
        <v>100</v>
      </c>
      <c r="R2819" s="3" t="str">
        <f>HYPERLINK("https://panda.att.com.mx/ODKServer/view/binaryData?blobKey=FSSuministroFluidosv3%5B%40version%3Dnull+and+%40uiVersion%3Dnull%5D%2Fdata%5B%40key%3Duuid%3A32a64996-de49-4c9e-ad92-33ccc5657720%5D%2FgroupInfoFuel%5B%40ordinal%3D1%5D%2FpicFuelRecibeInterno","Descargar")</f>
        <v>Descargar</v>
      </c>
    </row>
    <row r="2820" spans="1:18" x14ac:dyDescent="0.3">
      <c r="A2820">
        <v>1535072</v>
      </c>
      <c r="B2820" t="s">
        <v>18</v>
      </c>
      <c r="C2820" t="s">
        <v>19</v>
      </c>
      <c r="D2820" t="s">
        <v>189</v>
      </c>
      <c r="E2820" t="s">
        <v>2161</v>
      </c>
      <c r="F2820" t="s">
        <v>22</v>
      </c>
      <c r="G2820" t="s">
        <v>83</v>
      </c>
      <c r="H2820" t="s">
        <v>24</v>
      </c>
      <c r="I2820" t="s">
        <v>25</v>
      </c>
      <c r="J2820" s="2">
        <v>45780.472349537027</v>
      </c>
      <c r="K2820">
        <v>3</v>
      </c>
      <c r="L2820">
        <v>5</v>
      </c>
      <c r="M2820">
        <v>2025</v>
      </c>
      <c r="N2820" t="s">
        <v>27</v>
      </c>
      <c r="O2820">
        <v>200</v>
      </c>
      <c r="P2820">
        <v>200</v>
      </c>
      <c r="R2820" s="3" t="str">
        <f>HYPERLINK("https://panda.att.com.mx/ODKServer/view/binaryData?blobKey=FSSuministroFluidosv3%5B%40version%3Dnull+and+%40uiVersion%3Dnull%5D%2Fdata%5B%40key%3Duuid%3A34cad37e-8899-4a75-b1d4-7ec63ee068bf%5D%2FgroupInfoFuel%5B%40ordinal%3D1%5D%2FpicFuelRecibeInterno","Descargar")</f>
        <v>Descargar</v>
      </c>
    </row>
    <row r="2821" spans="1:18" x14ac:dyDescent="0.3">
      <c r="A2821">
        <v>1535071</v>
      </c>
      <c r="B2821" t="s">
        <v>18</v>
      </c>
      <c r="C2821" t="s">
        <v>19</v>
      </c>
      <c r="D2821" t="s">
        <v>189</v>
      </c>
      <c r="E2821" t="s">
        <v>2161</v>
      </c>
      <c r="F2821" t="s">
        <v>22</v>
      </c>
      <c r="G2821" t="s">
        <v>83</v>
      </c>
      <c r="H2821" t="s">
        <v>24</v>
      </c>
      <c r="I2821" t="s">
        <v>25</v>
      </c>
      <c r="J2821" s="2">
        <v>45778.551678240743</v>
      </c>
      <c r="K2821">
        <v>1</v>
      </c>
      <c r="L2821">
        <v>5</v>
      </c>
      <c r="M2821">
        <v>2025</v>
      </c>
      <c r="N2821" t="s">
        <v>27</v>
      </c>
      <c r="O2821">
        <v>200</v>
      </c>
      <c r="P2821">
        <v>200</v>
      </c>
      <c r="R2821" s="3" t="str">
        <f>HYPERLINK("https://panda.att.com.mx/ODKServer/view/binaryData?blobKey=FSSuministroFluidosv3%5B%40version%3Dnull+and+%40uiVersion%3Dnull%5D%2Fdata%5B%40key%3Duuid%3Aca02be87-a3c1-48e1-b9eb-1215e0a09d57%5D%2FgroupInfoFuel%5B%40ordinal%3D1%5D%2FpicFuelRecibeInterno","Descargar")</f>
        <v>Descargar</v>
      </c>
    </row>
    <row r="2822" spans="1:18" x14ac:dyDescent="0.3">
      <c r="A2822">
        <v>1535044</v>
      </c>
      <c r="B2822" t="s">
        <v>18</v>
      </c>
      <c r="C2822" t="s">
        <v>150</v>
      </c>
      <c r="D2822" t="s">
        <v>151</v>
      </c>
      <c r="E2822" t="s">
        <v>2220</v>
      </c>
      <c r="F2822" t="s">
        <v>22</v>
      </c>
      <c r="G2822" t="s">
        <v>23</v>
      </c>
      <c r="H2822" t="s">
        <v>1781</v>
      </c>
      <c r="I2822" t="s">
        <v>25</v>
      </c>
      <c r="J2822" s="2">
        <v>45790.587152777778</v>
      </c>
      <c r="K2822">
        <v>13</v>
      </c>
      <c r="L2822">
        <v>5</v>
      </c>
      <c r="M2822">
        <v>2025</v>
      </c>
      <c r="N2822" t="s">
        <v>27</v>
      </c>
      <c r="O2822">
        <v>100</v>
      </c>
      <c r="P2822">
        <v>100</v>
      </c>
      <c r="R2822" s="3" t="str">
        <f>HYPERLINK("https://panda.att.com.mx/ODKServer/view/binaryData?blobKey=FSSuministroFluidosv3%5B%40version%3Dnull+and+%40uiVersion%3Dnull%5D%2Fdata%5B%40key%3Duuid%3Ada58329b-a49c-4465-a787-46a27d4dff4b%5D%2FgroupInfoFuel%5B%40ordinal%3D1%5D%2FpicFuelRecibeInterno","Descargar")</f>
        <v>Descargar</v>
      </c>
    </row>
    <row r="2823" spans="1:18" x14ac:dyDescent="0.3">
      <c r="A2823">
        <v>1535030</v>
      </c>
      <c r="B2823" t="s">
        <v>18</v>
      </c>
      <c r="C2823" t="s">
        <v>28</v>
      </c>
      <c r="D2823" t="s">
        <v>1105</v>
      </c>
      <c r="E2823" t="s">
        <v>2217</v>
      </c>
      <c r="F2823" t="s">
        <v>22</v>
      </c>
      <c r="G2823" t="s">
        <v>23</v>
      </c>
      <c r="H2823" t="s">
        <v>24</v>
      </c>
      <c r="I2823" t="s">
        <v>25</v>
      </c>
      <c r="J2823" s="2">
        <v>45788.543113425927</v>
      </c>
      <c r="K2823">
        <v>11</v>
      </c>
      <c r="L2823">
        <v>5</v>
      </c>
      <c r="M2823">
        <v>2025</v>
      </c>
      <c r="N2823" t="s">
        <v>44</v>
      </c>
      <c r="O2823">
        <v>50</v>
      </c>
      <c r="P2823">
        <v>50</v>
      </c>
      <c r="R2823" s="3" t="str">
        <f>HYPERLINK("https://panda.att.com.mx/ODKServer/view/binaryData?blobKey=FSSuministroFluidosv3%5B%40version%3Dnull+and+%40uiVersion%3Dnull%5D%2Fdata%5B%40key%3Duuid%3Ae4d4b204-d398-40ed-8427-ddb7a30f99a1%5D%2FgroupInfoFuel%5B%40ordinal%3D1%5D%2FpicFuelRecibeInterno","Descargar")</f>
        <v>Descargar</v>
      </c>
    </row>
    <row r="2824" spans="1:18" x14ac:dyDescent="0.3">
      <c r="A2824">
        <v>1535029</v>
      </c>
      <c r="B2824" t="s">
        <v>18</v>
      </c>
      <c r="C2824" t="s">
        <v>183</v>
      </c>
      <c r="D2824" t="s">
        <v>688</v>
      </c>
      <c r="E2824" t="s">
        <v>689</v>
      </c>
      <c r="F2824" t="s">
        <v>22</v>
      </c>
      <c r="G2824" t="s">
        <v>83</v>
      </c>
      <c r="H2824" t="s">
        <v>37</v>
      </c>
      <c r="I2824" t="s">
        <v>25</v>
      </c>
      <c r="J2824" s="2">
        <v>45789.889803240738</v>
      </c>
      <c r="K2824">
        <v>12</v>
      </c>
      <c r="L2824">
        <v>5</v>
      </c>
      <c r="M2824">
        <v>2025</v>
      </c>
      <c r="N2824" t="s">
        <v>27</v>
      </c>
      <c r="O2824">
        <v>170</v>
      </c>
      <c r="P2824">
        <v>170</v>
      </c>
      <c r="R2824" s="3" t="str">
        <f>HYPERLINK("https://panda.att.com.mx/ODKServer/view/binaryData?blobKey=FSSuministroFluidosv3%5B%40version%3Dnull+and+%40uiVersion%3Dnull%5D%2Fdata%5B%40key%3Duuid%3A1555fd8a-5fe2-4ee5-9c53-7f84595c143a%5D%2FgroupInfoFuel%5B%40ordinal%3D1%5D%2FpicFuelRecibeInterno","Descargar")</f>
        <v>Descargar</v>
      </c>
    </row>
    <row r="2825" spans="1:18" x14ac:dyDescent="0.3">
      <c r="A2825">
        <v>1534992</v>
      </c>
      <c r="B2825" t="s">
        <v>18</v>
      </c>
      <c r="C2825" t="s">
        <v>19</v>
      </c>
      <c r="D2825" t="s">
        <v>140</v>
      </c>
      <c r="E2825" t="s">
        <v>2233</v>
      </c>
      <c r="F2825" t="s">
        <v>22</v>
      </c>
      <c r="G2825" t="s">
        <v>23</v>
      </c>
      <c r="H2825" t="s">
        <v>24</v>
      </c>
      <c r="I2825" t="s">
        <v>25</v>
      </c>
      <c r="J2825" s="2">
        <v>45790.565486111111</v>
      </c>
      <c r="K2825">
        <v>13</v>
      </c>
      <c r="L2825">
        <v>5</v>
      </c>
      <c r="M2825">
        <v>2025</v>
      </c>
      <c r="N2825" t="s">
        <v>44</v>
      </c>
      <c r="O2825">
        <v>50</v>
      </c>
      <c r="P2825">
        <v>50</v>
      </c>
      <c r="R2825" s="3" t="str">
        <f>HYPERLINK("https://panda.att.com.mx/ODKServer/view/binaryData?blobKey=FSSuministroFluidosv3%5B%40version%3Dnull+and+%40uiVersion%3Dnull%5D%2Fdata%5B%40key%3Duuid%3A557b4938-92ce-4fa0-94f1-ca169da79b77%5D%2FgroupInfoFuel%5B%40ordinal%3D1%5D%2FpicFuelRecibeInterno","Descargar")</f>
        <v>Descargar</v>
      </c>
    </row>
    <row r="2826" spans="1:18" x14ac:dyDescent="0.3">
      <c r="A2826">
        <v>1534980</v>
      </c>
      <c r="B2826" t="s">
        <v>18</v>
      </c>
      <c r="C2826" t="s">
        <v>183</v>
      </c>
      <c r="D2826" t="s">
        <v>1915</v>
      </c>
      <c r="E2826" t="s">
        <v>1916</v>
      </c>
      <c r="F2826" t="s">
        <v>22</v>
      </c>
      <c r="G2826" t="s">
        <v>23</v>
      </c>
      <c r="H2826" t="s">
        <v>1763</v>
      </c>
      <c r="I2826" t="s">
        <v>25</v>
      </c>
      <c r="J2826" s="2">
        <v>45783.722685185188</v>
      </c>
      <c r="K2826">
        <v>6</v>
      </c>
      <c r="L2826">
        <v>5</v>
      </c>
      <c r="M2826">
        <v>2025</v>
      </c>
      <c r="N2826" t="s">
        <v>27</v>
      </c>
      <c r="O2826">
        <v>80</v>
      </c>
      <c r="Q2826">
        <v>80</v>
      </c>
      <c r="R2826" s="3" t="str">
        <f>HYPERLINK("https://panda.att.com.mx/ODKServer/view/binaryData?blobKey=FSSuministroFluidosv3%5B%40version%3Dnull+and+%40uiVersion%3Dnull%5D%2Fdata%5B%40key%3Duuid%3A23d0d18e-7769-4667-af96-f524816e26da%5D%2FgroupInfoFuel%5B%40ordinal%3D1%5D%2FpicFuelRecibeInterno","Descargar")</f>
        <v>Descargar</v>
      </c>
    </row>
    <row r="2827" spans="1:18" x14ac:dyDescent="0.3">
      <c r="A2827">
        <v>1536382</v>
      </c>
      <c r="B2827" t="s">
        <v>18</v>
      </c>
      <c r="C2827" t="s">
        <v>183</v>
      </c>
      <c r="D2827" t="s">
        <v>305</v>
      </c>
      <c r="E2827" t="s">
        <v>2201</v>
      </c>
      <c r="F2827" t="s">
        <v>22</v>
      </c>
      <c r="G2827" t="s">
        <v>83</v>
      </c>
      <c r="H2827" t="s">
        <v>24</v>
      </c>
      <c r="I2827" t="s">
        <v>25</v>
      </c>
      <c r="J2827" s="2">
        <v>45791.561527777783</v>
      </c>
      <c r="K2827">
        <v>14</v>
      </c>
      <c r="L2827">
        <v>5</v>
      </c>
      <c r="M2827">
        <v>2025</v>
      </c>
      <c r="N2827" t="s">
        <v>27</v>
      </c>
      <c r="O2827">
        <v>200</v>
      </c>
      <c r="Q2827">
        <v>200</v>
      </c>
      <c r="R2827" s="3" t="str">
        <f>HYPERLINK("https://panda.att.com.mx/ODKServer/view/binaryData?blobKey=FSSuministroFluidosv3%5B%40version%3Dnull+and+%40uiVersion%3Dnull%5D%2Fdata%5B%40key%3Duuid%3A95dac026-1fee-4321-9fd7-faa8fa83efe3%5D%2FgroupInfoFuel%5B%40ordinal%3D1%5D%2FpicFuelRecibeInterno","Descargar")</f>
        <v>Descargar</v>
      </c>
    </row>
    <row r="2828" spans="1:18" x14ac:dyDescent="0.3">
      <c r="A2828">
        <v>1536381</v>
      </c>
      <c r="B2828" t="s">
        <v>18</v>
      </c>
      <c r="C2828" t="s">
        <v>183</v>
      </c>
      <c r="D2828" t="s">
        <v>305</v>
      </c>
      <c r="E2828" t="s">
        <v>2201</v>
      </c>
      <c r="F2828" t="s">
        <v>22</v>
      </c>
      <c r="G2828" t="s">
        <v>83</v>
      </c>
      <c r="H2828" t="s">
        <v>24</v>
      </c>
      <c r="I2828" t="s">
        <v>25</v>
      </c>
      <c r="J2828" s="2">
        <v>45789.639409722222</v>
      </c>
      <c r="K2828">
        <v>12</v>
      </c>
      <c r="L2828">
        <v>5</v>
      </c>
      <c r="M2828">
        <v>2025</v>
      </c>
      <c r="N2828" t="s">
        <v>27</v>
      </c>
      <c r="O2828">
        <v>200</v>
      </c>
      <c r="Q2828">
        <v>200</v>
      </c>
      <c r="R2828" s="3" t="str">
        <f>HYPERLINK("https://panda.att.com.mx/ODKServer/view/binaryData?blobKey=FSSuministroFluidosv3%5B%40version%3Dnull+and+%40uiVersion%3Dnull%5D%2Fdata%5B%40key%3Duuid%3A563bb3fc-4823-4946-bb2b-ea0f492e5908%5D%2FgroupInfoFuel%5B%40ordinal%3D1%5D%2FpicFuelRecibeInterno","Descargar")</f>
        <v>Descargar</v>
      </c>
    </row>
    <row r="2829" spans="1:18" x14ac:dyDescent="0.3">
      <c r="A2829">
        <v>1536345</v>
      </c>
      <c r="B2829" t="s">
        <v>18</v>
      </c>
      <c r="C2829" t="s">
        <v>28</v>
      </c>
      <c r="D2829" t="s">
        <v>1054</v>
      </c>
      <c r="E2829" t="s">
        <v>1991</v>
      </c>
      <c r="F2829" t="s">
        <v>22</v>
      </c>
      <c r="G2829" t="s">
        <v>23</v>
      </c>
      <c r="H2829" t="s">
        <v>24</v>
      </c>
      <c r="I2829" t="s">
        <v>25</v>
      </c>
      <c r="J2829" s="2">
        <v>45782.768287037034</v>
      </c>
      <c r="K2829">
        <v>5</v>
      </c>
      <c r="L2829">
        <v>5</v>
      </c>
      <c r="M2829">
        <v>2025</v>
      </c>
      <c r="N2829" t="s">
        <v>27</v>
      </c>
      <c r="O2829">
        <v>500</v>
      </c>
      <c r="P2829">
        <v>500</v>
      </c>
      <c r="R2829" s="3" t="str">
        <f>HYPERLINK("https://panda.att.com.mx/ODKServer/view/binaryData?blobKey=FSSuministroFluidosv3%5B%40version%3Dnull+and+%40uiVersion%3Dnull%5D%2Fdata%5B%40key%3Duuid%3A1f7fbe5e-9235-494a-b605-e2d3444b0417%5D%2FgroupInfoFuel%5B%40ordinal%3D1%5D%2FpicFuelRecibeInterno","Descargar")</f>
        <v>Descargar</v>
      </c>
    </row>
    <row r="2830" spans="1:18" x14ac:dyDescent="0.3">
      <c r="A2830">
        <v>1536172</v>
      </c>
      <c r="B2830" t="s">
        <v>18</v>
      </c>
      <c r="C2830" t="s">
        <v>150</v>
      </c>
      <c r="D2830" t="s">
        <v>151</v>
      </c>
      <c r="E2830" t="s">
        <v>2220</v>
      </c>
      <c r="F2830" t="s">
        <v>22</v>
      </c>
      <c r="G2830" t="s">
        <v>23</v>
      </c>
      <c r="H2830" t="s">
        <v>1781</v>
      </c>
      <c r="I2830" t="s">
        <v>25</v>
      </c>
      <c r="J2830" s="2">
        <v>45791.557337962957</v>
      </c>
      <c r="K2830">
        <v>14</v>
      </c>
      <c r="L2830">
        <v>5</v>
      </c>
      <c r="M2830">
        <v>2025</v>
      </c>
      <c r="N2830" t="s">
        <v>27</v>
      </c>
      <c r="O2830">
        <v>100</v>
      </c>
      <c r="P2830">
        <v>100</v>
      </c>
      <c r="R2830" s="3" t="str">
        <f>HYPERLINK("https://panda.att.com.mx/ODKServer/view/binaryData?blobKey=FSSuministroFluidosv3%5B%40version%3Dnull+and+%40uiVersion%3Dnull%5D%2Fdata%5B%40key%3Duuid%3A8b9ff9ae-5dca-4be3-9fec-5704972b0a49%5D%2FgroupInfoFuel%5B%40ordinal%3D1%5D%2FpicFuelRecibeInterno","Descargar")</f>
        <v>Descargar</v>
      </c>
    </row>
    <row r="2831" spans="1:18" x14ac:dyDescent="0.3">
      <c r="A2831">
        <v>1536163</v>
      </c>
      <c r="B2831" t="s">
        <v>18</v>
      </c>
      <c r="C2831" t="s">
        <v>59</v>
      </c>
      <c r="D2831" t="s">
        <v>1745</v>
      </c>
      <c r="E2831" t="s">
        <v>2234</v>
      </c>
      <c r="F2831" t="s">
        <v>22</v>
      </c>
      <c r="G2831" t="s">
        <v>23</v>
      </c>
      <c r="H2831" t="s">
        <v>24</v>
      </c>
      <c r="I2831" t="s">
        <v>25</v>
      </c>
      <c r="J2831" s="2">
        <v>45789.519849537042</v>
      </c>
      <c r="K2831">
        <v>12</v>
      </c>
      <c r="L2831">
        <v>5</v>
      </c>
      <c r="M2831">
        <v>2025</v>
      </c>
      <c r="N2831" t="s">
        <v>44</v>
      </c>
      <c r="O2831">
        <v>55</v>
      </c>
      <c r="P2831">
        <v>55</v>
      </c>
      <c r="R2831" s="3" t="str">
        <f>HYPERLINK("https://panda.att.com.mx/ODKServer/view/binaryData?blobKey=FSSuministroFluidosv3%5B%40version%3Dnull+and+%40uiVersion%3Dnull%5D%2Fdata%5B%40key%3Duuid%3A59de03bc-565e-4e2b-a5b0-2ec6623d6fac%5D%2FgroupInfoFuel%5B%40ordinal%3D1%5D%2FpicFuelRecibeInterno","Descargar")</f>
        <v>Descargar</v>
      </c>
    </row>
    <row r="2832" spans="1:18" x14ac:dyDescent="0.3">
      <c r="A2832">
        <v>1536162</v>
      </c>
      <c r="B2832" t="s">
        <v>18</v>
      </c>
      <c r="C2832" t="s">
        <v>19</v>
      </c>
      <c r="D2832" t="s">
        <v>198</v>
      </c>
      <c r="E2832" t="s">
        <v>199</v>
      </c>
      <c r="F2832" t="s">
        <v>22</v>
      </c>
      <c r="G2832" t="s">
        <v>23</v>
      </c>
      <c r="H2832" t="s">
        <v>24</v>
      </c>
      <c r="I2832" t="s">
        <v>25</v>
      </c>
      <c r="J2832" s="2">
        <v>45788.721458333333</v>
      </c>
      <c r="K2832">
        <v>11</v>
      </c>
      <c r="L2832">
        <v>5</v>
      </c>
      <c r="M2832">
        <v>2025</v>
      </c>
      <c r="N2832" t="s">
        <v>44</v>
      </c>
      <c r="O2832">
        <v>26</v>
      </c>
      <c r="P2832">
        <v>26</v>
      </c>
      <c r="R2832" s="3" t="str">
        <f>HYPERLINK("https://panda.att.com.mx/ODKServer/view/binaryData?blobKey=FSSuministroFluidosv3%5B%40version%3Dnull+and+%40uiVersion%3Dnull%5D%2Fdata%5B%40key%3Duuid%3A8c515fbe-b0ef-4c04-a946-56e5757c2b58%5D%2FgroupInfoFuel%5B%40ordinal%3D1%5D%2FpicFuelRecibeInterno","Descargar")</f>
        <v>Descargar</v>
      </c>
    </row>
    <row r="2833" spans="1:18" x14ac:dyDescent="0.3">
      <c r="A2833">
        <v>1536140</v>
      </c>
      <c r="B2833" t="s">
        <v>18</v>
      </c>
      <c r="C2833" t="s">
        <v>55</v>
      </c>
      <c r="D2833" t="s">
        <v>128</v>
      </c>
      <c r="E2833" t="s">
        <v>2235</v>
      </c>
      <c r="F2833" t="s">
        <v>22</v>
      </c>
      <c r="G2833" t="s">
        <v>23</v>
      </c>
      <c r="H2833" t="s">
        <v>1763</v>
      </c>
      <c r="I2833" t="s">
        <v>25</v>
      </c>
      <c r="J2833" s="2">
        <v>45791.560763888891</v>
      </c>
      <c r="K2833">
        <v>14</v>
      </c>
      <c r="L2833">
        <v>5</v>
      </c>
      <c r="M2833">
        <v>2025</v>
      </c>
      <c r="N2833" t="s">
        <v>27</v>
      </c>
      <c r="O2833">
        <v>300</v>
      </c>
      <c r="P2833">
        <v>300</v>
      </c>
      <c r="R2833" s="3" t="str">
        <f>HYPERLINK("https://panda.att.com.mx/ODKServer/view/binaryData?blobKey=FSSuministroFluidosv3%5B%40version%3Dnull+and+%40uiVersion%3Dnull%5D%2Fdata%5B%40key%3Duuid%3Abe238b47-46d5-4251-8f02-e5a4af46a77a%5D%2FgroupInfoFuel%5B%40ordinal%3D1%5D%2FpicFuelRecibeInterno","Descargar")</f>
        <v>Descargar</v>
      </c>
    </row>
    <row r="2834" spans="1:18" x14ac:dyDescent="0.3">
      <c r="A2834">
        <v>1535891</v>
      </c>
      <c r="B2834" t="s">
        <v>18</v>
      </c>
      <c r="C2834" t="s">
        <v>68</v>
      </c>
      <c r="D2834" t="s">
        <v>91</v>
      </c>
      <c r="E2834" t="s">
        <v>2236</v>
      </c>
      <c r="F2834" t="s">
        <v>22</v>
      </c>
      <c r="G2834" t="s">
        <v>23</v>
      </c>
      <c r="H2834" t="s">
        <v>37</v>
      </c>
      <c r="I2834" t="s">
        <v>25</v>
      </c>
      <c r="J2834" s="2">
        <v>45791.357094907413</v>
      </c>
      <c r="K2834">
        <v>14</v>
      </c>
      <c r="L2834">
        <v>5</v>
      </c>
      <c r="M2834">
        <v>2025</v>
      </c>
      <c r="N2834" t="s">
        <v>27</v>
      </c>
      <c r="O2834">
        <v>144</v>
      </c>
      <c r="P2834">
        <v>144</v>
      </c>
      <c r="R2834" s="3" t="str">
        <f>HYPERLINK("https://panda.att.com.mx/ODKServer/view/binaryData?blobKey=FSSuministroFluidosv3%5B%40version%3Dnull+and+%40uiVersion%3Dnull%5D%2Fdata%5B%40key%3Duuid%3Abfaa7194-1fa0-453a-9356-a4121cbc88d5%5D%2FgroupInfoFuel%5B%40ordinal%3D1%5D%2FpicFuelRecibeInterno","Descargar")</f>
        <v>Descargar</v>
      </c>
    </row>
    <row r="2835" spans="1:18" x14ac:dyDescent="0.3">
      <c r="A2835">
        <v>1535815</v>
      </c>
      <c r="B2835" t="s">
        <v>18</v>
      </c>
      <c r="C2835" t="s">
        <v>34</v>
      </c>
      <c r="D2835" t="s">
        <v>51</v>
      </c>
      <c r="E2835" t="s">
        <v>631</v>
      </c>
      <c r="F2835" t="s">
        <v>22</v>
      </c>
      <c r="G2835" t="s">
        <v>23</v>
      </c>
      <c r="H2835" t="s">
        <v>24</v>
      </c>
      <c r="I2835" t="s">
        <v>25</v>
      </c>
      <c r="J2835" s="2">
        <v>45791.455277777779</v>
      </c>
      <c r="K2835">
        <v>14</v>
      </c>
      <c r="L2835">
        <v>5</v>
      </c>
      <c r="M2835">
        <v>2025</v>
      </c>
      <c r="N2835" t="s">
        <v>27</v>
      </c>
      <c r="O2835">
        <v>300</v>
      </c>
      <c r="P2835">
        <v>300</v>
      </c>
      <c r="R2835" s="3" t="str">
        <f>HYPERLINK("https://panda.att.com.mx/ODKServer/view/binaryData?blobKey=FSSuministroFluidosv3%5B%40version%3Dnull+and+%40uiVersion%3Dnull%5D%2Fdata%5B%40key%3Duuid%3A4dacc1e9-7d77-4af8-8eef-97fb42936436%5D%2FgroupInfoFuel%5B%40ordinal%3D1%5D%2FpicFuelRecibeInterno","Descargar")</f>
        <v>Descargar</v>
      </c>
    </row>
    <row r="2836" spans="1:18" x14ac:dyDescent="0.3">
      <c r="A2836">
        <v>1535787</v>
      </c>
      <c r="B2836" t="s">
        <v>18</v>
      </c>
      <c r="C2836" t="s">
        <v>183</v>
      </c>
      <c r="D2836" t="s">
        <v>329</v>
      </c>
      <c r="E2836" t="s">
        <v>330</v>
      </c>
      <c r="F2836" t="s">
        <v>22</v>
      </c>
      <c r="G2836" t="s">
        <v>23</v>
      </c>
      <c r="H2836" t="s">
        <v>24</v>
      </c>
      <c r="I2836" t="s">
        <v>25</v>
      </c>
      <c r="J2836" s="2">
        <v>45791.402268518519</v>
      </c>
      <c r="K2836">
        <v>14</v>
      </c>
      <c r="L2836">
        <v>5</v>
      </c>
      <c r="M2836">
        <v>2025</v>
      </c>
      <c r="N2836" t="s">
        <v>44</v>
      </c>
      <c r="O2836">
        <v>40</v>
      </c>
      <c r="P2836">
        <v>40</v>
      </c>
      <c r="R2836" s="3" t="str">
        <f>HYPERLINK("https://panda.att.com.mx/ODKServer/view/binaryData?blobKey=FSSuministroFluidosv3%5B%40version%3Dnull+and+%40uiVersion%3Dnull%5D%2Fdata%5B%40key%3Duuid%3A39429846-bb7c-4501-8538-fb918419491d%5D%2FgroupInfoFuel%5B%40ordinal%3D1%5D%2FpicFuelRecibeInterno","Descargar")</f>
        <v>Descargar</v>
      </c>
    </row>
    <row r="2837" spans="1:18" x14ac:dyDescent="0.3">
      <c r="A2837">
        <v>1535732</v>
      </c>
      <c r="B2837" t="s">
        <v>18</v>
      </c>
      <c r="C2837" t="s">
        <v>167</v>
      </c>
      <c r="D2837" t="s">
        <v>264</v>
      </c>
      <c r="E2837" t="s">
        <v>2237</v>
      </c>
      <c r="F2837" t="s">
        <v>22</v>
      </c>
      <c r="G2837" t="s">
        <v>23</v>
      </c>
      <c r="H2837" t="s">
        <v>58</v>
      </c>
      <c r="I2837" t="s">
        <v>25</v>
      </c>
      <c r="J2837" s="2">
        <v>45790.488715277781</v>
      </c>
      <c r="K2837">
        <v>13</v>
      </c>
      <c r="L2837">
        <v>5</v>
      </c>
      <c r="M2837">
        <v>2025</v>
      </c>
      <c r="N2837" t="s">
        <v>27</v>
      </c>
      <c r="O2837">
        <v>100</v>
      </c>
      <c r="P2837">
        <v>100</v>
      </c>
      <c r="R2837" s="3" t="str">
        <f>HYPERLINK("https://panda.att.com.mx/ODKServer/view/binaryData?blobKey=FSSuministroFluidosv3%5B%40version%3Dnull+and+%40uiVersion%3Dnull%5D%2Fdata%5B%40key%3Duuid%3A17570f81-c5b6-48d8-bba9-aab4773d42a2%5D%2FgroupInfoFuel%5B%40ordinal%3D1%5D%2FpicFuelRecibeInterno","Descargar")</f>
        <v>Descargar</v>
      </c>
    </row>
    <row r="2838" spans="1:18" x14ac:dyDescent="0.3">
      <c r="A2838">
        <v>1535705</v>
      </c>
      <c r="B2838" t="s">
        <v>18</v>
      </c>
      <c r="C2838" t="s">
        <v>55</v>
      </c>
      <c r="D2838" t="s">
        <v>288</v>
      </c>
      <c r="E2838" t="s">
        <v>440</v>
      </c>
      <c r="F2838" t="s">
        <v>22</v>
      </c>
      <c r="G2838" t="s">
        <v>23</v>
      </c>
      <c r="H2838" t="s">
        <v>1763</v>
      </c>
      <c r="I2838" t="s">
        <v>25</v>
      </c>
      <c r="J2838" s="2">
        <v>45791.383773148147</v>
      </c>
      <c r="K2838">
        <v>14</v>
      </c>
      <c r="L2838">
        <v>5</v>
      </c>
      <c r="M2838">
        <v>2025</v>
      </c>
      <c r="N2838" t="s">
        <v>27</v>
      </c>
      <c r="O2838">
        <v>250</v>
      </c>
      <c r="P2838">
        <v>250</v>
      </c>
      <c r="R2838" s="3" t="str">
        <f>HYPERLINK("https://panda.att.com.mx/ODKServer/view/binaryData?blobKey=FSSuministroFluidosv3%5B%40version%3Dnull+and+%40uiVersion%3Dnull%5D%2Fdata%5B%40key%3Duuid%3Ace826ad6-d701-49a8-8426-c2481c9dc10d%5D%2FgroupInfoFuel%5B%40ordinal%3D1%5D%2FpicFuelRecibeInterno","Descargar")</f>
        <v>Descargar</v>
      </c>
    </row>
    <row r="2839" spans="1:18" x14ac:dyDescent="0.3">
      <c r="A2839">
        <v>1535697</v>
      </c>
      <c r="B2839" t="s">
        <v>18</v>
      </c>
      <c r="C2839" t="s">
        <v>55</v>
      </c>
      <c r="D2839" t="s">
        <v>64</v>
      </c>
      <c r="E2839" t="s">
        <v>2209</v>
      </c>
      <c r="F2839" t="s">
        <v>22</v>
      </c>
      <c r="G2839" t="s">
        <v>23</v>
      </c>
      <c r="H2839" t="s">
        <v>1763</v>
      </c>
      <c r="I2839" t="s">
        <v>25</v>
      </c>
      <c r="J2839" s="2">
        <v>45791.385555555556</v>
      </c>
      <c r="K2839">
        <v>14</v>
      </c>
      <c r="L2839">
        <v>5</v>
      </c>
      <c r="M2839">
        <v>2025</v>
      </c>
      <c r="N2839" t="s">
        <v>44</v>
      </c>
      <c r="O2839">
        <v>40</v>
      </c>
      <c r="P2839">
        <v>40</v>
      </c>
      <c r="R2839" s="3" t="str">
        <f>HYPERLINK("https://panda.att.com.mx/ODKServer/view/binaryData?blobKey=FSSuministroFluidosv3%5B%40version%3Dnull+and+%40uiVersion%3Dnull%5D%2Fdata%5B%40key%3Duuid%3Aac9d1c0b-9442-43b2-bede-9ba84cb9a911%5D%2FgroupInfoFuel%5B%40ordinal%3D1%5D%2FpicFuelRecibeInterno","Descargar")</f>
        <v>Descargar</v>
      </c>
    </row>
    <row r="2840" spans="1:18" x14ac:dyDescent="0.3">
      <c r="A2840">
        <v>1535671</v>
      </c>
      <c r="B2840" t="s">
        <v>18</v>
      </c>
      <c r="C2840" t="s">
        <v>55</v>
      </c>
      <c r="D2840" t="s">
        <v>288</v>
      </c>
      <c r="E2840" t="s">
        <v>440</v>
      </c>
      <c r="F2840" t="s">
        <v>22</v>
      </c>
      <c r="G2840" t="s">
        <v>23</v>
      </c>
      <c r="H2840" t="s">
        <v>1763</v>
      </c>
      <c r="I2840" t="s">
        <v>25</v>
      </c>
      <c r="J2840" s="2">
        <v>45791.360081018523</v>
      </c>
      <c r="K2840">
        <v>14</v>
      </c>
      <c r="L2840">
        <v>5</v>
      </c>
      <c r="M2840">
        <v>2025</v>
      </c>
      <c r="N2840" t="s">
        <v>27</v>
      </c>
      <c r="O2840">
        <v>400</v>
      </c>
      <c r="P2840">
        <v>400</v>
      </c>
      <c r="R2840" s="3" t="str">
        <f>HYPERLINK("https://panda.att.com.mx/ODKServer/view/binaryData?blobKey=FSSuministroFluidosv3%5B%40version%3Dnull+and+%40uiVersion%3Dnull%5D%2Fdata%5B%40key%3Duuid%3A38f65127-671a-4d58-8a0b-e08f36fc7dea%5D%2FgroupInfoFuel%5B%40ordinal%3D1%5D%2FpicFuelRecibeInterno","Descargar")</f>
        <v>Descargar</v>
      </c>
    </row>
    <row r="2841" spans="1:18" x14ac:dyDescent="0.3">
      <c r="A2841">
        <v>1535652</v>
      </c>
      <c r="B2841" t="s">
        <v>18</v>
      </c>
      <c r="C2841" t="s">
        <v>55</v>
      </c>
      <c r="D2841" t="s">
        <v>288</v>
      </c>
      <c r="E2841" t="s">
        <v>2238</v>
      </c>
      <c r="F2841" t="s">
        <v>22</v>
      </c>
      <c r="G2841" t="s">
        <v>23</v>
      </c>
      <c r="H2841" t="s">
        <v>1763</v>
      </c>
      <c r="I2841" t="s">
        <v>25</v>
      </c>
      <c r="J2841" s="2">
        <v>45791.315648148149</v>
      </c>
      <c r="K2841">
        <v>14</v>
      </c>
      <c r="L2841">
        <v>5</v>
      </c>
      <c r="M2841">
        <v>2025</v>
      </c>
      <c r="N2841" t="s">
        <v>27</v>
      </c>
      <c r="O2841">
        <v>300</v>
      </c>
      <c r="P2841">
        <v>300</v>
      </c>
      <c r="R2841" s="3" t="str">
        <f>HYPERLINK("https://panda.att.com.mx/ODKServer/view/binaryData?blobKey=FSSuministroFluidosv3%5B%40version%3Dnull+and+%40uiVersion%3Dnull%5D%2Fdata%5B%40key%3Duuid%3A71eeb095-6f98-452a-a3a7-9916f36b86bf%5D%2FgroupInfoFuel%5B%40ordinal%3D1%5D%2FpicFuelRecibeInterno","Descargar")</f>
        <v>Descargar</v>
      </c>
    </row>
    <row r="2842" spans="1:18" x14ac:dyDescent="0.3">
      <c r="A2842">
        <v>1535620</v>
      </c>
      <c r="B2842" t="s">
        <v>18</v>
      </c>
      <c r="C2842" t="s">
        <v>100</v>
      </c>
      <c r="D2842" t="s">
        <v>716</v>
      </c>
      <c r="E2842" t="s">
        <v>717</v>
      </c>
      <c r="F2842" t="s">
        <v>22</v>
      </c>
      <c r="G2842" t="s">
        <v>83</v>
      </c>
      <c r="H2842" t="s">
        <v>1781</v>
      </c>
      <c r="I2842" t="s">
        <v>25</v>
      </c>
      <c r="J2842" s="2">
        <v>45790.963773148149</v>
      </c>
      <c r="K2842">
        <v>13</v>
      </c>
      <c r="L2842">
        <v>5</v>
      </c>
      <c r="M2842">
        <v>2025</v>
      </c>
      <c r="N2842" t="s">
        <v>27</v>
      </c>
      <c r="O2842">
        <v>139</v>
      </c>
      <c r="P2842">
        <v>139</v>
      </c>
      <c r="R2842" s="3" t="str">
        <f>HYPERLINK("https://panda.att.com.mx/ODKServer/view/binaryData?blobKey=FSSuministroFluidosv3%5B%40version%3Dnull+and+%40uiVersion%3Dnull%5D%2Fdata%5B%40key%3Duuid%3A56eb3c1e-d3f7-4f0d-bc3c-5d6ea79e18f3%5D%2FgroupInfoFuel%5B%40ordinal%3D1%5D%2FpicFuelRecibeInterno","Descargar")</f>
        <v>Descargar</v>
      </c>
    </row>
    <row r="2843" spans="1:18" x14ac:dyDescent="0.3">
      <c r="A2843">
        <v>1535615</v>
      </c>
      <c r="B2843" t="s">
        <v>18</v>
      </c>
      <c r="C2843" t="s">
        <v>19</v>
      </c>
      <c r="D2843" t="s">
        <v>347</v>
      </c>
      <c r="E2843" t="s">
        <v>1588</v>
      </c>
      <c r="F2843" t="s">
        <v>22</v>
      </c>
      <c r="G2843" t="s">
        <v>23</v>
      </c>
      <c r="H2843" t="s">
        <v>24</v>
      </c>
      <c r="I2843" t="s">
        <v>25</v>
      </c>
      <c r="J2843" s="2">
        <v>45783.658877314818</v>
      </c>
      <c r="K2843">
        <v>6</v>
      </c>
      <c r="L2843">
        <v>5</v>
      </c>
      <c r="M2843">
        <v>2025</v>
      </c>
      <c r="N2843" t="s">
        <v>27</v>
      </c>
      <c r="O2843">
        <v>200</v>
      </c>
      <c r="P2843">
        <v>200</v>
      </c>
      <c r="R2843" s="3" t="str">
        <f>HYPERLINK("https://panda.att.com.mx/ODKServer/view/binaryData?blobKey=FSSuministroFluidosv3%5B%40version%3Dnull+and+%40uiVersion%3Dnull%5D%2Fdata%5B%40key%3Duuid%3A02c6a073-6029-40a5-84cc-2c6654c9e8ad%5D%2FgroupInfoFuel%5B%40ordinal%3D1%5D%2FpicFuelRecibeInterno","Descargar")</f>
        <v>Descargar</v>
      </c>
    </row>
    <row r="2844" spans="1:18" x14ac:dyDescent="0.3">
      <c r="A2844">
        <v>1535584</v>
      </c>
      <c r="B2844" t="s">
        <v>18</v>
      </c>
      <c r="C2844" t="s">
        <v>19</v>
      </c>
      <c r="D2844" t="s">
        <v>347</v>
      </c>
      <c r="E2844" t="s">
        <v>1679</v>
      </c>
      <c r="F2844" t="s">
        <v>22</v>
      </c>
      <c r="G2844" t="s">
        <v>23</v>
      </c>
      <c r="H2844" t="s">
        <v>24</v>
      </c>
      <c r="I2844" t="s">
        <v>25</v>
      </c>
      <c r="J2844" s="2">
        <v>45781.24459490741</v>
      </c>
      <c r="K2844">
        <v>4</v>
      </c>
      <c r="L2844">
        <v>5</v>
      </c>
      <c r="M2844">
        <v>2025</v>
      </c>
      <c r="N2844" t="s">
        <v>44</v>
      </c>
      <c r="O2844">
        <v>50</v>
      </c>
      <c r="P2844">
        <v>50</v>
      </c>
      <c r="R2844" s="3" t="str">
        <f>HYPERLINK("https://panda.att.com.mx/ODKServer/view/binaryData?blobKey=FSSuministroFluidosv3%5B%40version%3Dnull+and+%40uiVersion%3Dnull%5D%2Fdata%5B%40key%3Duuid%3Af39c500b-47be-4760-a1b8-462358a4df7f%5D%2FgroupInfoFuel%5B%40ordinal%3D1%5D%2FpicFuelRecibeInterno","Descargar")</f>
        <v>Descargar</v>
      </c>
    </row>
    <row r="2845" spans="1:18" x14ac:dyDescent="0.3">
      <c r="A2845">
        <v>1535583</v>
      </c>
      <c r="B2845" t="s">
        <v>18</v>
      </c>
      <c r="C2845" t="s">
        <v>100</v>
      </c>
      <c r="D2845" t="s">
        <v>716</v>
      </c>
      <c r="E2845" t="s">
        <v>2239</v>
      </c>
      <c r="F2845" t="s">
        <v>22</v>
      </c>
      <c r="G2845" t="s">
        <v>23</v>
      </c>
      <c r="H2845" t="s">
        <v>1781</v>
      </c>
      <c r="I2845" t="s">
        <v>25</v>
      </c>
      <c r="J2845" s="2">
        <v>45790.928020833337</v>
      </c>
      <c r="K2845">
        <v>13</v>
      </c>
      <c r="L2845">
        <v>5</v>
      </c>
      <c r="M2845">
        <v>2025</v>
      </c>
      <c r="N2845" t="s">
        <v>27</v>
      </c>
      <c r="O2845">
        <v>85</v>
      </c>
      <c r="P2845">
        <v>85</v>
      </c>
      <c r="R2845" s="3" t="str">
        <f>HYPERLINK("https://panda.att.com.mx/ODKServer/view/binaryData?blobKey=FSSuministroFluidosv3%5B%40version%3Dnull+and+%40uiVersion%3Dnull%5D%2Fdata%5B%40key%3Duuid%3Ad6ca6573-4edb-4352-a1b3-76118f5a72a8%5D%2FgroupInfoFuel%5B%40ordinal%3D1%5D%2FpicFuelRecibeInterno","Descargar")</f>
        <v>Descargar</v>
      </c>
    </row>
    <row r="2846" spans="1:18" x14ac:dyDescent="0.3">
      <c r="A2846">
        <v>1535579</v>
      </c>
      <c r="B2846" t="s">
        <v>18</v>
      </c>
      <c r="C2846" t="s">
        <v>19</v>
      </c>
      <c r="D2846" t="s">
        <v>347</v>
      </c>
      <c r="E2846" t="s">
        <v>2240</v>
      </c>
      <c r="F2846" t="s">
        <v>22</v>
      </c>
      <c r="G2846" t="s">
        <v>23</v>
      </c>
      <c r="H2846" t="s">
        <v>24</v>
      </c>
      <c r="I2846" t="s">
        <v>25</v>
      </c>
      <c r="J2846" s="2">
        <v>45781.412905092591</v>
      </c>
      <c r="K2846">
        <v>4</v>
      </c>
      <c r="L2846">
        <v>5</v>
      </c>
      <c r="M2846">
        <v>2025</v>
      </c>
      <c r="N2846" t="s">
        <v>27</v>
      </c>
      <c r="O2846">
        <v>100</v>
      </c>
      <c r="P2846">
        <v>100</v>
      </c>
      <c r="R2846" s="3" t="str">
        <f>HYPERLINK("https://panda.att.com.mx/ODKServer/view/binaryData?blobKey=FSSuministroFluidosv3%5B%40version%3Dnull+and+%40uiVersion%3Dnull%5D%2Fdata%5B%40key%3Duuid%3A4b0ebc04-af73-4912-a238-bb029b07a52a%5D%2FgroupInfoFuel%5B%40ordinal%3D1%5D%2FpicFuelRecibeInterno","Descargar")</f>
        <v>Descargar</v>
      </c>
    </row>
    <row r="2847" spans="1:18" x14ac:dyDescent="0.3">
      <c r="A2847">
        <v>1535544</v>
      </c>
      <c r="B2847" t="s">
        <v>18</v>
      </c>
      <c r="C2847" t="s">
        <v>59</v>
      </c>
      <c r="D2847" t="s">
        <v>60</v>
      </c>
      <c r="E2847" t="s">
        <v>2207</v>
      </c>
      <c r="F2847" t="s">
        <v>22</v>
      </c>
      <c r="G2847" t="s">
        <v>23</v>
      </c>
      <c r="H2847" t="s">
        <v>37</v>
      </c>
      <c r="I2847" t="s">
        <v>25</v>
      </c>
      <c r="J2847" s="2">
        <v>45789.91064814815</v>
      </c>
      <c r="K2847">
        <v>12</v>
      </c>
      <c r="L2847">
        <v>5</v>
      </c>
      <c r="M2847">
        <v>2025</v>
      </c>
      <c r="N2847" t="s">
        <v>27</v>
      </c>
      <c r="O2847">
        <v>180</v>
      </c>
      <c r="P2847">
        <v>180</v>
      </c>
      <c r="R2847" s="3" t="str">
        <f>HYPERLINK("https://panda.att.com.mx/ODKServer/view/binaryData?blobKey=FSSuministroFluidosv3%5B%40version%3Dnull+and+%40uiVersion%3Dnull%5D%2Fdata%5B%40key%3Duuid%3A335fc740-b842-4904-96e0-e1ce1deda420%5D%2FgroupInfoFuel%5B%40ordinal%3D1%5D%2FpicFuelRecibeInterno","Descargar")</f>
        <v>Descargar</v>
      </c>
    </row>
    <row r="2848" spans="1:18" x14ac:dyDescent="0.3">
      <c r="A2848">
        <v>1535537</v>
      </c>
      <c r="B2848" t="s">
        <v>18</v>
      </c>
      <c r="C2848" t="s">
        <v>34</v>
      </c>
      <c r="D2848" t="s">
        <v>53</v>
      </c>
      <c r="E2848" t="s">
        <v>2221</v>
      </c>
      <c r="F2848" t="s">
        <v>22</v>
      </c>
      <c r="G2848" t="s">
        <v>23</v>
      </c>
      <c r="H2848" t="s">
        <v>37</v>
      </c>
      <c r="I2848" t="s">
        <v>25</v>
      </c>
      <c r="J2848" s="2">
        <v>45790.840474537043</v>
      </c>
      <c r="K2848">
        <v>13</v>
      </c>
      <c r="L2848">
        <v>5</v>
      </c>
      <c r="M2848">
        <v>2025</v>
      </c>
      <c r="N2848" t="s">
        <v>27</v>
      </c>
      <c r="O2848">
        <v>200</v>
      </c>
      <c r="P2848">
        <v>200</v>
      </c>
      <c r="R2848" s="3" t="str">
        <f>HYPERLINK("https://panda.att.com.mx/ODKServer/view/binaryData?blobKey=FSSuministroFluidosv3%5B%40version%3Dnull+and+%40uiVersion%3Dnull%5D%2Fdata%5B%40key%3Duuid%3A6b502c19-6c1b-4a5f-af49-a83cd5ac80f5%5D%2FgroupInfoFuel%5B%40ordinal%3D1%5D%2FpicFuelRecibeInterno","Descargar")</f>
        <v>Descargar</v>
      </c>
    </row>
    <row r="2849" spans="1:18" x14ac:dyDescent="0.3">
      <c r="A2849">
        <v>1535520</v>
      </c>
      <c r="B2849" t="s">
        <v>18</v>
      </c>
      <c r="C2849" t="s">
        <v>55</v>
      </c>
      <c r="D2849" t="s">
        <v>56</v>
      </c>
      <c r="E2849" t="s">
        <v>2241</v>
      </c>
      <c r="F2849" t="s">
        <v>22</v>
      </c>
      <c r="G2849" t="s">
        <v>23</v>
      </c>
      <c r="H2849" t="s">
        <v>1763</v>
      </c>
      <c r="I2849" t="s">
        <v>25</v>
      </c>
      <c r="J2849" s="2">
        <v>45780.643703703703</v>
      </c>
      <c r="K2849">
        <v>3</v>
      </c>
      <c r="L2849">
        <v>5</v>
      </c>
      <c r="M2849">
        <v>2025</v>
      </c>
      <c r="N2849" t="s">
        <v>27</v>
      </c>
      <c r="O2849">
        <v>100</v>
      </c>
      <c r="P2849">
        <v>100</v>
      </c>
      <c r="R2849" s="3" t="str">
        <f>HYPERLINK("https://panda.att.com.mx/ODKServer/view/binaryData?blobKey=FSSuministroFluidosv3%5B%40version%3Dnull+and+%40uiVersion%3Dnull%5D%2Fdata%5B%40key%3Duuid%3A5d880b3d-b381-4082-b891-2df0c9aaaa65%5D%2FgroupInfoFuel%5B%40ordinal%3D1%5D%2FpicFuelRecibeInterno","Descargar")</f>
        <v>Descargar</v>
      </c>
    </row>
    <row r="2850" spans="1:18" x14ac:dyDescent="0.3">
      <c r="A2850">
        <v>1535510</v>
      </c>
      <c r="B2850" t="s">
        <v>18</v>
      </c>
      <c r="C2850" t="s">
        <v>55</v>
      </c>
      <c r="D2850" t="s">
        <v>56</v>
      </c>
      <c r="E2850" t="s">
        <v>1670</v>
      </c>
      <c r="F2850" t="s">
        <v>22</v>
      </c>
      <c r="G2850" t="s">
        <v>23</v>
      </c>
      <c r="H2850" t="s">
        <v>1763</v>
      </c>
      <c r="I2850" t="s">
        <v>25</v>
      </c>
      <c r="J2850" s="2">
        <v>45780.579965277779</v>
      </c>
      <c r="K2850">
        <v>3</v>
      </c>
      <c r="L2850">
        <v>5</v>
      </c>
      <c r="M2850">
        <v>2025</v>
      </c>
      <c r="N2850" t="s">
        <v>27</v>
      </c>
      <c r="O2850">
        <v>300</v>
      </c>
      <c r="P2850">
        <v>300</v>
      </c>
      <c r="R2850" s="3" t="str">
        <f>HYPERLINK("https://panda.att.com.mx/ODKServer/view/binaryData?blobKey=FSSuministroFluidosv3%5B%40version%3Dnull+and+%40uiVersion%3Dnull%5D%2Fdata%5B%40key%3Duuid%3A73004fc8-6748-4cf2-99d4-3e22e9ef4827%5D%2FgroupInfoFuel%5B%40ordinal%3D1%5D%2FpicFuelRecibeInterno","Descargar")</f>
        <v>Descargar</v>
      </c>
    </row>
    <row r="2851" spans="1:18" x14ac:dyDescent="0.3">
      <c r="A2851">
        <v>1535509</v>
      </c>
      <c r="B2851" t="s">
        <v>18</v>
      </c>
      <c r="C2851" t="s">
        <v>55</v>
      </c>
      <c r="D2851" t="s">
        <v>56</v>
      </c>
      <c r="E2851" t="s">
        <v>320</v>
      </c>
      <c r="F2851" t="s">
        <v>22</v>
      </c>
      <c r="G2851" t="s">
        <v>23</v>
      </c>
      <c r="H2851" t="s">
        <v>1763</v>
      </c>
      <c r="I2851" t="s">
        <v>25</v>
      </c>
      <c r="J2851" s="2">
        <v>45780.478298611109</v>
      </c>
      <c r="K2851">
        <v>3</v>
      </c>
      <c r="L2851">
        <v>5</v>
      </c>
      <c r="M2851">
        <v>2025</v>
      </c>
      <c r="N2851" t="s">
        <v>27</v>
      </c>
      <c r="O2851">
        <v>300</v>
      </c>
      <c r="P2851">
        <v>300</v>
      </c>
      <c r="R2851" s="3" t="str">
        <f>HYPERLINK("https://panda.att.com.mx/ODKServer/view/binaryData?blobKey=FSSuministroFluidosv3%5B%40version%3Dnull+and+%40uiVersion%3Dnull%5D%2Fdata%5B%40key%3Duuid%3Af95c24b2-87af-4c76-82f4-0be5c1a1e5db%5D%2FgroupInfoFuel%5B%40ordinal%3D1%5D%2FpicFuelRecibeInterno","Descargar")</f>
        <v>Descargar</v>
      </c>
    </row>
    <row r="2852" spans="1:18" x14ac:dyDescent="0.3">
      <c r="A2852">
        <v>1534096</v>
      </c>
      <c r="B2852" t="s">
        <v>18</v>
      </c>
      <c r="C2852" t="s">
        <v>167</v>
      </c>
      <c r="D2852" t="s">
        <v>509</v>
      </c>
      <c r="E2852" t="s">
        <v>2139</v>
      </c>
      <c r="F2852" t="s">
        <v>22</v>
      </c>
      <c r="G2852" t="s">
        <v>23</v>
      </c>
      <c r="H2852" t="s">
        <v>58</v>
      </c>
      <c r="I2852" t="s">
        <v>84</v>
      </c>
      <c r="J2852" s="2">
        <v>45786.472442129627</v>
      </c>
      <c r="K2852">
        <v>9</v>
      </c>
      <c r="L2852">
        <v>5</v>
      </c>
      <c r="M2852">
        <v>2025</v>
      </c>
      <c r="N2852" t="s">
        <v>27</v>
      </c>
      <c r="O2852">
        <v>162</v>
      </c>
      <c r="Q2852">
        <v>162</v>
      </c>
      <c r="R2852" s="3" t="str">
        <f>HYPERLINK("https://panda.att.com.mx/ODKServer/view/binaryData?blobKey=FSSuministroFluidosv3%5B%40version%3Dnull+and+%40uiVersion%3Dnull%5D%2Fdata%5B%40key%3Duuid%3Aa5a789f4-285e-496d-a9eb-5e761eda78d6%5D%2FgroupInfoFuel%5B%40ordinal%3D1%5D%2FpicFuelRecibeInterno","Descargar")</f>
        <v>Descargar</v>
      </c>
    </row>
    <row r="2853" spans="1:18" x14ac:dyDescent="0.3">
      <c r="A2853">
        <v>1534080</v>
      </c>
      <c r="B2853" t="s">
        <v>18</v>
      </c>
      <c r="C2853" t="s">
        <v>55</v>
      </c>
      <c r="D2853" t="s">
        <v>56</v>
      </c>
      <c r="E2853" t="s">
        <v>2242</v>
      </c>
      <c r="F2853" t="s">
        <v>22</v>
      </c>
      <c r="G2853" t="s">
        <v>23</v>
      </c>
      <c r="H2853" t="s">
        <v>1763</v>
      </c>
      <c r="I2853" t="s">
        <v>25</v>
      </c>
      <c r="J2853" s="2">
        <v>45787.463587962957</v>
      </c>
      <c r="K2853">
        <v>10</v>
      </c>
      <c r="L2853">
        <v>5</v>
      </c>
      <c r="M2853">
        <v>2025</v>
      </c>
      <c r="N2853" t="s">
        <v>27</v>
      </c>
      <c r="O2853">
        <v>100</v>
      </c>
      <c r="P2853">
        <v>100</v>
      </c>
      <c r="R2853" s="3" t="str">
        <f>HYPERLINK("https://panda.att.com.mx/ODKServer/view/binaryData?blobKey=FSSuministroFluidosv3%5B%40version%3Dnull+and+%40uiVersion%3Dnull%5D%2Fdata%5B%40key%3Duuid%3A21f97225-497a-4d63-89e0-779c50e8f906%5D%2FgroupInfoFuel%5B%40ordinal%3D1%5D%2FpicFuelRecibeInterno","Descargar")</f>
        <v>Descargar</v>
      </c>
    </row>
    <row r="2854" spans="1:18" x14ac:dyDescent="0.3">
      <c r="A2854">
        <v>1534059</v>
      </c>
      <c r="B2854" t="s">
        <v>18</v>
      </c>
      <c r="C2854" t="s">
        <v>55</v>
      </c>
      <c r="D2854" t="s">
        <v>128</v>
      </c>
      <c r="E2854" t="s">
        <v>1117</v>
      </c>
      <c r="F2854" t="s">
        <v>22</v>
      </c>
      <c r="G2854" t="s">
        <v>23</v>
      </c>
      <c r="H2854" t="s">
        <v>1763</v>
      </c>
      <c r="I2854" t="s">
        <v>25</v>
      </c>
      <c r="J2854" s="2">
        <v>45783.405335648153</v>
      </c>
      <c r="K2854">
        <v>6</v>
      </c>
      <c r="L2854">
        <v>5</v>
      </c>
      <c r="M2854">
        <v>2025</v>
      </c>
      <c r="N2854" t="s">
        <v>27</v>
      </c>
      <c r="O2854">
        <v>300</v>
      </c>
      <c r="P2854">
        <v>300</v>
      </c>
      <c r="R2854" s="3" t="str">
        <f>HYPERLINK("https://panda.att.com.mx/ODKServer/view/binaryData?blobKey=FSSuministroFluidosv3%5B%40version%3Dnull+and+%40uiVersion%3Dnull%5D%2Fdata%5B%40key%3Duuid%3Aad5094c0-d32c-45d8-bfa0-2413a81a4464%5D%2FgroupInfoFuel%5B%40ordinal%3D1%5D%2FpicFuelRecibeInterno","Descargar")</f>
        <v>Descargar</v>
      </c>
    </row>
    <row r="2855" spans="1:18" x14ac:dyDescent="0.3">
      <c r="A2855">
        <v>1534050</v>
      </c>
      <c r="B2855" t="s">
        <v>18</v>
      </c>
      <c r="C2855" t="s">
        <v>68</v>
      </c>
      <c r="D2855" t="s">
        <v>91</v>
      </c>
      <c r="E2855" t="s">
        <v>2243</v>
      </c>
      <c r="F2855" t="s">
        <v>22</v>
      </c>
      <c r="G2855" t="s">
        <v>23</v>
      </c>
      <c r="H2855" t="s">
        <v>37</v>
      </c>
      <c r="I2855" t="s">
        <v>25</v>
      </c>
      <c r="J2855" s="2">
        <v>45789.450381944444</v>
      </c>
      <c r="K2855">
        <v>12</v>
      </c>
      <c r="L2855">
        <v>5</v>
      </c>
      <c r="M2855">
        <v>2025</v>
      </c>
      <c r="N2855" t="s">
        <v>27</v>
      </c>
      <c r="O2855">
        <v>100</v>
      </c>
      <c r="P2855">
        <v>100</v>
      </c>
      <c r="R2855" s="3" t="str">
        <f>HYPERLINK("https://panda.att.com.mx/ODKServer/view/binaryData?blobKey=FSSuministroFluidosv3%5B%40version%3Dnull+and+%40uiVersion%3Dnull%5D%2Fdata%5B%40key%3Duuid%3Aeb3f8e94-6822-4417-97ea-aa1c94873eb7%5D%2FgroupInfoFuel%5B%40ordinal%3D1%5D%2FpicFuelRecibeInterno","Descargar")</f>
        <v>Descargar</v>
      </c>
    </row>
    <row r="2856" spans="1:18" x14ac:dyDescent="0.3">
      <c r="A2856">
        <v>1534044</v>
      </c>
      <c r="B2856" t="s">
        <v>18</v>
      </c>
      <c r="C2856" t="s">
        <v>167</v>
      </c>
      <c r="D2856" t="s">
        <v>168</v>
      </c>
      <c r="E2856" t="s">
        <v>266</v>
      </c>
      <c r="F2856" t="s">
        <v>22</v>
      </c>
      <c r="G2856" t="s">
        <v>83</v>
      </c>
      <c r="H2856" t="s">
        <v>58</v>
      </c>
      <c r="I2856" t="s">
        <v>25</v>
      </c>
      <c r="J2856" s="2">
        <v>45789.512569444443</v>
      </c>
      <c r="K2856">
        <v>12</v>
      </c>
      <c r="L2856">
        <v>5</v>
      </c>
      <c r="M2856">
        <v>2025</v>
      </c>
      <c r="N2856" t="s">
        <v>27</v>
      </c>
      <c r="O2856">
        <v>450</v>
      </c>
      <c r="P2856">
        <v>450</v>
      </c>
      <c r="R2856" s="3" t="str">
        <f>HYPERLINK("https://panda.att.com.mx/ODKServer/view/binaryData?blobKey=FSSuministroFluidosv3%5B%40version%3Dnull+and+%40uiVersion%3Dnull%5D%2Fdata%5B%40key%3Duuid%3Aab0b7277-af1d-4a30-890e-32e806078623%5D%2FgroupInfoFuel%5B%40ordinal%3D1%5D%2FpicFuelRecibeInterno","Descargar")</f>
        <v>Descargar</v>
      </c>
    </row>
    <row r="2857" spans="1:18" x14ac:dyDescent="0.3">
      <c r="A2857">
        <v>1534008</v>
      </c>
      <c r="B2857" t="s">
        <v>18</v>
      </c>
      <c r="C2857" t="s">
        <v>55</v>
      </c>
      <c r="D2857" t="s">
        <v>56</v>
      </c>
      <c r="E2857" t="s">
        <v>2083</v>
      </c>
      <c r="F2857" t="s">
        <v>22</v>
      </c>
      <c r="G2857" t="s">
        <v>23</v>
      </c>
      <c r="H2857" t="s">
        <v>1763</v>
      </c>
      <c r="I2857" t="s">
        <v>25</v>
      </c>
      <c r="J2857" s="2">
        <v>45787.506863425922</v>
      </c>
      <c r="K2857">
        <v>10</v>
      </c>
      <c r="L2857">
        <v>5</v>
      </c>
      <c r="M2857">
        <v>2025</v>
      </c>
      <c r="N2857" t="s">
        <v>27</v>
      </c>
      <c r="O2857">
        <v>100</v>
      </c>
      <c r="P2857">
        <v>100</v>
      </c>
      <c r="R2857" s="3" t="str">
        <f>HYPERLINK("https://panda.att.com.mx/ODKServer/view/binaryData?blobKey=FSSuministroFluidosv3%5B%40version%3Dnull+and+%40uiVersion%3Dnull%5D%2Fdata%5B%40key%3Duuid%3A6e0ba2b9-bcf1-4097-8df5-a980e880c219%5D%2FgroupInfoFuel%5B%40ordinal%3D1%5D%2FpicFuelRecibeInterno","Descargar")</f>
        <v>Descargar</v>
      </c>
    </row>
    <row r="2858" spans="1:18" x14ac:dyDescent="0.3">
      <c r="A2858">
        <v>1534000</v>
      </c>
      <c r="B2858" t="s">
        <v>18</v>
      </c>
      <c r="C2858" t="s">
        <v>55</v>
      </c>
      <c r="D2858" t="s">
        <v>56</v>
      </c>
      <c r="E2858" t="s">
        <v>2083</v>
      </c>
      <c r="F2858" t="s">
        <v>22</v>
      </c>
      <c r="G2858" t="s">
        <v>23</v>
      </c>
      <c r="H2858" t="s">
        <v>1763</v>
      </c>
      <c r="I2858" t="s">
        <v>25</v>
      </c>
      <c r="J2858" s="2">
        <v>45785.648541666669</v>
      </c>
      <c r="K2858">
        <v>8</v>
      </c>
      <c r="L2858">
        <v>5</v>
      </c>
      <c r="M2858">
        <v>2025</v>
      </c>
      <c r="N2858" t="s">
        <v>27</v>
      </c>
      <c r="O2858">
        <v>100</v>
      </c>
      <c r="P2858">
        <v>100</v>
      </c>
      <c r="R2858" s="3" t="str">
        <f>HYPERLINK("https://panda.att.com.mx/ODKServer/view/binaryData?blobKey=FSSuministroFluidosv3%5B%40version%3Dnull+and+%40uiVersion%3Dnull%5D%2Fdata%5B%40key%3Duuid%3Ac7133dfe-0e6c-4f81-b69f-8e35d3c4961f%5D%2FgroupInfoFuel%5B%40ordinal%3D1%5D%2FpicFuelRecibeInterno","Descargar")</f>
        <v>Descargar</v>
      </c>
    </row>
    <row r="2859" spans="1:18" x14ac:dyDescent="0.3">
      <c r="A2859">
        <v>1533993</v>
      </c>
      <c r="B2859" t="s">
        <v>18</v>
      </c>
      <c r="C2859" t="s">
        <v>55</v>
      </c>
      <c r="D2859" t="s">
        <v>56</v>
      </c>
      <c r="E2859" t="s">
        <v>1842</v>
      </c>
      <c r="F2859" t="s">
        <v>22</v>
      </c>
      <c r="G2859" t="s">
        <v>23</v>
      </c>
      <c r="H2859" t="s">
        <v>1763</v>
      </c>
      <c r="I2859" t="s">
        <v>25</v>
      </c>
      <c r="J2859" s="2">
        <v>45780.375243055547</v>
      </c>
      <c r="K2859">
        <v>3</v>
      </c>
      <c r="L2859">
        <v>5</v>
      </c>
      <c r="M2859">
        <v>2025</v>
      </c>
      <c r="N2859" t="s">
        <v>27</v>
      </c>
      <c r="O2859">
        <v>300</v>
      </c>
      <c r="P2859">
        <v>300</v>
      </c>
      <c r="R2859" s="3" t="str">
        <f>HYPERLINK("https://panda.att.com.mx/ODKServer/view/binaryData?blobKey=FSSuministroFluidosv3%5B%40version%3Dnull+and+%40uiVersion%3Dnull%5D%2Fdata%5B%40key%3Duuid%3A87e92b70-2b69-4c29-8fe8-3ff234bf499b%5D%2FgroupInfoFuel%5B%40ordinal%3D1%5D%2FpicFuelRecibeInterno","Descargar")</f>
        <v>Descargar</v>
      </c>
    </row>
    <row r="2860" spans="1:18" x14ac:dyDescent="0.3">
      <c r="A2860">
        <v>1533989</v>
      </c>
      <c r="B2860" t="s">
        <v>18</v>
      </c>
      <c r="C2860" t="s">
        <v>55</v>
      </c>
      <c r="D2860" t="s">
        <v>56</v>
      </c>
      <c r="E2860" t="s">
        <v>2083</v>
      </c>
      <c r="F2860" t="s">
        <v>22</v>
      </c>
      <c r="G2860" t="s">
        <v>23</v>
      </c>
      <c r="H2860" t="s">
        <v>1763</v>
      </c>
      <c r="I2860" t="s">
        <v>25</v>
      </c>
      <c r="J2860" s="2">
        <v>45784.619756944441</v>
      </c>
      <c r="K2860">
        <v>7</v>
      </c>
      <c r="L2860">
        <v>5</v>
      </c>
      <c r="M2860">
        <v>2025</v>
      </c>
      <c r="N2860" t="s">
        <v>27</v>
      </c>
      <c r="O2860">
        <v>100</v>
      </c>
      <c r="P2860">
        <v>100</v>
      </c>
      <c r="R2860" s="3" t="str">
        <f>HYPERLINK("https://panda.att.com.mx/ODKServer/view/binaryData?blobKey=FSSuministroFluidosv3%5B%40version%3Dnull+and+%40uiVersion%3Dnull%5D%2Fdata%5B%40key%3Duuid%3Ae8d0ffa9-188f-490e-b14e-3ecc6013cfc1%5D%2FgroupInfoFuel%5B%40ordinal%3D1%5D%2FpicFuelRecibeInterno","Descargar")</f>
        <v>Descargar</v>
      </c>
    </row>
    <row r="2861" spans="1:18" x14ac:dyDescent="0.3">
      <c r="A2861">
        <v>1533943</v>
      </c>
      <c r="B2861" t="s">
        <v>18</v>
      </c>
      <c r="C2861" t="s">
        <v>55</v>
      </c>
      <c r="D2861" t="s">
        <v>56</v>
      </c>
      <c r="E2861" t="s">
        <v>1560</v>
      </c>
      <c r="F2861" t="s">
        <v>22</v>
      </c>
      <c r="G2861" t="s">
        <v>23</v>
      </c>
      <c r="H2861" t="s">
        <v>1763</v>
      </c>
      <c r="I2861" t="s">
        <v>25</v>
      </c>
      <c r="J2861" t="s">
        <v>2244</v>
      </c>
      <c r="K2861">
        <v>2</v>
      </c>
      <c r="L2861">
        <v>4</v>
      </c>
      <c r="M2861">
        <v>2025</v>
      </c>
      <c r="N2861" t="s">
        <v>27</v>
      </c>
      <c r="O2861">
        <v>350</v>
      </c>
      <c r="P2861">
        <v>350</v>
      </c>
      <c r="R2861" s="3" t="str">
        <f>HYPERLINK("https://panda.att.com.mx/ODKServer/view/binaryData?blobKey=FSSuministroFluidosv3%5B%40version%3Dnull+and+%40uiVersion%3Dnull%5D%2Fdata%5B%40key%3Duuid%3Ab98ef3bb-0d5f-4874-9e0d-478b648c51eb%5D%2FgroupInfoFuel%5B%40ordinal%3D1%5D%2FpicFuelRecibeInterno","Descargar")</f>
        <v>Descargar</v>
      </c>
    </row>
    <row r="2862" spans="1:18" x14ac:dyDescent="0.3">
      <c r="A2862">
        <v>1533913</v>
      </c>
      <c r="B2862" t="s">
        <v>18</v>
      </c>
      <c r="C2862" t="s">
        <v>150</v>
      </c>
      <c r="D2862" t="s">
        <v>230</v>
      </c>
      <c r="E2862" t="s">
        <v>1510</v>
      </c>
      <c r="F2862" t="s">
        <v>22</v>
      </c>
      <c r="G2862" t="s">
        <v>23</v>
      </c>
      <c r="H2862" t="s">
        <v>1781</v>
      </c>
      <c r="I2862" t="s">
        <v>25</v>
      </c>
      <c r="J2862" s="2">
        <v>45789.345081018517</v>
      </c>
      <c r="K2862">
        <v>12</v>
      </c>
      <c r="L2862">
        <v>5</v>
      </c>
      <c r="M2862">
        <v>2025</v>
      </c>
      <c r="N2862" t="s">
        <v>27</v>
      </c>
      <c r="O2862">
        <v>260.91000000000003</v>
      </c>
      <c r="P2862">
        <v>260.91000000000003</v>
      </c>
      <c r="R2862" s="3" t="str">
        <f>HYPERLINK("https://panda.att.com.mx/ODKServer/view/binaryData?blobKey=FSSuministroFluidosv3%5B%40version%3Dnull+and+%40uiVersion%3Dnull%5D%2Fdata%5B%40key%3Duuid%3A33b7a4d5-0e51-4c80-81fc-6fd74f4dd83f%5D%2FgroupInfoFuel%5B%40ordinal%3D1%5D%2FpicFuelRecibeInterno","Descargar")</f>
        <v>Descargar</v>
      </c>
    </row>
    <row r="2863" spans="1:18" x14ac:dyDescent="0.3">
      <c r="A2863">
        <v>1533871</v>
      </c>
      <c r="B2863" t="s">
        <v>18</v>
      </c>
      <c r="C2863" t="s">
        <v>28</v>
      </c>
      <c r="D2863" t="s">
        <v>177</v>
      </c>
      <c r="E2863" t="s">
        <v>449</v>
      </c>
      <c r="F2863" t="s">
        <v>22</v>
      </c>
      <c r="G2863" t="s">
        <v>23</v>
      </c>
      <c r="H2863" t="s">
        <v>24</v>
      </c>
      <c r="I2863" t="s">
        <v>25</v>
      </c>
      <c r="J2863" s="2">
        <v>45787.844756944447</v>
      </c>
      <c r="K2863">
        <v>10</v>
      </c>
      <c r="L2863">
        <v>5</v>
      </c>
      <c r="M2863">
        <v>2025</v>
      </c>
      <c r="N2863" t="s">
        <v>44</v>
      </c>
      <c r="O2863">
        <v>40</v>
      </c>
      <c r="P2863">
        <v>40</v>
      </c>
      <c r="R2863" s="3" t="str">
        <f>HYPERLINK("https://panda.att.com.mx/ODKServer/view/binaryData?blobKey=FSSuministroFluidosv3%5B%40version%3Dnull+and+%40uiVersion%3Dnull%5D%2Fdata%5B%40key%3Duuid%3Ad0d2166b-b6e5-4aaf-9da5-8272875862cd%5D%2FgroupInfoFuel%5B%40ordinal%3D1%5D%2FpicFuelRecibeInterno","Descargar")</f>
        <v>Descargar</v>
      </c>
    </row>
    <row r="2864" spans="1:18" x14ac:dyDescent="0.3">
      <c r="A2864">
        <v>1533828</v>
      </c>
      <c r="B2864" t="s">
        <v>18</v>
      </c>
      <c r="C2864" t="s">
        <v>28</v>
      </c>
      <c r="D2864" t="s">
        <v>118</v>
      </c>
      <c r="E2864" t="s">
        <v>416</v>
      </c>
      <c r="F2864" t="s">
        <v>22</v>
      </c>
      <c r="G2864" t="s">
        <v>23</v>
      </c>
      <c r="H2864" t="s">
        <v>24</v>
      </c>
      <c r="I2864" t="s">
        <v>25</v>
      </c>
      <c r="J2864" s="2">
        <v>45788.468310185177</v>
      </c>
      <c r="K2864">
        <v>11</v>
      </c>
      <c r="L2864">
        <v>5</v>
      </c>
      <c r="M2864">
        <v>2025</v>
      </c>
      <c r="N2864" t="s">
        <v>27</v>
      </c>
      <c r="O2864">
        <v>100</v>
      </c>
      <c r="P2864">
        <v>100</v>
      </c>
      <c r="R2864" s="3" t="str">
        <f>HYPERLINK("https://panda.att.com.mx/ODKServer/view/binaryData?blobKey=FSSuministroFluidosv3%5B%40version%3Dnull+and+%40uiVersion%3Dnull%5D%2Fdata%5B%40key%3Duuid%3A64722def-c9da-48f0-abf6-36a131308496%5D%2FgroupInfoFuel%5B%40ordinal%3D1%5D%2FpicFuelRecibeInterno","Descargar")</f>
        <v>Descargar</v>
      </c>
    </row>
    <row r="2865" spans="1:18" x14ac:dyDescent="0.3">
      <c r="A2865">
        <v>1533816</v>
      </c>
      <c r="B2865" t="s">
        <v>18</v>
      </c>
      <c r="C2865" t="s">
        <v>34</v>
      </c>
      <c r="D2865" t="s">
        <v>51</v>
      </c>
      <c r="E2865" t="s">
        <v>2245</v>
      </c>
      <c r="F2865" t="s">
        <v>22</v>
      </c>
      <c r="G2865" t="s">
        <v>23</v>
      </c>
      <c r="H2865" t="s">
        <v>24</v>
      </c>
      <c r="I2865" t="s">
        <v>25</v>
      </c>
      <c r="J2865" s="2">
        <v>45788.488229166673</v>
      </c>
      <c r="K2865">
        <v>11</v>
      </c>
      <c r="L2865">
        <v>5</v>
      </c>
      <c r="M2865">
        <v>2025</v>
      </c>
      <c r="N2865" t="s">
        <v>44</v>
      </c>
      <c r="O2865">
        <v>50</v>
      </c>
      <c r="Q2865">
        <v>50</v>
      </c>
      <c r="R2865" s="3" t="str">
        <f>HYPERLINK("https://panda.att.com.mx/ODKServer/view/binaryData?blobKey=FSSuministroFluidosv3%5B%40version%3Dnull+and+%40uiVersion%3Dnull%5D%2Fdata%5B%40key%3Duuid%3Accd74abb-2b1d-4117-8632-cb51a722d467%5D%2FgroupInfoFuel%5B%40ordinal%3D1%5D%2FpicFuelRecibeInterno","Descargar")</f>
        <v>Descargar</v>
      </c>
    </row>
    <row r="2866" spans="1:18" x14ac:dyDescent="0.3">
      <c r="A2866">
        <v>1533801</v>
      </c>
      <c r="B2866" t="s">
        <v>18</v>
      </c>
      <c r="C2866" t="s">
        <v>28</v>
      </c>
      <c r="D2866" t="s">
        <v>118</v>
      </c>
      <c r="E2866" t="s">
        <v>416</v>
      </c>
      <c r="F2866" t="s">
        <v>22</v>
      </c>
      <c r="G2866" t="s">
        <v>23</v>
      </c>
      <c r="H2866" t="s">
        <v>24</v>
      </c>
      <c r="I2866" t="s">
        <v>25</v>
      </c>
      <c r="J2866" s="2">
        <v>45786.740266203713</v>
      </c>
      <c r="K2866">
        <v>9</v>
      </c>
      <c r="L2866">
        <v>5</v>
      </c>
      <c r="M2866">
        <v>2025</v>
      </c>
      <c r="N2866" t="s">
        <v>27</v>
      </c>
      <c r="O2866">
        <v>150</v>
      </c>
      <c r="P2866">
        <v>150</v>
      </c>
      <c r="R2866" s="3" t="str">
        <f>HYPERLINK("https://panda.att.com.mx/ODKServer/view/binaryData?blobKey=FSSuministroFluidosv3%5B%40version%3Dnull+and+%40uiVersion%3Dnull%5D%2Fdata%5B%40key%3Duuid%3Aeb7d7424-d216-4bfc-81f3-a2a9700f01f0%5D%2FgroupInfoFuel%5B%40ordinal%3D1%5D%2FpicFuelRecibeInterno","Descargar")</f>
        <v>Descargar</v>
      </c>
    </row>
    <row r="2867" spans="1:18" x14ac:dyDescent="0.3">
      <c r="A2867">
        <v>1533790</v>
      </c>
      <c r="B2867" t="s">
        <v>18</v>
      </c>
      <c r="C2867" t="s">
        <v>59</v>
      </c>
      <c r="D2867" t="s">
        <v>60</v>
      </c>
      <c r="E2867" t="s">
        <v>2207</v>
      </c>
      <c r="F2867" t="s">
        <v>22</v>
      </c>
      <c r="G2867" t="s">
        <v>23</v>
      </c>
      <c r="H2867" t="s">
        <v>37</v>
      </c>
      <c r="I2867" t="s">
        <v>25</v>
      </c>
      <c r="J2867" s="2">
        <v>45787.981898148151</v>
      </c>
      <c r="K2867">
        <v>10</v>
      </c>
      <c r="L2867">
        <v>5</v>
      </c>
      <c r="M2867">
        <v>2025</v>
      </c>
      <c r="N2867" t="s">
        <v>27</v>
      </c>
      <c r="O2867">
        <v>180</v>
      </c>
      <c r="P2867">
        <v>180</v>
      </c>
      <c r="R2867" s="3" t="str">
        <f>HYPERLINK("https://panda.att.com.mx/ODKServer/view/binaryData?blobKey=FSSuministroFluidosv3%5B%40version%3Dnull+and+%40uiVersion%3Dnull%5D%2Fdata%5B%40key%3Duuid%3Ae6639b7d-6b3a-42a0-b389-c2eae6d26fcb%5D%2FgroupInfoFuel%5B%40ordinal%3D1%5D%2FpicFuelRecibeInterno","Descargar")</f>
        <v>Descargar</v>
      </c>
    </row>
    <row r="2868" spans="1:18" x14ac:dyDescent="0.3">
      <c r="A2868">
        <v>1533778</v>
      </c>
      <c r="B2868" t="s">
        <v>18</v>
      </c>
      <c r="C2868" t="s">
        <v>59</v>
      </c>
      <c r="D2868" t="s">
        <v>60</v>
      </c>
      <c r="E2868" t="s">
        <v>2207</v>
      </c>
      <c r="F2868" t="s">
        <v>22</v>
      </c>
      <c r="G2868" t="s">
        <v>23</v>
      </c>
      <c r="H2868" t="s">
        <v>37</v>
      </c>
      <c r="I2868" t="s">
        <v>25</v>
      </c>
      <c r="J2868" s="2">
        <v>45785.947835648149</v>
      </c>
      <c r="K2868">
        <v>8</v>
      </c>
      <c r="L2868">
        <v>5</v>
      </c>
      <c r="M2868">
        <v>2025</v>
      </c>
      <c r="N2868" t="s">
        <v>27</v>
      </c>
      <c r="O2868">
        <v>180</v>
      </c>
      <c r="P2868">
        <v>180</v>
      </c>
      <c r="R2868" s="3" t="str">
        <f>HYPERLINK("https://panda.att.com.mx/ODKServer/view/binaryData?blobKey=FSSuministroFluidosv3%5B%40version%3Dnull+and+%40uiVersion%3Dnull%5D%2Fdata%5B%40key%3Duuid%3A41fc54a7-7b9d-4cc7-9462-0902e56c5850%5D%2FgroupInfoFuel%5B%40ordinal%3D1%5D%2FpicFuelRecibeInterno","Descargar")</f>
        <v>Descargar</v>
      </c>
    </row>
    <row r="2869" spans="1:18" x14ac:dyDescent="0.3">
      <c r="A2869">
        <v>1533772</v>
      </c>
      <c r="B2869" t="s">
        <v>18</v>
      </c>
      <c r="C2869" t="s">
        <v>19</v>
      </c>
      <c r="D2869" t="s">
        <v>45</v>
      </c>
      <c r="E2869" t="s">
        <v>2246</v>
      </c>
      <c r="F2869" t="s">
        <v>22</v>
      </c>
      <c r="G2869" t="s">
        <v>23</v>
      </c>
      <c r="H2869" t="s">
        <v>24</v>
      </c>
      <c r="I2869" t="s">
        <v>25</v>
      </c>
      <c r="J2869" s="2">
        <v>45788.904074074067</v>
      </c>
      <c r="K2869">
        <v>11</v>
      </c>
      <c r="L2869">
        <v>5</v>
      </c>
      <c r="M2869">
        <v>2025</v>
      </c>
      <c r="N2869" t="s">
        <v>27</v>
      </c>
      <c r="O2869">
        <v>300</v>
      </c>
      <c r="P2869">
        <v>300</v>
      </c>
      <c r="R2869" s="3" t="str">
        <f>HYPERLINK("https://panda.att.com.mx/ODKServer/view/binaryData?blobKey=FSSuministroFluidosv3%5B%40version%3Dnull+and+%40uiVersion%3Dnull%5D%2Fdata%5B%40key%3Duuid%3A817acf67-89bc-47a3-a054-a74d159849d0%5D%2FgroupInfoFuel%5B%40ordinal%3D1%5D%2FpicFuelRecibeInterno","Descargar")</f>
        <v>Descargar</v>
      </c>
    </row>
    <row r="2870" spans="1:18" x14ac:dyDescent="0.3">
      <c r="A2870">
        <v>1533762</v>
      </c>
      <c r="B2870" t="s">
        <v>18</v>
      </c>
      <c r="C2870" t="s">
        <v>28</v>
      </c>
      <c r="D2870" t="s">
        <v>1529</v>
      </c>
      <c r="E2870" t="s">
        <v>2247</v>
      </c>
      <c r="F2870" t="s">
        <v>22</v>
      </c>
      <c r="G2870" t="s">
        <v>23</v>
      </c>
      <c r="H2870" t="s">
        <v>24</v>
      </c>
      <c r="I2870" t="s">
        <v>25</v>
      </c>
      <c r="J2870" s="2">
        <v>45788.584618055553</v>
      </c>
      <c r="K2870">
        <v>11</v>
      </c>
      <c r="L2870">
        <v>5</v>
      </c>
      <c r="M2870">
        <v>2025</v>
      </c>
      <c r="N2870" t="s">
        <v>44</v>
      </c>
      <c r="O2870">
        <v>60</v>
      </c>
      <c r="P2870">
        <v>60</v>
      </c>
      <c r="R2870" s="3" t="str">
        <f>HYPERLINK("https://panda.att.com.mx/ODKServer/view/binaryData?blobKey=FSSuministroFluidosv3%5B%40version%3Dnull+and+%40uiVersion%3Dnull%5D%2Fdata%5B%40key%3Duuid%3A07a22787-9213-41e2-b453-6a2a726ba166%5D%2FgroupInfoFuel%5B%40ordinal%3D1%5D%2FpicFuelRecibeInterno","Descargar")</f>
        <v>Descargar</v>
      </c>
    </row>
    <row r="2871" spans="1:18" x14ac:dyDescent="0.3">
      <c r="A2871">
        <v>1533734</v>
      </c>
      <c r="B2871" t="s">
        <v>18</v>
      </c>
      <c r="C2871" t="s">
        <v>100</v>
      </c>
      <c r="D2871" t="s">
        <v>716</v>
      </c>
      <c r="E2871" t="s">
        <v>717</v>
      </c>
      <c r="F2871" t="s">
        <v>22</v>
      </c>
      <c r="G2871" t="s">
        <v>83</v>
      </c>
      <c r="H2871" t="s">
        <v>1781</v>
      </c>
      <c r="I2871" t="s">
        <v>25</v>
      </c>
      <c r="J2871" s="2">
        <v>45788.781018518523</v>
      </c>
      <c r="K2871">
        <v>11</v>
      </c>
      <c r="L2871">
        <v>5</v>
      </c>
      <c r="M2871">
        <v>2025</v>
      </c>
      <c r="N2871" t="s">
        <v>27</v>
      </c>
      <c r="O2871">
        <v>120</v>
      </c>
      <c r="P2871">
        <v>120</v>
      </c>
      <c r="R2871" s="3" t="str">
        <f>HYPERLINK("https://panda.att.com.mx/ODKServer/view/binaryData?blobKey=FSSuministroFluidosv3%5B%40version%3Dnull+and+%40uiVersion%3Dnull%5D%2Fdata%5B%40key%3Duuid%3Aadec2cef-6d09-4ea8-b6c9-6efaefe54133%5D%2FgroupInfoFuel%5B%40ordinal%3D1%5D%2FpicFuelRecibeInterno","Descargar")</f>
        <v>Descargar</v>
      </c>
    </row>
    <row r="2872" spans="1:18" x14ac:dyDescent="0.3">
      <c r="A2872">
        <v>1533726</v>
      </c>
      <c r="B2872" t="s">
        <v>18</v>
      </c>
      <c r="C2872" t="s">
        <v>28</v>
      </c>
      <c r="D2872" t="s">
        <v>66</v>
      </c>
      <c r="E2872" t="s">
        <v>2092</v>
      </c>
      <c r="F2872" t="s">
        <v>22</v>
      </c>
      <c r="G2872" t="s">
        <v>23</v>
      </c>
      <c r="H2872" t="s">
        <v>24</v>
      </c>
      <c r="I2872" t="s">
        <v>25</v>
      </c>
      <c r="J2872" t="s">
        <v>2248</v>
      </c>
      <c r="K2872">
        <v>27</v>
      </c>
      <c r="L2872">
        <v>4</v>
      </c>
      <c r="M2872">
        <v>2025</v>
      </c>
      <c r="N2872" t="s">
        <v>44</v>
      </c>
      <c r="O2872">
        <v>30</v>
      </c>
      <c r="P2872">
        <v>30</v>
      </c>
      <c r="R2872" s="3" t="str">
        <f>HYPERLINK("https://panda.att.com.mx/ODKServer/view/binaryData?blobKey=FSSuministroFluidosv3%5B%40version%3Dnull+and+%40uiVersion%3Dnull%5D%2Fdata%5B%40key%3Duuid%3A66539463-932c-4e4f-88af-3a0e875607a8%5D%2FgroupInfoFuel%5B%40ordinal%3D1%5D%2FpicFuelRecibeInterno","Descargar")</f>
        <v>Descargar</v>
      </c>
    </row>
    <row r="2873" spans="1:18" x14ac:dyDescent="0.3">
      <c r="A2873">
        <v>1533706</v>
      </c>
      <c r="B2873" t="s">
        <v>18</v>
      </c>
      <c r="C2873" t="s">
        <v>19</v>
      </c>
      <c r="D2873" t="s">
        <v>42</v>
      </c>
      <c r="E2873" t="s">
        <v>2203</v>
      </c>
      <c r="F2873" t="s">
        <v>22</v>
      </c>
      <c r="G2873" t="s">
        <v>23</v>
      </c>
      <c r="H2873" t="s">
        <v>24</v>
      </c>
      <c r="I2873" t="s">
        <v>25</v>
      </c>
      <c r="J2873" s="2">
        <v>45788.405613425923</v>
      </c>
      <c r="K2873">
        <v>11</v>
      </c>
      <c r="L2873">
        <v>5</v>
      </c>
      <c r="M2873">
        <v>2025</v>
      </c>
      <c r="N2873" t="s">
        <v>44</v>
      </c>
      <c r="O2873">
        <v>45</v>
      </c>
      <c r="P2873">
        <v>45</v>
      </c>
      <c r="R2873" s="3" t="str">
        <f>HYPERLINK("https://panda.att.com.mx/ODKServer/view/binaryData?blobKey=FSSuministroFluidosv3%5B%40version%3Dnull+and+%40uiVersion%3Dnull%5D%2Fdata%5B%40key%3Duuid%3Adfdaf216-e65c-4c70-b225-f223c1a4e142%5D%2FgroupInfoFuel%5B%40ordinal%3D1%5D%2FpicFuelRecibeInterno","Descargar")</f>
        <v>Descargar</v>
      </c>
    </row>
    <row r="2874" spans="1:18" x14ac:dyDescent="0.3">
      <c r="A2874">
        <v>1533668</v>
      </c>
      <c r="B2874" t="s">
        <v>18</v>
      </c>
      <c r="C2874" t="s">
        <v>150</v>
      </c>
      <c r="D2874" t="s">
        <v>151</v>
      </c>
      <c r="E2874" t="s">
        <v>2220</v>
      </c>
      <c r="F2874" t="s">
        <v>22</v>
      </c>
      <c r="G2874" t="s">
        <v>23</v>
      </c>
      <c r="H2874" t="s">
        <v>1781</v>
      </c>
      <c r="I2874" t="s">
        <v>25</v>
      </c>
      <c r="J2874" s="2">
        <v>45788.547465277778</v>
      </c>
      <c r="K2874">
        <v>11</v>
      </c>
      <c r="L2874">
        <v>5</v>
      </c>
      <c r="M2874">
        <v>2025</v>
      </c>
      <c r="N2874" t="s">
        <v>27</v>
      </c>
      <c r="O2874">
        <v>100</v>
      </c>
      <c r="P2874">
        <v>100</v>
      </c>
      <c r="R2874" s="3" t="str">
        <f>HYPERLINK("https://panda.att.com.mx/ODKServer/view/binaryData?blobKey=FSSuministroFluidosv3%5B%40version%3Dnull+and+%40uiVersion%3Dnull%5D%2Fdata%5B%40key%3Duuid%3A79fe8c7a-af2a-4116-aaec-b86074d8ec6a%5D%2FgroupInfoFuel%5B%40ordinal%3D1%5D%2FpicFuelRecibeInterno","Descargar")</f>
        <v>Descargar</v>
      </c>
    </row>
    <row r="2875" spans="1:18" x14ac:dyDescent="0.3">
      <c r="A2875">
        <v>1533642</v>
      </c>
      <c r="B2875" t="s">
        <v>18</v>
      </c>
      <c r="C2875" t="s">
        <v>28</v>
      </c>
      <c r="D2875" t="s">
        <v>66</v>
      </c>
      <c r="E2875" t="s">
        <v>2094</v>
      </c>
      <c r="F2875" t="s">
        <v>22</v>
      </c>
      <c r="G2875" t="s">
        <v>23</v>
      </c>
      <c r="H2875" t="s">
        <v>24</v>
      </c>
      <c r="I2875" t="s">
        <v>25</v>
      </c>
      <c r="J2875" s="2">
        <v>45786.363229166673</v>
      </c>
      <c r="K2875">
        <v>9</v>
      </c>
      <c r="L2875">
        <v>5</v>
      </c>
      <c r="M2875">
        <v>2025</v>
      </c>
      <c r="N2875" t="s">
        <v>44</v>
      </c>
      <c r="O2875">
        <v>30</v>
      </c>
      <c r="Q2875">
        <v>30</v>
      </c>
      <c r="R2875" s="3" t="str">
        <f>HYPERLINK("https://panda.att.com.mx/ODKServer/view/binaryData?blobKey=FSSuministroFluidosv3%5B%40version%3Dnull+and+%40uiVersion%3Dnull%5D%2Fdata%5B%40key%3Duuid%3A2099c5b7-233d-4256-9218-be64c8bdd931%5D%2FgroupInfoFuel%5B%40ordinal%3D1%5D%2FpicFuelRecibeInterno","Descargar")</f>
        <v>Descargar</v>
      </c>
    </row>
    <row r="2876" spans="1:18" x14ac:dyDescent="0.3">
      <c r="A2876">
        <v>1533638</v>
      </c>
      <c r="B2876" t="s">
        <v>18</v>
      </c>
      <c r="C2876" t="s">
        <v>55</v>
      </c>
      <c r="D2876" t="s">
        <v>366</v>
      </c>
      <c r="E2876" t="s">
        <v>2219</v>
      </c>
      <c r="F2876" t="s">
        <v>22</v>
      </c>
      <c r="G2876" t="s">
        <v>23</v>
      </c>
      <c r="H2876" t="s">
        <v>1781</v>
      </c>
      <c r="I2876" t="s">
        <v>25</v>
      </c>
      <c r="J2876" s="2">
        <v>45788.413993055547</v>
      </c>
      <c r="K2876">
        <v>11</v>
      </c>
      <c r="L2876">
        <v>5</v>
      </c>
      <c r="M2876">
        <v>2025</v>
      </c>
      <c r="N2876" t="s">
        <v>27</v>
      </c>
      <c r="O2876">
        <v>113</v>
      </c>
      <c r="P2876">
        <v>113</v>
      </c>
      <c r="R2876" s="3" t="str">
        <f>HYPERLINK("https://panda.att.com.mx/ODKServer/view/binaryData?blobKey=FSSuministroFluidosv3%5B%40version%3Dnull+and+%40uiVersion%3Dnull%5D%2Fdata%5B%40key%3Duuid%3Af9cd5fcc-950e-4ec2-9c0e-ba7157503363%5D%2FgroupInfoFuel%5B%40ordinal%3D1%5D%2FpicFuelRecibeInterno","Descargar")</f>
        <v>Descargar</v>
      </c>
    </row>
    <row r="2877" spans="1:18" x14ac:dyDescent="0.3">
      <c r="A2877">
        <v>1533631</v>
      </c>
      <c r="B2877" t="s">
        <v>18</v>
      </c>
      <c r="C2877" t="s">
        <v>150</v>
      </c>
      <c r="D2877" t="s">
        <v>230</v>
      </c>
      <c r="E2877" t="s">
        <v>2249</v>
      </c>
      <c r="F2877" t="s">
        <v>22</v>
      </c>
      <c r="G2877" t="s">
        <v>23</v>
      </c>
      <c r="H2877" t="s">
        <v>1781</v>
      </c>
      <c r="I2877" t="s">
        <v>25</v>
      </c>
      <c r="J2877" s="2">
        <v>45788.307719907411</v>
      </c>
      <c r="K2877">
        <v>11</v>
      </c>
      <c r="L2877">
        <v>5</v>
      </c>
      <c r="M2877">
        <v>2025</v>
      </c>
      <c r="N2877" t="s">
        <v>27</v>
      </c>
      <c r="O2877">
        <v>220.01</v>
      </c>
      <c r="P2877">
        <v>220.01</v>
      </c>
      <c r="R2877" s="3" t="str">
        <f>HYPERLINK("https://panda.att.com.mx/ODKServer/view/binaryData?blobKey=FSSuministroFluidosv3%5B%40version%3Dnull+and+%40uiVersion%3Dnull%5D%2Fdata%5B%40key%3Duuid%3Aaedd5d65-c0c3-44cc-a517-fcd69c37a330%5D%2FgroupInfoFuel%5B%40ordinal%3D1%5D%2FpicFuelRecibeInterno","Descargar")</f>
        <v>Descargar</v>
      </c>
    </row>
    <row r="2878" spans="1:18" x14ac:dyDescent="0.3">
      <c r="A2878">
        <v>1533630</v>
      </c>
      <c r="B2878" t="s">
        <v>18</v>
      </c>
      <c r="C2878" t="s">
        <v>28</v>
      </c>
      <c r="D2878" t="s">
        <v>66</v>
      </c>
      <c r="E2878" t="s">
        <v>927</v>
      </c>
      <c r="F2878" t="s">
        <v>22</v>
      </c>
      <c r="G2878" t="s">
        <v>23</v>
      </c>
      <c r="H2878" t="s">
        <v>24</v>
      </c>
      <c r="I2878" t="s">
        <v>25</v>
      </c>
      <c r="J2878" s="2">
        <v>45787.559421296297</v>
      </c>
      <c r="K2878">
        <v>10</v>
      </c>
      <c r="L2878">
        <v>5</v>
      </c>
      <c r="M2878">
        <v>2025</v>
      </c>
      <c r="N2878" t="s">
        <v>44</v>
      </c>
      <c r="O2878">
        <v>40</v>
      </c>
      <c r="Q2878">
        <v>40</v>
      </c>
      <c r="R2878" s="3" t="str">
        <f>HYPERLINK("https://panda.att.com.mx/ODKServer/view/binaryData?blobKey=FSSuministroFluidosv3%5B%40version%3Dnull+and+%40uiVersion%3Dnull%5D%2Fdata%5B%40key%3Duuid%3A973aeecd-268c-4a67-9fc1-dc61094aa4f7%5D%2FgroupInfoFuel%5B%40ordinal%3D1%5D%2FpicFuelRecibeInterno","Descargar")</f>
        <v>Descargar</v>
      </c>
    </row>
    <row r="2879" spans="1:18" x14ac:dyDescent="0.3">
      <c r="A2879">
        <v>1533625</v>
      </c>
      <c r="B2879" t="s">
        <v>18</v>
      </c>
      <c r="C2879" t="s">
        <v>19</v>
      </c>
      <c r="D2879" t="s">
        <v>175</v>
      </c>
      <c r="E2879" t="s">
        <v>263</v>
      </c>
      <c r="F2879" t="s">
        <v>22</v>
      </c>
      <c r="G2879" t="s">
        <v>23</v>
      </c>
      <c r="H2879" t="s">
        <v>24</v>
      </c>
      <c r="I2879" t="s">
        <v>25</v>
      </c>
      <c r="J2879" s="2">
        <v>45788.01525462963</v>
      </c>
      <c r="K2879">
        <v>11</v>
      </c>
      <c r="L2879">
        <v>5</v>
      </c>
      <c r="M2879">
        <v>2025</v>
      </c>
      <c r="N2879" t="s">
        <v>44</v>
      </c>
      <c r="O2879">
        <v>35</v>
      </c>
      <c r="P2879">
        <v>35</v>
      </c>
      <c r="R2879" s="3" t="str">
        <f>HYPERLINK("https://panda.att.com.mx/ODKServer/view/binaryData?blobKey=FSSuministroFluidosv3%5B%40version%3Dnull+and+%40uiVersion%3Dnull%5D%2Fdata%5B%40key%3Duuid%3A94f024c2-523b-4c86-9bc9-75be655812f2%5D%2FgroupInfoFuel%5B%40ordinal%3D1%5D%2FpicFuelRecibeInterno","Descargar")</f>
        <v>Descargar</v>
      </c>
    </row>
    <row r="2880" spans="1:18" x14ac:dyDescent="0.3">
      <c r="A2880">
        <v>1533619</v>
      </c>
      <c r="B2880" t="s">
        <v>18</v>
      </c>
      <c r="C2880" t="s">
        <v>19</v>
      </c>
      <c r="D2880" t="s">
        <v>2250</v>
      </c>
      <c r="E2880" t="s">
        <v>2251</v>
      </c>
      <c r="F2880" t="s">
        <v>22</v>
      </c>
      <c r="G2880" t="s">
        <v>23</v>
      </c>
      <c r="H2880" t="s">
        <v>24</v>
      </c>
      <c r="I2880" t="s">
        <v>25</v>
      </c>
      <c r="J2880" t="s">
        <v>2252</v>
      </c>
      <c r="K2880">
        <v>29</v>
      </c>
      <c r="L2880">
        <v>4</v>
      </c>
      <c r="M2880">
        <v>2025</v>
      </c>
      <c r="N2880" t="s">
        <v>44</v>
      </c>
      <c r="O2880">
        <v>54</v>
      </c>
      <c r="P2880">
        <v>54</v>
      </c>
      <c r="R2880" s="3" t="str">
        <f>HYPERLINK("https://panda.att.com.mx/ODKServer/view/binaryData?blobKey=FSSuministroFluidosv3%5B%40version%3Dnull+and+%40uiVersion%3Dnull%5D%2Fdata%5B%40key%3Duuid%3Aea636c07-f25b-48b1-a93c-7cef04b95704%5D%2FgroupInfoFuel%5B%40ordinal%3D1%5D%2FpicFuelRecibeInterno","Descargar")</f>
        <v>Descargar</v>
      </c>
    </row>
    <row r="2881" spans="1:18" x14ac:dyDescent="0.3">
      <c r="A2881">
        <v>1533605</v>
      </c>
      <c r="B2881" t="s">
        <v>18</v>
      </c>
      <c r="C2881" t="s">
        <v>28</v>
      </c>
      <c r="D2881" t="s">
        <v>181</v>
      </c>
      <c r="E2881" t="s">
        <v>218</v>
      </c>
      <c r="F2881" t="s">
        <v>22</v>
      </c>
      <c r="G2881" t="s">
        <v>23</v>
      </c>
      <c r="H2881" t="s">
        <v>24</v>
      </c>
      <c r="I2881" t="s">
        <v>25</v>
      </c>
      <c r="J2881" s="2">
        <v>45786.495787037027</v>
      </c>
      <c r="K2881">
        <v>9</v>
      </c>
      <c r="L2881">
        <v>5</v>
      </c>
      <c r="M2881">
        <v>2025</v>
      </c>
      <c r="N2881" t="s">
        <v>27</v>
      </c>
      <c r="O2881">
        <v>300</v>
      </c>
      <c r="P2881">
        <v>300</v>
      </c>
      <c r="R2881" s="3" t="str">
        <f>HYPERLINK("https://panda.att.com.mx/ODKServer/view/binaryData?blobKey=FSSuministroFluidosv3%5B%40version%3Dnull+and+%40uiVersion%3Dnull%5D%2Fdata%5B%40key%3Duuid%3A66502342-7399-4626-9ff2-d28bca542c50%5D%2FgroupInfoFuel%5B%40ordinal%3D1%5D%2FpicFuelRecibeInterno","Descargar")</f>
        <v>Descargar</v>
      </c>
    </row>
    <row r="2882" spans="1:18" x14ac:dyDescent="0.3">
      <c r="A2882">
        <v>1533601</v>
      </c>
      <c r="B2882" t="s">
        <v>18</v>
      </c>
      <c r="C2882" t="s">
        <v>167</v>
      </c>
      <c r="D2882" t="s">
        <v>168</v>
      </c>
      <c r="E2882" t="s">
        <v>169</v>
      </c>
      <c r="F2882" t="s">
        <v>22</v>
      </c>
      <c r="G2882" t="s">
        <v>83</v>
      </c>
      <c r="H2882" t="s">
        <v>58</v>
      </c>
      <c r="I2882" t="s">
        <v>25</v>
      </c>
      <c r="J2882" s="2">
        <v>45787.43204861111</v>
      </c>
      <c r="K2882">
        <v>10</v>
      </c>
      <c r="L2882">
        <v>5</v>
      </c>
      <c r="M2882">
        <v>2025</v>
      </c>
      <c r="N2882" t="s">
        <v>27</v>
      </c>
      <c r="O2882">
        <v>450</v>
      </c>
      <c r="P2882">
        <v>450</v>
      </c>
      <c r="R2882" s="3" t="str">
        <f>HYPERLINK("https://panda.att.com.mx/ODKServer/view/binaryData?blobKey=FSSuministroFluidosv3%5B%40version%3Dnull+and+%40uiVersion%3Dnull%5D%2Fdata%5B%40key%3Duuid%3Aae3f0a01-9894-4522-9557-208316efe418%5D%2FgroupInfoFuel%5B%40ordinal%3D1%5D%2FpicFuelRecibeInterno","Descargar")</f>
        <v>Descargar</v>
      </c>
    </row>
    <row r="2883" spans="1:18" x14ac:dyDescent="0.3">
      <c r="A2883">
        <v>1533582</v>
      </c>
      <c r="B2883" t="s">
        <v>18</v>
      </c>
      <c r="C2883" t="s">
        <v>34</v>
      </c>
      <c r="D2883" t="s">
        <v>53</v>
      </c>
      <c r="E2883" t="s">
        <v>2154</v>
      </c>
      <c r="F2883" t="s">
        <v>22</v>
      </c>
      <c r="G2883" t="s">
        <v>23</v>
      </c>
      <c r="H2883" t="s">
        <v>37</v>
      </c>
      <c r="I2883" t="s">
        <v>25</v>
      </c>
      <c r="J2883" s="2">
        <v>45787.717303240737</v>
      </c>
      <c r="K2883">
        <v>10</v>
      </c>
      <c r="L2883">
        <v>5</v>
      </c>
      <c r="M2883">
        <v>2025</v>
      </c>
      <c r="N2883" t="s">
        <v>27</v>
      </c>
      <c r="O2883">
        <v>250</v>
      </c>
      <c r="P2883">
        <v>250</v>
      </c>
      <c r="R2883" s="3" t="str">
        <f>HYPERLINK("https://panda.att.com.mx/ODKServer/view/binaryData?blobKey=FSSuministroFluidosv3%5B%40version%3Dnull+and+%40uiVersion%3Dnull%5D%2Fdata%5B%40key%3Duuid%3Af3d1733e-916a-47a2-a623-db4c3edfadf0%5D%2FgroupInfoFuel%5B%40ordinal%3D1%5D%2FpicFuelRecibeInterno","Descargar")</f>
        <v>Descargar</v>
      </c>
    </row>
    <row r="2884" spans="1:18" x14ac:dyDescent="0.3">
      <c r="A2884">
        <v>1533581</v>
      </c>
      <c r="B2884" t="s">
        <v>18</v>
      </c>
      <c r="C2884" t="s">
        <v>100</v>
      </c>
      <c r="D2884" t="s">
        <v>101</v>
      </c>
      <c r="E2884" t="s">
        <v>126</v>
      </c>
      <c r="F2884" t="s">
        <v>22</v>
      </c>
      <c r="G2884" t="s">
        <v>83</v>
      </c>
      <c r="H2884" t="s">
        <v>1781</v>
      </c>
      <c r="I2884" t="s">
        <v>25</v>
      </c>
      <c r="J2884" s="2">
        <v>45787.508298611108</v>
      </c>
      <c r="K2884">
        <v>10</v>
      </c>
      <c r="L2884">
        <v>5</v>
      </c>
      <c r="M2884">
        <v>2025</v>
      </c>
      <c r="N2884" t="s">
        <v>27</v>
      </c>
      <c r="O2884">
        <v>300</v>
      </c>
      <c r="P2884">
        <v>300</v>
      </c>
      <c r="R2884" s="3" t="str">
        <f>HYPERLINK("https://panda.att.com.mx/ODKServer/view/binaryData?blobKey=FSSuministroFluidosv3%5B%40version%3Dnull+and+%40uiVersion%3Dnull%5D%2Fdata%5B%40key%3Duuid%3A926e0378-929b-47dd-ad3f-409bf4ba5668%5D%2FgroupInfoFuel%5B%40ordinal%3D1%5D%2FpicFuelRecibeInterno","Descargar")</f>
        <v>Descargar</v>
      </c>
    </row>
    <row r="2885" spans="1:18" x14ac:dyDescent="0.3">
      <c r="A2885">
        <v>1533556</v>
      </c>
      <c r="B2885" t="s">
        <v>18</v>
      </c>
      <c r="C2885" t="s">
        <v>28</v>
      </c>
      <c r="D2885" t="s">
        <v>118</v>
      </c>
      <c r="E2885" t="s">
        <v>145</v>
      </c>
      <c r="F2885" t="s">
        <v>22</v>
      </c>
      <c r="G2885" t="s">
        <v>23</v>
      </c>
      <c r="H2885" t="s">
        <v>24</v>
      </c>
      <c r="I2885" t="s">
        <v>25</v>
      </c>
      <c r="J2885" s="2">
        <v>45786.677824074082</v>
      </c>
      <c r="K2885">
        <v>9</v>
      </c>
      <c r="L2885">
        <v>5</v>
      </c>
      <c r="M2885">
        <v>2025</v>
      </c>
      <c r="N2885" t="s">
        <v>27</v>
      </c>
      <c r="O2885">
        <v>50</v>
      </c>
      <c r="P2885">
        <v>50</v>
      </c>
      <c r="R2885" s="3" t="str">
        <f>HYPERLINK("https://panda.att.com.mx/ODKServer/view/binaryData?blobKey=FSSuministroFluidosv3%5B%40version%3Dnull+and+%40uiVersion%3Dnull%5D%2Fdata%5B%40key%3Duuid%3Af966fb91-ba94-4339-a9b4-fb8e392eab38%5D%2FgroupInfoFuel%5B%40ordinal%3D1%5D%2FpicFuelRecibeInterno","Descargar")</f>
        <v>Descargar</v>
      </c>
    </row>
    <row r="2886" spans="1:18" x14ac:dyDescent="0.3">
      <c r="A2886">
        <v>1533555</v>
      </c>
      <c r="B2886" t="s">
        <v>18</v>
      </c>
      <c r="C2886" t="s">
        <v>28</v>
      </c>
      <c r="D2886" t="s">
        <v>118</v>
      </c>
      <c r="E2886" t="s">
        <v>455</v>
      </c>
      <c r="F2886" t="s">
        <v>22</v>
      </c>
      <c r="G2886" t="s">
        <v>23</v>
      </c>
      <c r="H2886" t="s">
        <v>24</v>
      </c>
      <c r="I2886" t="s">
        <v>25</v>
      </c>
      <c r="J2886" s="2">
        <v>45786.593854166669</v>
      </c>
      <c r="K2886">
        <v>9</v>
      </c>
      <c r="L2886">
        <v>5</v>
      </c>
      <c r="M2886">
        <v>2025</v>
      </c>
      <c r="N2886" t="s">
        <v>27</v>
      </c>
      <c r="O2886">
        <v>150</v>
      </c>
      <c r="P2886">
        <v>150</v>
      </c>
      <c r="R2886" s="3" t="str">
        <f>HYPERLINK("https://panda.att.com.mx/ODKServer/view/binaryData?blobKey=FSSuministroFluidosv3%5B%40version%3Dnull+and+%40uiVersion%3Dnull%5D%2Fdata%5B%40key%3Duuid%3A7fe7a06b-f2b5-4f00-b0fd-747df60f5bc7%5D%2FgroupInfoFuel%5B%40ordinal%3D1%5D%2FpicFuelRecibeInterno","Descargar")</f>
        <v>Descargar</v>
      </c>
    </row>
    <row r="2887" spans="1:18" x14ac:dyDescent="0.3">
      <c r="A2887">
        <v>1533554</v>
      </c>
      <c r="B2887" t="s">
        <v>18</v>
      </c>
      <c r="C2887" t="s">
        <v>28</v>
      </c>
      <c r="D2887" t="s">
        <v>118</v>
      </c>
      <c r="E2887" t="s">
        <v>1305</v>
      </c>
      <c r="F2887" t="s">
        <v>22</v>
      </c>
      <c r="G2887" t="s">
        <v>23</v>
      </c>
      <c r="H2887" t="s">
        <v>24</v>
      </c>
      <c r="I2887" t="s">
        <v>25</v>
      </c>
      <c r="J2887" s="2">
        <v>45786.565069444441</v>
      </c>
      <c r="K2887">
        <v>9</v>
      </c>
      <c r="L2887">
        <v>5</v>
      </c>
      <c r="M2887">
        <v>2025</v>
      </c>
      <c r="N2887" t="s">
        <v>27</v>
      </c>
      <c r="O2887">
        <v>200</v>
      </c>
      <c r="P2887">
        <v>200</v>
      </c>
      <c r="R2887" s="3" t="str">
        <f>HYPERLINK("https://panda.att.com.mx/ODKServer/view/binaryData?blobKey=FSSuministroFluidosv3%5B%40version%3Dnull+and+%40uiVersion%3Dnull%5D%2Fdata%5B%40key%3Duuid%3A757c9c43-4f36-4ce7-82dc-acd68940a0e0%5D%2FgroupInfoFuel%5B%40ordinal%3D1%5D%2FpicFuelRecibeInterno","Descargar")</f>
        <v>Descargar</v>
      </c>
    </row>
    <row r="2888" spans="1:18" x14ac:dyDescent="0.3">
      <c r="A2888">
        <v>1533545</v>
      </c>
      <c r="B2888" t="s">
        <v>18</v>
      </c>
      <c r="C2888" t="s">
        <v>28</v>
      </c>
      <c r="D2888" t="s">
        <v>315</v>
      </c>
      <c r="E2888" t="s">
        <v>2253</v>
      </c>
      <c r="F2888" t="s">
        <v>22</v>
      </c>
      <c r="G2888" t="s">
        <v>23</v>
      </c>
      <c r="H2888" t="s">
        <v>24</v>
      </c>
      <c r="I2888" t="s">
        <v>25</v>
      </c>
      <c r="J2888" s="2">
        <v>45787.301932870367</v>
      </c>
      <c r="K2888">
        <v>10</v>
      </c>
      <c r="L2888">
        <v>5</v>
      </c>
      <c r="M2888">
        <v>2025</v>
      </c>
      <c r="N2888" t="s">
        <v>44</v>
      </c>
      <c r="O2888">
        <v>30</v>
      </c>
      <c r="P2888">
        <v>30</v>
      </c>
      <c r="R2888" s="3" t="str">
        <f>HYPERLINK("https://panda.att.com.mx/ODKServer/view/binaryData?blobKey=FSSuministroFluidosv3%5B%40version%3Dnull+and+%40uiVersion%3Dnull%5D%2Fdata%5B%40key%3Duuid%3A71ef6a4d-7a3e-4c9e-a3bb-6a349009d19f%5D%2FgroupInfoFuel%5B%40ordinal%3D1%5D%2FpicFuelRecibeInterno","Descargar")</f>
        <v>Descargar</v>
      </c>
    </row>
    <row r="2889" spans="1:18" x14ac:dyDescent="0.3">
      <c r="A2889">
        <v>1533534</v>
      </c>
      <c r="B2889" t="s">
        <v>18</v>
      </c>
      <c r="C2889" t="s">
        <v>28</v>
      </c>
      <c r="D2889" t="s">
        <v>315</v>
      </c>
      <c r="E2889" t="s">
        <v>2254</v>
      </c>
      <c r="F2889" t="s">
        <v>22</v>
      </c>
      <c r="G2889" t="s">
        <v>23</v>
      </c>
      <c r="H2889" t="s">
        <v>24</v>
      </c>
      <c r="I2889" t="s">
        <v>25</v>
      </c>
      <c r="J2889" s="2">
        <v>45787.536782407413</v>
      </c>
      <c r="K2889">
        <v>10</v>
      </c>
      <c r="L2889">
        <v>5</v>
      </c>
      <c r="M2889">
        <v>2025</v>
      </c>
      <c r="N2889" t="s">
        <v>27</v>
      </c>
      <c r="O2889">
        <v>200</v>
      </c>
      <c r="Q2889">
        <v>200</v>
      </c>
      <c r="R2889" s="3" t="str">
        <f>HYPERLINK("https://panda.att.com.mx/ODKServer/view/binaryData?blobKey=FSSuministroFluidosv3%5B%40version%3Dnull+and+%40uiVersion%3Dnull%5D%2Fdata%5B%40key%3Duuid%3A1dc052ea-f6f9-4167-8167-9c25bd288280%5D%2FgroupInfoFuel%5B%40ordinal%3D1%5D%2FpicFuelRecibeInterno","Descargar")</f>
        <v>Descargar</v>
      </c>
    </row>
    <row r="2890" spans="1:18" x14ac:dyDescent="0.3">
      <c r="A2890">
        <v>1533530</v>
      </c>
      <c r="B2890" t="s">
        <v>18</v>
      </c>
      <c r="C2890" t="s">
        <v>19</v>
      </c>
      <c r="D2890" t="s">
        <v>109</v>
      </c>
      <c r="E2890" t="s">
        <v>110</v>
      </c>
      <c r="F2890" t="s">
        <v>22</v>
      </c>
      <c r="G2890" t="s">
        <v>23</v>
      </c>
      <c r="H2890" t="s">
        <v>24</v>
      </c>
      <c r="I2890" t="s">
        <v>25</v>
      </c>
      <c r="J2890" s="2">
        <v>45785.559386574067</v>
      </c>
      <c r="K2890">
        <v>8</v>
      </c>
      <c r="L2890">
        <v>5</v>
      </c>
      <c r="M2890">
        <v>2025</v>
      </c>
      <c r="N2890" t="s">
        <v>44</v>
      </c>
      <c r="O2890">
        <v>45</v>
      </c>
      <c r="P2890">
        <v>45</v>
      </c>
      <c r="R2890" s="3" t="str">
        <f>HYPERLINK("https://panda.att.com.mx/ODKServer/view/binaryData?blobKey=FSSuministroFluidosv3%5B%40version%3Dnull+and+%40uiVersion%3Dnull%5D%2Fdata%5B%40key%3Duuid%3A77605cea-2d75-4344-b523-a379bd59e6d8%5D%2FgroupInfoFuel%5B%40ordinal%3D1%5D%2FpicFuelRecibeInterno","Descargar")</f>
        <v>Descargar</v>
      </c>
    </row>
    <row r="2891" spans="1:18" x14ac:dyDescent="0.3">
      <c r="A2891">
        <v>1533525</v>
      </c>
      <c r="B2891" t="s">
        <v>18</v>
      </c>
      <c r="C2891" t="s">
        <v>59</v>
      </c>
      <c r="D2891" t="s">
        <v>1745</v>
      </c>
      <c r="E2891" t="s">
        <v>2255</v>
      </c>
      <c r="F2891" t="s">
        <v>22</v>
      </c>
      <c r="G2891" t="s">
        <v>23</v>
      </c>
      <c r="H2891" t="s">
        <v>24</v>
      </c>
      <c r="I2891" t="s">
        <v>25</v>
      </c>
      <c r="J2891" s="2">
        <v>45786.52851851852</v>
      </c>
      <c r="K2891">
        <v>9</v>
      </c>
      <c r="L2891">
        <v>5</v>
      </c>
      <c r="M2891">
        <v>2025</v>
      </c>
      <c r="N2891" t="s">
        <v>44</v>
      </c>
      <c r="O2891">
        <v>30</v>
      </c>
      <c r="P2891">
        <v>30</v>
      </c>
      <c r="R2891" s="3" t="str">
        <f>HYPERLINK("https://panda.att.com.mx/ODKServer/view/binaryData?blobKey=FSSuministroFluidosv3%5B%40version%3Dnull+and+%40uiVersion%3Dnull%5D%2Fdata%5B%40key%3Duuid%3A1a231c9f-d2f2-4dfd-ae32-24f1c68d1db1%5D%2FgroupInfoFuel%5B%40ordinal%3D1%5D%2FpicFuelRecibeInterno","Descargar")</f>
        <v>Descargar</v>
      </c>
    </row>
    <row r="2892" spans="1:18" x14ac:dyDescent="0.3">
      <c r="A2892">
        <v>1533516</v>
      </c>
      <c r="B2892" t="s">
        <v>18</v>
      </c>
      <c r="C2892" t="s">
        <v>28</v>
      </c>
      <c r="D2892" t="s">
        <v>177</v>
      </c>
      <c r="E2892" t="s">
        <v>2256</v>
      </c>
      <c r="F2892" t="s">
        <v>22</v>
      </c>
      <c r="G2892" t="s">
        <v>23</v>
      </c>
      <c r="H2892" t="s">
        <v>24</v>
      </c>
      <c r="I2892" t="s">
        <v>25</v>
      </c>
      <c r="J2892" s="2">
        <v>45787.572129629632</v>
      </c>
      <c r="K2892">
        <v>10</v>
      </c>
      <c r="L2892">
        <v>5</v>
      </c>
      <c r="M2892">
        <v>2025</v>
      </c>
      <c r="N2892" t="s">
        <v>44</v>
      </c>
      <c r="O2892">
        <v>30</v>
      </c>
      <c r="P2892">
        <v>30</v>
      </c>
      <c r="R2892" s="3" t="str">
        <f>HYPERLINK("https://panda.att.com.mx/ODKServer/view/binaryData?blobKey=FSSuministroFluidosv3%5B%40version%3Dnull+and+%40uiVersion%3Dnull%5D%2Fdata%5B%40key%3Duuid%3A5e6d449a-62b9-4c0e-a325-cdd1965fc076%5D%2FgroupInfoFuel%5B%40ordinal%3D1%5D%2FpicFuelRecibeInterno","Descargar")</f>
        <v>Descargar</v>
      </c>
    </row>
    <row r="2893" spans="1:18" x14ac:dyDescent="0.3">
      <c r="A2893">
        <v>1533515</v>
      </c>
      <c r="B2893" t="s">
        <v>18</v>
      </c>
      <c r="C2893" t="s">
        <v>100</v>
      </c>
      <c r="D2893" t="s">
        <v>716</v>
      </c>
      <c r="E2893" t="s">
        <v>717</v>
      </c>
      <c r="F2893" t="s">
        <v>22</v>
      </c>
      <c r="G2893" t="s">
        <v>83</v>
      </c>
      <c r="H2893" t="s">
        <v>1781</v>
      </c>
      <c r="I2893" t="s">
        <v>25</v>
      </c>
      <c r="J2893" s="2">
        <v>45786.73847222222</v>
      </c>
      <c r="K2893">
        <v>9</v>
      </c>
      <c r="L2893">
        <v>5</v>
      </c>
      <c r="M2893">
        <v>2025</v>
      </c>
      <c r="N2893" t="s">
        <v>27</v>
      </c>
      <c r="O2893">
        <v>120</v>
      </c>
      <c r="P2893">
        <v>120</v>
      </c>
      <c r="R2893" s="3" t="str">
        <f>HYPERLINK("https://panda.att.com.mx/ODKServer/view/binaryData?blobKey=FSSuministroFluidosv3%5B%40version%3Dnull+and+%40uiVersion%3Dnull%5D%2Fdata%5B%40key%3Duuid%3A7e0604db-bf9b-49b4-a953-72f4702eb7dd%5D%2FgroupInfoFuel%5B%40ordinal%3D1%5D%2FpicFuelRecibeInterno","Descargar")</f>
        <v>Descargar</v>
      </c>
    </row>
    <row r="2894" spans="1:18" x14ac:dyDescent="0.3">
      <c r="A2894">
        <v>1533504</v>
      </c>
      <c r="B2894" t="s">
        <v>18</v>
      </c>
      <c r="C2894" t="s">
        <v>100</v>
      </c>
      <c r="D2894" t="s">
        <v>854</v>
      </c>
      <c r="E2894" t="s">
        <v>993</v>
      </c>
      <c r="F2894" t="s">
        <v>22</v>
      </c>
      <c r="G2894" t="s">
        <v>83</v>
      </c>
      <c r="H2894" t="s">
        <v>1781</v>
      </c>
      <c r="I2894" t="s">
        <v>25</v>
      </c>
      <c r="J2894" s="2">
        <v>45787.560868055552</v>
      </c>
      <c r="K2894">
        <v>10</v>
      </c>
      <c r="L2894">
        <v>5</v>
      </c>
      <c r="M2894">
        <v>2025</v>
      </c>
      <c r="N2894" t="s">
        <v>27</v>
      </c>
      <c r="O2894">
        <v>200</v>
      </c>
      <c r="P2894">
        <v>200</v>
      </c>
      <c r="R2894" s="3" t="str">
        <f>HYPERLINK("https://panda.att.com.mx/ODKServer/view/binaryData?blobKey=FSSuministroFluidosv3%5B%40version%3Dnull+and+%40uiVersion%3Dnull%5D%2Fdata%5B%40key%3Duuid%3Ac9cedc43-a8ac-4358-a4f5-2b2b8d77f3ad%5D%2FgroupInfoFuel%5B%40ordinal%3D1%5D%2FpicFuelRecibeInterno","Descargar")</f>
        <v>Descargar</v>
      </c>
    </row>
    <row r="2895" spans="1:18" x14ac:dyDescent="0.3">
      <c r="A2895">
        <v>1533498</v>
      </c>
      <c r="B2895" t="s">
        <v>18</v>
      </c>
      <c r="C2895" t="s">
        <v>183</v>
      </c>
      <c r="D2895" t="s">
        <v>329</v>
      </c>
      <c r="E2895" t="s">
        <v>2257</v>
      </c>
      <c r="F2895" t="s">
        <v>22</v>
      </c>
      <c r="G2895" t="s">
        <v>23</v>
      </c>
      <c r="H2895" t="s">
        <v>24</v>
      </c>
      <c r="I2895" t="s">
        <v>25</v>
      </c>
      <c r="J2895" s="2">
        <v>45786.452268518522</v>
      </c>
      <c r="K2895">
        <v>9</v>
      </c>
      <c r="L2895">
        <v>5</v>
      </c>
      <c r="M2895">
        <v>2025</v>
      </c>
      <c r="N2895" t="s">
        <v>27</v>
      </c>
      <c r="O2895">
        <v>300</v>
      </c>
      <c r="P2895">
        <v>300</v>
      </c>
      <c r="R2895" s="3" t="str">
        <f>HYPERLINK("https://panda.att.com.mx/ODKServer/view/binaryData?blobKey=FSSuministroFluidosv3%5B%40version%3Dnull+and+%40uiVersion%3Dnull%5D%2Fdata%5B%40key%3Duuid%3Ac6df7bf6-404f-4f56-b4cf-f0f06fc1e9d0%5D%2FgroupInfoFuel%5B%40ordinal%3D1%5D%2FpicFuelRecibeInterno","Descargar")</f>
        <v>Descargar</v>
      </c>
    </row>
    <row r="2896" spans="1:18" x14ac:dyDescent="0.3">
      <c r="A2896">
        <v>1533491</v>
      </c>
      <c r="B2896" t="s">
        <v>18</v>
      </c>
      <c r="C2896" t="s">
        <v>28</v>
      </c>
      <c r="D2896" t="s">
        <v>1377</v>
      </c>
      <c r="E2896" t="s">
        <v>2258</v>
      </c>
      <c r="F2896" t="s">
        <v>22</v>
      </c>
      <c r="G2896" t="s">
        <v>23</v>
      </c>
      <c r="H2896" t="s">
        <v>24</v>
      </c>
      <c r="I2896" t="s">
        <v>25</v>
      </c>
      <c r="J2896" s="2">
        <v>45787.334606481483</v>
      </c>
      <c r="K2896">
        <v>10</v>
      </c>
      <c r="L2896">
        <v>5</v>
      </c>
      <c r="M2896">
        <v>2025</v>
      </c>
      <c r="N2896" t="s">
        <v>27</v>
      </c>
      <c r="O2896">
        <v>250</v>
      </c>
      <c r="P2896">
        <v>250</v>
      </c>
      <c r="R2896" s="3" t="str">
        <f>HYPERLINK("https://panda.att.com.mx/ODKServer/view/binaryData?blobKey=FSSuministroFluidosv3%5B%40version%3Dnull+and+%40uiVersion%3Dnull%5D%2Fdata%5B%40key%3Duuid%3A14be8c40-3636-4804-9459-6acb915c9b61%5D%2FgroupInfoFuel%5B%40ordinal%3D1%5D%2FpicFuelRecibeInterno","Descargar")</f>
        <v>Descargar</v>
      </c>
    </row>
    <row r="2897" spans="1:18" x14ac:dyDescent="0.3">
      <c r="A2897">
        <v>1533480</v>
      </c>
      <c r="B2897" t="s">
        <v>18</v>
      </c>
      <c r="C2897" t="s">
        <v>150</v>
      </c>
      <c r="D2897" t="s">
        <v>151</v>
      </c>
      <c r="E2897" t="s">
        <v>2220</v>
      </c>
      <c r="F2897" t="s">
        <v>22</v>
      </c>
      <c r="G2897" t="s">
        <v>23</v>
      </c>
      <c r="H2897" t="s">
        <v>1781</v>
      </c>
      <c r="I2897" t="s">
        <v>25</v>
      </c>
      <c r="J2897" s="2">
        <v>45787.510150462957</v>
      </c>
      <c r="K2897">
        <v>10</v>
      </c>
      <c r="L2897">
        <v>5</v>
      </c>
      <c r="M2897">
        <v>2025</v>
      </c>
      <c r="N2897" t="s">
        <v>27</v>
      </c>
      <c r="O2897">
        <v>100</v>
      </c>
      <c r="P2897">
        <v>100</v>
      </c>
      <c r="R2897" s="3" t="str">
        <f>HYPERLINK("https://panda.att.com.mx/ODKServer/view/binaryData?blobKey=FSSuministroFluidosv3%5B%40version%3Dnull+and+%40uiVersion%3Dnull%5D%2Fdata%5B%40key%3Duuid%3A37a471cb-87dd-49ee-96d1-7e66b4d6e959%5D%2FgroupInfoFuel%5B%40ordinal%3D1%5D%2FpicFuelRecibeInterno","Descargar")</f>
        <v>Descargar</v>
      </c>
    </row>
    <row r="2898" spans="1:18" x14ac:dyDescent="0.3">
      <c r="A2898">
        <v>1533468</v>
      </c>
      <c r="B2898" t="s">
        <v>18</v>
      </c>
      <c r="C2898" t="s">
        <v>28</v>
      </c>
      <c r="D2898" t="s">
        <v>66</v>
      </c>
      <c r="E2898" t="s">
        <v>96</v>
      </c>
      <c r="F2898" t="s">
        <v>22</v>
      </c>
      <c r="G2898" t="s">
        <v>23</v>
      </c>
      <c r="H2898" t="s">
        <v>24</v>
      </c>
      <c r="I2898" t="s">
        <v>25</v>
      </c>
      <c r="J2898" s="2">
        <v>45787.437997685192</v>
      </c>
      <c r="K2898">
        <v>10</v>
      </c>
      <c r="L2898">
        <v>5</v>
      </c>
      <c r="M2898">
        <v>2025</v>
      </c>
      <c r="N2898" t="s">
        <v>27</v>
      </c>
      <c r="O2898">
        <v>500</v>
      </c>
      <c r="P2898">
        <v>500</v>
      </c>
      <c r="R2898" s="3" t="str">
        <f>HYPERLINK("https://panda.att.com.mx/ODKServer/view/binaryData?blobKey=FSSuministroFluidosv3%5B%40version%3Dnull+and+%40uiVersion%3Dnull%5D%2Fdata%5B%40key%3Duuid%3A5c488cc9-3120-41fb-a61e-4dbf36a66d6a%5D%2FgroupInfoFuel%5B%40ordinal%3D1%5D%2FpicFuelRecibeInterno","Descargar")</f>
        <v>Descargar</v>
      </c>
    </row>
    <row r="2899" spans="1:18" x14ac:dyDescent="0.3">
      <c r="A2899">
        <v>1533463</v>
      </c>
      <c r="B2899" t="s">
        <v>18</v>
      </c>
      <c r="C2899" t="s">
        <v>55</v>
      </c>
      <c r="D2899" t="s">
        <v>366</v>
      </c>
      <c r="E2899" t="s">
        <v>2230</v>
      </c>
      <c r="F2899" t="s">
        <v>22</v>
      </c>
      <c r="G2899" t="s">
        <v>83</v>
      </c>
      <c r="H2899" t="s">
        <v>1781</v>
      </c>
      <c r="I2899" t="s">
        <v>25</v>
      </c>
      <c r="J2899" s="2">
        <v>45787.488252314812</v>
      </c>
      <c r="K2899">
        <v>10</v>
      </c>
      <c r="L2899">
        <v>5</v>
      </c>
      <c r="M2899">
        <v>2025</v>
      </c>
      <c r="N2899" t="s">
        <v>27</v>
      </c>
      <c r="O2899">
        <v>150</v>
      </c>
      <c r="P2899">
        <v>150</v>
      </c>
      <c r="R2899" s="3" t="str">
        <f>HYPERLINK("https://panda.att.com.mx/ODKServer/view/binaryData?blobKey=FSSuministroFluidosv3%5B%40version%3Dnull+and+%40uiVersion%3Dnull%5D%2Fdata%5B%40key%3Duuid%3A7da535d1-3a0c-4927-8a2f-3c0012ed33de%5D%2FgroupInfoFuel%5B%40ordinal%3D1%5D%2FpicFuelRecibeInterno","Descargar")</f>
        <v>Descargar</v>
      </c>
    </row>
    <row r="2900" spans="1:18" x14ac:dyDescent="0.3">
      <c r="A2900">
        <v>1533434</v>
      </c>
      <c r="B2900" t="s">
        <v>18</v>
      </c>
      <c r="C2900" t="s">
        <v>68</v>
      </c>
      <c r="D2900" t="s">
        <v>132</v>
      </c>
      <c r="E2900" t="s">
        <v>1545</v>
      </c>
      <c r="F2900" t="s">
        <v>22</v>
      </c>
      <c r="G2900" t="s">
        <v>23</v>
      </c>
      <c r="H2900" t="s">
        <v>37</v>
      </c>
      <c r="I2900" t="s">
        <v>25</v>
      </c>
      <c r="J2900" s="2">
        <v>45787.243888888886</v>
      </c>
      <c r="K2900">
        <v>10</v>
      </c>
      <c r="L2900">
        <v>5</v>
      </c>
      <c r="M2900">
        <v>2025</v>
      </c>
      <c r="N2900" t="s">
        <v>44</v>
      </c>
      <c r="O2900">
        <v>50</v>
      </c>
      <c r="P2900">
        <v>50</v>
      </c>
      <c r="R2900" s="3" t="str">
        <f>HYPERLINK("https://panda.att.com.mx/ODKServer/view/binaryData?blobKey=FSSuministroFluidosv3%5B%40version%3Dnull+and+%40uiVersion%3Dnull%5D%2Fdata%5B%40key%3Duuid%3A014c4595-7b42-42f0-9c34-d36da08fd9fa%5D%2FgroupInfoFuel%5B%40ordinal%3D1%5D%2FpicFuelRecibeInterno","Descargar")</f>
        <v>Descargar</v>
      </c>
    </row>
    <row r="2901" spans="1:18" x14ac:dyDescent="0.3">
      <c r="A2901">
        <v>1533380</v>
      </c>
      <c r="B2901" t="s">
        <v>18</v>
      </c>
      <c r="C2901" t="s">
        <v>28</v>
      </c>
      <c r="D2901" t="s">
        <v>467</v>
      </c>
      <c r="E2901" t="s">
        <v>2259</v>
      </c>
      <c r="F2901" t="s">
        <v>22</v>
      </c>
      <c r="G2901" t="s">
        <v>23</v>
      </c>
      <c r="H2901" t="s">
        <v>24</v>
      </c>
      <c r="I2901" t="s">
        <v>25</v>
      </c>
      <c r="J2901" s="2">
        <v>45786.694618055553</v>
      </c>
      <c r="K2901">
        <v>9</v>
      </c>
      <c r="L2901">
        <v>5</v>
      </c>
      <c r="M2901">
        <v>2025</v>
      </c>
      <c r="N2901" t="s">
        <v>44</v>
      </c>
      <c r="O2901">
        <v>60</v>
      </c>
      <c r="P2901">
        <v>60</v>
      </c>
      <c r="R2901" s="3" t="str">
        <f>HYPERLINK("https://panda.att.com.mx/ODKServer/view/binaryData?blobKey=FSSuministroFluidosv3%5B%40version%3Dnull+and+%40uiVersion%3Dnull%5D%2Fdata%5B%40key%3Duuid%3A4c4d16b9-b1ce-4622-9789-1b23b71ffdaf%5D%2FgroupInfoFuel%5B%40ordinal%3D1%5D%2FpicFuelRecibeInterno","Descargar")</f>
        <v>Descargar</v>
      </c>
    </row>
    <row r="2902" spans="1:18" x14ac:dyDescent="0.3">
      <c r="A2902">
        <v>1532539</v>
      </c>
      <c r="B2902" t="s">
        <v>18</v>
      </c>
      <c r="C2902" t="s">
        <v>34</v>
      </c>
      <c r="D2902" t="s">
        <v>53</v>
      </c>
      <c r="E2902" t="s">
        <v>2260</v>
      </c>
      <c r="F2902" t="s">
        <v>22</v>
      </c>
      <c r="G2902" t="s">
        <v>23</v>
      </c>
      <c r="H2902" t="s">
        <v>37</v>
      </c>
      <c r="I2902" t="s">
        <v>25</v>
      </c>
      <c r="J2902" s="2">
        <v>45785.710150462961</v>
      </c>
      <c r="K2902">
        <v>8</v>
      </c>
      <c r="L2902">
        <v>5</v>
      </c>
      <c r="M2902">
        <v>2025</v>
      </c>
      <c r="N2902" t="s">
        <v>27</v>
      </c>
      <c r="O2902">
        <v>200</v>
      </c>
      <c r="Q2902">
        <v>200</v>
      </c>
      <c r="R2902" s="3" t="str">
        <f>HYPERLINK("https://panda.att.com.mx/ODKServer/view/binaryData?blobKey=FSSuministroFluidosv3%5B%40version%3Dnull+and+%40uiVersion%3Dnull%5D%2Fdata%5B%40key%3Duuid%3A472fa0a8-9501-4447-80a7-ef0486922b04%5D%2FgroupInfoFuel%5B%40ordinal%3D1%5D%2FpicFuelRecibeInterno","Descargar")</f>
        <v>Descargar</v>
      </c>
    </row>
    <row r="2903" spans="1:18" x14ac:dyDescent="0.3">
      <c r="A2903">
        <v>1532528</v>
      </c>
      <c r="B2903" t="s">
        <v>18</v>
      </c>
      <c r="C2903" t="s">
        <v>34</v>
      </c>
      <c r="D2903" t="s">
        <v>53</v>
      </c>
      <c r="E2903" t="s">
        <v>2261</v>
      </c>
      <c r="F2903" t="s">
        <v>22</v>
      </c>
      <c r="G2903" t="s">
        <v>23</v>
      </c>
      <c r="H2903" t="s">
        <v>37</v>
      </c>
      <c r="I2903" t="s">
        <v>25</v>
      </c>
      <c r="J2903" s="2">
        <v>45785.700115740743</v>
      </c>
      <c r="K2903">
        <v>8</v>
      </c>
      <c r="L2903">
        <v>5</v>
      </c>
      <c r="M2903">
        <v>2025</v>
      </c>
      <c r="N2903" t="s">
        <v>27</v>
      </c>
      <c r="O2903">
        <v>350</v>
      </c>
      <c r="P2903">
        <v>350</v>
      </c>
      <c r="R2903" s="3" t="str">
        <f>HYPERLINK("https://panda.att.com.mx/ODKServer/view/binaryData?blobKey=FSSuministroFluidosv3%5B%40version%3Dnull+and+%40uiVersion%3Dnull%5D%2Fdata%5B%40key%3Duuid%3Ade34f407-04db-4461-8f8f-ef7a44dd5e12%5D%2FgroupInfoFuel%5B%40ordinal%3D1%5D%2FpicFuelRecibeInterno","Descargar")</f>
        <v>Descargar</v>
      </c>
    </row>
    <row r="2904" spans="1:18" x14ac:dyDescent="0.3">
      <c r="A2904">
        <v>1532396</v>
      </c>
      <c r="B2904" t="s">
        <v>18</v>
      </c>
      <c r="C2904" t="s">
        <v>150</v>
      </c>
      <c r="D2904" t="s">
        <v>151</v>
      </c>
      <c r="E2904" t="s">
        <v>2220</v>
      </c>
      <c r="F2904" t="s">
        <v>22</v>
      </c>
      <c r="G2904" t="s">
        <v>23</v>
      </c>
      <c r="H2904" t="s">
        <v>1781</v>
      </c>
      <c r="I2904" t="s">
        <v>25</v>
      </c>
      <c r="J2904" s="2">
        <v>45784.511597222219</v>
      </c>
      <c r="K2904">
        <v>7</v>
      </c>
      <c r="L2904">
        <v>5</v>
      </c>
      <c r="M2904">
        <v>2025</v>
      </c>
      <c r="N2904" t="s">
        <v>27</v>
      </c>
      <c r="O2904">
        <v>100</v>
      </c>
      <c r="Q2904">
        <v>100</v>
      </c>
      <c r="R2904" s="3" t="str">
        <f>HYPERLINK("https://panda.att.com.mx/ODKServer/view/binaryData?blobKey=FSSuministroFluidosv3%5B%40version%3Dnull+and+%40uiVersion%3Dnull%5D%2Fdata%5B%40key%3Duuid%3A7b959e9e-578a-49f0-994c-b12ce7da7ce0%5D%2FgroupInfoFuel%5B%40ordinal%3D1%5D%2FpicFuelRecibeInterno","Descargar")</f>
        <v>Descargar</v>
      </c>
    </row>
    <row r="2905" spans="1:18" x14ac:dyDescent="0.3">
      <c r="A2905">
        <v>1532395</v>
      </c>
      <c r="B2905" t="s">
        <v>18</v>
      </c>
      <c r="C2905" t="s">
        <v>150</v>
      </c>
      <c r="D2905" t="s">
        <v>151</v>
      </c>
      <c r="E2905" t="s">
        <v>2220</v>
      </c>
      <c r="F2905" t="s">
        <v>22</v>
      </c>
      <c r="G2905" t="s">
        <v>23</v>
      </c>
      <c r="H2905" t="s">
        <v>1781</v>
      </c>
      <c r="I2905" t="s">
        <v>25</v>
      </c>
      <c r="J2905" s="2">
        <v>45785.566550925927</v>
      </c>
      <c r="K2905">
        <v>8</v>
      </c>
      <c r="L2905">
        <v>5</v>
      </c>
      <c r="M2905">
        <v>2025</v>
      </c>
      <c r="N2905" t="s">
        <v>27</v>
      </c>
      <c r="O2905">
        <v>100</v>
      </c>
      <c r="P2905">
        <v>100</v>
      </c>
      <c r="R2905" s="3" t="str">
        <f>HYPERLINK("https://panda.att.com.mx/ODKServer/view/binaryData?blobKey=FSSuministroFluidosv3%5B%40version%3Dnull+and+%40uiVersion%3Dnull%5D%2Fdata%5B%40key%3Duuid%3A89ccfa2f-56a4-4c04-9e36-707beec90baf%5D%2FgroupInfoFuel%5B%40ordinal%3D1%5D%2FpicFuelRecibeInterno","Descargar")</f>
        <v>Descargar</v>
      </c>
    </row>
    <row r="2906" spans="1:18" x14ac:dyDescent="0.3">
      <c r="A2906">
        <v>1532375</v>
      </c>
      <c r="B2906" t="s">
        <v>18</v>
      </c>
      <c r="C2906" t="s">
        <v>19</v>
      </c>
      <c r="D2906" t="s">
        <v>20</v>
      </c>
      <c r="E2906" t="s">
        <v>1528</v>
      </c>
      <c r="F2906" t="s">
        <v>22</v>
      </c>
      <c r="G2906" t="s">
        <v>23</v>
      </c>
      <c r="H2906" t="s">
        <v>24</v>
      </c>
      <c r="I2906" t="s">
        <v>25</v>
      </c>
      <c r="J2906" s="2">
        <v>45785.439016203702</v>
      </c>
      <c r="K2906">
        <v>8</v>
      </c>
      <c r="L2906">
        <v>5</v>
      </c>
      <c r="M2906">
        <v>2025</v>
      </c>
      <c r="N2906" t="s">
        <v>27</v>
      </c>
      <c r="O2906">
        <v>300</v>
      </c>
      <c r="P2906">
        <v>300</v>
      </c>
      <c r="R2906" s="3" t="str">
        <f>HYPERLINK("https://panda.att.com.mx/ODKServer/view/binaryData?blobKey=FSSuministroFluidosv3%5B%40version%3Dnull+and+%40uiVersion%3Dnull%5D%2Fdata%5B%40key%3Duuid%3A2e780fb7-31d3-402f-8a35-59c610f1d40b%5D%2FgroupInfoFuel%5B%40ordinal%3D1%5D%2FpicFuelRecibeInterno","Descargar")</f>
        <v>Descargar</v>
      </c>
    </row>
    <row r="2907" spans="1:18" x14ac:dyDescent="0.3">
      <c r="A2907">
        <v>1532259</v>
      </c>
      <c r="B2907" t="s">
        <v>18</v>
      </c>
      <c r="C2907" t="s">
        <v>34</v>
      </c>
      <c r="D2907" t="s">
        <v>53</v>
      </c>
      <c r="E2907" t="s">
        <v>1979</v>
      </c>
      <c r="F2907" t="s">
        <v>22</v>
      </c>
      <c r="G2907" t="s">
        <v>23</v>
      </c>
      <c r="H2907" t="s">
        <v>37</v>
      </c>
      <c r="I2907" t="s">
        <v>25</v>
      </c>
      <c r="J2907" s="2">
        <v>45785.480381944442</v>
      </c>
      <c r="K2907">
        <v>8</v>
      </c>
      <c r="L2907">
        <v>5</v>
      </c>
      <c r="M2907">
        <v>2025</v>
      </c>
      <c r="N2907" t="s">
        <v>27</v>
      </c>
      <c r="O2907">
        <v>530</v>
      </c>
      <c r="P2907">
        <v>530</v>
      </c>
      <c r="R2907" s="3" t="str">
        <f>HYPERLINK("https://panda.att.com.mx/ODKServer/view/binaryData?blobKey=FSSuministroFluidosv3%5B%40version%3Dnull+and+%40uiVersion%3Dnull%5D%2Fdata%5B%40key%3Duuid%3A0afdee31-ed09-42b0-b067-d36a8fa13908%5D%2FgroupInfoFuel%5B%40ordinal%3D1%5D%2FpicFuelRecibeInterno","Descargar")</f>
        <v>Descargar</v>
      </c>
    </row>
    <row r="2908" spans="1:18" x14ac:dyDescent="0.3">
      <c r="A2908">
        <v>1532226</v>
      </c>
      <c r="B2908" t="s">
        <v>18</v>
      </c>
      <c r="C2908" t="s">
        <v>28</v>
      </c>
      <c r="D2908" t="s">
        <v>66</v>
      </c>
      <c r="E2908" t="s">
        <v>846</v>
      </c>
      <c r="F2908" t="s">
        <v>22</v>
      </c>
      <c r="G2908" t="s">
        <v>23</v>
      </c>
      <c r="H2908" t="s">
        <v>24</v>
      </c>
      <c r="I2908" t="s">
        <v>25</v>
      </c>
      <c r="J2908" s="2">
        <v>45783.796076388891</v>
      </c>
      <c r="K2908">
        <v>6</v>
      </c>
      <c r="L2908">
        <v>5</v>
      </c>
      <c r="M2908">
        <v>2025</v>
      </c>
      <c r="N2908" t="s">
        <v>44</v>
      </c>
      <c r="O2908">
        <v>40</v>
      </c>
      <c r="Q2908">
        <v>40</v>
      </c>
      <c r="R2908" s="3" t="str">
        <f>HYPERLINK("https://panda.att.com.mx/ODKServer/view/binaryData?blobKey=FSSuministroFluidosv3%5B%40version%3Dnull+and+%40uiVersion%3Dnull%5D%2Fdata%5B%40key%3Duuid%3A32022df3-32cc-42bb-804e-ca643ae91839%5D%2FgroupInfoFuel%5B%40ordinal%3D1%5D%2FpicFuelRecibeInterno","Descargar")</f>
        <v>Descargar</v>
      </c>
    </row>
    <row r="2909" spans="1:18" x14ac:dyDescent="0.3">
      <c r="A2909">
        <v>1532218</v>
      </c>
      <c r="B2909" t="s">
        <v>18</v>
      </c>
      <c r="C2909" t="s">
        <v>19</v>
      </c>
      <c r="D2909" t="s">
        <v>45</v>
      </c>
      <c r="E2909" t="s">
        <v>383</v>
      </c>
      <c r="F2909" t="s">
        <v>22</v>
      </c>
      <c r="G2909" t="s">
        <v>23</v>
      </c>
      <c r="H2909" t="s">
        <v>24</v>
      </c>
      <c r="I2909" t="s">
        <v>25</v>
      </c>
      <c r="J2909" s="2">
        <v>45784.458483796298</v>
      </c>
      <c r="K2909">
        <v>7</v>
      </c>
      <c r="L2909">
        <v>5</v>
      </c>
      <c r="M2909">
        <v>2025</v>
      </c>
      <c r="N2909" t="s">
        <v>27</v>
      </c>
      <c r="O2909">
        <v>150</v>
      </c>
      <c r="P2909">
        <v>150</v>
      </c>
      <c r="R2909" s="3" t="str">
        <f>HYPERLINK("https://panda.att.com.mx/ODKServer/view/binaryData?blobKey=FSSuministroFluidosv3%5B%40version%3Dnull+and+%40uiVersion%3Dnull%5D%2Fdata%5B%40key%3Duuid%3A6f175c98-f406-4a58-881e-93644d1ad3f2%5D%2FgroupInfoFuel%5B%40ordinal%3D1%5D%2FpicFuelRecibeInterno","Descargar")</f>
        <v>Descargar</v>
      </c>
    </row>
    <row r="2910" spans="1:18" x14ac:dyDescent="0.3">
      <c r="A2910">
        <v>1532212</v>
      </c>
      <c r="B2910" t="s">
        <v>18</v>
      </c>
      <c r="C2910" t="s">
        <v>34</v>
      </c>
      <c r="D2910" t="s">
        <v>53</v>
      </c>
      <c r="E2910" t="s">
        <v>2262</v>
      </c>
      <c r="F2910" t="s">
        <v>22</v>
      </c>
      <c r="G2910" t="s">
        <v>23</v>
      </c>
      <c r="H2910" t="s">
        <v>37</v>
      </c>
      <c r="I2910" t="s">
        <v>25</v>
      </c>
      <c r="J2910" s="2">
        <v>45785.42559027778</v>
      </c>
      <c r="K2910">
        <v>8</v>
      </c>
      <c r="L2910">
        <v>5</v>
      </c>
      <c r="M2910">
        <v>2025</v>
      </c>
      <c r="N2910" t="s">
        <v>27</v>
      </c>
      <c r="O2910">
        <v>350</v>
      </c>
      <c r="P2910">
        <v>350</v>
      </c>
      <c r="R2910" s="3" t="str">
        <f>HYPERLINK("https://panda.att.com.mx/ODKServer/view/binaryData?blobKey=FSSuministroFluidosv3%5B%40version%3Dnull+and+%40uiVersion%3Dnull%5D%2Fdata%5B%40key%3Duuid%3Ae48f53e8-62a2-4b5c-b46a-299cba4c8e88%5D%2FgroupInfoFuel%5B%40ordinal%3D1%5D%2FpicFuelRecibeInterno","Descargar")</f>
        <v>Descargar</v>
      </c>
    </row>
    <row r="2911" spans="1:18" x14ac:dyDescent="0.3">
      <c r="A2911">
        <v>1532086</v>
      </c>
      <c r="B2911" t="s">
        <v>18</v>
      </c>
      <c r="C2911" t="s">
        <v>34</v>
      </c>
      <c r="D2911" t="s">
        <v>53</v>
      </c>
      <c r="E2911" t="s">
        <v>459</v>
      </c>
      <c r="F2911" t="s">
        <v>22</v>
      </c>
      <c r="G2911" t="s">
        <v>83</v>
      </c>
      <c r="H2911" t="s">
        <v>390</v>
      </c>
      <c r="I2911" t="s">
        <v>25</v>
      </c>
      <c r="J2911" s="2">
        <v>45784.642916666657</v>
      </c>
      <c r="K2911">
        <v>7</v>
      </c>
      <c r="L2911">
        <v>5</v>
      </c>
      <c r="M2911">
        <v>2025</v>
      </c>
      <c r="N2911" t="s">
        <v>27</v>
      </c>
      <c r="O2911">
        <v>350</v>
      </c>
      <c r="P2911">
        <v>350</v>
      </c>
      <c r="R2911" s="3" t="str">
        <f>HYPERLINK("https://panda.att.com.mx/ODKServer/view/binaryData?blobKey=FSSuministroFluidosv3%5B%40version%3Dnull+and+%40uiVersion%3Dnull%5D%2Fdata%5B%40key%3Duuid%3A38e567b3-12e5-412b-8bc5-3a269a8d6016%5D%2FgroupInfoFuel%5B%40ordinal%3D1%5D%2FpicFuelRecibeInterno","Descargar")</f>
        <v>Descargar</v>
      </c>
    </row>
    <row r="2912" spans="1:18" x14ac:dyDescent="0.3">
      <c r="A2912">
        <v>1532085</v>
      </c>
      <c r="B2912" t="s">
        <v>18</v>
      </c>
      <c r="C2912" t="s">
        <v>34</v>
      </c>
      <c r="D2912" t="s">
        <v>53</v>
      </c>
      <c r="E2912" t="s">
        <v>457</v>
      </c>
      <c r="F2912" t="s">
        <v>22</v>
      </c>
      <c r="G2912" t="s">
        <v>83</v>
      </c>
      <c r="H2912" t="s">
        <v>390</v>
      </c>
      <c r="I2912" t="s">
        <v>25</v>
      </c>
      <c r="J2912" s="2">
        <v>45784.520949074067</v>
      </c>
      <c r="K2912">
        <v>7</v>
      </c>
      <c r="L2912">
        <v>5</v>
      </c>
      <c r="M2912">
        <v>2025</v>
      </c>
      <c r="N2912" t="s">
        <v>27</v>
      </c>
      <c r="O2912">
        <v>350</v>
      </c>
      <c r="P2912">
        <v>350</v>
      </c>
      <c r="R2912" s="3" t="str">
        <f>HYPERLINK("https://panda.att.com.mx/ODKServer/view/binaryData?blobKey=FSSuministroFluidosv3%5B%40version%3Dnull+and+%40uiVersion%3Dnull%5D%2Fdata%5B%40key%3Duuid%3A36e782d1-1023-48d0-8c92-a30694b1ff8a%5D%2FgroupInfoFuel%5B%40ordinal%3D1%5D%2FpicFuelRecibeInterno","Descargar")</f>
        <v>Descargar</v>
      </c>
    </row>
    <row r="2913" spans="1:18" x14ac:dyDescent="0.3">
      <c r="A2913">
        <v>1532073</v>
      </c>
      <c r="B2913" t="s">
        <v>18</v>
      </c>
      <c r="C2913" t="s">
        <v>68</v>
      </c>
      <c r="D2913" t="s">
        <v>132</v>
      </c>
      <c r="E2913" t="s">
        <v>2263</v>
      </c>
      <c r="F2913" t="s">
        <v>22</v>
      </c>
      <c r="G2913" t="s">
        <v>23</v>
      </c>
      <c r="H2913" t="s">
        <v>37</v>
      </c>
      <c r="I2913" t="s">
        <v>25</v>
      </c>
      <c r="J2913" s="2">
        <v>45784.977893518517</v>
      </c>
      <c r="K2913">
        <v>7</v>
      </c>
      <c r="L2913">
        <v>5</v>
      </c>
      <c r="M2913">
        <v>2025</v>
      </c>
      <c r="N2913" t="s">
        <v>27</v>
      </c>
      <c r="O2913">
        <v>250</v>
      </c>
      <c r="P2913">
        <v>250</v>
      </c>
      <c r="R2913" s="3" t="str">
        <f>HYPERLINK("https://panda.att.com.mx/ODKServer/view/binaryData?blobKey=FSSuministroFluidosv3%5B%40version%3Dnull+and+%40uiVersion%3Dnull%5D%2Fdata%5B%40key%3Duuid%3A6ac7b064-a533-4f68-bda3-6e3f0476d234%5D%2FgroupInfoFuel%5B%40ordinal%3D1%5D%2FpicFuelRecibeInterno","Descargar")</f>
        <v>Descargar</v>
      </c>
    </row>
    <row r="2914" spans="1:18" x14ac:dyDescent="0.3">
      <c r="A2914">
        <v>1532068</v>
      </c>
      <c r="B2914" t="s">
        <v>18</v>
      </c>
      <c r="C2914" t="s">
        <v>68</v>
      </c>
      <c r="D2914" t="s">
        <v>2264</v>
      </c>
      <c r="E2914" t="s">
        <v>2265</v>
      </c>
      <c r="F2914" t="s">
        <v>22</v>
      </c>
      <c r="G2914" t="s">
        <v>23</v>
      </c>
      <c r="H2914" t="s">
        <v>37</v>
      </c>
      <c r="I2914" t="s">
        <v>25</v>
      </c>
      <c r="J2914" s="2">
        <v>45784.963599537034</v>
      </c>
      <c r="K2914">
        <v>7</v>
      </c>
      <c r="L2914">
        <v>5</v>
      </c>
      <c r="M2914">
        <v>2025</v>
      </c>
      <c r="N2914" t="s">
        <v>27</v>
      </c>
      <c r="O2914">
        <v>100</v>
      </c>
      <c r="P2914">
        <v>100</v>
      </c>
      <c r="R2914" s="3" t="str">
        <f>HYPERLINK("https://panda.att.com.mx/ODKServer/view/binaryData?blobKey=FSSuministroFluidosv3%5B%40version%3Dnull+and+%40uiVersion%3Dnull%5D%2Fdata%5B%40key%3Duuid%3A10041761-d1a1-4b36-aa67-d2e72ea6c627%5D%2FgroupInfoFuel%5B%40ordinal%3D1%5D%2FpicFuelRecibeInterno","Descargar")</f>
        <v>Descargar</v>
      </c>
    </row>
    <row r="2915" spans="1:18" x14ac:dyDescent="0.3">
      <c r="A2915">
        <v>1532060</v>
      </c>
      <c r="B2915" t="s">
        <v>18</v>
      </c>
      <c r="C2915" t="s">
        <v>68</v>
      </c>
      <c r="D2915" t="s">
        <v>132</v>
      </c>
      <c r="E2915" t="s">
        <v>2266</v>
      </c>
      <c r="F2915" t="s">
        <v>22</v>
      </c>
      <c r="G2915" t="s">
        <v>23</v>
      </c>
      <c r="H2915" t="s">
        <v>37</v>
      </c>
      <c r="I2915" t="s">
        <v>25</v>
      </c>
      <c r="J2915" s="2">
        <v>45784.947060185194</v>
      </c>
      <c r="K2915">
        <v>7</v>
      </c>
      <c r="L2915">
        <v>5</v>
      </c>
      <c r="M2915">
        <v>2025</v>
      </c>
      <c r="N2915" t="s">
        <v>27</v>
      </c>
      <c r="O2915">
        <v>200</v>
      </c>
      <c r="P2915">
        <v>200</v>
      </c>
      <c r="R2915" s="3" t="str">
        <f>HYPERLINK("https://panda.att.com.mx/ODKServer/view/binaryData?blobKey=FSSuministroFluidosv3%5B%40version%3Dnull+and+%40uiVersion%3Dnull%5D%2Fdata%5B%40key%3Duuid%3A09482c2e-6baa-4295-90a9-561ccdb4dbe9%5D%2FgroupInfoFuel%5B%40ordinal%3D1%5D%2FpicFuelRecibeInterno","Descargar")</f>
        <v>Descargar</v>
      </c>
    </row>
    <row r="2916" spans="1:18" x14ac:dyDescent="0.3">
      <c r="A2916">
        <v>1532051</v>
      </c>
      <c r="B2916" t="s">
        <v>18</v>
      </c>
      <c r="C2916" t="s">
        <v>59</v>
      </c>
      <c r="D2916" t="s">
        <v>60</v>
      </c>
      <c r="E2916" t="s">
        <v>2207</v>
      </c>
      <c r="F2916" t="s">
        <v>22</v>
      </c>
      <c r="G2916" t="s">
        <v>23</v>
      </c>
      <c r="H2916" t="s">
        <v>37</v>
      </c>
      <c r="I2916" t="s">
        <v>25</v>
      </c>
      <c r="J2916" s="2">
        <v>45783.87358796296</v>
      </c>
      <c r="K2916">
        <v>6</v>
      </c>
      <c r="L2916">
        <v>5</v>
      </c>
      <c r="M2916">
        <v>2025</v>
      </c>
      <c r="N2916" t="s">
        <v>27</v>
      </c>
      <c r="O2916">
        <v>180</v>
      </c>
      <c r="P2916">
        <v>180</v>
      </c>
      <c r="R2916" s="3" t="str">
        <f>HYPERLINK("https://panda.att.com.mx/ODKServer/view/binaryData?blobKey=FSSuministroFluidosv3%5B%40version%3Dnull+and+%40uiVersion%3Dnull%5D%2Fdata%5B%40key%3Duuid%3A0febb552-2763-4451-beb9-ea474879fabc%5D%2FgroupInfoFuel%5B%40ordinal%3D1%5D%2FpicFuelRecibeInterno","Descargar")</f>
        <v>Descargar</v>
      </c>
    </row>
    <row r="2917" spans="1:18" x14ac:dyDescent="0.3">
      <c r="A2917">
        <v>1532041</v>
      </c>
      <c r="B2917" t="s">
        <v>18</v>
      </c>
      <c r="C2917" t="s">
        <v>59</v>
      </c>
      <c r="D2917" t="s">
        <v>60</v>
      </c>
      <c r="E2917" t="s">
        <v>125</v>
      </c>
      <c r="F2917" t="s">
        <v>22</v>
      </c>
      <c r="G2917" t="s">
        <v>23</v>
      </c>
      <c r="H2917" t="s">
        <v>37</v>
      </c>
      <c r="I2917" t="s">
        <v>25</v>
      </c>
      <c r="J2917" s="2">
        <v>45783.520474537043</v>
      </c>
      <c r="K2917">
        <v>6</v>
      </c>
      <c r="L2917">
        <v>5</v>
      </c>
      <c r="M2917">
        <v>2025</v>
      </c>
      <c r="N2917" t="s">
        <v>27</v>
      </c>
      <c r="O2917">
        <v>550</v>
      </c>
      <c r="P2917">
        <v>550</v>
      </c>
      <c r="R2917" s="3" t="str">
        <f>HYPERLINK("https://panda.att.com.mx/ODKServer/view/binaryData?blobKey=FSSuministroFluidosv3%5B%40version%3Dnull+and+%40uiVersion%3Dnull%5D%2Fdata%5B%40key%3Duuid%3A7117f262-ceee-4307-b822-e9f5284e8250%5D%2FgroupInfoFuel%5B%40ordinal%3D1%5D%2FpicFuelRecibeInterno","Descargar")</f>
        <v>Descargar</v>
      </c>
    </row>
    <row r="2918" spans="1:18" x14ac:dyDescent="0.3">
      <c r="A2918">
        <v>1531987</v>
      </c>
      <c r="B2918" t="s">
        <v>18</v>
      </c>
      <c r="C2918" t="s">
        <v>100</v>
      </c>
      <c r="D2918" t="s">
        <v>716</v>
      </c>
      <c r="E2918" t="s">
        <v>717</v>
      </c>
      <c r="F2918" t="s">
        <v>22</v>
      </c>
      <c r="G2918" t="s">
        <v>83</v>
      </c>
      <c r="H2918" t="s">
        <v>1781</v>
      </c>
      <c r="I2918" t="s">
        <v>25</v>
      </c>
      <c r="J2918" s="2">
        <v>45784.827025462961</v>
      </c>
      <c r="K2918">
        <v>7</v>
      </c>
      <c r="L2918">
        <v>5</v>
      </c>
      <c r="M2918">
        <v>2025</v>
      </c>
      <c r="N2918" t="s">
        <v>27</v>
      </c>
      <c r="O2918">
        <v>135</v>
      </c>
      <c r="P2918">
        <v>135</v>
      </c>
      <c r="R2918" s="3" t="str">
        <f>HYPERLINK("https://panda.att.com.mx/ODKServer/view/binaryData?blobKey=FSSuministroFluidosv3%5B%40version%3Dnull+and+%40uiVersion%3Dnull%5D%2Fdata%5B%40key%3Duuid%3Afc90dd27-3bdc-4d59-83b3-30f1d0e9040d%5D%2FgroupInfoFuel%5B%40ordinal%3D1%5D%2FpicFuelRecibeInterno","Descargar")</f>
        <v>Descargar</v>
      </c>
    </row>
    <row r="2919" spans="1:18" x14ac:dyDescent="0.3">
      <c r="A2919">
        <v>1531905</v>
      </c>
      <c r="B2919" t="s">
        <v>18</v>
      </c>
      <c r="C2919" t="s">
        <v>100</v>
      </c>
      <c r="D2919" t="s">
        <v>854</v>
      </c>
      <c r="E2919" t="s">
        <v>993</v>
      </c>
      <c r="F2919" t="s">
        <v>22</v>
      </c>
      <c r="G2919" t="s">
        <v>83</v>
      </c>
      <c r="H2919" t="s">
        <v>1781</v>
      </c>
      <c r="I2919" t="s">
        <v>25</v>
      </c>
      <c r="J2919" s="2">
        <v>45784.707118055558</v>
      </c>
      <c r="K2919">
        <v>7</v>
      </c>
      <c r="L2919">
        <v>5</v>
      </c>
      <c r="M2919">
        <v>2025</v>
      </c>
      <c r="N2919" t="s">
        <v>27</v>
      </c>
      <c r="O2919">
        <v>200</v>
      </c>
      <c r="P2919">
        <v>200</v>
      </c>
      <c r="R2919" s="3" t="str">
        <f>HYPERLINK("https://panda.att.com.mx/ODKServer/view/binaryData?blobKey=FSSuministroFluidosv3%5B%40version%3Dnull+and+%40uiVersion%3Dnull%5D%2Fdata%5B%40key%3Duuid%3A6e76e675-caec-4f93-975e-3d3f48d5997f%5D%2FgroupInfoFuel%5B%40ordinal%3D1%5D%2FpicFuelRecibeInterno","Descargar")</f>
        <v>Descargar</v>
      </c>
    </row>
    <row r="2920" spans="1:18" x14ac:dyDescent="0.3">
      <c r="A2920">
        <v>1531895</v>
      </c>
      <c r="B2920" t="s">
        <v>18</v>
      </c>
      <c r="C2920" t="s">
        <v>167</v>
      </c>
      <c r="D2920" t="s">
        <v>264</v>
      </c>
      <c r="E2920" t="s">
        <v>310</v>
      </c>
      <c r="G2920" t="s">
        <v>23</v>
      </c>
      <c r="H2920" t="s">
        <v>58</v>
      </c>
      <c r="I2920" t="s">
        <v>25</v>
      </c>
      <c r="J2920" s="2">
        <v>45784.523495370369</v>
      </c>
      <c r="K2920">
        <v>7</v>
      </c>
      <c r="L2920">
        <v>5</v>
      </c>
      <c r="M2920">
        <v>2025</v>
      </c>
      <c r="N2920" t="s">
        <v>27</v>
      </c>
      <c r="O2920">
        <v>70</v>
      </c>
      <c r="P2920">
        <v>70</v>
      </c>
      <c r="R2920" s="3" t="str">
        <f>HYPERLINK("https://panda.att.com.mx/ODKServer/view/binaryData?blobKey=FSSuministroFluidosv3%5B%40version%3Dnull+and+%40uiVersion%3Dnull%5D%2Fdata%5B%40key%3Duuid%3Ac0ccff8e-4632-4429-99a7-9580b07727d9%5D%2FgroupInfoFuel%5B%40ordinal%3D1%5D%2FpicFuelRecibeInterno","Descargar")</f>
        <v>Descargar</v>
      </c>
    </row>
    <row r="2921" spans="1:18" x14ac:dyDescent="0.3">
      <c r="A2921">
        <v>1531894</v>
      </c>
      <c r="B2921" t="s">
        <v>18</v>
      </c>
      <c r="C2921" t="s">
        <v>167</v>
      </c>
      <c r="D2921" t="s">
        <v>264</v>
      </c>
      <c r="E2921" t="s">
        <v>310</v>
      </c>
      <c r="G2921" t="s">
        <v>23</v>
      </c>
      <c r="H2921" t="s">
        <v>58</v>
      </c>
      <c r="I2921" t="s">
        <v>25</v>
      </c>
      <c r="J2921" s="2">
        <v>45784.519305555557</v>
      </c>
      <c r="K2921">
        <v>7</v>
      </c>
      <c r="L2921">
        <v>5</v>
      </c>
      <c r="M2921">
        <v>2025</v>
      </c>
      <c r="N2921" t="s">
        <v>27</v>
      </c>
      <c r="O2921">
        <v>60</v>
      </c>
      <c r="P2921">
        <v>60</v>
      </c>
      <c r="R2921" s="3" t="str">
        <f>HYPERLINK("https://panda.att.com.mx/ODKServer/view/binaryData?blobKey=FSSuministroFluidosv3%5B%40version%3Dnull+and+%40uiVersion%3Dnull%5D%2Fdata%5B%40key%3Duuid%3Aab58c392-c398-4561-adc5-e28cba0a79bf%5D%2FgroupInfoFuel%5B%40ordinal%3D1%5D%2FpicFuelRecibeInterno","Descargar")</f>
        <v>Descargar</v>
      </c>
    </row>
    <row r="2922" spans="1:18" x14ac:dyDescent="0.3">
      <c r="A2922">
        <v>1531804</v>
      </c>
      <c r="B2922" t="s">
        <v>18</v>
      </c>
      <c r="C2922" t="s">
        <v>28</v>
      </c>
      <c r="D2922" t="s">
        <v>66</v>
      </c>
      <c r="E2922" t="s">
        <v>2267</v>
      </c>
      <c r="F2922" t="s">
        <v>22</v>
      </c>
      <c r="G2922" t="s">
        <v>23</v>
      </c>
      <c r="H2922" t="s">
        <v>24</v>
      </c>
      <c r="I2922" t="s">
        <v>25</v>
      </c>
      <c r="J2922" s="2">
        <v>45784.43240740741</v>
      </c>
      <c r="K2922">
        <v>7</v>
      </c>
      <c r="L2922">
        <v>5</v>
      </c>
      <c r="M2922">
        <v>2025</v>
      </c>
      <c r="N2922" t="s">
        <v>44</v>
      </c>
      <c r="O2922">
        <v>30</v>
      </c>
      <c r="Q2922">
        <v>30</v>
      </c>
      <c r="R2922" s="3" t="str">
        <f>HYPERLINK("https://panda.att.com.mx/ODKServer/view/binaryData?blobKey=FSSuministroFluidosv3%5B%40version%3Dnull+and+%40uiVersion%3Dnull%5D%2Fdata%5B%40key%3Duuid%3A37572252-5675-4768-ae11-c19c37b7f0a4%5D%2FgroupInfoFuel%5B%40ordinal%3D1%5D%2FpicFuelRecibeInterno","Descargar")</f>
        <v>Descargar</v>
      </c>
    </row>
    <row r="2923" spans="1:18" x14ac:dyDescent="0.3">
      <c r="A2923">
        <v>1531761</v>
      </c>
      <c r="B2923" t="s">
        <v>18</v>
      </c>
      <c r="C2923" t="s">
        <v>59</v>
      </c>
      <c r="D2923" t="s">
        <v>611</v>
      </c>
      <c r="E2923" t="s">
        <v>612</v>
      </c>
      <c r="F2923" t="s">
        <v>22</v>
      </c>
      <c r="G2923" t="s">
        <v>23</v>
      </c>
      <c r="H2923" t="s">
        <v>37</v>
      </c>
      <c r="I2923" t="s">
        <v>25</v>
      </c>
      <c r="J2923" s="2">
        <v>45784.62740740741</v>
      </c>
      <c r="K2923">
        <v>7</v>
      </c>
      <c r="L2923">
        <v>5</v>
      </c>
      <c r="M2923">
        <v>2025</v>
      </c>
      <c r="N2923" t="s">
        <v>27</v>
      </c>
      <c r="O2923">
        <v>200</v>
      </c>
      <c r="Q2923">
        <v>200</v>
      </c>
      <c r="R2923" s="3" t="str">
        <f>HYPERLINK("https://panda.att.com.mx/ODKServer/view/binaryData?blobKey=FSSuministroFluidosv3%5B%40version%3Dnull+and+%40uiVersion%3Dnull%5D%2Fdata%5B%40key%3Duuid%3Ac7a9aa27-56f1-407c-9c41-f73e5bbee74f%5D%2FgroupInfoFuel%5B%40ordinal%3D1%5D%2FpicFuelRecibeInterno","Descargar")</f>
        <v>Descargar</v>
      </c>
    </row>
    <row r="2924" spans="1:18" x14ac:dyDescent="0.3">
      <c r="A2924">
        <v>1531651</v>
      </c>
      <c r="B2924" t="s">
        <v>18</v>
      </c>
      <c r="C2924" t="s">
        <v>28</v>
      </c>
      <c r="D2924" t="s">
        <v>66</v>
      </c>
      <c r="E2924" t="s">
        <v>927</v>
      </c>
      <c r="F2924" t="s">
        <v>22</v>
      </c>
      <c r="G2924" t="s">
        <v>23</v>
      </c>
      <c r="H2924" t="s">
        <v>24</v>
      </c>
      <c r="I2924" t="s">
        <v>25</v>
      </c>
      <c r="J2924" s="2">
        <v>45784.274907407409</v>
      </c>
      <c r="K2924">
        <v>7</v>
      </c>
      <c r="L2924">
        <v>5</v>
      </c>
      <c r="M2924">
        <v>2025</v>
      </c>
      <c r="N2924" t="s">
        <v>44</v>
      </c>
      <c r="O2924">
        <v>40</v>
      </c>
      <c r="P2924">
        <v>40</v>
      </c>
      <c r="R2924" s="3" t="str">
        <f>HYPERLINK("https://panda.att.com.mx/ODKServer/view/binaryData?blobKey=FSSuministroFluidosv3%5B%40version%3Dnull+and+%40uiVersion%3Dnull%5D%2Fdata%5B%40key%3Duuid%3A11ca17b4-47e5-44af-8ceb-68e734a5e054%5D%2FgroupInfoFuel%5B%40ordinal%3D1%5D%2FpicFuelRecibeInterno","Descargar")</f>
        <v>Descargar</v>
      </c>
    </row>
    <row r="2925" spans="1:18" x14ac:dyDescent="0.3">
      <c r="A2925">
        <v>1531629</v>
      </c>
      <c r="B2925" t="s">
        <v>18</v>
      </c>
      <c r="C2925" t="s">
        <v>28</v>
      </c>
      <c r="D2925" t="s">
        <v>66</v>
      </c>
      <c r="E2925" t="s">
        <v>104</v>
      </c>
      <c r="F2925" t="s">
        <v>22</v>
      </c>
      <c r="G2925" t="s">
        <v>23</v>
      </c>
      <c r="H2925" t="s">
        <v>24</v>
      </c>
      <c r="I2925" t="s">
        <v>25</v>
      </c>
      <c r="J2925" s="2">
        <v>45784.482210648152</v>
      </c>
      <c r="K2925">
        <v>7</v>
      </c>
      <c r="L2925">
        <v>5</v>
      </c>
      <c r="M2925">
        <v>2025</v>
      </c>
      <c r="N2925" t="s">
        <v>44</v>
      </c>
      <c r="O2925">
        <v>40</v>
      </c>
      <c r="Q2925">
        <v>40</v>
      </c>
      <c r="R2925" s="3" t="str">
        <f>HYPERLINK("https://panda.att.com.mx/ODKServer/view/binaryData?blobKey=FSSuministroFluidosv3%5B%40version%3Dnull+and+%40uiVersion%3Dnull%5D%2Fdata%5B%40key%3Duuid%3A96591a42-5178-4436-bbd4-c8712ef5094b%5D%2FgroupInfoFuel%5B%40ordinal%3D1%5D%2FpicFuelRecibeInterno","Descargar")</f>
        <v>Descargar</v>
      </c>
    </row>
    <row r="2926" spans="1:18" x14ac:dyDescent="0.3">
      <c r="A2926">
        <v>1531425</v>
      </c>
      <c r="B2926" t="s">
        <v>18</v>
      </c>
      <c r="C2926" t="s">
        <v>183</v>
      </c>
      <c r="D2926" t="s">
        <v>305</v>
      </c>
      <c r="E2926" t="s">
        <v>2201</v>
      </c>
      <c r="F2926" t="s">
        <v>22</v>
      </c>
      <c r="G2926" t="s">
        <v>83</v>
      </c>
      <c r="H2926" t="s">
        <v>24</v>
      </c>
      <c r="I2926" t="s">
        <v>25</v>
      </c>
      <c r="J2926" s="2">
        <v>45783.68378472222</v>
      </c>
      <c r="K2926">
        <v>6</v>
      </c>
      <c r="L2926">
        <v>5</v>
      </c>
      <c r="M2926">
        <v>2025</v>
      </c>
      <c r="N2926" t="s">
        <v>27</v>
      </c>
      <c r="O2926">
        <v>200</v>
      </c>
      <c r="Q2926">
        <v>200</v>
      </c>
      <c r="R2926" s="3" t="str">
        <f>HYPERLINK("https://panda.att.com.mx/ODKServer/view/binaryData?blobKey=FSSuministroFluidosv3%5B%40version%3Dnull+and+%40uiVersion%3Dnull%5D%2Fdata%5B%40key%3Duuid%3Ab47581a6-6ae8-4b10-9bfc-40cac93c3520%5D%2FgroupInfoFuel%5B%40ordinal%3D1%5D%2FpicFuelRecibeInterno","Descargar")</f>
        <v>Descargar</v>
      </c>
    </row>
    <row r="2927" spans="1:18" x14ac:dyDescent="0.3">
      <c r="A2927">
        <v>1531412</v>
      </c>
      <c r="B2927" t="s">
        <v>18</v>
      </c>
      <c r="C2927" t="s">
        <v>150</v>
      </c>
      <c r="D2927" t="s">
        <v>151</v>
      </c>
      <c r="E2927" t="s">
        <v>174</v>
      </c>
      <c r="F2927" t="s">
        <v>22</v>
      </c>
      <c r="G2927" t="s">
        <v>23</v>
      </c>
      <c r="H2927" t="s">
        <v>1781</v>
      </c>
      <c r="I2927" t="s">
        <v>25</v>
      </c>
      <c r="J2927" s="2">
        <v>45783.660324074073</v>
      </c>
      <c r="K2927">
        <v>6</v>
      </c>
      <c r="L2927">
        <v>5</v>
      </c>
      <c r="M2927">
        <v>2025</v>
      </c>
      <c r="N2927" t="s">
        <v>27</v>
      </c>
      <c r="O2927">
        <v>200</v>
      </c>
      <c r="P2927">
        <v>200</v>
      </c>
      <c r="R2927" s="3" t="str">
        <f>HYPERLINK("https://panda.att.com.mx/ODKServer/view/binaryData?blobKey=FSSuministroFluidosv3%5B%40version%3Dnull+and+%40uiVersion%3Dnull%5D%2Fdata%5B%40key%3Duuid%3A04aad969-3a0c-4157-a436-6987c7e90203%5D%2FgroupInfoFuel%5B%40ordinal%3D1%5D%2FpicFuelRecibeInterno","Descargar")</f>
        <v>Descargar</v>
      </c>
    </row>
    <row r="2928" spans="1:18" x14ac:dyDescent="0.3">
      <c r="A2928">
        <v>1531354</v>
      </c>
      <c r="B2928" t="s">
        <v>18</v>
      </c>
      <c r="C2928" t="s">
        <v>28</v>
      </c>
      <c r="D2928" t="s">
        <v>513</v>
      </c>
      <c r="E2928" t="s">
        <v>2268</v>
      </c>
      <c r="F2928" t="s">
        <v>22</v>
      </c>
      <c r="G2928" t="s">
        <v>23</v>
      </c>
      <c r="H2928" t="s">
        <v>24</v>
      </c>
      <c r="I2928" t="s">
        <v>25</v>
      </c>
      <c r="J2928" s="2">
        <v>45783.729050925933</v>
      </c>
      <c r="K2928">
        <v>6</v>
      </c>
      <c r="L2928">
        <v>5</v>
      </c>
      <c r="M2928">
        <v>2025</v>
      </c>
      <c r="N2928" t="s">
        <v>44</v>
      </c>
      <c r="O2928">
        <v>35</v>
      </c>
      <c r="P2928">
        <v>35</v>
      </c>
      <c r="R2928" s="3" t="str">
        <f>HYPERLINK("https://panda.att.com.mx/ODKServer/view/binaryData?blobKey=FSSuministroFluidosv3%5B%40version%3Dnull+and+%40uiVersion%3Dnull%5D%2Fdata%5B%40key%3Duuid%3A7e7657c6-f69c-4fef-815b-71f1a4349dde%5D%2FgroupInfoFuel%5B%40ordinal%3D1%5D%2FpicFuelRecibeInterno","Descargar")</f>
        <v>Descargar</v>
      </c>
    </row>
    <row r="2929" spans="1:18" x14ac:dyDescent="0.3">
      <c r="A2929">
        <v>1531341</v>
      </c>
      <c r="B2929" t="s">
        <v>18</v>
      </c>
      <c r="C2929" t="s">
        <v>19</v>
      </c>
      <c r="D2929" t="s">
        <v>156</v>
      </c>
      <c r="E2929" t="s">
        <v>480</v>
      </c>
      <c r="F2929" t="s">
        <v>22</v>
      </c>
      <c r="G2929" t="s">
        <v>23</v>
      </c>
      <c r="H2929" t="s">
        <v>24</v>
      </c>
      <c r="I2929" t="s">
        <v>25</v>
      </c>
      <c r="J2929" s="2">
        <v>45778.483993055554</v>
      </c>
      <c r="K2929">
        <v>1</v>
      </c>
      <c r="L2929">
        <v>5</v>
      </c>
      <c r="M2929">
        <v>2025</v>
      </c>
      <c r="N2929" t="s">
        <v>27</v>
      </c>
      <c r="O2929">
        <v>120</v>
      </c>
      <c r="Q2929">
        <v>120</v>
      </c>
      <c r="R2929" s="3" t="str">
        <f>HYPERLINK("https://panda.att.com.mx/ODKServer/view/binaryData?blobKey=FSSuministroFluidosv3%5B%40version%3Dnull+and+%40uiVersion%3Dnull%5D%2Fdata%5B%40key%3Duuid%3Ac0f55c08-cf60-454a-a1cf-4efc009f95b7%5D%2FgroupInfoFuel%5B%40ordinal%3D1%5D%2FpicFuelRecibeInterno","Descargar")</f>
        <v>Descargar</v>
      </c>
    </row>
    <row r="2930" spans="1:18" x14ac:dyDescent="0.3">
      <c r="A2930">
        <v>1531335</v>
      </c>
      <c r="B2930" t="s">
        <v>18</v>
      </c>
      <c r="C2930" t="s">
        <v>183</v>
      </c>
      <c r="D2930" t="s">
        <v>2269</v>
      </c>
      <c r="E2930" t="s">
        <v>2270</v>
      </c>
      <c r="F2930" t="s">
        <v>22</v>
      </c>
      <c r="G2930" t="s">
        <v>23</v>
      </c>
      <c r="H2930" t="s">
        <v>37</v>
      </c>
      <c r="I2930" t="s">
        <v>25</v>
      </c>
      <c r="J2930" s="2">
        <v>45783.593356481477</v>
      </c>
      <c r="K2930">
        <v>6</v>
      </c>
      <c r="L2930">
        <v>5</v>
      </c>
      <c r="M2930">
        <v>2025</v>
      </c>
      <c r="N2930" t="s">
        <v>27</v>
      </c>
      <c r="O2930">
        <v>250</v>
      </c>
      <c r="P2930">
        <v>250</v>
      </c>
      <c r="R2930" s="3" t="str">
        <f>HYPERLINK("https://panda.att.com.mx/ODKServer/view/binaryData?blobKey=FSSuministroFluidosv3%5B%40version%3Dnull+and+%40uiVersion%3Dnull%5D%2Fdata%5B%40key%3Duuid%3A189add23-cd40-4dfd-b5d5-5d1949ca6d61%5D%2FgroupInfoFuel%5B%40ordinal%3D1%5D%2FpicFuelRecibeInterno","Descargar")</f>
        <v>Descargar</v>
      </c>
    </row>
    <row r="2931" spans="1:18" x14ac:dyDescent="0.3">
      <c r="A2931">
        <v>1531294</v>
      </c>
      <c r="B2931" t="s">
        <v>18</v>
      </c>
      <c r="C2931" t="s">
        <v>34</v>
      </c>
      <c r="D2931" t="s">
        <v>53</v>
      </c>
      <c r="E2931" t="s">
        <v>2271</v>
      </c>
      <c r="F2931" t="s">
        <v>22</v>
      </c>
      <c r="G2931" t="s">
        <v>23</v>
      </c>
      <c r="H2931" t="s">
        <v>37</v>
      </c>
      <c r="I2931" t="s">
        <v>25</v>
      </c>
      <c r="J2931" s="2">
        <v>45783.859016203707</v>
      </c>
      <c r="K2931">
        <v>6</v>
      </c>
      <c r="L2931">
        <v>5</v>
      </c>
      <c r="M2931">
        <v>2025</v>
      </c>
      <c r="N2931" t="s">
        <v>27</v>
      </c>
      <c r="O2931">
        <v>150</v>
      </c>
      <c r="P2931">
        <v>150</v>
      </c>
      <c r="R2931" s="3" t="str">
        <f>HYPERLINK("https://panda.att.com.mx/ODKServer/view/binaryData?blobKey=FSSuministroFluidosv3%5B%40version%3Dnull+and+%40uiVersion%3Dnull%5D%2Fdata%5B%40key%3Duuid%3A4a6e0fbd-4043-4c5b-8874-de6ab0d1aa99%5D%2FgroupInfoFuel%5B%40ordinal%3D1%5D%2FpicFuelRecibeInterno","Descargar")</f>
        <v>Descargar</v>
      </c>
    </row>
    <row r="2932" spans="1:18" x14ac:dyDescent="0.3">
      <c r="A2932">
        <v>1531170</v>
      </c>
      <c r="B2932" t="s">
        <v>18</v>
      </c>
      <c r="C2932" t="s">
        <v>19</v>
      </c>
      <c r="D2932" t="s">
        <v>200</v>
      </c>
      <c r="E2932" t="s">
        <v>2272</v>
      </c>
      <c r="F2932" t="s">
        <v>22</v>
      </c>
      <c r="G2932" t="s">
        <v>23</v>
      </c>
      <c r="H2932" t="s">
        <v>24</v>
      </c>
      <c r="I2932" t="s">
        <v>25</v>
      </c>
      <c r="J2932" s="2">
        <v>45783.576238425929</v>
      </c>
      <c r="K2932">
        <v>6</v>
      </c>
      <c r="L2932">
        <v>5</v>
      </c>
      <c r="M2932">
        <v>2025</v>
      </c>
      <c r="N2932" t="s">
        <v>44</v>
      </c>
      <c r="O2932">
        <v>50</v>
      </c>
      <c r="P2932">
        <v>50</v>
      </c>
      <c r="R2932" s="3" t="str">
        <f>HYPERLINK("https://panda.att.com.mx/ODKServer/view/binaryData?blobKey=FSSuministroFluidosv3%5B%40version%3Dnull+and+%40uiVersion%3Dnull%5D%2Fdata%5B%40key%3Duuid%3Aeb5ccd2d-7e80-40cc-b0d3-063f44ec0496%5D%2FgroupInfoFuel%5B%40ordinal%3D1%5D%2FpicFuelRecibeInterno","Descargar")</f>
        <v>Descargar</v>
      </c>
    </row>
    <row r="2933" spans="1:18" x14ac:dyDescent="0.3">
      <c r="A2933">
        <v>1531138</v>
      </c>
      <c r="B2933" t="s">
        <v>18</v>
      </c>
      <c r="C2933" t="s">
        <v>167</v>
      </c>
      <c r="D2933" t="s">
        <v>768</v>
      </c>
      <c r="E2933" t="s">
        <v>998</v>
      </c>
      <c r="F2933" t="s">
        <v>22</v>
      </c>
      <c r="G2933" t="s">
        <v>83</v>
      </c>
      <c r="H2933" t="s">
        <v>58</v>
      </c>
      <c r="I2933" t="s">
        <v>25</v>
      </c>
      <c r="J2933" s="2">
        <v>45783.728668981479</v>
      </c>
      <c r="K2933">
        <v>6</v>
      </c>
      <c r="L2933">
        <v>5</v>
      </c>
      <c r="M2933">
        <v>2025</v>
      </c>
      <c r="N2933" t="s">
        <v>27</v>
      </c>
      <c r="O2933">
        <v>300</v>
      </c>
      <c r="P2933">
        <v>300</v>
      </c>
      <c r="R2933" s="3" t="str">
        <f>HYPERLINK("https://panda.att.com.mx/ODKServer/view/binaryData?blobKey=FSSuministroFluidosv3%5B%40version%3Dnull+and+%40uiVersion%3Dnull%5D%2Fdata%5B%40key%3Duuid%3A49e02176-2f5d-4244-8583-42d2a6c30910%5D%2FgroupInfoFuel%5B%40ordinal%3D1%5D%2FpicFuelRecibeInterno","Descargar")</f>
        <v>Descargar</v>
      </c>
    </row>
    <row r="2934" spans="1:18" x14ac:dyDescent="0.3">
      <c r="A2934">
        <v>1531064</v>
      </c>
      <c r="B2934" t="s">
        <v>18</v>
      </c>
      <c r="C2934" t="s">
        <v>19</v>
      </c>
      <c r="D2934" t="s">
        <v>42</v>
      </c>
      <c r="E2934" t="s">
        <v>2273</v>
      </c>
      <c r="F2934" t="s">
        <v>22</v>
      </c>
      <c r="G2934" t="s">
        <v>23</v>
      </c>
      <c r="H2934" t="s">
        <v>24</v>
      </c>
      <c r="I2934" t="s">
        <v>25</v>
      </c>
      <c r="J2934" s="2">
        <v>45781.659768518519</v>
      </c>
      <c r="K2934">
        <v>4</v>
      </c>
      <c r="L2934">
        <v>5</v>
      </c>
      <c r="M2934">
        <v>2025</v>
      </c>
      <c r="N2934" t="s">
        <v>44</v>
      </c>
      <c r="O2934">
        <v>50</v>
      </c>
      <c r="P2934">
        <v>50</v>
      </c>
      <c r="R2934" s="3" t="str">
        <f>HYPERLINK("https://panda.att.com.mx/ODKServer/view/binaryData?blobKey=FSSuministroFluidosv3%5B%40version%3Dnull+and+%40uiVersion%3Dnull%5D%2Fdata%5B%40key%3Duuid%3A3e810ee8-447b-4e33-9bc2-753f7501fdd8%5D%2FgroupInfoFuel%5B%40ordinal%3D1%5D%2FpicFuelRecibeInterno","Descargar")</f>
        <v>Descargar</v>
      </c>
    </row>
    <row r="2935" spans="1:18" x14ac:dyDescent="0.3">
      <c r="A2935">
        <v>1530886</v>
      </c>
      <c r="B2935" t="s">
        <v>18</v>
      </c>
      <c r="C2935" t="s">
        <v>167</v>
      </c>
      <c r="D2935" t="s">
        <v>768</v>
      </c>
      <c r="E2935" t="s">
        <v>769</v>
      </c>
      <c r="F2935" t="s">
        <v>22</v>
      </c>
      <c r="G2935" t="s">
        <v>23</v>
      </c>
      <c r="H2935" t="s">
        <v>58</v>
      </c>
      <c r="I2935" t="s">
        <v>25</v>
      </c>
      <c r="J2935" s="2">
        <v>45783.550925925927</v>
      </c>
      <c r="K2935">
        <v>6</v>
      </c>
      <c r="L2935">
        <v>5</v>
      </c>
      <c r="M2935">
        <v>2025</v>
      </c>
      <c r="N2935" t="s">
        <v>27</v>
      </c>
      <c r="O2935">
        <v>300</v>
      </c>
      <c r="P2935">
        <v>300</v>
      </c>
      <c r="R2935" s="3" t="str">
        <f>HYPERLINK("https://panda.att.com.mx/ODKServer/view/binaryData?blobKey=FSSuministroFluidosv3%5B%40version%3Dnull+and+%40uiVersion%3Dnull%5D%2Fdata%5B%40key%3Duuid%3A9bc93be5-04a8-486c-8ae2-d928ea2dd73f%5D%2FgroupInfoFuel%5B%40ordinal%3D1%5D%2FpicFuelRecibeInterno","Descargar")</f>
        <v>Descargar</v>
      </c>
    </row>
    <row r="2936" spans="1:18" x14ac:dyDescent="0.3">
      <c r="A2936">
        <v>1530878</v>
      </c>
      <c r="B2936" t="s">
        <v>18</v>
      </c>
      <c r="C2936" t="s">
        <v>55</v>
      </c>
      <c r="D2936" t="s">
        <v>366</v>
      </c>
      <c r="E2936" t="s">
        <v>2230</v>
      </c>
      <c r="F2936" t="s">
        <v>22</v>
      </c>
      <c r="G2936" t="s">
        <v>83</v>
      </c>
      <c r="H2936" t="s">
        <v>1781</v>
      </c>
      <c r="I2936" t="s">
        <v>25</v>
      </c>
      <c r="J2936" s="2">
        <v>45783.482372685183</v>
      </c>
      <c r="K2936">
        <v>6</v>
      </c>
      <c r="L2936">
        <v>5</v>
      </c>
      <c r="M2936">
        <v>2025</v>
      </c>
      <c r="N2936" t="s">
        <v>27</v>
      </c>
      <c r="O2936">
        <v>165.55</v>
      </c>
      <c r="P2936">
        <v>165.55</v>
      </c>
      <c r="R2936" s="3" t="str">
        <f>HYPERLINK("https://panda.att.com.mx/ODKServer/view/binaryData?blobKey=FSSuministroFluidosv3%5B%40version%3Dnull+and+%40uiVersion%3Dnull%5D%2Fdata%5B%40key%3Duuid%3Ad3a86070-2e57-4562-af28-2bbf4b1e07c1%5D%2FgroupInfoFuel%5B%40ordinal%3D1%5D%2FpicFuelRecibeInterno","Descargar")</f>
        <v>Descargar</v>
      </c>
    </row>
    <row r="2937" spans="1:18" x14ac:dyDescent="0.3">
      <c r="A2937">
        <v>1530807</v>
      </c>
      <c r="B2937" t="s">
        <v>18</v>
      </c>
      <c r="C2937" t="s">
        <v>150</v>
      </c>
      <c r="D2937" t="s">
        <v>151</v>
      </c>
      <c r="E2937" t="s">
        <v>2220</v>
      </c>
      <c r="F2937" t="s">
        <v>22</v>
      </c>
      <c r="G2937" t="s">
        <v>23</v>
      </c>
      <c r="H2937" t="s">
        <v>1781</v>
      </c>
      <c r="I2937" t="s">
        <v>25</v>
      </c>
      <c r="J2937" s="2">
        <v>45783.520405092589</v>
      </c>
      <c r="K2937">
        <v>6</v>
      </c>
      <c r="L2937">
        <v>5</v>
      </c>
      <c r="M2937">
        <v>2025</v>
      </c>
      <c r="N2937" t="s">
        <v>27</v>
      </c>
      <c r="O2937">
        <v>100</v>
      </c>
      <c r="P2937">
        <v>100</v>
      </c>
      <c r="R2937" s="3" t="str">
        <f>HYPERLINK("https://panda.att.com.mx/ODKServer/view/binaryData?blobKey=FSSuministroFluidosv3%5B%40version%3Dnull+and+%40uiVersion%3Dnull%5D%2Fdata%5B%40key%3Duuid%3Aa2bbc1d6-2d95-41a6-9a92-527b331955c7%5D%2FgroupInfoFuel%5B%40ordinal%3D1%5D%2FpicFuelRecibeInterno","Descargar")</f>
        <v>Descargar</v>
      </c>
    </row>
    <row r="2938" spans="1:18" x14ac:dyDescent="0.3">
      <c r="A2938">
        <v>1530790</v>
      </c>
      <c r="B2938" t="s">
        <v>18</v>
      </c>
      <c r="C2938" t="s">
        <v>28</v>
      </c>
      <c r="D2938" t="s">
        <v>1054</v>
      </c>
      <c r="E2938" t="s">
        <v>2218</v>
      </c>
      <c r="F2938" t="s">
        <v>22</v>
      </c>
      <c r="G2938" t="s">
        <v>23</v>
      </c>
      <c r="H2938" t="s">
        <v>24</v>
      </c>
      <c r="I2938" t="s">
        <v>25</v>
      </c>
      <c r="J2938" t="s">
        <v>2274</v>
      </c>
      <c r="K2938">
        <v>30</v>
      </c>
      <c r="L2938">
        <v>4</v>
      </c>
      <c r="M2938">
        <v>2025</v>
      </c>
      <c r="N2938" t="s">
        <v>27</v>
      </c>
      <c r="O2938">
        <v>300</v>
      </c>
      <c r="P2938">
        <v>300</v>
      </c>
      <c r="R2938" s="3" t="str">
        <f>HYPERLINK("https://panda.att.com.mx/ODKServer/view/binaryData?blobKey=FSSuministroFluidosv3%5B%40version%3Dnull+and+%40uiVersion%3Dnull%5D%2Fdata%5B%40key%3Duuid%3A1e3ab0b8-cc94-4ec6-b84d-a2287ecbe5f3%5D%2FgroupInfoFuel%5B%40ordinal%3D1%5D%2FpicFuelRecibeInterno","Descargar")</f>
        <v>Descargar</v>
      </c>
    </row>
    <row r="2939" spans="1:18" x14ac:dyDescent="0.3">
      <c r="A2939">
        <v>1530773</v>
      </c>
      <c r="B2939" t="s">
        <v>18</v>
      </c>
      <c r="C2939" t="s">
        <v>100</v>
      </c>
      <c r="D2939" t="s">
        <v>101</v>
      </c>
      <c r="E2939" t="s">
        <v>2012</v>
      </c>
      <c r="F2939" t="s">
        <v>22</v>
      </c>
      <c r="G2939" t="s">
        <v>23</v>
      </c>
      <c r="H2939" t="s">
        <v>1781</v>
      </c>
      <c r="I2939" t="s">
        <v>25</v>
      </c>
      <c r="J2939" s="2">
        <v>45783.494629629633</v>
      </c>
      <c r="K2939">
        <v>6</v>
      </c>
      <c r="L2939">
        <v>5</v>
      </c>
      <c r="M2939">
        <v>2025</v>
      </c>
      <c r="N2939" t="s">
        <v>27</v>
      </c>
      <c r="O2939">
        <v>200</v>
      </c>
      <c r="P2939">
        <v>200</v>
      </c>
      <c r="R2939" s="3" t="str">
        <f>HYPERLINK("https://panda.att.com.mx/ODKServer/view/binaryData?blobKey=FSSuministroFluidosv3%5B%40version%3Dnull+and+%40uiVersion%3Dnull%5D%2Fdata%5B%40key%3Duuid%3Ac5d51c19-f2a7-4f15-a1a0-033893dccf11%5D%2FgroupInfoFuel%5B%40ordinal%3D1%5D%2FpicFuelRecibeInterno","Descargar")</f>
        <v>Descargar</v>
      </c>
    </row>
    <row r="2940" spans="1:18" x14ac:dyDescent="0.3">
      <c r="A2940">
        <v>1530745</v>
      </c>
      <c r="B2940" t="s">
        <v>18</v>
      </c>
      <c r="C2940" t="s">
        <v>19</v>
      </c>
      <c r="D2940" t="s">
        <v>45</v>
      </c>
      <c r="E2940" t="s">
        <v>752</v>
      </c>
      <c r="F2940" t="s">
        <v>22</v>
      </c>
      <c r="G2940" t="s">
        <v>23</v>
      </c>
      <c r="H2940" t="s">
        <v>24</v>
      </c>
      <c r="I2940" t="s">
        <v>25</v>
      </c>
      <c r="J2940" s="2">
        <v>45780.362129629633</v>
      </c>
      <c r="K2940">
        <v>3</v>
      </c>
      <c r="L2940">
        <v>5</v>
      </c>
      <c r="M2940">
        <v>2025</v>
      </c>
      <c r="N2940" t="s">
        <v>27</v>
      </c>
      <c r="O2940">
        <v>300</v>
      </c>
      <c r="P2940">
        <v>300</v>
      </c>
      <c r="R2940" s="3" t="str">
        <f>HYPERLINK("https://panda.att.com.mx/ODKServer/view/binaryData?blobKey=FSSuministroFluidosv3%5B%40version%3Dnull+and+%40uiVersion%3Dnull%5D%2Fdata%5B%40key%3Duuid%3Ad6b24813-48ec-4fc9-a25b-d71196a67143%5D%2FgroupInfoFuel%5B%40ordinal%3D1%5D%2FpicFuelRecibeInterno","Descargar")</f>
        <v>Descargar</v>
      </c>
    </row>
    <row r="2941" spans="1:18" x14ac:dyDescent="0.3">
      <c r="A2941">
        <v>1530744</v>
      </c>
      <c r="B2941" t="s">
        <v>18</v>
      </c>
      <c r="C2941" t="s">
        <v>19</v>
      </c>
      <c r="D2941" t="s">
        <v>45</v>
      </c>
      <c r="E2941" t="s">
        <v>752</v>
      </c>
      <c r="F2941" t="s">
        <v>22</v>
      </c>
      <c r="G2941" t="s">
        <v>23</v>
      </c>
      <c r="H2941" t="s">
        <v>24</v>
      </c>
      <c r="I2941" t="s">
        <v>25</v>
      </c>
      <c r="J2941" t="s">
        <v>2275</v>
      </c>
      <c r="K2941">
        <v>30</v>
      </c>
      <c r="L2941">
        <v>4</v>
      </c>
      <c r="M2941">
        <v>2025</v>
      </c>
      <c r="N2941" t="s">
        <v>27</v>
      </c>
      <c r="O2941">
        <v>300</v>
      </c>
      <c r="P2941">
        <v>300</v>
      </c>
      <c r="R2941" s="3" t="str">
        <f>HYPERLINK("https://panda.att.com.mx/ODKServer/view/binaryData?blobKey=FSSuministroFluidosv3%5B%40version%3Dnull+and+%40uiVersion%3Dnull%5D%2Fdata%5B%40key%3Duuid%3Abfd3f884-8935-408d-8cf2-0e22634d9455%5D%2FgroupInfoFuel%5B%40ordinal%3D1%5D%2FpicFuelRecibeInterno","Descargar")</f>
        <v>Descargar</v>
      </c>
    </row>
    <row r="2942" spans="1:18" x14ac:dyDescent="0.3">
      <c r="A2942">
        <v>1530690</v>
      </c>
      <c r="B2942" t="s">
        <v>18</v>
      </c>
      <c r="C2942" t="s">
        <v>150</v>
      </c>
      <c r="D2942" t="s">
        <v>230</v>
      </c>
      <c r="E2942" t="s">
        <v>1510</v>
      </c>
      <c r="F2942" t="s">
        <v>22</v>
      </c>
      <c r="G2942" t="s">
        <v>23</v>
      </c>
      <c r="H2942" t="s">
        <v>1781</v>
      </c>
      <c r="I2942" t="s">
        <v>25</v>
      </c>
      <c r="J2942" s="2">
        <v>45783.348356481481</v>
      </c>
      <c r="K2942">
        <v>6</v>
      </c>
      <c r="L2942">
        <v>5</v>
      </c>
      <c r="M2942">
        <v>2025</v>
      </c>
      <c r="N2942" t="s">
        <v>44</v>
      </c>
      <c r="O2942">
        <v>250.04</v>
      </c>
      <c r="P2942">
        <v>250.04</v>
      </c>
      <c r="R2942" s="3" t="str">
        <f>HYPERLINK("https://panda.att.com.mx/ODKServer/view/binaryData?blobKey=FSSuministroFluidosv3%5B%40version%3Dnull+and+%40uiVersion%3Dnull%5D%2Fdata%5B%40key%3Duuid%3A3b458c7a-942b-4cbf-9102-aa0d97b8d23b%5D%2FgroupInfoFuel%5B%40ordinal%3D1%5D%2FpicFuelRecibeInterno","Descargar")</f>
        <v>Descargar</v>
      </c>
    </row>
    <row r="2943" spans="1:18" x14ac:dyDescent="0.3">
      <c r="A2943">
        <v>1530452</v>
      </c>
      <c r="B2943" t="s">
        <v>18</v>
      </c>
      <c r="C2943" t="s">
        <v>59</v>
      </c>
      <c r="D2943" t="s">
        <v>597</v>
      </c>
      <c r="E2943" t="s">
        <v>2276</v>
      </c>
      <c r="F2943" t="s">
        <v>22</v>
      </c>
      <c r="G2943" t="s">
        <v>23</v>
      </c>
      <c r="H2943" t="s">
        <v>37</v>
      </c>
      <c r="I2943" t="s">
        <v>25</v>
      </c>
      <c r="J2943" s="2">
        <v>45779.929664351846</v>
      </c>
      <c r="K2943">
        <v>2</v>
      </c>
      <c r="L2943">
        <v>5</v>
      </c>
      <c r="M2943">
        <v>2025</v>
      </c>
      <c r="N2943" t="s">
        <v>44</v>
      </c>
      <c r="O2943">
        <v>50</v>
      </c>
      <c r="P2943">
        <v>50</v>
      </c>
      <c r="R2943" s="3" t="str">
        <f>HYPERLINK("https://panda.att.com.mx/ODKServer/view/binaryData?blobKey=FSSuministroFluidosv3%5B%40version%3Dnull+and+%40uiVersion%3Dnull%5D%2Fdata%5B%40key%3Duuid%3A8886885e-34b9-409f-87f8-5c0bcb760000%5D%2FgroupInfoFuel%5B%40ordinal%3D1%5D%2FpicFuelRecibeInterno","Descargar")</f>
        <v>Descargar</v>
      </c>
    </row>
    <row r="2944" spans="1:18" x14ac:dyDescent="0.3">
      <c r="A2944">
        <v>1530442</v>
      </c>
      <c r="B2944" t="s">
        <v>18</v>
      </c>
      <c r="C2944" t="s">
        <v>28</v>
      </c>
      <c r="D2944" t="s">
        <v>1054</v>
      </c>
      <c r="E2944" t="s">
        <v>2218</v>
      </c>
      <c r="F2944" t="s">
        <v>22</v>
      </c>
      <c r="G2944" t="s">
        <v>23</v>
      </c>
      <c r="H2944" t="s">
        <v>24</v>
      </c>
      <c r="I2944" t="s">
        <v>25</v>
      </c>
      <c r="J2944" s="2">
        <v>45780.51358796296</v>
      </c>
      <c r="K2944">
        <v>3</v>
      </c>
      <c r="L2944">
        <v>5</v>
      </c>
      <c r="M2944">
        <v>2025</v>
      </c>
      <c r="N2944" t="s">
        <v>27</v>
      </c>
      <c r="O2944">
        <v>200</v>
      </c>
      <c r="P2944">
        <v>200</v>
      </c>
      <c r="R2944" s="3" t="str">
        <f>HYPERLINK("https://panda.att.com.mx/ODKServer/view/binaryData?blobKey=FSSuministroFluidosv3%5B%40version%3Dnull+and+%40uiVersion%3Dnull%5D%2Fdata%5B%40key%3Duuid%3A1615c286-5b1a-43a2-954d-d6b3f2c8668f%5D%2FgroupInfoFuel%5B%40ordinal%3D1%5D%2FpicFuelRecibeInterno","Descargar")</f>
        <v>Descargar</v>
      </c>
    </row>
    <row r="2945" spans="1:18" x14ac:dyDescent="0.3">
      <c r="A2945">
        <v>1530441</v>
      </c>
      <c r="B2945" t="s">
        <v>18</v>
      </c>
      <c r="C2945" t="s">
        <v>28</v>
      </c>
      <c r="D2945" t="s">
        <v>513</v>
      </c>
      <c r="E2945" t="s">
        <v>2277</v>
      </c>
      <c r="F2945" t="s">
        <v>22</v>
      </c>
      <c r="G2945" t="s">
        <v>23</v>
      </c>
      <c r="H2945" t="s">
        <v>24</v>
      </c>
      <c r="I2945" t="s">
        <v>25</v>
      </c>
      <c r="J2945" s="2">
        <v>45782.267939814818</v>
      </c>
      <c r="K2945">
        <v>5</v>
      </c>
      <c r="L2945">
        <v>5</v>
      </c>
      <c r="M2945">
        <v>2025</v>
      </c>
      <c r="N2945" t="s">
        <v>44</v>
      </c>
      <c r="O2945">
        <v>50</v>
      </c>
      <c r="P2945">
        <v>50</v>
      </c>
      <c r="R2945" s="3" t="str">
        <f>HYPERLINK("https://panda.att.com.mx/ODKServer/view/binaryData?blobKey=FSSuministroFluidosv3%5B%40version%3Dnull+and+%40uiVersion%3Dnull%5D%2Fdata%5B%40key%3Duuid%3A529a0d53-3b45-4fe5-8e0f-d58b021dc9d5%5D%2FgroupInfoFuel%5B%40ordinal%3D1%5D%2FpicFuelRecibeInterno","Descargar")</f>
        <v>Descargar</v>
      </c>
    </row>
    <row r="2946" spans="1:18" x14ac:dyDescent="0.3">
      <c r="A2946">
        <v>1530432</v>
      </c>
      <c r="B2946" t="s">
        <v>18</v>
      </c>
      <c r="C2946" t="s">
        <v>59</v>
      </c>
      <c r="D2946" t="s">
        <v>60</v>
      </c>
      <c r="E2946" t="s">
        <v>2207</v>
      </c>
      <c r="F2946" t="s">
        <v>22</v>
      </c>
      <c r="G2946" t="s">
        <v>23</v>
      </c>
      <c r="H2946" t="s">
        <v>37</v>
      </c>
      <c r="I2946" t="s">
        <v>25</v>
      </c>
      <c r="J2946" s="2">
        <v>45781.846284722233</v>
      </c>
      <c r="K2946">
        <v>4</v>
      </c>
      <c r="L2946">
        <v>5</v>
      </c>
      <c r="M2946">
        <v>2025</v>
      </c>
      <c r="N2946" t="s">
        <v>27</v>
      </c>
      <c r="O2946">
        <v>180</v>
      </c>
      <c r="P2946">
        <v>180</v>
      </c>
      <c r="R2946" s="3" t="str">
        <f>HYPERLINK("https://panda.att.com.mx/ODKServer/view/binaryData?blobKey=FSSuministroFluidosv3%5B%40version%3Dnull+and+%40uiVersion%3Dnull%5D%2Fdata%5B%40key%3Duuid%3Afe5e101b-2d70-4085-9dbf-e35d4b3f7a5c%5D%2FgroupInfoFuel%5B%40ordinal%3D1%5D%2FpicFuelRecibeInterno","Descargar")</f>
        <v>Descargar</v>
      </c>
    </row>
    <row r="2947" spans="1:18" x14ac:dyDescent="0.3">
      <c r="A2947">
        <v>1530417</v>
      </c>
      <c r="B2947" t="s">
        <v>18</v>
      </c>
      <c r="C2947" t="s">
        <v>34</v>
      </c>
      <c r="D2947" t="s">
        <v>53</v>
      </c>
      <c r="E2947" t="s">
        <v>1771</v>
      </c>
      <c r="F2947" t="s">
        <v>22</v>
      </c>
      <c r="G2947" t="s">
        <v>23</v>
      </c>
      <c r="H2947" t="s">
        <v>37</v>
      </c>
      <c r="I2947" t="s">
        <v>25</v>
      </c>
      <c r="J2947" s="2">
        <v>45782.854004629633</v>
      </c>
      <c r="K2947">
        <v>5</v>
      </c>
      <c r="L2947">
        <v>5</v>
      </c>
      <c r="M2947">
        <v>2025</v>
      </c>
      <c r="N2947" t="s">
        <v>27</v>
      </c>
      <c r="O2947">
        <v>600</v>
      </c>
      <c r="Q2947">
        <v>600</v>
      </c>
      <c r="R2947" s="3" t="str">
        <f>HYPERLINK("https://panda.att.com.mx/ODKServer/view/binaryData?blobKey=FSSuministroFluidosv3%5B%40version%3Dnull+and+%40uiVersion%3Dnull%5D%2Fdata%5B%40key%3Duuid%3Ab2f15760-0a0d-48e4-98b5-ac8a8120d2e8%5D%2FgroupInfoFuel%5B%40ordinal%3D1%5D%2FpicFuelRecibeInterno","Descargar")</f>
        <v>Descargar</v>
      </c>
    </row>
    <row r="2948" spans="1:18" x14ac:dyDescent="0.3">
      <c r="A2948">
        <v>1530410</v>
      </c>
      <c r="B2948" t="s">
        <v>18</v>
      </c>
      <c r="C2948" t="s">
        <v>59</v>
      </c>
      <c r="D2948" t="s">
        <v>60</v>
      </c>
      <c r="E2948" t="s">
        <v>2207</v>
      </c>
      <c r="F2948" t="s">
        <v>22</v>
      </c>
      <c r="G2948" t="s">
        <v>23</v>
      </c>
      <c r="H2948" t="s">
        <v>37</v>
      </c>
      <c r="I2948" t="s">
        <v>25</v>
      </c>
      <c r="J2948" s="2">
        <v>45779.922488425917</v>
      </c>
      <c r="K2948">
        <v>2</v>
      </c>
      <c r="L2948">
        <v>5</v>
      </c>
      <c r="M2948">
        <v>2025</v>
      </c>
      <c r="N2948" t="s">
        <v>27</v>
      </c>
      <c r="O2948">
        <v>180</v>
      </c>
      <c r="P2948">
        <v>180</v>
      </c>
      <c r="R2948" s="3" t="str">
        <f>HYPERLINK("https://panda.att.com.mx/ODKServer/view/binaryData?blobKey=FSSuministroFluidosv3%5B%40version%3Dnull+and+%40uiVersion%3Dnull%5D%2Fdata%5B%40key%3Duuid%3A920a88a2-f2e8-4b54-8488-e3c24a647f95%5D%2FgroupInfoFuel%5B%40ordinal%3D1%5D%2FpicFuelRecibeInterno","Descargar")</f>
        <v>Descargar</v>
      </c>
    </row>
    <row r="2949" spans="1:18" x14ac:dyDescent="0.3">
      <c r="A2949">
        <v>1530328</v>
      </c>
      <c r="B2949" t="s">
        <v>18</v>
      </c>
      <c r="C2949" t="s">
        <v>34</v>
      </c>
      <c r="D2949" t="s">
        <v>53</v>
      </c>
      <c r="E2949" t="s">
        <v>2271</v>
      </c>
      <c r="F2949" t="s">
        <v>22</v>
      </c>
      <c r="G2949" t="s">
        <v>23</v>
      </c>
      <c r="H2949" t="s">
        <v>37</v>
      </c>
      <c r="I2949" t="s">
        <v>25</v>
      </c>
      <c r="J2949" s="2">
        <v>45782.627812500003</v>
      </c>
      <c r="K2949">
        <v>5</v>
      </c>
      <c r="L2949">
        <v>5</v>
      </c>
      <c r="M2949">
        <v>2025</v>
      </c>
      <c r="N2949" t="s">
        <v>27</v>
      </c>
      <c r="O2949">
        <v>300</v>
      </c>
      <c r="P2949">
        <v>300</v>
      </c>
      <c r="R2949" s="3" t="str">
        <f>HYPERLINK("https://panda.att.com.mx/ODKServer/view/binaryData?blobKey=FSSuministroFluidosv3%5B%40version%3Dnull+and+%40uiVersion%3Dnull%5D%2Fdata%5B%40key%3Duuid%3Aa878c531-fd89-4610-b87a-f7634dd10ac1%5D%2FgroupInfoFuel%5B%40ordinal%3D1%5D%2FpicFuelRecibeInterno","Descargar")</f>
        <v>Descargar</v>
      </c>
    </row>
    <row r="2950" spans="1:18" x14ac:dyDescent="0.3">
      <c r="A2950">
        <v>1530210</v>
      </c>
      <c r="B2950" t="s">
        <v>18</v>
      </c>
      <c r="C2950" t="s">
        <v>28</v>
      </c>
      <c r="D2950" t="s">
        <v>66</v>
      </c>
      <c r="E2950" t="s">
        <v>1141</v>
      </c>
      <c r="F2950" t="s">
        <v>22</v>
      </c>
      <c r="G2950" t="s">
        <v>23</v>
      </c>
      <c r="H2950" t="s">
        <v>24</v>
      </c>
      <c r="I2950" t="s">
        <v>25</v>
      </c>
      <c r="J2950" s="2">
        <v>45780.374490740738</v>
      </c>
      <c r="K2950">
        <v>3</v>
      </c>
      <c r="L2950">
        <v>5</v>
      </c>
      <c r="M2950">
        <v>2025</v>
      </c>
      <c r="N2950" t="s">
        <v>27</v>
      </c>
      <c r="O2950">
        <v>400</v>
      </c>
      <c r="P2950">
        <v>400</v>
      </c>
      <c r="R2950" s="3" t="str">
        <f>HYPERLINK("https://panda.att.com.mx/ODKServer/view/binaryData?blobKey=FSSuministroFluidosv3%5B%40version%3Dnull+and+%40uiVersion%3Dnull%5D%2Fdata%5B%40key%3Duuid%3A53c16bc0-d89c-4ece-9081-e60f51d705d3%5D%2FgroupInfoFuel%5B%40ordinal%3D1%5D%2FpicFuelRecibeInterno","Descargar")</f>
        <v>Descargar</v>
      </c>
    </row>
    <row r="2951" spans="1:18" x14ac:dyDescent="0.3">
      <c r="A2951">
        <v>1530208</v>
      </c>
      <c r="B2951" t="s">
        <v>18</v>
      </c>
      <c r="C2951" t="s">
        <v>19</v>
      </c>
      <c r="D2951" t="s">
        <v>175</v>
      </c>
      <c r="E2951" t="s">
        <v>1632</v>
      </c>
      <c r="F2951" t="s">
        <v>22</v>
      </c>
      <c r="G2951" t="s">
        <v>23</v>
      </c>
      <c r="H2951" t="s">
        <v>24</v>
      </c>
      <c r="I2951" t="s">
        <v>25</v>
      </c>
      <c r="J2951" s="2">
        <v>45779.7344212963</v>
      </c>
      <c r="K2951">
        <v>2</v>
      </c>
      <c r="L2951">
        <v>5</v>
      </c>
      <c r="M2951">
        <v>2025</v>
      </c>
      <c r="N2951" t="s">
        <v>44</v>
      </c>
      <c r="O2951">
        <v>40</v>
      </c>
      <c r="P2951">
        <v>40</v>
      </c>
      <c r="R2951" s="3" t="str">
        <f>HYPERLINK("https://panda.att.com.mx/ODKServer/view/binaryData?blobKey=FSSuministroFluidosv3%5B%40version%3Dnull+and+%40uiVersion%3Dnull%5D%2Fdata%5B%40key%3Duuid%3A4154b533-fdc6-4c6c-a03c-80b191a0a5c2%5D%2FgroupInfoFuel%5B%40ordinal%3D1%5D%2FpicFuelRecibeInterno","Descargar")</f>
        <v>Descargar</v>
      </c>
    </row>
    <row r="2952" spans="1:18" x14ac:dyDescent="0.3">
      <c r="A2952">
        <v>1533346</v>
      </c>
      <c r="B2952" t="s">
        <v>18</v>
      </c>
      <c r="C2952" t="s">
        <v>34</v>
      </c>
      <c r="D2952" t="s">
        <v>53</v>
      </c>
      <c r="E2952" t="s">
        <v>1771</v>
      </c>
      <c r="F2952" t="s">
        <v>22</v>
      </c>
      <c r="G2952" t="s">
        <v>23</v>
      </c>
      <c r="H2952" t="s">
        <v>37</v>
      </c>
      <c r="I2952" t="s">
        <v>25</v>
      </c>
      <c r="J2952" s="2">
        <v>45786.788194444453</v>
      </c>
      <c r="K2952">
        <v>9</v>
      </c>
      <c r="L2952">
        <v>5</v>
      </c>
      <c r="M2952">
        <v>2025</v>
      </c>
      <c r="N2952" t="s">
        <v>27</v>
      </c>
      <c r="O2952">
        <v>700</v>
      </c>
      <c r="Q2952">
        <v>700</v>
      </c>
      <c r="R2952" s="3" t="str">
        <f>HYPERLINK("https://panda.att.com.mx/ODKServer/view/binaryData?blobKey=FSSuministroFluidosv3%5B%40version%3Dnull+and+%40uiVersion%3Dnull%5D%2Fdata%5B%40key%3Duuid%3Ac29fc183-7e7f-4758-b57a-929bccec3a27%5D%2FgroupInfoFuel%5B%40ordinal%3D1%5D%2FpicFuelRecibeInterno","Descargar")</f>
        <v>Descargar</v>
      </c>
    </row>
    <row r="2953" spans="1:18" x14ac:dyDescent="0.3">
      <c r="A2953">
        <v>1533326</v>
      </c>
      <c r="B2953" t="s">
        <v>18</v>
      </c>
      <c r="C2953" t="s">
        <v>19</v>
      </c>
      <c r="D2953" t="s">
        <v>45</v>
      </c>
      <c r="E2953" t="s">
        <v>2278</v>
      </c>
      <c r="F2953" t="s">
        <v>22</v>
      </c>
      <c r="G2953" t="s">
        <v>23</v>
      </c>
      <c r="H2953" t="s">
        <v>24</v>
      </c>
      <c r="I2953" t="s">
        <v>25</v>
      </c>
      <c r="J2953" s="2">
        <v>45785.757685185177</v>
      </c>
      <c r="K2953">
        <v>8</v>
      </c>
      <c r="L2953">
        <v>5</v>
      </c>
      <c r="M2953">
        <v>2025</v>
      </c>
      <c r="N2953" t="s">
        <v>27</v>
      </c>
      <c r="O2953">
        <v>150</v>
      </c>
      <c r="P2953">
        <v>150</v>
      </c>
      <c r="R2953" s="3" t="str">
        <f>HYPERLINK("https://panda.att.com.mx/ODKServer/view/binaryData?blobKey=FSSuministroFluidosv3%5B%40version%3Dnull+and+%40uiVersion%3Dnull%5D%2Fdata%5B%40key%3Duuid%3A7fcdb402-3778-4bcc-a4e9-9deaf9cb3abf%5D%2FgroupInfoFuel%5B%40ordinal%3D1%5D%2FpicFuelRecibeInterno","Descargar")</f>
        <v>Descargar</v>
      </c>
    </row>
    <row r="2954" spans="1:18" x14ac:dyDescent="0.3">
      <c r="A2954">
        <v>1533300</v>
      </c>
      <c r="B2954" t="s">
        <v>18</v>
      </c>
      <c r="C2954" t="s">
        <v>34</v>
      </c>
      <c r="D2954" t="s">
        <v>53</v>
      </c>
      <c r="E2954" t="s">
        <v>2279</v>
      </c>
      <c r="F2954" t="s">
        <v>22</v>
      </c>
      <c r="G2954" t="s">
        <v>23</v>
      </c>
      <c r="H2954" t="s">
        <v>37</v>
      </c>
      <c r="I2954" t="s">
        <v>25</v>
      </c>
      <c r="J2954" s="2">
        <v>45786.71570601852</v>
      </c>
      <c r="K2954">
        <v>9</v>
      </c>
      <c r="L2954">
        <v>5</v>
      </c>
      <c r="M2954">
        <v>2025</v>
      </c>
      <c r="N2954" t="s">
        <v>27</v>
      </c>
      <c r="O2954">
        <v>500</v>
      </c>
      <c r="P2954">
        <v>500</v>
      </c>
      <c r="R2954" s="3" t="str">
        <f>HYPERLINK("https://panda.att.com.mx/ODKServer/view/binaryData?blobKey=FSSuministroFluidosv3%5B%40version%3Dnull+and+%40uiVersion%3Dnull%5D%2Fdata%5B%40key%3Duuid%3Ad0270044-46d4-418a-b870-c8c8ed1871e1%5D%2FgroupInfoFuel%5B%40ordinal%3D1%5D%2FpicFuelRecibeInterno","Descargar")</f>
        <v>Descargar</v>
      </c>
    </row>
    <row r="2955" spans="1:18" x14ac:dyDescent="0.3">
      <c r="A2955">
        <v>1533275</v>
      </c>
      <c r="B2955" t="s">
        <v>18</v>
      </c>
      <c r="C2955" t="s">
        <v>34</v>
      </c>
      <c r="D2955" t="s">
        <v>53</v>
      </c>
      <c r="E2955" t="s">
        <v>2271</v>
      </c>
      <c r="F2955" t="s">
        <v>22</v>
      </c>
      <c r="G2955" t="s">
        <v>23</v>
      </c>
      <c r="H2955" t="s">
        <v>37</v>
      </c>
      <c r="I2955" t="s">
        <v>25</v>
      </c>
      <c r="J2955" s="2">
        <v>45786.40289351852</v>
      </c>
      <c r="K2955">
        <v>9</v>
      </c>
      <c r="L2955">
        <v>5</v>
      </c>
      <c r="M2955">
        <v>2025</v>
      </c>
      <c r="N2955" t="s">
        <v>27</v>
      </c>
      <c r="O2955">
        <v>600</v>
      </c>
      <c r="P2955">
        <v>600</v>
      </c>
      <c r="R2955" s="3" t="str">
        <f>HYPERLINK("https://panda.att.com.mx/ODKServer/view/binaryData?blobKey=FSSuministroFluidosv3%5B%40version%3Dnull+and+%40uiVersion%3Dnull%5D%2Fdata%5B%40key%3Duuid%3Ac199427a-fb3a-4e67-8419-1ad8563b2687%5D%2FgroupInfoFuel%5B%40ordinal%3D1%5D%2FpicFuelRecibeInterno","Descargar")</f>
        <v>Descargar</v>
      </c>
    </row>
    <row r="2956" spans="1:18" x14ac:dyDescent="0.3">
      <c r="A2956">
        <v>1533159</v>
      </c>
      <c r="B2956" t="s">
        <v>18</v>
      </c>
      <c r="C2956" t="s">
        <v>19</v>
      </c>
      <c r="D2956" t="s">
        <v>198</v>
      </c>
      <c r="E2956" t="s">
        <v>199</v>
      </c>
      <c r="F2956" t="s">
        <v>22</v>
      </c>
      <c r="G2956" t="s">
        <v>23</v>
      </c>
      <c r="H2956" t="s">
        <v>24</v>
      </c>
      <c r="I2956" t="s">
        <v>25</v>
      </c>
      <c r="J2956" s="2">
        <v>45780.44798611111</v>
      </c>
      <c r="K2956">
        <v>3</v>
      </c>
      <c r="L2956">
        <v>5</v>
      </c>
      <c r="M2956">
        <v>2025</v>
      </c>
      <c r="N2956" t="s">
        <v>27</v>
      </c>
      <c r="O2956">
        <v>100</v>
      </c>
      <c r="P2956">
        <v>100</v>
      </c>
      <c r="R2956" s="3" t="str">
        <f>HYPERLINK("https://panda.att.com.mx/ODKServer/view/binaryData?blobKey=FSSuministroFluidosv3%5B%40version%3Dnull+and+%40uiVersion%3Dnull%5D%2Fdata%5B%40key%3Duuid%3Ac341480c-01b9-40fa-a894-7708ffa6ffce%5D%2FgroupInfoFuel%5B%40ordinal%3D1%5D%2FpicFuelRecibeInterno","Descargar")</f>
        <v>Descargar</v>
      </c>
    </row>
    <row r="2957" spans="1:18" x14ac:dyDescent="0.3">
      <c r="A2957">
        <v>1533150</v>
      </c>
      <c r="B2957" t="s">
        <v>18</v>
      </c>
      <c r="C2957" t="s">
        <v>19</v>
      </c>
      <c r="D2957" t="s">
        <v>156</v>
      </c>
      <c r="E2957" t="s">
        <v>524</v>
      </c>
      <c r="F2957" t="s">
        <v>22</v>
      </c>
      <c r="G2957" t="s">
        <v>23</v>
      </c>
      <c r="H2957" t="s">
        <v>24</v>
      </c>
      <c r="I2957" t="s">
        <v>25</v>
      </c>
      <c r="J2957" t="s">
        <v>2280</v>
      </c>
      <c r="K2957">
        <v>22</v>
      </c>
      <c r="L2957">
        <v>4</v>
      </c>
      <c r="M2957">
        <v>2025</v>
      </c>
      <c r="N2957" t="s">
        <v>27</v>
      </c>
      <c r="O2957">
        <v>41</v>
      </c>
      <c r="P2957">
        <v>41</v>
      </c>
      <c r="R2957" s="3" t="str">
        <f>HYPERLINK("https://panda.att.com.mx/ODKServer/view/binaryData?blobKey=FSSuministroFluidosv3%5B%40version%3Dnull+and+%40uiVersion%3Dnull%5D%2Fdata%5B%40key%3Duuid%3A65f2b98b-bc80-4da5-b74d-f697460eac6f%5D%2FgroupInfoFuel%5B%40ordinal%3D1%5D%2FpicFuelRecibeInterno","Descargar")</f>
        <v>Descargar</v>
      </c>
    </row>
    <row r="2958" spans="1:18" x14ac:dyDescent="0.3">
      <c r="A2958">
        <v>1533092</v>
      </c>
      <c r="B2958" t="s">
        <v>18</v>
      </c>
      <c r="C2958" t="s">
        <v>28</v>
      </c>
      <c r="D2958" t="s">
        <v>181</v>
      </c>
      <c r="E2958" t="s">
        <v>1631</v>
      </c>
      <c r="F2958" t="s">
        <v>22</v>
      </c>
      <c r="G2958" t="s">
        <v>23</v>
      </c>
      <c r="H2958" t="s">
        <v>24</v>
      </c>
      <c r="I2958" t="s">
        <v>25</v>
      </c>
      <c r="J2958" s="2">
        <v>45779.460486111107</v>
      </c>
      <c r="K2958">
        <v>2</v>
      </c>
      <c r="L2958">
        <v>5</v>
      </c>
      <c r="M2958">
        <v>2025</v>
      </c>
      <c r="N2958" t="s">
        <v>44</v>
      </c>
      <c r="O2958">
        <v>50</v>
      </c>
      <c r="P2958">
        <v>50</v>
      </c>
      <c r="R2958" s="3" t="str">
        <f>HYPERLINK("https://panda.att.com.mx/ODKServer/view/binaryData?blobKey=FSSuministroFluidosv3%5B%40version%3Dnull+and+%40uiVersion%3Dnull%5D%2Fdata%5B%40key%3Duuid%3A597e9093-fc71-44d5-bb2b-65f7b5c285a9%5D%2FgroupInfoFuel%5B%40ordinal%3D1%5D%2FpicFuelRecibeInterno","Descargar")</f>
        <v>Descargar</v>
      </c>
    </row>
    <row r="2959" spans="1:18" x14ac:dyDescent="0.3">
      <c r="A2959">
        <v>1533043</v>
      </c>
      <c r="B2959" t="s">
        <v>18</v>
      </c>
      <c r="C2959" t="s">
        <v>19</v>
      </c>
      <c r="D2959" t="s">
        <v>45</v>
      </c>
      <c r="E2959" t="s">
        <v>48</v>
      </c>
      <c r="F2959" t="s">
        <v>22</v>
      </c>
      <c r="G2959" t="s">
        <v>23</v>
      </c>
      <c r="H2959" t="s">
        <v>24</v>
      </c>
      <c r="I2959" t="s">
        <v>25</v>
      </c>
      <c r="J2959" s="2">
        <v>45783.597511574073</v>
      </c>
      <c r="K2959">
        <v>6</v>
      </c>
      <c r="L2959">
        <v>5</v>
      </c>
      <c r="M2959">
        <v>2025</v>
      </c>
      <c r="N2959" t="s">
        <v>27</v>
      </c>
      <c r="O2959">
        <v>300</v>
      </c>
      <c r="P2959">
        <v>300</v>
      </c>
      <c r="R2959" s="3" t="str">
        <f>HYPERLINK("https://panda.att.com.mx/ODKServer/view/binaryData?blobKey=FSSuministroFluidosv3%5B%40version%3Dnull+and+%40uiVersion%3Dnull%5D%2Fdata%5B%40key%3Duuid%3A05972b48-5430-4be7-8acd-988847b6bdf3%5D%2FgroupInfoFuel%5B%40ordinal%3D1%5D%2FpicFuelRecibeInterno","Descargar")</f>
        <v>Descargar</v>
      </c>
    </row>
    <row r="2960" spans="1:18" x14ac:dyDescent="0.3">
      <c r="A2960">
        <v>1533020</v>
      </c>
      <c r="B2960" t="s">
        <v>18</v>
      </c>
      <c r="C2960" t="s">
        <v>19</v>
      </c>
      <c r="D2960" t="s">
        <v>45</v>
      </c>
      <c r="E2960" t="s">
        <v>752</v>
      </c>
      <c r="F2960" t="s">
        <v>22</v>
      </c>
      <c r="G2960" t="s">
        <v>23</v>
      </c>
      <c r="H2960" t="s">
        <v>24</v>
      </c>
      <c r="I2960" t="s">
        <v>25</v>
      </c>
      <c r="J2960" s="2">
        <v>45784.734710648147</v>
      </c>
      <c r="K2960">
        <v>7</v>
      </c>
      <c r="L2960">
        <v>5</v>
      </c>
      <c r="M2960">
        <v>2025</v>
      </c>
      <c r="N2960" t="s">
        <v>27</v>
      </c>
      <c r="O2960">
        <v>300</v>
      </c>
      <c r="P2960">
        <v>300</v>
      </c>
      <c r="R2960" s="3" t="str">
        <f>HYPERLINK("https://panda.att.com.mx/ODKServer/view/binaryData?blobKey=FSSuministroFluidosv3%5B%40version%3Dnull+and+%40uiVersion%3Dnull%5D%2Fdata%5B%40key%3Duuid%3A8f771338-dc95-44d3-a0ac-ac28ce2cb755%5D%2FgroupInfoFuel%5B%40ordinal%3D1%5D%2FpicFuelRecibeInterno","Descargar")</f>
        <v>Descargar</v>
      </c>
    </row>
    <row r="2961" spans="1:18" x14ac:dyDescent="0.3">
      <c r="A2961">
        <v>1533015</v>
      </c>
      <c r="B2961" t="s">
        <v>18</v>
      </c>
      <c r="C2961" t="s">
        <v>19</v>
      </c>
      <c r="D2961" t="s">
        <v>42</v>
      </c>
      <c r="E2961" t="s">
        <v>2281</v>
      </c>
      <c r="F2961" t="s">
        <v>22</v>
      </c>
      <c r="G2961" t="s">
        <v>23</v>
      </c>
      <c r="H2961" t="s">
        <v>24</v>
      </c>
      <c r="I2961" t="s">
        <v>25</v>
      </c>
      <c r="J2961" s="2">
        <v>45784.701932870368</v>
      </c>
      <c r="K2961">
        <v>7</v>
      </c>
      <c r="L2961">
        <v>5</v>
      </c>
      <c r="M2961">
        <v>2025</v>
      </c>
      <c r="N2961" t="s">
        <v>44</v>
      </c>
      <c r="O2961">
        <v>30</v>
      </c>
      <c r="P2961">
        <v>30</v>
      </c>
      <c r="R2961" s="3" t="str">
        <f>HYPERLINK("https://panda.att.com.mx/ODKServer/view/binaryData?blobKey=FSSuministroFluidosv3%5B%40version%3Dnull+and+%40uiVersion%3Dnull%5D%2Fdata%5B%40key%3Duuid%3Af987754d-d410-486d-83e1-dccdf67495ec%5D%2FgroupInfoFuel%5B%40ordinal%3D1%5D%2FpicFuelRecibeInterno","Descargar")</f>
        <v>Descargar</v>
      </c>
    </row>
    <row r="2962" spans="1:18" x14ac:dyDescent="0.3">
      <c r="A2962">
        <v>1533007</v>
      </c>
      <c r="B2962" t="s">
        <v>18</v>
      </c>
      <c r="C2962" t="s">
        <v>150</v>
      </c>
      <c r="D2962" t="s">
        <v>151</v>
      </c>
      <c r="E2962" t="s">
        <v>2220</v>
      </c>
      <c r="F2962" t="s">
        <v>22</v>
      </c>
      <c r="G2962" t="s">
        <v>23</v>
      </c>
      <c r="H2962" t="s">
        <v>1781</v>
      </c>
      <c r="I2962" t="s">
        <v>25</v>
      </c>
      <c r="J2962" s="2">
        <v>45786.502997685187</v>
      </c>
      <c r="K2962">
        <v>9</v>
      </c>
      <c r="L2962">
        <v>5</v>
      </c>
      <c r="M2962">
        <v>2025</v>
      </c>
      <c r="N2962" t="s">
        <v>27</v>
      </c>
      <c r="O2962">
        <v>100</v>
      </c>
      <c r="P2962">
        <v>100</v>
      </c>
      <c r="R2962" s="3" t="str">
        <f>HYPERLINK("https://panda.att.com.mx/ODKServer/view/binaryData?blobKey=FSSuministroFluidosv3%5B%40version%3Dnull+and+%40uiVersion%3Dnull%5D%2Fdata%5B%40key%3Duuid%3A658202d7-0fb0-4fa4-9503-62c9e518d8ae%5D%2FgroupInfoFuel%5B%40ordinal%3D1%5D%2FpicFuelRecibeInterno","Descargar")</f>
        <v>Descargar</v>
      </c>
    </row>
    <row r="2963" spans="1:18" x14ac:dyDescent="0.3">
      <c r="A2963">
        <v>1532945</v>
      </c>
      <c r="B2963" t="s">
        <v>18</v>
      </c>
      <c r="C2963" t="s">
        <v>34</v>
      </c>
      <c r="D2963" t="s">
        <v>51</v>
      </c>
      <c r="E2963" t="s">
        <v>52</v>
      </c>
      <c r="F2963" t="s">
        <v>22</v>
      </c>
      <c r="G2963" t="s">
        <v>23</v>
      </c>
      <c r="H2963" t="s">
        <v>24</v>
      </c>
      <c r="I2963" t="s">
        <v>25</v>
      </c>
      <c r="J2963" s="2">
        <v>45786.333090277767</v>
      </c>
      <c r="K2963">
        <v>9</v>
      </c>
      <c r="L2963">
        <v>5</v>
      </c>
      <c r="M2963">
        <v>2025</v>
      </c>
      <c r="N2963" t="s">
        <v>27</v>
      </c>
      <c r="O2963">
        <v>100</v>
      </c>
      <c r="P2963">
        <v>100</v>
      </c>
      <c r="R2963" s="3" t="str">
        <f>HYPERLINK("https://panda.att.com.mx/ODKServer/view/binaryData?blobKey=FSSuministroFluidosv3%5B%40version%3Dnull+and+%40uiVersion%3Dnull%5D%2Fdata%5B%40key%3Duuid%3Abf7d2e94-d85d-4feb-aab6-39d293fc1d9d%5D%2FgroupInfoFuel%5B%40ordinal%3D1%5D%2FpicFuelRecibeInterno","Descargar")</f>
        <v>Descargar</v>
      </c>
    </row>
    <row r="2964" spans="1:18" x14ac:dyDescent="0.3">
      <c r="A2964">
        <v>1532944</v>
      </c>
      <c r="B2964" t="s">
        <v>18</v>
      </c>
      <c r="C2964" t="s">
        <v>34</v>
      </c>
      <c r="D2964" t="s">
        <v>53</v>
      </c>
      <c r="E2964" t="s">
        <v>299</v>
      </c>
      <c r="F2964" t="s">
        <v>22</v>
      </c>
      <c r="G2964" t="s">
        <v>23</v>
      </c>
      <c r="H2964" t="s">
        <v>24</v>
      </c>
      <c r="I2964" t="s">
        <v>25</v>
      </c>
      <c r="J2964" s="2">
        <v>45785.649768518517</v>
      </c>
      <c r="K2964">
        <v>8</v>
      </c>
      <c r="L2964">
        <v>5</v>
      </c>
      <c r="M2964">
        <v>2025</v>
      </c>
      <c r="N2964" t="s">
        <v>27</v>
      </c>
      <c r="O2964">
        <v>200</v>
      </c>
      <c r="Q2964">
        <v>200</v>
      </c>
      <c r="R2964" s="3" t="str">
        <f>HYPERLINK("https://panda.att.com.mx/ODKServer/view/binaryData?blobKey=FSSuministroFluidosv3%5B%40version%3Dnull+and+%40uiVersion%3Dnull%5D%2Fdata%5B%40key%3Duuid%3A5aeca463-d79a-42dd-aac7-8d09a0c67d8b%5D%2FgroupInfoFuel%5B%40ordinal%3D1%5D%2FpicFuelRecibeInterno","Descargar")</f>
        <v>Descargar</v>
      </c>
    </row>
    <row r="2965" spans="1:18" x14ac:dyDescent="0.3">
      <c r="A2965">
        <v>1532943</v>
      </c>
      <c r="B2965" t="s">
        <v>18</v>
      </c>
      <c r="C2965" t="s">
        <v>34</v>
      </c>
      <c r="D2965" t="s">
        <v>51</v>
      </c>
      <c r="E2965" t="s">
        <v>2282</v>
      </c>
      <c r="F2965" t="s">
        <v>22</v>
      </c>
      <c r="G2965" t="s">
        <v>23</v>
      </c>
      <c r="H2965" t="s">
        <v>24</v>
      </c>
      <c r="I2965" t="s">
        <v>25</v>
      </c>
      <c r="J2965" s="2">
        <v>45785.387766203698</v>
      </c>
      <c r="K2965">
        <v>8</v>
      </c>
      <c r="L2965">
        <v>5</v>
      </c>
      <c r="M2965">
        <v>2025</v>
      </c>
      <c r="N2965" t="s">
        <v>27</v>
      </c>
      <c r="O2965">
        <v>300</v>
      </c>
      <c r="Q2965">
        <v>300</v>
      </c>
      <c r="R2965" s="3" t="str">
        <f>HYPERLINK("https://panda.att.com.mx/ODKServer/view/binaryData?blobKey=FSSuministroFluidosv3%5B%40version%3Dnull+and+%40uiVersion%3Dnull%5D%2Fdata%5B%40key%3Duuid%3Aef537005-9a42-49f4-b2ff-6f426f9b53c0%5D%2FgroupInfoFuel%5B%40ordinal%3D1%5D%2FpicFuelRecibeInterno","Descargar")</f>
        <v>Descargar</v>
      </c>
    </row>
    <row r="2966" spans="1:18" x14ac:dyDescent="0.3">
      <c r="A2966">
        <v>1532871</v>
      </c>
      <c r="B2966" t="s">
        <v>18</v>
      </c>
      <c r="C2966" t="s">
        <v>59</v>
      </c>
      <c r="D2966" t="s">
        <v>60</v>
      </c>
      <c r="E2966" t="s">
        <v>2283</v>
      </c>
      <c r="F2966" t="s">
        <v>22</v>
      </c>
      <c r="G2966" t="s">
        <v>23</v>
      </c>
      <c r="H2966" t="s">
        <v>37</v>
      </c>
      <c r="I2966" t="s">
        <v>25</v>
      </c>
      <c r="J2966" s="2">
        <v>45785.447615740741</v>
      </c>
      <c r="K2966">
        <v>8</v>
      </c>
      <c r="L2966">
        <v>5</v>
      </c>
      <c r="M2966">
        <v>2025</v>
      </c>
      <c r="N2966" t="s">
        <v>27</v>
      </c>
      <c r="O2966">
        <v>500</v>
      </c>
      <c r="P2966">
        <v>500</v>
      </c>
      <c r="R2966" s="3" t="str">
        <f>HYPERLINK("https://panda.att.com.mx/ODKServer/view/binaryData?blobKey=FSSuministroFluidosv3%5B%40version%3Dnull+and+%40uiVersion%3Dnull%5D%2Fdata%5B%40key%3Duuid%3A5fd4c8a6-4993-492f-988a-4e48796ef5d4%5D%2FgroupInfoFuel%5B%40ordinal%3D1%5D%2FpicFuelRecibeInterno","Descargar")</f>
        <v>Descargar</v>
      </c>
    </row>
    <row r="2967" spans="1:18" x14ac:dyDescent="0.3">
      <c r="A2967">
        <v>1532866</v>
      </c>
      <c r="B2967" t="s">
        <v>18</v>
      </c>
      <c r="C2967" t="s">
        <v>150</v>
      </c>
      <c r="D2967" t="s">
        <v>230</v>
      </c>
      <c r="E2967" t="s">
        <v>1510</v>
      </c>
      <c r="F2967" t="s">
        <v>22</v>
      </c>
      <c r="G2967" t="s">
        <v>23</v>
      </c>
      <c r="H2967" t="s">
        <v>1781</v>
      </c>
      <c r="I2967" t="s">
        <v>25</v>
      </c>
      <c r="J2967" s="2">
        <v>45786.320138888892</v>
      </c>
      <c r="K2967">
        <v>9</v>
      </c>
      <c r="L2967">
        <v>5</v>
      </c>
      <c r="M2967">
        <v>2025</v>
      </c>
      <c r="N2967" t="s">
        <v>27</v>
      </c>
      <c r="O2967">
        <v>295.14</v>
      </c>
      <c r="P2967">
        <v>295.14</v>
      </c>
      <c r="R2967" s="3" t="str">
        <f>HYPERLINK("https://panda.att.com.mx/ODKServer/view/binaryData?blobKey=FSSuministroFluidosv3%5B%40version%3Dnull+and+%40uiVersion%3Dnull%5D%2Fdata%5B%40key%3Duuid%3Af4425117-97ba-461b-8137-5c50faefd714%5D%2FgroupInfoFuel%5B%40ordinal%3D1%5D%2FpicFuelRecibeInterno","Descargar")</f>
        <v>Descargar</v>
      </c>
    </row>
    <row r="2968" spans="1:18" x14ac:dyDescent="0.3">
      <c r="A2968">
        <v>1532778</v>
      </c>
      <c r="B2968" t="s">
        <v>18</v>
      </c>
      <c r="C2968" t="s">
        <v>34</v>
      </c>
      <c r="D2968" t="s">
        <v>53</v>
      </c>
      <c r="E2968" t="s">
        <v>396</v>
      </c>
      <c r="F2968" t="s">
        <v>33</v>
      </c>
      <c r="G2968" t="s">
        <v>23</v>
      </c>
      <c r="H2968" t="s">
        <v>24</v>
      </c>
      <c r="I2968" t="s">
        <v>25</v>
      </c>
      <c r="J2968" s="2">
        <v>45785.499675925923</v>
      </c>
      <c r="K2968">
        <v>8</v>
      </c>
      <c r="L2968">
        <v>5</v>
      </c>
      <c r="M2968">
        <v>2025</v>
      </c>
      <c r="N2968" t="s">
        <v>27</v>
      </c>
      <c r="O2968">
        <v>300</v>
      </c>
      <c r="Q2968">
        <v>300</v>
      </c>
      <c r="R2968" s="3" t="str">
        <f>HYPERLINK("https://panda.att.com.mx/ODKServer/view/binaryData?blobKey=FSSuministroFluidosv3%5B%40version%3Dnull+and+%40uiVersion%3Dnull%5D%2Fdata%5B%40key%3Duuid%3Aa793786f-608b-4917-9191-726de50e4c7f%5D%2FgroupInfoFuel%5B%40ordinal%3D1%5D%2FpicFuelRecibeInterno","Descargar")</f>
        <v>Descargar</v>
      </c>
    </row>
    <row r="2969" spans="1:18" x14ac:dyDescent="0.3">
      <c r="A2969">
        <v>1532777</v>
      </c>
      <c r="B2969" t="s">
        <v>18</v>
      </c>
      <c r="C2969" t="s">
        <v>55</v>
      </c>
      <c r="D2969" t="s">
        <v>366</v>
      </c>
      <c r="E2969" t="s">
        <v>2230</v>
      </c>
      <c r="F2969" t="s">
        <v>22</v>
      </c>
      <c r="G2969" t="s">
        <v>83</v>
      </c>
      <c r="H2969" t="s">
        <v>1781</v>
      </c>
      <c r="I2969" t="s">
        <v>25</v>
      </c>
      <c r="J2969" s="2">
        <v>45785.565729166658</v>
      </c>
      <c r="K2969">
        <v>8</v>
      </c>
      <c r="L2969">
        <v>5</v>
      </c>
      <c r="M2969">
        <v>2025</v>
      </c>
      <c r="N2969" t="s">
        <v>27</v>
      </c>
      <c r="O2969">
        <v>173.45</v>
      </c>
      <c r="P2969">
        <v>173.45</v>
      </c>
      <c r="R2969" s="3" t="str">
        <f>HYPERLINK("https://panda.att.com.mx/ODKServer/view/binaryData?blobKey=FSSuministroFluidosv3%5B%40version%3Dnull+and+%40uiVersion%3Dnull%5D%2Fdata%5B%40key%3Duuid%3A5585c047-d2a2-4664-95d2-11862d74271f%5D%2FgroupInfoFuel%5B%40ordinal%3D1%5D%2FpicFuelRecibeInterno","Descargar")</f>
        <v>Descargar</v>
      </c>
    </row>
    <row r="2970" spans="1:18" x14ac:dyDescent="0.3">
      <c r="A2970">
        <v>1532752</v>
      </c>
      <c r="B2970" t="s">
        <v>18</v>
      </c>
      <c r="C2970" t="s">
        <v>34</v>
      </c>
      <c r="D2970" t="s">
        <v>51</v>
      </c>
      <c r="E2970" t="s">
        <v>197</v>
      </c>
      <c r="F2970" t="s">
        <v>22</v>
      </c>
      <c r="G2970" t="s">
        <v>23</v>
      </c>
      <c r="H2970" t="s">
        <v>24</v>
      </c>
      <c r="I2970" t="s">
        <v>25</v>
      </c>
      <c r="J2970" s="2">
        <v>45785.686400462961</v>
      </c>
      <c r="K2970">
        <v>8</v>
      </c>
      <c r="L2970">
        <v>5</v>
      </c>
      <c r="M2970">
        <v>2025</v>
      </c>
      <c r="N2970" t="s">
        <v>27</v>
      </c>
      <c r="O2970">
        <v>400</v>
      </c>
      <c r="P2970">
        <v>400</v>
      </c>
      <c r="R2970" s="3" t="str">
        <f>HYPERLINK("https://panda.att.com.mx/ODKServer/view/binaryData?blobKey=FSSuministroFluidosv3%5B%40version%3Dnull+and+%40uiVersion%3Dnull%5D%2Fdata%5B%40key%3Duuid%3Ab46095f2-cc23-47af-8a84-3f3901b7ee39%5D%2FgroupInfoFuel%5B%40ordinal%3D1%5D%2FpicFuelRecibeInterno","Descargar")</f>
        <v>Descargar</v>
      </c>
    </row>
    <row r="2971" spans="1:18" x14ac:dyDescent="0.3">
      <c r="A2971">
        <v>1532723</v>
      </c>
      <c r="B2971" t="s">
        <v>18</v>
      </c>
      <c r="C2971" t="s">
        <v>34</v>
      </c>
      <c r="D2971" t="s">
        <v>121</v>
      </c>
      <c r="E2971" t="s">
        <v>2284</v>
      </c>
      <c r="F2971" t="s">
        <v>22</v>
      </c>
      <c r="G2971" t="s">
        <v>23</v>
      </c>
      <c r="H2971" t="s">
        <v>37</v>
      </c>
      <c r="I2971" t="s">
        <v>25</v>
      </c>
      <c r="J2971" s="2">
        <v>45785.764618055553</v>
      </c>
      <c r="K2971">
        <v>8</v>
      </c>
      <c r="L2971">
        <v>5</v>
      </c>
      <c r="M2971">
        <v>2025</v>
      </c>
      <c r="N2971" t="s">
        <v>27</v>
      </c>
      <c r="O2971">
        <v>100</v>
      </c>
      <c r="P2971">
        <v>100</v>
      </c>
      <c r="R2971" s="3" t="str">
        <f>HYPERLINK("https://panda.att.com.mx/ODKServer/view/binaryData?blobKey=FSSuministroFluidosv3%5B%40version%3Dnull+and+%40uiVersion%3Dnull%5D%2Fdata%5B%40key%3Duuid%3A22f0595c-13d4-4829-94f5-7a6d9923ff42%5D%2FgroupInfoFuel%5B%40ordinal%3D1%5D%2FpicFuelRecibeInterno","Descargar")</f>
        <v>Descargar</v>
      </c>
    </row>
    <row r="2972" spans="1:18" x14ac:dyDescent="0.3">
      <c r="A2972">
        <v>1532680</v>
      </c>
      <c r="B2972" t="s">
        <v>18</v>
      </c>
      <c r="C2972" t="s">
        <v>183</v>
      </c>
      <c r="D2972" t="s">
        <v>305</v>
      </c>
      <c r="E2972" t="s">
        <v>2201</v>
      </c>
      <c r="F2972" t="s">
        <v>22</v>
      </c>
      <c r="G2972" t="s">
        <v>83</v>
      </c>
      <c r="H2972" t="s">
        <v>24</v>
      </c>
      <c r="I2972" t="s">
        <v>25</v>
      </c>
      <c r="J2972" s="2">
        <v>45785.613865740743</v>
      </c>
      <c r="K2972">
        <v>8</v>
      </c>
      <c r="L2972">
        <v>5</v>
      </c>
      <c r="M2972">
        <v>2025</v>
      </c>
      <c r="N2972" t="s">
        <v>27</v>
      </c>
      <c r="O2972">
        <v>200</v>
      </c>
      <c r="Q2972">
        <v>200</v>
      </c>
      <c r="R2972" s="3" t="str">
        <f>HYPERLINK("https://panda.att.com.mx/ODKServer/view/binaryData?blobKey=FSSuministroFluidosv3%5B%40version%3Dnull+and+%40uiVersion%3Dnull%5D%2Fdata%5B%40key%3Duuid%3A34ca57d3-8716-4834-b2a3-d40ebd4b0668%5D%2FgroupInfoFuel%5B%40ordinal%3D1%5D%2FpicFuelRecibeInterno","Descargar")</f>
        <v>Descargar</v>
      </c>
    </row>
    <row r="2973" spans="1:18" x14ac:dyDescent="0.3">
      <c r="A2973">
        <v>1532679</v>
      </c>
      <c r="B2973" t="s">
        <v>18</v>
      </c>
      <c r="C2973" t="s">
        <v>28</v>
      </c>
      <c r="D2973" t="s">
        <v>1492</v>
      </c>
      <c r="E2973" t="s">
        <v>2285</v>
      </c>
      <c r="F2973" t="s">
        <v>22</v>
      </c>
      <c r="G2973" t="s">
        <v>23</v>
      </c>
      <c r="H2973" t="s">
        <v>24</v>
      </c>
      <c r="I2973" t="s">
        <v>25</v>
      </c>
      <c r="J2973" s="2">
        <v>45785.446319444447</v>
      </c>
      <c r="K2973">
        <v>8</v>
      </c>
      <c r="L2973">
        <v>5</v>
      </c>
      <c r="M2973">
        <v>2025</v>
      </c>
      <c r="N2973" t="s">
        <v>44</v>
      </c>
      <c r="O2973">
        <v>50</v>
      </c>
      <c r="P2973">
        <v>50</v>
      </c>
      <c r="R2973" s="3" t="str">
        <f>HYPERLINK("https://panda.att.com.mx/ODKServer/view/binaryData?blobKey=FSSuministroFluidosv3%5B%40version%3Dnull+and+%40uiVersion%3Dnull%5D%2Fdata%5B%40key%3Duuid%3A8c3956e4-6adc-4d43-8da9-6e51fe157c14%5D%2FgroupInfoFuel%5B%40ordinal%3D1%5D%2FpicFuelRecibeInterno","Descargar")</f>
        <v>Descargar</v>
      </c>
    </row>
    <row r="2974" spans="1:18" x14ac:dyDescent="0.3">
      <c r="A2974">
        <v>1532566</v>
      </c>
      <c r="B2974" t="s">
        <v>18</v>
      </c>
      <c r="C2974" t="s">
        <v>34</v>
      </c>
      <c r="D2974" t="s">
        <v>53</v>
      </c>
      <c r="E2974" t="s">
        <v>144</v>
      </c>
      <c r="F2974" t="s">
        <v>22</v>
      </c>
      <c r="G2974" t="s">
        <v>23</v>
      </c>
      <c r="H2974" t="s">
        <v>37</v>
      </c>
      <c r="I2974" t="s">
        <v>25</v>
      </c>
      <c r="J2974" s="2">
        <v>45785.67083333333</v>
      </c>
      <c r="K2974">
        <v>8</v>
      </c>
      <c r="L2974">
        <v>5</v>
      </c>
      <c r="M2974">
        <v>2025</v>
      </c>
      <c r="N2974" t="s">
        <v>27</v>
      </c>
      <c r="O2974">
        <v>350</v>
      </c>
      <c r="P2974">
        <v>350</v>
      </c>
      <c r="R2974" s="3" t="str">
        <f>HYPERLINK("https://panda.att.com.mx/ODKServer/view/binaryData?blobKey=FSSuministroFluidosv3%5B%40version%3Dnull+and+%40uiVersion%3Dnull%5D%2Fdata%5B%40key%3Duuid%3A2d399afd-c562-47af-ba99-09b1e7d9fa0c%5D%2FgroupInfoFuel%5B%40ordinal%3D1%5D%2FpicFuelRecibeInterno","Descargar")</f>
        <v>Descargar</v>
      </c>
    </row>
    <row r="2975" spans="1:18" x14ac:dyDescent="0.3">
      <c r="A2975">
        <v>1532565</v>
      </c>
      <c r="B2975" t="s">
        <v>18</v>
      </c>
      <c r="C2975" t="s">
        <v>34</v>
      </c>
      <c r="D2975" t="s">
        <v>53</v>
      </c>
      <c r="E2975" t="s">
        <v>1743</v>
      </c>
      <c r="F2975" t="s">
        <v>22</v>
      </c>
      <c r="G2975" t="s">
        <v>23</v>
      </c>
      <c r="H2975" t="s">
        <v>37</v>
      </c>
      <c r="I2975" t="s">
        <v>25</v>
      </c>
      <c r="J2975" s="2">
        <v>45785.659594907411</v>
      </c>
      <c r="K2975">
        <v>8</v>
      </c>
      <c r="L2975">
        <v>5</v>
      </c>
      <c r="M2975">
        <v>2025</v>
      </c>
      <c r="N2975" t="s">
        <v>27</v>
      </c>
      <c r="O2975">
        <v>750</v>
      </c>
      <c r="Q2975">
        <v>750</v>
      </c>
      <c r="R2975" s="3" t="str">
        <f>HYPERLINK("https://panda.att.com.mx/ODKServer/view/binaryData?blobKey=FSSuministroFluidosv3%5B%40version%3Dnull+and+%40uiVersion%3Dnull%5D%2Fdata%5B%40key%3Duuid%3Aa77db518-29cb-474b-9b6e-465bebe32d45%5D%2FgroupInfoFuel%5B%40ordinal%3D1%5D%2FpicFuelRecibeInterno","Descargar")</f>
        <v>Descargar</v>
      </c>
    </row>
    <row r="2976" spans="1:18" x14ac:dyDescent="0.3">
      <c r="A2976">
        <v>1532544</v>
      </c>
      <c r="B2976" t="s">
        <v>18</v>
      </c>
      <c r="C2976" t="s">
        <v>34</v>
      </c>
      <c r="D2976" t="s">
        <v>53</v>
      </c>
      <c r="E2976" t="s">
        <v>2286</v>
      </c>
      <c r="F2976" t="s">
        <v>22</v>
      </c>
      <c r="G2976" t="s">
        <v>23</v>
      </c>
      <c r="H2976" t="s">
        <v>37</v>
      </c>
      <c r="I2976" t="s">
        <v>25</v>
      </c>
      <c r="J2976" s="2">
        <v>45785.594085648147</v>
      </c>
      <c r="K2976">
        <v>8</v>
      </c>
      <c r="L2976">
        <v>5</v>
      </c>
      <c r="M2976">
        <v>2025</v>
      </c>
      <c r="N2976" t="s">
        <v>27</v>
      </c>
      <c r="O2976">
        <v>300</v>
      </c>
      <c r="P2976">
        <v>300</v>
      </c>
      <c r="R2976" s="3" t="str">
        <f>HYPERLINK("https://panda.att.com.mx/ODKServer/view/binaryData?blobKey=FSSuministroFluidosv3%5B%40version%3Dnull+and+%40uiVersion%3Dnull%5D%2Fdata%5B%40key%3Duuid%3A2d2def2d-3ea7-4e01-baef-ff70a0cd6677%5D%2FgroupInfoFuel%5B%40ordinal%3D1%5D%2FpicFuelRecibeInterno","Descargar")</f>
        <v>Descargar</v>
      </c>
    </row>
    <row r="2977" spans="1:18" x14ac:dyDescent="0.3">
      <c r="A2977">
        <v>1530147</v>
      </c>
      <c r="B2977" t="s">
        <v>18</v>
      </c>
      <c r="C2977" t="s">
        <v>100</v>
      </c>
      <c r="D2977" t="s">
        <v>716</v>
      </c>
      <c r="E2977" t="s">
        <v>717</v>
      </c>
      <c r="F2977" t="s">
        <v>22</v>
      </c>
      <c r="G2977" t="s">
        <v>83</v>
      </c>
      <c r="H2977" t="s">
        <v>1781</v>
      </c>
      <c r="I2977" t="s">
        <v>25</v>
      </c>
      <c r="J2977" s="2">
        <v>45782.698877314811</v>
      </c>
      <c r="K2977">
        <v>5</v>
      </c>
      <c r="L2977">
        <v>5</v>
      </c>
      <c r="M2977">
        <v>2025</v>
      </c>
      <c r="N2977" t="s">
        <v>27</v>
      </c>
      <c r="O2977">
        <v>120</v>
      </c>
      <c r="P2977">
        <v>120</v>
      </c>
      <c r="R2977" s="3" t="str">
        <f>HYPERLINK("https://panda.att.com.mx/ODKServer/view/binaryData?blobKey=FSSuministroFluidosv3%5B%40version%3Dnull+and+%40uiVersion%3Dnull%5D%2Fdata%5B%40key%3Duuid%3A73cb386e-fd78-44f5-ada3-a0642b4fe5da%5D%2FgroupInfoFuel%5B%40ordinal%3D1%5D%2FpicFuelRecibeInterno","Descargar")</f>
        <v>Descargar</v>
      </c>
    </row>
    <row r="2978" spans="1:18" x14ac:dyDescent="0.3">
      <c r="A2978">
        <v>1529984</v>
      </c>
      <c r="B2978" t="s">
        <v>18</v>
      </c>
      <c r="C2978" t="s">
        <v>28</v>
      </c>
      <c r="D2978" t="s">
        <v>261</v>
      </c>
      <c r="E2978" t="s">
        <v>2287</v>
      </c>
      <c r="F2978" t="s">
        <v>22</v>
      </c>
      <c r="G2978" t="s">
        <v>23</v>
      </c>
      <c r="H2978" t="s">
        <v>37</v>
      </c>
      <c r="I2978" t="s">
        <v>25</v>
      </c>
      <c r="J2978" s="2">
        <v>45782.312939814823</v>
      </c>
      <c r="K2978">
        <v>5</v>
      </c>
      <c r="L2978">
        <v>5</v>
      </c>
      <c r="M2978">
        <v>2025</v>
      </c>
      <c r="N2978" t="s">
        <v>44</v>
      </c>
      <c r="O2978">
        <v>50</v>
      </c>
      <c r="P2978">
        <v>50</v>
      </c>
      <c r="R2978" s="3" t="str">
        <f>HYPERLINK("https://panda.att.com.mx/ODKServer/view/binaryData?blobKey=FSSuministroFluidosv3%5B%40version%3Dnull+and+%40uiVersion%3Dnull%5D%2Fdata%5B%40key%3Duuid%3Aa529963d-ac69-4b91-8402-450a88a5c8a1%5D%2FgroupInfoFuel%5B%40ordinal%3D1%5D%2FpicFuelRecibeInterno","Descargar")</f>
        <v>Descargar</v>
      </c>
    </row>
    <row r="2979" spans="1:18" x14ac:dyDescent="0.3">
      <c r="A2979">
        <v>1529909</v>
      </c>
      <c r="B2979" t="s">
        <v>18</v>
      </c>
      <c r="C2979" t="s">
        <v>150</v>
      </c>
      <c r="D2979" t="s">
        <v>151</v>
      </c>
      <c r="E2979" t="s">
        <v>2220</v>
      </c>
      <c r="F2979" t="s">
        <v>22</v>
      </c>
      <c r="G2979" t="s">
        <v>23</v>
      </c>
      <c r="H2979" t="s">
        <v>1781</v>
      </c>
      <c r="I2979" t="s">
        <v>25</v>
      </c>
      <c r="J2979" s="2">
        <v>45782.481631944444</v>
      </c>
      <c r="K2979">
        <v>5</v>
      </c>
      <c r="L2979">
        <v>5</v>
      </c>
      <c r="M2979">
        <v>2025</v>
      </c>
      <c r="N2979" t="s">
        <v>27</v>
      </c>
      <c r="O2979">
        <v>100</v>
      </c>
      <c r="P2979">
        <v>100</v>
      </c>
      <c r="R2979" s="3" t="str">
        <f>HYPERLINK("https://panda.att.com.mx/ODKServer/view/binaryData?blobKey=FSSuministroFluidosv3%5B%40version%3Dnull+and+%40uiVersion%3Dnull%5D%2Fdata%5B%40key%3Duuid%3A855f89be-5350-438a-a046-98980e42ddba%5D%2FgroupInfoFuel%5B%40ordinal%3D1%5D%2FpicFuelRecibeInterno","Descargar")</f>
        <v>Descargar</v>
      </c>
    </row>
    <row r="2980" spans="1:18" x14ac:dyDescent="0.3">
      <c r="A2980">
        <v>1529856</v>
      </c>
      <c r="B2980" t="s">
        <v>18</v>
      </c>
      <c r="C2980" t="s">
        <v>55</v>
      </c>
      <c r="D2980" t="s">
        <v>628</v>
      </c>
      <c r="E2980" t="s">
        <v>629</v>
      </c>
      <c r="F2980" t="s">
        <v>22</v>
      </c>
      <c r="G2980" t="s">
        <v>23</v>
      </c>
      <c r="H2980" t="s">
        <v>1781</v>
      </c>
      <c r="I2980" t="s">
        <v>25</v>
      </c>
      <c r="J2980" s="2">
        <v>45780.737534722219</v>
      </c>
      <c r="K2980">
        <v>3</v>
      </c>
      <c r="L2980">
        <v>5</v>
      </c>
      <c r="M2980">
        <v>2025</v>
      </c>
      <c r="N2980" t="s">
        <v>44</v>
      </c>
      <c r="O2980">
        <v>50</v>
      </c>
      <c r="Q2980">
        <v>50</v>
      </c>
      <c r="R2980" s="3" t="str">
        <f>HYPERLINK("https://panda.att.com.mx/ODKServer/view/binaryData?blobKey=FSSuministroFluidosv3%5B%40version%3Dnull+and+%40uiVersion%3Dnull%5D%2Fdata%5B%40key%3Duuid%3A10d13dd7-7f3a-45ac-8fb5-e60e33563fb3%5D%2FgroupInfoFuel%5B%40ordinal%3D1%5D%2FpicFuelRecibeInterno","Descargar")</f>
        <v>Descargar</v>
      </c>
    </row>
    <row r="2981" spans="1:18" x14ac:dyDescent="0.3">
      <c r="A2981">
        <v>1529797</v>
      </c>
      <c r="B2981" t="s">
        <v>18</v>
      </c>
      <c r="C2981" t="s">
        <v>19</v>
      </c>
      <c r="D2981" t="s">
        <v>20</v>
      </c>
      <c r="E2981" t="s">
        <v>2288</v>
      </c>
      <c r="F2981" t="s">
        <v>22</v>
      </c>
      <c r="G2981" t="s">
        <v>23</v>
      </c>
      <c r="H2981" t="s">
        <v>24</v>
      </c>
      <c r="I2981" t="s">
        <v>25</v>
      </c>
      <c r="J2981" s="2">
        <v>45782.448344907411</v>
      </c>
      <c r="K2981">
        <v>5</v>
      </c>
      <c r="L2981">
        <v>5</v>
      </c>
      <c r="M2981">
        <v>2025</v>
      </c>
      <c r="N2981" t="s">
        <v>27</v>
      </c>
      <c r="O2981">
        <v>200</v>
      </c>
      <c r="P2981">
        <v>200</v>
      </c>
      <c r="R2981" s="3" t="str">
        <f>HYPERLINK("https://panda.att.com.mx/ODKServer/view/binaryData?blobKey=FSSuministroFluidosv3%5B%40version%3Dnull+and+%40uiVersion%3Dnull%5D%2Fdata%5B%40key%3Duuid%3Af6c4cf24-58c6-4989-8766-33dd18b281f9%5D%2FgroupInfoFuel%5B%40ordinal%3D1%5D%2FpicFuelRecibeInterno","Descargar")</f>
        <v>Descargar</v>
      </c>
    </row>
    <row r="2982" spans="1:18" x14ac:dyDescent="0.3">
      <c r="A2982">
        <v>1529792</v>
      </c>
      <c r="B2982" t="s">
        <v>18</v>
      </c>
      <c r="C2982" t="s">
        <v>19</v>
      </c>
      <c r="D2982" t="s">
        <v>20</v>
      </c>
      <c r="E2982" t="s">
        <v>21</v>
      </c>
      <c r="F2982" t="s">
        <v>22</v>
      </c>
      <c r="G2982" t="s">
        <v>23</v>
      </c>
      <c r="H2982" t="s">
        <v>24</v>
      </c>
      <c r="I2982" t="s">
        <v>25</v>
      </c>
      <c r="J2982" s="2">
        <v>45782.43822916667</v>
      </c>
      <c r="K2982">
        <v>5</v>
      </c>
      <c r="L2982">
        <v>5</v>
      </c>
      <c r="M2982">
        <v>2025</v>
      </c>
      <c r="N2982" t="s">
        <v>27</v>
      </c>
      <c r="O2982">
        <v>200</v>
      </c>
      <c r="P2982">
        <v>200</v>
      </c>
      <c r="R2982" s="3" t="str">
        <f>HYPERLINK("https://panda.att.com.mx/ODKServer/view/binaryData?blobKey=FSSuministroFluidosv3%5B%40version%3Dnull+and+%40uiVersion%3Dnull%5D%2Fdata%5B%40key%3Duuid%3Af39f8f26-cde8-48a0-b343-1c2d9fcbf749%5D%2FgroupInfoFuel%5B%40ordinal%3D1%5D%2FpicFuelRecibeInterno","Descargar")</f>
        <v>Descargar</v>
      </c>
    </row>
    <row r="2983" spans="1:18" x14ac:dyDescent="0.3">
      <c r="A2983">
        <v>1529690</v>
      </c>
      <c r="B2983" t="s">
        <v>18</v>
      </c>
      <c r="C2983" t="s">
        <v>55</v>
      </c>
      <c r="D2983" t="s">
        <v>56</v>
      </c>
      <c r="E2983" t="s">
        <v>2083</v>
      </c>
      <c r="F2983" t="s">
        <v>22</v>
      </c>
      <c r="G2983" t="s">
        <v>23</v>
      </c>
      <c r="H2983" t="s">
        <v>1763</v>
      </c>
      <c r="I2983" t="s">
        <v>25</v>
      </c>
      <c r="J2983" s="2">
        <v>45781.571122685193</v>
      </c>
      <c r="K2983">
        <v>4</v>
      </c>
      <c r="L2983">
        <v>5</v>
      </c>
      <c r="M2983">
        <v>2025</v>
      </c>
      <c r="N2983" t="s">
        <v>27</v>
      </c>
      <c r="O2983">
        <v>100</v>
      </c>
      <c r="P2983">
        <v>100</v>
      </c>
      <c r="R2983" s="3" t="str">
        <f>HYPERLINK("https://panda.att.com.mx/ODKServer/view/binaryData?blobKey=FSSuministroFluidosv3%5B%40version%3Dnull+and+%40uiVersion%3Dnull%5D%2Fdata%5B%40key%3Duuid%3A70556464-ab2a-47a8-8f4c-6f36446e71d2%5D%2FgroupInfoFuel%5B%40ordinal%3D1%5D%2FpicFuelRecibeInterno","Descargar")</f>
        <v>Descargar</v>
      </c>
    </row>
    <row r="2984" spans="1:18" x14ac:dyDescent="0.3">
      <c r="A2984">
        <v>1529673</v>
      </c>
      <c r="B2984" t="s">
        <v>18</v>
      </c>
      <c r="C2984" t="s">
        <v>55</v>
      </c>
      <c r="D2984" t="s">
        <v>56</v>
      </c>
      <c r="E2984" t="s">
        <v>57</v>
      </c>
      <c r="F2984" t="s">
        <v>22</v>
      </c>
      <c r="G2984" t="s">
        <v>23</v>
      </c>
      <c r="H2984" t="s">
        <v>1763</v>
      </c>
      <c r="I2984" t="s">
        <v>25</v>
      </c>
      <c r="J2984" s="2">
        <v>45780.461006944453</v>
      </c>
      <c r="K2984">
        <v>3</v>
      </c>
      <c r="L2984">
        <v>5</v>
      </c>
      <c r="M2984">
        <v>2025</v>
      </c>
      <c r="N2984" t="s">
        <v>27</v>
      </c>
      <c r="O2984">
        <v>90</v>
      </c>
      <c r="P2984">
        <v>90</v>
      </c>
      <c r="R2984" s="3" t="str">
        <f>HYPERLINK("https://panda.att.com.mx/ODKServer/view/binaryData?blobKey=FSSuministroFluidosv3%5B%40version%3Dnull+and+%40uiVersion%3Dnull%5D%2Fdata%5B%40key%3Duuid%3A1e1f0eae-1166-433b-8835-b8de3dbd3fd1%5D%2FgroupInfoFuel%5B%40ordinal%3D1%5D%2FpicFuelRecibeInterno","Descargar")</f>
        <v>Descargar</v>
      </c>
    </row>
    <row r="2985" spans="1:18" x14ac:dyDescent="0.3">
      <c r="A2985">
        <v>1529670</v>
      </c>
      <c r="B2985" t="s">
        <v>18</v>
      </c>
      <c r="C2985" t="s">
        <v>55</v>
      </c>
      <c r="D2985" t="s">
        <v>56</v>
      </c>
      <c r="E2985" t="s">
        <v>2083</v>
      </c>
      <c r="F2985" t="s">
        <v>22</v>
      </c>
      <c r="G2985" t="s">
        <v>23</v>
      </c>
      <c r="H2985" t="s">
        <v>1763</v>
      </c>
      <c r="I2985" t="s">
        <v>25</v>
      </c>
      <c r="J2985" s="2">
        <v>45780.534050925933</v>
      </c>
      <c r="K2985">
        <v>3</v>
      </c>
      <c r="L2985">
        <v>5</v>
      </c>
      <c r="M2985">
        <v>2025</v>
      </c>
      <c r="N2985" t="s">
        <v>27</v>
      </c>
      <c r="O2985">
        <v>90</v>
      </c>
      <c r="P2985">
        <v>90</v>
      </c>
      <c r="R2985" s="3" t="str">
        <f>HYPERLINK("https://panda.att.com.mx/ODKServer/view/binaryData?blobKey=FSSuministroFluidosv3%5B%40version%3Dnull+and+%40uiVersion%3Dnull%5D%2Fdata%5B%40key%3Duuid%3Aa821ac26-2779-4cf1-becc-0af009250bb4%5D%2FgroupInfoFuel%5B%40ordinal%3D1%5D%2FpicFuelRecibeInterno","Descargar")</f>
        <v>Descargar</v>
      </c>
    </row>
    <row r="2986" spans="1:18" x14ac:dyDescent="0.3">
      <c r="A2986">
        <v>1529669</v>
      </c>
      <c r="B2986" t="s">
        <v>18</v>
      </c>
      <c r="C2986" t="s">
        <v>55</v>
      </c>
      <c r="D2986" t="s">
        <v>56</v>
      </c>
      <c r="E2986" t="s">
        <v>2089</v>
      </c>
      <c r="F2986" t="s">
        <v>22</v>
      </c>
      <c r="G2986" t="s">
        <v>23</v>
      </c>
      <c r="H2986" t="s">
        <v>1763</v>
      </c>
      <c r="I2986" t="s">
        <v>25</v>
      </c>
      <c r="J2986" s="2">
        <v>45780.642013888893</v>
      </c>
      <c r="K2986">
        <v>3</v>
      </c>
      <c r="L2986">
        <v>5</v>
      </c>
      <c r="M2986">
        <v>2025</v>
      </c>
      <c r="N2986" t="s">
        <v>27</v>
      </c>
      <c r="O2986">
        <v>90</v>
      </c>
      <c r="P2986">
        <v>90</v>
      </c>
      <c r="R2986" s="3" t="str">
        <f>HYPERLINK("https://panda.att.com.mx/ODKServer/view/binaryData?blobKey=FSSuministroFluidosv3%5B%40version%3Dnull+and+%40uiVersion%3Dnull%5D%2Fdata%5B%40key%3Duuid%3A3263b939-f319-4fe5-ba3d-cd51e8c66464%5D%2FgroupInfoFuel%5B%40ordinal%3D1%5D%2FpicFuelRecibeInterno","Descargar")</f>
        <v>Descargar</v>
      </c>
    </row>
    <row r="2987" spans="1:18" x14ac:dyDescent="0.3">
      <c r="A2987">
        <v>1529668</v>
      </c>
      <c r="B2987" t="s">
        <v>18</v>
      </c>
      <c r="C2987" t="s">
        <v>55</v>
      </c>
      <c r="D2987" t="s">
        <v>56</v>
      </c>
      <c r="E2987" t="s">
        <v>2089</v>
      </c>
      <c r="F2987" t="s">
        <v>22</v>
      </c>
      <c r="G2987" t="s">
        <v>23</v>
      </c>
      <c r="H2987" t="s">
        <v>1763</v>
      </c>
      <c r="I2987" t="s">
        <v>25</v>
      </c>
      <c r="J2987" s="2">
        <v>45781.355682870373</v>
      </c>
      <c r="K2987">
        <v>4</v>
      </c>
      <c r="L2987">
        <v>5</v>
      </c>
      <c r="M2987">
        <v>2025</v>
      </c>
      <c r="N2987" t="s">
        <v>27</v>
      </c>
      <c r="O2987">
        <v>150</v>
      </c>
      <c r="P2987">
        <v>150</v>
      </c>
      <c r="R2987" s="3" t="str">
        <f>HYPERLINK("https://panda.att.com.mx/ODKServer/view/binaryData?blobKey=FSSuministroFluidosv3%5B%40version%3Dnull+and+%40uiVersion%3Dnull%5D%2Fdata%5B%40key%3Duuid%3A36fb21c3-9826-448f-afc2-91cdb18dcfcd%5D%2FgroupInfoFuel%5B%40ordinal%3D1%5D%2FpicFuelRecibeInterno","Descargar")</f>
        <v>Descargar</v>
      </c>
    </row>
    <row r="2988" spans="1:18" x14ac:dyDescent="0.3">
      <c r="A2988">
        <v>1529667</v>
      </c>
      <c r="B2988" t="s">
        <v>18</v>
      </c>
      <c r="C2988" t="s">
        <v>55</v>
      </c>
      <c r="D2988" t="s">
        <v>56</v>
      </c>
      <c r="E2988" t="s">
        <v>1555</v>
      </c>
      <c r="F2988" t="s">
        <v>22</v>
      </c>
      <c r="G2988" t="s">
        <v>23</v>
      </c>
      <c r="H2988" t="s">
        <v>1763</v>
      </c>
      <c r="I2988" t="s">
        <v>25</v>
      </c>
      <c r="J2988" s="2">
        <v>45781.462569444448</v>
      </c>
      <c r="K2988">
        <v>4</v>
      </c>
      <c r="L2988">
        <v>5</v>
      </c>
      <c r="M2988">
        <v>2025</v>
      </c>
      <c r="N2988" t="s">
        <v>27</v>
      </c>
      <c r="O2988">
        <v>50</v>
      </c>
      <c r="P2988">
        <v>50</v>
      </c>
      <c r="R2988" s="3" t="str">
        <f>HYPERLINK("https://panda.att.com.mx/ODKServer/view/binaryData?blobKey=FSSuministroFluidosv3%5B%40version%3Dnull+and+%40uiVersion%3Dnull%5D%2Fdata%5B%40key%3Duuid%3A3e2ad029-ea85-49b3-b1ee-803b73e0ab6a%5D%2FgroupInfoFuel%5B%40ordinal%3D1%5D%2FpicFuelRecibeInterno","Descargar")</f>
        <v>Descargar</v>
      </c>
    </row>
    <row r="2989" spans="1:18" x14ac:dyDescent="0.3">
      <c r="A2989">
        <v>1529666</v>
      </c>
      <c r="B2989" t="s">
        <v>18</v>
      </c>
      <c r="C2989" t="s">
        <v>55</v>
      </c>
      <c r="D2989" t="s">
        <v>56</v>
      </c>
      <c r="E2989" t="s">
        <v>57</v>
      </c>
      <c r="F2989" t="s">
        <v>22</v>
      </c>
      <c r="G2989" t="s">
        <v>23</v>
      </c>
      <c r="H2989" t="s">
        <v>1763</v>
      </c>
      <c r="I2989" t="s">
        <v>25</v>
      </c>
      <c r="J2989" s="2">
        <v>45781.500104166669</v>
      </c>
      <c r="K2989">
        <v>4</v>
      </c>
      <c r="L2989">
        <v>5</v>
      </c>
      <c r="M2989">
        <v>2025</v>
      </c>
      <c r="N2989" t="s">
        <v>27</v>
      </c>
      <c r="O2989">
        <v>50</v>
      </c>
      <c r="P2989">
        <v>50</v>
      </c>
      <c r="R2989" s="3" t="str">
        <f>HYPERLINK("https://panda.att.com.mx/ODKServer/view/binaryData?blobKey=FSSuministroFluidosv3%5B%40version%3Dnull+and+%40uiVersion%3Dnull%5D%2Fdata%5B%40key%3Duuid%3A4eda0561-1410-41c3-92e1-747c37073580%5D%2FgroupInfoFuel%5B%40ordinal%3D1%5D%2FpicFuelRecibeInterno","Descargar")</f>
        <v>Descargar</v>
      </c>
    </row>
    <row r="2990" spans="1:18" x14ac:dyDescent="0.3">
      <c r="A2990">
        <v>1529655</v>
      </c>
      <c r="B2990" t="s">
        <v>18</v>
      </c>
      <c r="C2990" t="s">
        <v>34</v>
      </c>
      <c r="D2990" t="s">
        <v>53</v>
      </c>
      <c r="E2990" t="s">
        <v>2170</v>
      </c>
      <c r="F2990" t="s">
        <v>22</v>
      </c>
      <c r="G2990" t="s">
        <v>1980</v>
      </c>
      <c r="H2990" t="s">
        <v>37</v>
      </c>
      <c r="I2990" t="s">
        <v>25</v>
      </c>
      <c r="J2990" s="2">
        <v>45781.679398148153</v>
      </c>
      <c r="K2990">
        <v>4</v>
      </c>
      <c r="L2990">
        <v>5</v>
      </c>
      <c r="M2990">
        <v>2025</v>
      </c>
      <c r="N2990" t="s">
        <v>27</v>
      </c>
      <c r="O2990">
        <v>100</v>
      </c>
      <c r="P2990">
        <v>100</v>
      </c>
      <c r="R2990" s="3" t="str">
        <f>HYPERLINK("https://panda.att.com.mx/ODKServer/view/binaryData?blobKey=FSSuministroFluidosv3%5B%40version%3Dnull+and+%40uiVersion%3Dnull%5D%2Fdata%5B%40key%3Duuid%3Af41b85b2-3766-4c18-beec-5ddf1196394c%5D%2FgroupInfoFuel%5B%40ordinal%3D1%5D%2FpicFuelRecibeInterno","Descargar")</f>
        <v>Descargar</v>
      </c>
    </row>
    <row r="2991" spans="1:18" x14ac:dyDescent="0.3">
      <c r="A2991">
        <v>1529653</v>
      </c>
      <c r="B2991" t="s">
        <v>18</v>
      </c>
      <c r="C2991" t="s">
        <v>100</v>
      </c>
      <c r="D2991" t="s">
        <v>854</v>
      </c>
      <c r="E2991" t="s">
        <v>993</v>
      </c>
      <c r="F2991" t="s">
        <v>22</v>
      </c>
      <c r="G2991" t="s">
        <v>83</v>
      </c>
      <c r="H2991" t="s">
        <v>1781</v>
      </c>
      <c r="I2991" t="s">
        <v>25</v>
      </c>
      <c r="J2991" s="2">
        <v>45781.704988425918</v>
      </c>
      <c r="K2991">
        <v>4</v>
      </c>
      <c r="L2991">
        <v>5</v>
      </c>
      <c r="M2991">
        <v>2025</v>
      </c>
      <c r="N2991" t="s">
        <v>27</v>
      </c>
      <c r="O2991">
        <v>200</v>
      </c>
      <c r="P2991">
        <v>200</v>
      </c>
      <c r="R2991" s="3" t="str">
        <f>HYPERLINK("https://panda.att.com.mx/ODKServer/view/binaryData?blobKey=FSSuministroFluidosv3%5B%40version%3Dnull+and+%40uiVersion%3Dnull%5D%2Fdata%5B%40key%3Duuid%3A8432a3f4-1e1a-4a03-9fc3-1c3c187eb5e5%5D%2FgroupInfoFuel%5B%40ordinal%3D1%5D%2FpicFuelRecibeInterno","Descargar")</f>
        <v>Descargar</v>
      </c>
    </row>
    <row r="2992" spans="1:18" x14ac:dyDescent="0.3">
      <c r="A2992">
        <v>1529624</v>
      </c>
      <c r="B2992" t="s">
        <v>18</v>
      </c>
      <c r="C2992" t="s">
        <v>55</v>
      </c>
      <c r="D2992" t="s">
        <v>366</v>
      </c>
      <c r="E2992" t="s">
        <v>2230</v>
      </c>
      <c r="F2992" t="s">
        <v>22</v>
      </c>
      <c r="G2992" t="s">
        <v>23</v>
      </c>
      <c r="H2992" t="s">
        <v>1781</v>
      </c>
      <c r="I2992" t="s">
        <v>25</v>
      </c>
      <c r="J2992" s="2">
        <v>45781.481481481482</v>
      </c>
      <c r="K2992">
        <v>4</v>
      </c>
      <c r="L2992">
        <v>5</v>
      </c>
      <c r="M2992">
        <v>2025</v>
      </c>
      <c r="N2992" t="s">
        <v>27</v>
      </c>
      <c r="O2992">
        <v>200</v>
      </c>
      <c r="P2992">
        <v>200</v>
      </c>
      <c r="R2992" s="3" t="str">
        <f>HYPERLINK("https://panda.att.com.mx/ODKServer/view/binaryData?blobKey=FSSuministroFluidosv3%5B%40version%3Dnull+and+%40uiVersion%3Dnull%5D%2Fdata%5B%40key%3Duuid%3Afdef2fab-dd1e-468e-82f8-8cfff3f46b8a%5D%2FgroupInfoFuel%5B%40ordinal%3D1%5D%2FpicFuelRecibeInterno","Descargar")</f>
        <v>Descargar</v>
      </c>
    </row>
    <row r="2993" spans="1:18" x14ac:dyDescent="0.3">
      <c r="A2993">
        <v>1529591</v>
      </c>
      <c r="B2993" t="s">
        <v>18</v>
      </c>
      <c r="C2993" t="s">
        <v>150</v>
      </c>
      <c r="D2993" t="s">
        <v>151</v>
      </c>
      <c r="E2993" t="s">
        <v>2220</v>
      </c>
      <c r="F2993" t="s">
        <v>22</v>
      </c>
      <c r="G2993" t="s">
        <v>23</v>
      </c>
      <c r="H2993" t="s">
        <v>1781</v>
      </c>
      <c r="I2993" t="s">
        <v>25</v>
      </c>
      <c r="J2993" s="2">
        <v>45781.420162037037</v>
      </c>
      <c r="K2993">
        <v>4</v>
      </c>
      <c r="L2993">
        <v>5</v>
      </c>
      <c r="M2993">
        <v>2025</v>
      </c>
      <c r="N2993" t="s">
        <v>27</v>
      </c>
      <c r="O2993">
        <v>100</v>
      </c>
      <c r="P2993">
        <v>100</v>
      </c>
      <c r="R2993" s="3" t="str">
        <f>HYPERLINK("https://panda.att.com.mx/ODKServer/view/binaryData?blobKey=FSSuministroFluidosv3%5B%40version%3Dnull+and+%40uiVersion%3Dnull%5D%2Fdata%5B%40key%3Duuid%3Aa80cd1d2-5035-4bfe-92cd-1672d470ca3c%5D%2FgroupInfoFuel%5B%40ordinal%3D1%5D%2FpicFuelRecibeInterno","Descargar")</f>
        <v>Descargar</v>
      </c>
    </row>
    <row r="2994" spans="1:18" x14ac:dyDescent="0.3">
      <c r="A2994">
        <v>1529535</v>
      </c>
      <c r="B2994" t="s">
        <v>18</v>
      </c>
      <c r="C2994" t="s">
        <v>34</v>
      </c>
      <c r="D2994" t="s">
        <v>53</v>
      </c>
      <c r="E2994" t="s">
        <v>2289</v>
      </c>
      <c r="F2994" t="s">
        <v>22</v>
      </c>
      <c r="G2994" t="s">
        <v>23</v>
      </c>
      <c r="H2994" t="s">
        <v>37</v>
      </c>
      <c r="I2994" t="s">
        <v>25</v>
      </c>
      <c r="J2994" s="2">
        <v>45780.85</v>
      </c>
      <c r="K2994">
        <v>3</v>
      </c>
      <c r="L2994">
        <v>5</v>
      </c>
      <c r="M2994">
        <v>2025</v>
      </c>
      <c r="N2994" t="s">
        <v>27</v>
      </c>
      <c r="O2994">
        <v>350</v>
      </c>
      <c r="P2994">
        <v>350</v>
      </c>
      <c r="R2994" s="3" t="str">
        <f>HYPERLINK("https://panda.att.com.mx/ODKServer/view/binaryData?blobKey=FSSuministroFluidosv3%5B%40version%3Dnull+and+%40uiVersion%3Dnull%5D%2Fdata%5B%40key%3Duuid%3A181f94bc-10cd-4e2d-842d-093500b5fb4d%5D%2FgroupInfoFuel%5B%40ordinal%3D1%5D%2FpicFuelRecibeInterno","Descargar")</f>
        <v>Descargar</v>
      </c>
    </row>
    <row r="2995" spans="1:18" x14ac:dyDescent="0.3">
      <c r="A2995">
        <v>1529491</v>
      </c>
      <c r="B2995" t="s">
        <v>18</v>
      </c>
      <c r="C2995" t="s">
        <v>100</v>
      </c>
      <c r="D2995" t="s">
        <v>716</v>
      </c>
      <c r="E2995" t="s">
        <v>717</v>
      </c>
      <c r="F2995" t="s">
        <v>22</v>
      </c>
      <c r="G2995" t="s">
        <v>83</v>
      </c>
      <c r="H2995" t="s">
        <v>1781</v>
      </c>
      <c r="I2995" t="s">
        <v>25</v>
      </c>
      <c r="J2995" s="2">
        <v>45780.718171296299</v>
      </c>
      <c r="K2995">
        <v>3</v>
      </c>
      <c r="L2995">
        <v>5</v>
      </c>
      <c r="M2995">
        <v>2025</v>
      </c>
      <c r="N2995" t="s">
        <v>27</v>
      </c>
      <c r="O2995">
        <v>126</v>
      </c>
      <c r="P2995">
        <v>126</v>
      </c>
      <c r="R2995" s="3" t="str">
        <f>HYPERLINK("https://panda.att.com.mx/ODKServer/view/binaryData?blobKey=FSSuministroFluidosv3%5B%40version%3Dnull+and+%40uiVersion%3Dnull%5D%2Fdata%5B%40key%3Duuid%3A45b33a39-524b-4555-9487-86773d8842e1%5D%2FgroupInfoFuel%5B%40ordinal%3D1%5D%2FpicFuelRecibeInterno","Descargar")</f>
        <v>Descargar</v>
      </c>
    </row>
    <row r="2996" spans="1:18" x14ac:dyDescent="0.3">
      <c r="A2996">
        <v>1529438</v>
      </c>
      <c r="B2996" t="s">
        <v>18</v>
      </c>
      <c r="C2996" t="s">
        <v>34</v>
      </c>
      <c r="D2996" t="s">
        <v>292</v>
      </c>
      <c r="E2996" t="s">
        <v>293</v>
      </c>
      <c r="F2996" t="s">
        <v>22</v>
      </c>
      <c r="G2996" t="s">
        <v>23</v>
      </c>
      <c r="H2996" t="s">
        <v>37</v>
      </c>
      <c r="I2996" t="s">
        <v>25</v>
      </c>
      <c r="J2996" s="2">
        <v>45780.570740740739</v>
      </c>
      <c r="K2996">
        <v>3</v>
      </c>
      <c r="L2996">
        <v>5</v>
      </c>
      <c r="M2996">
        <v>2025</v>
      </c>
      <c r="N2996" t="s">
        <v>27</v>
      </c>
      <c r="O2996">
        <v>600</v>
      </c>
      <c r="P2996">
        <v>600</v>
      </c>
      <c r="R2996" s="3" t="str">
        <f>HYPERLINK("https://panda.att.com.mx/ODKServer/view/binaryData?blobKey=FSSuministroFluidosv3%5B%40version%3Dnull+and+%40uiVersion%3Dnull%5D%2Fdata%5B%40key%3Duuid%3Ad36822ea-32e9-4b7e-8ebf-0da70c0dca7a%5D%2FgroupInfoFuel%5B%40ordinal%3D1%5D%2FpicFuelRecibeInterno","Descargar")</f>
        <v>Descargar</v>
      </c>
    </row>
    <row r="2997" spans="1:18" x14ac:dyDescent="0.3">
      <c r="A2997">
        <v>1529437</v>
      </c>
      <c r="B2997" t="s">
        <v>18</v>
      </c>
      <c r="C2997" t="s">
        <v>34</v>
      </c>
      <c r="D2997" t="s">
        <v>53</v>
      </c>
      <c r="E2997" t="s">
        <v>1743</v>
      </c>
      <c r="F2997" t="s">
        <v>22</v>
      </c>
      <c r="G2997" t="s">
        <v>23</v>
      </c>
      <c r="H2997" t="s">
        <v>37</v>
      </c>
      <c r="I2997" t="s">
        <v>25</v>
      </c>
      <c r="J2997" s="2">
        <v>45780.559537037043</v>
      </c>
      <c r="K2997">
        <v>3</v>
      </c>
      <c r="L2997">
        <v>5</v>
      </c>
      <c r="M2997">
        <v>2025</v>
      </c>
      <c r="N2997" t="s">
        <v>27</v>
      </c>
      <c r="O2997">
        <v>750</v>
      </c>
      <c r="P2997">
        <v>750</v>
      </c>
      <c r="R2997" s="3" t="str">
        <f>HYPERLINK("https://panda.att.com.mx/ODKServer/view/binaryData?blobKey=FSSuministroFluidosv3%5B%40version%3Dnull+and+%40uiVersion%3Dnull%5D%2Fdata%5B%40key%3Duuid%3A77bdcd6a-e19b-4868-84ae-aae3494f7f53%5D%2FgroupInfoFuel%5B%40ordinal%3D1%5D%2FpicFuelRecibeInterno","Descargar")</f>
        <v>Descargar</v>
      </c>
    </row>
    <row r="2998" spans="1:18" x14ac:dyDescent="0.3">
      <c r="A2998">
        <v>1529387</v>
      </c>
      <c r="B2998" t="s">
        <v>18</v>
      </c>
      <c r="C2998" t="s">
        <v>68</v>
      </c>
      <c r="D2998" t="s">
        <v>258</v>
      </c>
      <c r="E2998" t="s">
        <v>2290</v>
      </c>
      <c r="F2998" t="s">
        <v>22</v>
      </c>
      <c r="G2998" t="s">
        <v>23</v>
      </c>
      <c r="H2998" t="s">
        <v>37</v>
      </c>
      <c r="I2998" t="s">
        <v>25</v>
      </c>
      <c r="J2998" s="2">
        <v>45779.5156712963</v>
      </c>
      <c r="K2998">
        <v>2</v>
      </c>
      <c r="L2998">
        <v>5</v>
      </c>
      <c r="M2998">
        <v>2025</v>
      </c>
      <c r="N2998" t="s">
        <v>27</v>
      </c>
      <c r="O2998">
        <v>800</v>
      </c>
      <c r="P2998">
        <v>800</v>
      </c>
      <c r="R2998" s="3" t="str">
        <f>HYPERLINK("https://panda.att.com.mx/ODKServer/view/binaryData?blobKey=FSSuministroFluidosv3%5B%40version%3Dnull+and+%40uiVersion%3Dnull%5D%2Fdata%5B%40key%3Duuid%3Aecc949d9-6224-4748-a5a4-4364261c2735%5D%2FgroupInfoFuel%5B%40ordinal%3D1%5D%2FpicFuelRecibeInterno","Descargar")</f>
        <v>Descargar</v>
      </c>
    </row>
    <row r="2999" spans="1:18" x14ac:dyDescent="0.3">
      <c r="A2999">
        <v>1529382</v>
      </c>
      <c r="B2999" t="s">
        <v>18</v>
      </c>
      <c r="C2999" t="s">
        <v>100</v>
      </c>
      <c r="D2999" t="s">
        <v>101</v>
      </c>
      <c r="E2999" t="s">
        <v>126</v>
      </c>
      <c r="F2999" t="s">
        <v>22</v>
      </c>
      <c r="G2999" t="s">
        <v>23</v>
      </c>
      <c r="H2999" t="s">
        <v>1781</v>
      </c>
      <c r="I2999" t="s">
        <v>25</v>
      </c>
      <c r="J2999" s="2">
        <v>45780.502662037034</v>
      </c>
      <c r="K2999">
        <v>3</v>
      </c>
      <c r="L2999">
        <v>5</v>
      </c>
      <c r="M2999">
        <v>2025</v>
      </c>
      <c r="N2999" t="s">
        <v>27</v>
      </c>
      <c r="O2999">
        <v>300</v>
      </c>
      <c r="P2999">
        <v>300</v>
      </c>
      <c r="R2999" s="3" t="str">
        <f>HYPERLINK("https://panda.att.com.mx/ODKServer/view/binaryData?blobKey=FSSuministroFluidosv3%5B%40version%3Dnull+and+%40uiVersion%3Dnull%5D%2Fdata%5B%40key%3Duuid%3A213fa345-d064-4058-a44d-2ea6ec4cc01a%5D%2FgroupInfoFuel%5B%40ordinal%3D1%5D%2FpicFuelRecibeInterno","Descargar")</f>
        <v>Descargar</v>
      </c>
    </row>
    <row r="3000" spans="1:18" x14ac:dyDescent="0.3">
      <c r="A3000">
        <v>1529360</v>
      </c>
      <c r="B3000" t="s">
        <v>18</v>
      </c>
      <c r="C3000" t="s">
        <v>19</v>
      </c>
      <c r="D3000" t="s">
        <v>45</v>
      </c>
      <c r="E3000" t="s">
        <v>2135</v>
      </c>
      <c r="F3000" t="s">
        <v>22</v>
      </c>
      <c r="G3000" t="s">
        <v>23</v>
      </c>
      <c r="H3000" t="s">
        <v>24</v>
      </c>
      <c r="I3000" t="s">
        <v>25</v>
      </c>
      <c r="J3000" t="s">
        <v>2291</v>
      </c>
      <c r="K3000">
        <v>29</v>
      </c>
      <c r="L3000">
        <v>4</v>
      </c>
      <c r="M3000">
        <v>2025</v>
      </c>
      <c r="N3000" t="s">
        <v>27</v>
      </c>
      <c r="O3000">
        <v>200</v>
      </c>
      <c r="P3000">
        <v>200</v>
      </c>
      <c r="R3000" s="3" t="str">
        <f>HYPERLINK("https://panda.att.com.mx/ODKServer/view/binaryData?blobKey=FSSuministroFluidosv3%5B%40version%3Dnull+and+%40uiVersion%3Dnull%5D%2Fdata%5B%40key%3Duuid%3A296c8d65-c834-4814-81fc-ace648da3bfe%5D%2FgroupInfoFuel%5B%40ordinal%3D1%5D%2FpicFuelRecibeInterno","Descargar")</f>
        <v>Descargar</v>
      </c>
    </row>
    <row r="3001" spans="1:18" x14ac:dyDescent="0.3">
      <c r="A3001">
        <v>1529354</v>
      </c>
      <c r="B3001" t="s">
        <v>18</v>
      </c>
      <c r="C3001" t="s">
        <v>150</v>
      </c>
      <c r="D3001" t="s">
        <v>230</v>
      </c>
      <c r="E3001" t="s">
        <v>1510</v>
      </c>
      <c r="F3001" t="s">
        <v>22</v>
      </c>
      <c r="G3001" t="s">
        <v>23</v>
      </c>
      <c r="H3001" t="s">
        <v>1781</v>
      </c>
      <c r="I3001" t="s">
        <v>25</v>
      </c>
      <c r="J3001" s="2">
        <v>45780.361840277779</v>
      </c>
      <c r="K3001">
        <v>3</v>
      </c>
      <c r="L3001">
        <v>5</v>
      </c>
      <c r="M3001">
        <v>2025</v>
      </c>
      <c r="N3001" t="s">
        <v>27</v>
      </c>
      <c r="O3001">
        <v>300</v>
      </c>
      <c r="P3001">
        <v>300</v>
      </c>
      <c r="R3001" s="3" t="str">
        <f>HYPERLINK("https://panda.att.com.mx/ODKServer/view/binaryData?blobKey=FSSuministroFluidosv3%5B%40version%3Dnull+and+%40uiVersion%3Dnull%5D%2Fdata%5B%40key%3Duuid%3A1d3a9d34-bf6d-40a0-9216-70c0bd1bac1a%5D%2FgroupInfoFuel%5B%40ordinal%3D1%5D%2FpicFuelRecibeInterno","Descargar")</f>
        <v>Descargar</v>
      </c>
    </row>
    <row r="3002" spans="1:18" x14ac:dyDescent="0.3">
      <c r="A3002">
        <v>1528625</v>
      </c>
      <c r="B3002" t="s">
        <v>18</v>
      </c>
      <c r="C3002" t="s">
        <v>150</v>
      </c>
      <c r="D3002" t="s">
        <v>151</v>
      </c>
      <c r="E3002" t="s">
        <v>2220</v>
      </c>
      <c r="F3002" t="s">
        <v>22</v>
      </c>
      <c r="G3002" t="s">
        <v>23</v>
      </c>
      <c r="H3002" t="s">
        <v>1781</v>
      </c>
      <c r="I3002" t="s">
        <v>25</v>
      </c>
      <c r="J3002" s="2">
        <v>45778.512638888889</v>
      </c>
      <c r="K3002">
        <v>1</v>
      </c>
      <c r="L3002">
        <v>5</v>
      </c>
      <c r="M3002">
        <v>2025</v>
      </c>
      <c r="N3002" t="s">
        <v>27</v>
      </c>
      <c r="O3002">
        <v>100</v>
      </c>
      <c r="P3002">
        <v>100</v>
      </c>
      <c r="R3002" s="3" t="str">
        <f>HYPERLINK("https://panda.att.com.mx/ODKServer/view/binaryData?blobKey=FSSuministroFluidosv3%5B%40version%3Dnull+and+%40uiVersion%3Dnull%5D%2Fdata%5B%40key%3Duuid%3A5dfd6441-15ec-4b15-bb20-373c3a7d4b02%5D%2FgroupInfoFuel%5B%40ordinal%3D1%5D%2FpicFuelRecibeInterno","Descargar")</f>
        <v>Descargar</v>
      </c>
    </row>
    <row r="3003" spans="1:18" x14ac:dyDescent="0.3">
      <c r="A3003">
        <v>1528599</v>
      </c>
      <c r="B3003" t="s">
        <v>18</v>
      </c>
      <c r="C3003" t="s">
        <v>167</v>
      </c>
      <c r="D3003" t="s">
        <v>168</v>
      </c>
      <c r="E3003" t="s">
        <v>2062</v>
      </c>
      <c r="F3003" t="s">
        <v>22</v>
      </c>
      <c r="G3003" t="s">
        <v>83</v>
      </c>
      <c r="H3003" t="s">
        <v>58</v>
      </c>
      <c r="I3003" t="s">
        <v>25</v>
      </c>
      <c r="J3003" s="2">
        <v>45778.630520833343</v>
      </c>
      <c r="K3003">
        <v>1</v>
      </c>
      <c r="L3003">
        <v>5</v>
      </c>
      <c r="M3003">
        <v>2025</v>
      </c>
      <c r="N3003" t="s">
        <v>27</v>
      </c>
      <c r="O3003">
        <v>120</v>
      </c>
      <c r="P3003">
        <v>120</v>
      </c>
      <c r="R3003" s="3" t="str">
        <f>HYPERLINK("https://panda.att.com.mx/ODKServer/view/binaryData?blobKey=FSSuministroFluidosv3%5B%40version%3Dnull+and+%40uiVersion%3Dnull%5D%2Fdata%5B%40key%3Duuid%3Abab34d4e-3674-4293-8fcc-d915ace0444f%5D%2FgroupInfoFuel%5B%40ordinal%3D1%5D%2FpicFuelRecibeInterno","Descargar")</f>
        <v>Descargar</v>
      </c>
    </row>
    <row r="3004" spans="1:18" x14ac:dyDescent="0.3">
      <c r="A3004">
        <v>1528590</v>
      </c>
      <c r="B3004" t="s">
        <v>18</v>
      </c>
      <c r="C3004" t="s">
        <v>100</v>
      </c>
      <c r="D3004" t="s">
        <v>716</v>
      </c>
      <c r="E3004" t="s">
        <v>717</v>
      </c>
      <c r="F3004" t="s">
        <v>22</v>
      </c>
      <c r="G3004" t="s">
        <v>83</v>
      </c>
      <c r="H3004" t="s">
        <v>1781</v>
      </c>
      <c r="I3004" t="s">
        <v>25</v>
      </c>
      <c r="J3004" s="2">
        <v>45778.698854166672</v>
      </c>
      <c r="K3004">
        <v>1</v>
      </c>
      <c r="L3004">
        <v>5</v>
      </c>
      <c r="M3004">
        <v>2025</v>
      </c>
      <c r="N3004" t="s">
        <v>27</v>
      </c>
      <c r="O3004">
        <v>125</v>
      </c>
      <c r="P3004">
        <v>125</v>
      </c>
      <c r="R3004" s="3" t="str">
        <f>HYPERLINK("https://panda.att.com.mx/ODKServer/view/binaryData?blobKey=FSSuministroFluidosv3%5B%40version%3Dnull+and+%40uiVersion%3Dnull%5D%2Fdata%5B%40key%3Duuid%3A53684880-c66b-46ad-a478-59e49d18bce6%5D%2FgroupInfoFuel%5B%40ordinal%3D1%5D%2FpicFuelRecibeInterno","Descargar")</f>
        <v>Descargar</v>
      </c>
    </row>
    <row r="3005" spans="1:18" x14ac:dyDescent="0.3">
      <c r="A3005">
        <v>1528563</v>
      </c>
      <c r="B3005" t="s">
        <v>18</v>
      </c>
      <c r="C3005" t="s">
        <v>34</v>
      </c>
      <c r="D3005" t="s">
        <v>53</v>
      </c>
      <c r="E3005" t="s">
        <v>2271</v>
      </c>
      <c r="F3005" t="s">
        <v>22</v>
      </c>
      <c r="G3005" t="s">
        <v>23</v>
      </c>
      <c r="H3005" t="s">
        <v>37</v>
      </c>
      <c r="I3005" t="s">
        <v>25</v>
      </c>
      <c r="J3005" s="2">
        <v>45778.495833333327</v>
      </c>
      <c r="K3005">
        <v>1</v>
      </c>
      <c r="L3005">
        <v>5</v>
      </c>
      <c r="M3005">
        <v>2025</v>
      </c>
      <c r="N3005" t="s">
        <v>27</v>
      </c>
      <c r="O3005">
        <v>300</v>
      </c>
      <c r="P3005">
        <v>300</v>
      </c>
      <c r="R3005" s="3" t="str">
        <f>HYPERLINK("https://panda.att.com.mx/ODKServer/view/binaryData?blobKey=FSSuministroFluidosv3%5B%40version%3Dnull+and+%40uiVersion%3Dnull%5D%2Fdata%5B%40key%3Duuid%3A2ddd6c5e-18f9-4451-b296-36d57e22b514%5D%2FgroupInfoFuel%5B%40ordinal%3D1%5D%2FpicFuelRecibeInterno","Descargar")</f>
        <v>Descargar</v>
      </c>
    </row>
    <row r="3006" spans="1:18" x14ac:dyDescent="0.3">
      <c r="A3006">
        <v>1528562</v>
      </c>
      <c r="B3006" t="s">
        <v>18</v>
      </c>
      <c r="C3006" t="s">
        <v>34</v>
      </c>
      <c r="D3006" t="s">
        <v>53</v>
      </c>
      <c r="E3006" t="s">
        <v>1711</v>
      </c>
      <c r="F3006" t="s">
        <v>22</v>
      </c>
      <c r="G3006" t="s">
        <v>23</v>
      </c>
      <c r="H3006" t="s">
        <v>37</v>
      </c>
      <c r="I3006" t="s">
        <v>25</v>
      </c>
      <c r="J3006" s="2">
        <v>45778.432916666658</v>
      </c>
      <c r="K3006">
        <v>1</v>
      </c>
      <c r="L3006">
        <v>5</v>
      </c>
      <c r="M3006">
        <v>2025</v>
      </c>
      <c r="N3006" t="s">
        <v>27</v>
      </c>
      <c r="O3006">
        <v>200</v>
      </c>
      <c r="Q3006">
        <v>200</v>
      </c>
      <c r="R3006" s="3" t="str">
        <f>HYPERLINK("https://panda.att.com.mx/ODKServer/view/binaryData?blobKey=FSSuministroFluidosv3%5B%40version%3Dnull+and+%40uiVersion%3Dnull%5D%2Fdata%5B%40key%3Duuid%3A10a5a41d-e9e3-4e58-aca7-5ccb6e01c539%5D%2FgroupInfoFuel%5B%40ordinal%3D1%5D%2FpicFuelRecibeInterno","Descargar")</f>
        <v>Descargar</v>
      </c>
    </row>
    <row r="3007" spans="1:18" x14ac:dyDescent="0.3">
      <c r="A3007">
        <v>1528561</v>
      </c>
      <c r="B3007" t="s">
        <v>18</v>
      </c>
      <c r="C3007" t="s">
        <v>19</v>
      </c>
      <c r="D3007" t="s">
        <v>175</v>
      </c>
      <c r="E3007" t="s">
        <v>2093</v>
      </c>
      <c r="F3007" t="s">
        <v>22</v>
      </c>
      <c r="G3007" t="s">
        <v>23</v>
      </c>
      <c r="H3007" t="s">
        <v>24</v>
      </c>
      <c r="I3007" t="s">
        <v>25</v>
      </c>
      <c r="J3007" t="s">
        <v>2292</v>
      </c>
      <c r="K3007">
        <v>30</v>
      </c>
      <c r="L3007">
        <v>4</v>
      </c>
      <c r="M3007">
        <v>2025</v>
      </c>
      <c r="N3007" t="s">
        <v>44</v>
      </c>
      <c r="O3007">
        <v>40</v>
      </c>
      <c r="P3007">
        <v>40</v>
      </c>
      <c r="R3007" s="3" t="str">
        <f>HYPERLINK("https://panda.att.com.mx/ODKServer/view/binaryData?blobKey=FSSuministroFluidosv3%5B%40version%3Dnull+and+%40uiVersion%3Dnull%5D%2Fdata%5B%40key%3Duuid%3A99a94e37-ac67-446b-8e6b-3f7b1b327515%5D%2FgroupInfoFuel%5B%40ordinal%3D1%5D%2FpicFuelRecibeInterno","Descargar")</f>
        <v>Descargar</v>
      </c>
    </row>
    <row r="3008" spans="1:18" x14ac:dyDescent="0.3">
      <c r="A3008">
        <v>1528551</v>
      </c>
      <c r="B3008" t="s">
        <v>18</v>
      </c>
      <c r="C3008" t="s">
        <v>19</v>
      </c>
      <c r="D3008" t="s">
        <v>175</v>
      </c>
      <c r="E3008" t="s">
        <v>1632</v>
      </c>
      <c r="F3008" t="s">
        <v>22</v>
      </c>
      <c r="G3008" t="s">
        <v>23</v>
      </c>
      <c r="H3008" t="s">
        <v>24</v>
      </c>
      <c r="I3008" t="s">
        <v>25</v>
      </c>
      <c r="J3008" s="2">
        <v>45778.655775462961</v>
      </c>
      <c r="K3008">
        <v>1</v>
      </c>
      <c r="L3008">
        <v>5</v>
      </c>
      <c r="M3008">
        <v>2025</v>
      </c>
      <c r="N3008" t="s">
        <v>44</v>
      </c>
      <c r="O3008">
        <v>30</v>
      </c>
      <c r="P3008">
        <v>30</v>
      </c>
      <c r="R3008" s="3" t="str">
        <f>HYPERLINK("https://panda.att.com.mx/ODKServer/view/binaryData?blobKey=FSSuministroFluidosv3%5B%40version%3Dnull+and+%40uiVersion%3Dnull%5D%2Fdata%5B%40key%3Duuid%3Adebfbb5d-151a-4e7b-919e-3b17d94c7abd%5D%2FgroupInfoFuel%5B%40ordinal%3D1%5D%2FpicFuelRecibeInterno","Descargar")</f>
        <v>Descargar</v>
      </c>
    </row>
    <row r="3009" spans="1:18" x14ac:dyDescent="0.3">
      <c r="A3009">
        <v>1528532</v>
      </c>
      <c r="B3009" t="s">
        <v>18</v>
      </c>
      <c r="C3009" t="s">
        <v>34</v>
      </c>
      <c r="D3009" t="s">
        <v>53</v>
      </c>
      <c r="E3009" t="s">
        <v>491</v>
      </c>
      <c r="F3009" t="s">
        <v>22</v>
      </c>
      <c r="G3009" t="s">
        <v>23</v>
      </c>
      <c r="H3009" t="s">
        <v>37</v>
      </c>
      <c r="I3009" t="s">
        <v>25</v>
      </c>
      <c r="J3009" s="2">
        <v>45778.392280092587</v>
      </c>
      <c r="K3009">
        <v>1</v>
      </c>
      <c r="L3009">
        <v>5</v>
      </c>
      <c r="M3009">
        <v>2025</v>
      </c>
      <c r="N3009" t="s">
        <v>27</v>
      </c>
      <c r="O3009">
        <v>400</v>
      </c>
      <c r="Q3009">
        <v>400</v>
      </c>
      <c r="R3009" s="3" t="str">
        <f>HYPERLINK("https://panda.att.com.mx/ODKServer/view/binaryData?blobKey=FSSuministroFluidosv3%5B%40version%3Dnull+and+%40uiVersion%3Dnull%5D%2Fdata%5B%40key%3Duuid%3A9fe7cffe-7376-4be1-9f14-e2691514af0c%5D%2FgroupInfoFuel%5B%40ordinal%3D1%5D%2FpicFuelRecibeInterno","Descargar")</f>
        <v>Descargar</v>
      </c>
    </row>
    <row r="3010" spans="1:18" x14ac:dyDescent="0.3">
      <c r="A3010">
        <v>1528527</v>
      </c>
      <c r="B3010" t="s">
        <v>18</v>
      </c>
      <c r="C3010" t="s">
        <v>55</v>
      </c>
      <c r="D3010" t="s">
        <v>56</v>
      </c>
      <c r="E3010" t="s">
        <v>2293</v>
      </c>
      <c r="F3010" t="s">
        <v>22</v>
      </c>
      <c r="G3010" t="s">
        <v>23</v>
      </c>
      <c r="H3010" t="s">
        <v>1781</v>
      </c>
      <c r="I3010" t="s">
        <v>25</v>
      </c>
      <c r="J3010" s="2">
        <v>45778.608657407407</v>
      </c>
      <c r="K3010">
        <v>1</v>
      </c>
      <c r="L3010">
        <v>5</v>
      </c>
      <c r="M3010">
        <v>2025</v>
      </c>
      <c r="N3010" t="s">
        <v>27</v>
      </c>
      <c r="O3010">
        <v>100</v>
      </c>
      <c r="P3010">
        <v>100</v>
      </c>
      <c r="R3010" s="3" t="str">
        <f>HYPERLINK("https://panda.att.com.mx/ODKServer/view/binaryData?blobKey=FSSuministroFluidosv3%5B%40version%3Dnull+and+%40uiVersion%3Dnull%5D%2Fdata%5B%40key%3Duuid%3A41612af5-29fa-4f2e-9c66-7c7e89192a2b%5D%2FgroupInfoFuel%5B%40ordinal%3D1%5D%2FpicFuelRecibeInterno","Descargar")</f>
        <v>Descargar</v>
      </c>
    </row>
    <row r="3011" spans="1:18" x14ac:dyDescent="0.3">
      <c r="A3011">
        <v>1528519</v>
      </c>
      <c r="B3011" t="s">
        <v>18</v>
      </c>
      <c r="C3011" t="s">
        <v>183</v>
      </c>
      <c r="D3011" t="s">
        <v>1720</v>
      </c>
      <c r="E3011" t="s">
        <v>1721</v>
      </c>
      <c r="F3011" t="s">
        <v>22</v>
      </c>
      <c r="G3011" t="s">
        <v>23</v>
      </c>
      <c r="H3011" t="s">
        <v>24</v>
      </c>
      <c r="I3011" t="s">
        <v>25</v>
      </c>
      <c r="J3011" s="2">
        <v>45778.302499999998</v>
      </c>
      <c r="K3011">
        <v>1</v>
      </c>
      <c r="L3011">
        <v>5</v>
      </c>
      <c r="M3011">
        <v>2025</v>
      </c>
      <c r="N3011" t="s">
        <v>44</v>
      </c>
      <c r="O3011">
        <v>30</v>
      </c>
      <c r="P3011">
        <v>30</v>
      </c>
      <c r="R3011" s="3" t="str">
        <f>HYPERLINK("https://panda.att.com.mx/ODKServer/view/binaryData?blobKey=FSSuministroFluidosv3%5B%40version%3Dnull+and+%40uiVersion%3Dnull%5D%2Fdata%5B%40key%3Duuid%3A8caa18b3-bc49-462e-834f-5cebd28c6038%5D%2FgroupInfoFuel%5B%40ordinal%3D1%5D%2FpicFuelRecibeInterno","Descargar")</f>
        <v>Descargar</v>
      </c>
    </row>
    <row r="3012" spans="1:18" x14ac:dyDescent="0.3">
      <c r="A3012">
        <v>1528505</v>
      </c>
      <c r="B3012" t="s">
        <v>18</v>
      </c>
      <c r="C3012" t="s">
        <v>19</v>
      </c>
      <c r="D3012" t="s">
        <v>2250</v>
      </c>
      <c r="E3012" t="s">
        <v>2251</v>
      </c>
      <c r="F3012" t="s">
        <v>22</v>
      </c>
      <c r="G3012" t="s">
        <v>23</v>
      </c>
      <c r="H3012" t="s">
        <v>24</v>
      </c>
      <c r="I3012" t="s">
        <v>25</v>
      </c>
      <c r="J3012" t="s">
        <v>2294</v>
      </c>
      <c r="K3012">
        <v>30</v>
      </c>
      <c r="L3012">
        <v>4</v>
      </c>
      <c r="M3012">
        <v>2025</v>
      </c>
      <c r="N3012" t="s">
        <v>44</v>
      </c>
      <c r="O3012">
        <v>54</v>
      </c>
      <c r="P3012">
        <v>54</v>
      </c>
      <c r="R3012" s="3" t="str">
        <f>HYPERLINK("https://panda.att.com.mx/ODKServer/view/binaryData?blobKey=FSSuministroFluidosv3%5B%40version%3Dnull+and+%40uiVersion%3Dnull%5D%2Fdata%5B%40key%3Duuid%3Aa79ca6dc-0a45-409f-a728-81932790e531%5D%2FgroupInfoFuel%5B%40ordinal%3D1%5D%2FpicFuelRecibeInterno","Descargar")</f>
        <v>Descargar</v>
      </c>
    </row>
    <row r="3013" spans="1:18" x14ac:dyDescent="0.3">
      <c r="A3013">
        <v>1528501</v>
      </c>
      <c r="B3013" t="s">
        <v>18</v>
      </c>
      <c r="C3013" t="s">
        <v>100</v>
      </c>
      <c r="D3013" t="s">
        <v>854</v>
      </c>
      <c r="E3013" t="s">
        <v>993</v>
      </c>
      <c r="F3013" t="s">
        <v>22</v>
      </c>
      <c r="G3013" t="s">
        <v>83</v>
      </c>
      <c r="H3013" t="s">
        <v>1781</v>
      </c>
      <c r="I3013" t="s">
        <v>25</v>
      </c>
      <c r="J3013" s="2">
        <v>45778.572534722232</v>
      </c>
      <c r="K3013">
        <v>1</v>
      </c>
      <c r="L3013">
        <v>5</v>
      </c>
      <c r="M3013">
        <v>2025</v>
      </c>
      <c r="N3013" t="s">
        <v>27</v>
      </c>
      <c r="O3013">
        <v>200</v>
      </c>
      <c r="P3013">
        <v>200</v>
      </c>
      <c r="R3013" s="3" t="str">
        <f>HYPERLINK("https://panda.att.com.mx/ODKServer/view/binaryData?blobKey=FSSuministroFluidosv3%5B%40version%3Dnull+and+%40uiVersion%3Dnull%5D%2Fdata%5B%40key%3Duuid%3Aabfc9a3e-eb6e-4a51-b8ce-9a77ac6b9105%5D%2FgroupInfoFuel%5B%40ordinal%3D1%5D%2FpicFuelRecibeInterno","Descargar")</f>
        <v>Descargar</v>
      </c>
    </row>
    <row r="3014" spans="1:18" x14ac:dyDescent="0.3">
      <c r="A3014">
        <v>1528481</v>
      </c>
      <c r="B3014" t="s">
        <v>18</v>
      </c>
      <c r="C3014" t="s">
        <v>167</v>
      </c>
      <c r="D3014" t="s">
        <v>168</v>
      </c>
      <c r="E3014" t="s">
        <v>169</v>
      </c>
      <c r="F3014" t="s">
        <v>22</v>
      </c>
      <c r="G3014" t="s">
        <v>83</v>
      </c>
      <c r="H3014" t="s">
        <v>58</v>
      </c>
      <c r="I3014" t="s">
        <v>25</v>
      </c>
      <c r="J3014" s="2">
        <v>45778.509074074071</v>
      </c>
      <c r="K3014">
        <v>1</v>
      </c>
      <c r="L3014">
        <v>5</v>
      </c>
      <c r="M3014">
        <v>2025</v>
      </c>
      <c r="N3014" t="s">
        <v>27</v>
      </c>
      <c r="O3014">
        <v>450</v>
      </c>
      <c r="P3014">
        <v>450</v>
      </c>
      <c r="R3014" s="3" t="str">
        <f>HYPERLINK("https://panda.att.com.mx/ODKServer/view/binaryData?blobKey=FSSuministroFluidosv3%5B%40version%3Dnull+and+%40uiVersion%3Dnull%5D%2Fdata%5B%40key%3Duuid%3A1be204a7-ae6f-4b9a-abcc-e976bc760e65%5D%2FgroupInfoFuel%5B%40ordinal%3D1%5D%2FpicFuelRecibeInterno","Descargar")</f>
        <v>Descargar</v>
      </c>
    </row>
    <row r="3015" spans="1:18" x14ac:dyDescent="0.3">
      <c r="A3015">
        <v>1528455</v>
      </c>
      <c r="B3015" t="s">
        <v>18</v>
      </c>
      <c r="C3015" t="s">
        <v>167</v>
      </c>
      <c r="D3015" t="s">
        <v>168</v>
      </c>
      <c r="E3015" t="s">
        <v>266</v>
      </c>
      <c r="F3015" t="s">
        <v>22</v>
      </c>
      <c r="G3015" t="s">
        <v>83</v>
      </c>
      <c r="H3015" t="s">
        <v>58</v>
      </c>
      <c r="I3015" t="s">
        <v>25</v>
      </c>
      <c r="J3015" s="2">
        <v>45778.429791666669</v>
      </c>
      <c r="K3015">
        <v>1</v>
      </c>
      <c r="L3015">
        <v>5</v>
      </c>
      <c r="M3015">
        <v>2025</v>
      </c>
      <c r="N3015" t="s">
        <v>27</v>
      </c>
      <c r="O3015">
        <v>450</v>
      </c>
      <c r="P3015">
        <v>450</v>
      </c>
      <c r="R3015" s="3" t="str">
        <f>HYPERLINK("https://panda.att.com.mx/ODKServer/view/binaryData?blobKey=FSSuministroFluidosv3%5B%40version%3Dnull+and+%40uiVersion%3Dnull%5D%2Fdata%5B%40key%3Duuid%3A5e4e3def-299d-4997-927d-be7b4ea67e53%5D%2FgroupInfoFuel%5B%40ordinal%3D1%5D%2FpicFuelRecibeInterno","Descargar")</f>
        <v>Descargar</v>
      </c>
    </row>
    <row r="3016" spans="1:18" x14ac:dyDescent="0.3">
      <c r="A3016">
        <v>1528374</v>
      </c>
      <c r="B3016" t="s">
        <v>18</v>
      </c>
      <c r="C3016" t="s">
        <v>100</v>
      </c>
      <c r="D3016" t="s">
        <v>716</v>
      </c>
      <c r="E3016" t="s">
        <v>2043</v>
      </c>
      <c r="F3016" t="s">
        <v>22</v>
      </c>
      <c r="G3016" t="s">
        <v>23</v>
      </c>
      <c r="H3016" t="s">
        <v>1781</v>
      </c>
      <c r="I3016" t="s">
        <v>25</v>
      </c>
      <c r="J3016" t="s">
        <v>2295</v>
      </c>
      <c r="K3016">
        <v>30</v>
      </c>
      <c r="L3016">
        <v>4</v>
      </c>
      <c r="M3016">
        <v>2025</v>
      </c>
      <c r="N3016" t="s">
        <v>27</v>
      </c>
      <c r="O3016">
        <v>150</v>
      </c>
      <c r="P3016">
        <v>150</v>
      </c>
      <c r="R3016" s="3" t="str">
        <f>HYPERLINK("https://panda.att.com.mx/ODKServer/view/binaryData?blobKey=FSSuministroFluidosv3%5B%40version%3Dnull+and+%40uiVersion%3Dnull%5D%2Fdata%5B%40key%3Duuid%3Ae8af376f-c420-49ce-b403-6e91858d073e%5D%2FgroupInfoFuel%5B%40ordinal%3D1%5D%2FpicFuelRecibeInterno","Descargar")</f>
        <v>Descargar</v>
      </c>
    </row>
    <row r="3017" spans="1:18" x14ac:dyDescent="0.3">
      <c r="A3017">
        <v>1528309</v>
      </c>
      <c r="B3017" t="s">
        <v>18</v>
      </c>
      <c r="C3017" t="s">
        <v>59</v>
      </c>
      <c r="D3017" t="s">
        <v>60</v>
      </c>
      <c r="E3017" t="s">
        <v>2207</v>
      </c>
      <c r="F3017" t="s">
        <v>22</v>
      </c>
      <c r="G3017" t="s">
        <v>23</v>
      </c>
      <c r="H3017" t="s">
        <v>37</v>
      </c>
      <c r="I3017" t="s">
        <v>25</v>
      </c>
      <c r="J3017" t="s">
        <v>2296</v>
      </c>
      <c r="K3017">
        <v>28</v>
      </c>
      <c r="L3017">
        <v>4</v>
      </c>
      <c r="M3017">
        <v>2025</v>
      </c>
      <c r="N3017" t="s">
        <v>27</v>
      </c>
      <c r="O3017">
        <v>180</v>
      </c>
      <c r="P3017">
        <v>180</v>
      </c>
      <c r="R3017" s="3" t="str">
        <f>HYPERLINK("https://panda.att.com.mx/ODKServer/view/binaryData?blobKey=FSSuministroFluidosv3%5B%40version%3Dnull+and+%40uiVersion%3Dnull%5D%2Fdata%5B%40key%3Duuid%3Ac29008f2-edf0-4de7-a22d-e600b0ff25ce%5D%2FgroupInfoFuel%5B%40ordinal%3D1%5D%2FpicFuelRecibeInterno","Descargar")</f>
        <v>Descargar</v>
      </c>
    </row>
    <row r="3018" spans="1:18" x14ac:dyDescent="0.3">
      <c r="A3018">
        <v>1528144</v>
      </c>
      <c r="B3018" t="s">
        <v>18</v>
      </c>
      <c r="C3018" t="s">
        <v>34</v>
      </c>
      <c r="D3018" t="s">
        <v>53</v>
      </c>
      <c r="E3018" t="s">
        <v>2297</v>
      </c>
      <c r="F3018" t="s">
        <v>22</v>
      </c>
      <c r="G3018" t="s">
        <v>23</v>
      </c>
      <c r="H3018" t="s">
        <v>37</v>
      </c>
      <c r="I3018" t="s">
        <v>25</v>
      </c>
      <c r="J3018" t="s">
        <v>2298</v>
      </c>
      <c r="K3018">
        <v>29</v>
      </c>
      <c r="L3018">
        <v>4</v>
      </c>
      <c r="M3018">
        <v>2025</v>
      </c>
      <c r="N3018" t="s">
        <v>27</v>
      </c>
      <c r="O3018">
        <v>200</v>
      </c>
      <c r="Q3018">
        <v>200</v>
      </c>
      <c r="R3018" s="3" t="str">
        <f>HYPERLINK("https://panda.att.com.mx/ODKServer/view/binaryData?blobKey=FSSuministroFluidosv3%5B%40version%3Dnull+and+%40uiVersion%3Dnull%5D%2Fdata%5B%40key%3Duuid%3A6fd31688-4598-43e0-ab20-556c1891bdf2%5D%2FgroupInfoFuel%5B%40ordinal%3D1%5D%2FpicFuelRecibeInterno","Descargar")</f>
        <v>Descargar</v>
      </c>
    </row>
    <row r="3019" spans="1:18" x14ac:dyDescent="0.3">
      <c r="A3019">
        <v>1528139</v>
      </c>
      <c r="B3019" t="s">
        <v>18</v>
      </c>
      <c r="C3019" t="s">
        <v>34</v>
      </c>
      <c r="D3019" t="s">
        <v>53</v>
      </c>
      <c r="E3019" t="s">
        <v>2299</v>
      </c>
      <c r="F3019" t="s">
        <v>22</v>
      </c>
      <c r="G3019" t="s">
        <v>23</v>
      </c>
      <c r="H3019" t="s">
        <v>37</v>
      </c>
      <c r="I3019" t="s">
        <v>25</v>
      </c>
      <c r="J3019" t="s">
        <v>2300</v>
      </c>
      <c r="K3019">
        <v>29</v>
      </c>
      <c r="L3019">
        <v>4</v>
      </c>
      <c r="M3019">
        <v>2025</v>
      </c>
      <c r="N3019" t="s">
        <v>27</v>
      </c>
      <c r="O3019">
        <v>150</v>
      </c>
      <c r="Q3019">
        <v>150</v>
      </c>
      <c r="R3019" s="3" t="str">
        <f>HYPERLINK("https://panda.att.com.mx/ODKServer/view/binaryData?blobKey=FSSuministroFluidosv3%5B%40version%3Dnull+and+%40uiVersion%3Dnull%5D%2Fdata%5B%40key%3Duuid%3A4e928dd3-8453-46aa-bd47-3b7e862080a7%5D%2FgroupInfoFuel%5B%40ordinal%3D1%5D%2FpicFuelRecibeInterno","Descargar")</f>
        <v>Descargar</v>
      </c>
    </row>
    <row r="3020" spans="1:18" x14ac:dyDescent="0.3">
      <c r="A3020">
        <v>1528136</v>
      </c>
      <c r="B3020" t="s">
        <v>18</v>
      </c>
      <c r="C3020" t="s">
        <v>34</v>
      </c>
      <c r="D3020" t="s">
        <v>53</v>
      </c>
      <c r="E3020" t="s">
        <v>144</v>
      </c>
      <c r="F3020" t="s">
        <v>22</v>
      </c>
      <c r="G3020" t="s">
        <v>23</v>
      </c>
      <c r="H3020" t="s">
        <v>37</v>
      </c>
      <c r="I3020" t="s">
        <v>25</v>
      </c>
      <c r="J3020" t="s">
        <v>2301</v>
      </c>
      <c r="K3020">
        <v>30</v>
      </c>
      <c r="L3020">
        <v>4</v>
      </c>
      <c r="M3020">
        <v>2025</v>
      </c>
      <c r="N3020" t="s">
        <v>27</v>
      </c>
      <c r="O3020">
        <v>150</v>
      </c>
      <c r="P3020">
        <v>150</v>
      </c>
      <c r="R3020" s="3" t="str">
        <f>HYPERLINK("https://panda.att.com.mx/ODKServer/view/binaryData?blobKey=FSSuministroFluidosv3%5B%40version%3Dnull+and+%40uiVersion%3Dnull%5D%2Fdata%5B%40key%3Duuid%3A5020050f-0a0a-4adc-89e8-67cc41d61e1d%5D%2FgroupInfoFuel%5B%40ordinal%3D1%5D%2FpicFuelRecibeInterno","Descargar")</f>
        <v>Descargar</v>
      </c>
    </row>
    <row r="3021" spans="1:18" x14ac:dyDescent="0.3">
      <c r="A3021">
        <v>1528129</v>
      </c>
      <c r="B3021" t="s">
        <v>18</v>
      </c>
      <c r="C3021" t="s">
        <v>19</v>
      </c>
      <c r="D3021" t="s">
        <v>45</v>
      </c>
      <c r="E3021" t="s">
        <v>752</v>
      </c>
      <c r="F3021" t="s">
        <v>22</v>
      </c>
      <c r="G3021" t="s">
        <v>23</v>
      </c>
      <c r="H3021" t="s">
        <v>24</v>
      </c>
      <c r="I3021" t="s">
        <v>25</v>
      </c>
      <c r="J3021" t="s">
        <v>2302</v>
      </c>
      <c r="K3021">
        <v>12</v>
      </c>
      <c r="L3021">
        <v>4</v>
      </c>
      <c r="M3021">
        <v>2025</v>
      </c>
      <c r="N3021" t="s">
        <v>27</v>
      </c>
      <c r="O3021">
        <v>300</v>
      </c>
      <c r="P3021">
        <v>300</v>
      </c>
      <c r="R3021" s="3" t="str">
        <f>HYPERLINK("https://panda.att.com.mx/ODKServer/view/binaryData?blobKey=FSSuministroFluidosv3%5B%40version%3Dnull+and+%40uiVersion%3Dnull%5D%2Fdata%5B%40key%3Duuid%3Aab13f5f5-0aec-408f-9464-5b31ffc7f25f%5D%2FgroupInfoFuel%5B%40ordinal%3D1%5D%2FpicFuelRecibeInterno","Descargar")</f>
        <v>Descargar</v>
      </c>
    </row>
    <row r="3022" spans="1:18" x14ac:dyDescent="0.3">
      <c r="A3022">
        <v>1528127</v>
      </c>
      <c r="B3022" t="s">
        <v>18</v>
      </c>
      <c r="C3022" t="s">
        <v>68</v>
      </c>
      <c r="D3022" t="s">
        <v>87</v>
      </c>
      <c r="E3022" t="s">
        <v>1335</v>
      </c>
      <c r="F3022" t="s">
        <v>22</v>
      </c>
      <c r="G3022" t="s">
        <v>23</v>
      </c>
      <c r="H3022" t="s">
        <v>37</v>
      </c>
      <c r="I3022" t="s">
        <v>25</v>
      </c>
      <c r="J3022" t="s">
        <v>2303</v>
      </c>
      <c r="K3022">
        <v>29</v>
      </c>
      <c r="L3022">
        <v>4</v>
      </c>
      <c r="M3022">
        <v>2025</v>
      </c>
      <c r="N3022" t="s">
        <v>44</v>
      </c>
      <c r="O3022">
        <v>45</v>
      </c>
      <c r="P3022">
        <v>45</v>
      </c>
      <c r="R3022" s="3" t="str">
        <f>HYPERLINK("https://panda.att.com.mx/ODKServer/view/binaryData?blobKey=FSSuministroFluidosv3%5B%40version%3Dnull+and+%40uiVersion%3Dnull%5D%2Fdata%5B%40key%3Duuid%3Ad990fe8a-b0b8-4a60-af5d-4fc44901fcb8%5D%2FgroupInfoFuel%5B%40ordinal%3D1%5D%2FpicFuelRecibeInterno","Descargar")</f>
        <v>Descargar</v>
      </c>
    </row>
    <row r="3023" spans="1:18" x14ac:dyDescent="0.3">
      <c r="A3023">
        <v>1528091</v>
      </c>
      <c r="B3023" t="s">
        <v>18</v>
      </c>
      <c r="C3023" t="s">
        <v>55</v>
      </c>
      <c r="D3023" t="s">
        <v>56</v>
      </c>
      <c r="E3023" t="s">
        <v>862</v>
      </c>
      <c r="F3023" t="s">
        <v>22</v>
      </c>
      <c r="G3023" t="s">
        <v>83</v>
      </c>
      <c r="H3023" t="s">
        <v>1763</v>
      </c>
      <c r="I3023" t="s">
        <v>25</v>
      </c>
      <c r="J3023" t="s">
        <v>2304</v>
      </c>
      <c r="K3023">
        <v>28</v>
      </c>
      <c r="L3023">
        <v>4</v>
      </c>
      <c r="M3023">
        <v>2025</v>
      </c>
      <c r="N3023" t="s">
        <v>27</v>
      </c>
      <c r="O3023">
        <v>700</v>
      </c>
      <c r="P3023">
        <v>700</v>
      </c>
      <c r="R3023" s="3" t="str">
        <f>HYPERLINK("https://panda.att.com.mx/ODKServer/view/binaryData?blobKey=FSSuministroFluidosv3%5B%40version%3Dnull+and+%40uiVersion%3Dnull%5D%2Fdata%5B%40key%3Duuid%3A2398103c-5949-4155-b9ec-bed2cb3b5762%5D%2FgroupInfoFuel%5B%40ordinal%3D1%5D%2FpicFuelRecibeInterno","Descargar")</f>
        <v>Descargar</v>
      </c>
    </row>
    <row r="3024" spans="1:18" x14ac:dyDescent="0.3">
      <c r="A3024">
        <v>1528084</v>
      </c>
      <c r="B3024" t="s">
        <v>18</v>
      </c>
      <c r="C3024" t="s">
        <v>19</v>
      </c>
      <c r="D3024" t="s">
        <v>347</v>
      </c>
      <c r="E3024" t="s">
        <v>2305</v>
      </c>
      <c r="F3024" t="s">
        <v>22</v>
      </c>
      <c r="G3024" t="s">
        <v>23</v>
      </c>
      <c r="H3024" t="s">
        <v>24</v>
      </c>
      <c r="I3024" t="s">
        <v>25</v>
      </c>
      <c r="J3024" t="s">
        <v>2306</v>
      </c>
      <c r="K3024">
        <v>29</v>
      </c>
      <c r="L3024">
        <v>4</v>
      </c>
      <c r="M3024">
        <v>2025</v>
      </c>
      <c r="N3024" t="s">
        <v>44</v>
      </c>
      <c r="O3024">
        <v>40</v>
      </c>
      <c r="P3024">
        <v>40</v>
      </c>
      <c r="R3024" s="3" t="str">
        <f>HYPERLINK("https://panda.att.com.mx/ODKServer/view/binaryData?blobKey=FSSuministroFluidosv3%5B%40version%3Dnull+and+%40uiVersion%3Dnull%5D%2Fdata%5B%40key%3Duuid%3A8f5975b0-652e-48ad-91af-aa56445ba94c%5D%2FgroupInfoFuel%5B%40ordinal%3D1%5D%2FpicFuelRecibeInterno","Descargar")</f>
        <v>Descargar</v>
      </c>
    </row>
    <row r="3025" spans="1:18" x14ac:dyDescent="0.3">
      <c r="A3025">
        <v>1528062</v>
      </c>
      <c r="B3025" t="s">
        <v>18</v>
      </c>
      <c r="C3025" t="s">
        <v>19</v>
      </c>
      <c r="D3025" t="s">
        <v>189</v>
      </c>
      <c r="E3025" t="s">
        <v>2307</v>
      </c>
      <c r="F3025" t="s">
        <v>22</v>
      </c>
      <c r="G3025" t="s">
        <v>23</v>
      </c>
      <c r="H3025" t="s">
        <v>24</v>
      </c>
      <c r="I3025" t="s">
        <v>25</v>
      </c>
      <c r="J3025" t="s">
        <v>2308</v>
      </c>
      <c r="K3025">
        <v>21</v>
      </c>
      <c r="L3025">
        <v>4</v>
      </c>
      <c r="M3025">
        <v>2025</v>
      </c>
      <c r="N3025" t="s">
        <v>27</v>
      </c>
      <c r="O3025">
        <v>100</v>
      </c>
      <c r="P3025">
        <v>100</v>
      </c>
      <c r="R3025" s="3" t="str">
        <f>HYPERLINK("https://panda.att.com.mx/ODKServer/view/binaryData?blobKey=FSSuministroFluidosv3%5B%40version%3Dnull+and+%40uiVersion%3Dnull%5D%2Fdata%5B%40key%3Duuid%3A63369fc3-1a94-47c8-9771-fa77a3726ce9%5D%2FgroupInfoFuel%5B%40ordinal%3D1%5D%2FpicFuelRecibeInterno","Descargar")</f>
        <v>Descargar</v>
      </c>
    </row>
    <row r="3026" spans="1:18" x14ac:dyDescent="0.3">
      <c r="A3026">
        <v>1528050</v>
      </c>
      <c r="B3026" t="s">
        <v>18</v>
      </c>
      <c r="C3026" t="s">
        <v>19</v>
      </c>
      <c r="D3026" t="s">
        <v>347</v>
      </c>
      <c r="E3026" t="s">
        <v>2309</v>
      </c>
      <c r="F3026" t="s">
        <v>22</v>
      </c>
      <c r="G3026" t="s">
        <v>23</v>
      </c>
      <c r="H3026" t="s">
        <v>24</v>
      </c>
      <c r="I3026" t="s">
        <v>25</v>
      </c>
      <c r="J3026" t="s">
        <v>2310</v>
      </c>
      <c r="K3026">
        <v>30</v>
      </c>
      <c r="L3026">
        <v>4</v>
      </c>
      <c r="M3026">
        <v>2025</v>
      </c>
      <c r="N3026" t="s">
        <v>44</v>
      </c>
      <c r="O3026">
        <v>30</v>
      </c>
      <c r="P3026">
        <v>30</v>
      </c>
      <c r="R3026" s="3" t="str">
        <f>HYPERLINK("https://panda.att.com.mx/ODKServer/view/binaryData?blobKey=FSSuministroFluidosv3%5B%40version%3Dnull+and+%40uiVersion%3Dnull%5D%2Fdata%5B%40key%3Duuid%3A06e49967-e557-4a80-b52c-fa36a5dc1e47%5D%2FgroupInfoFuel%5B%40ordinal%3D1%5D%2FpicFuelRecibeInterno","Descargar")</f>
        <v>Descargar</v>
      </c>
    </row>
    <row r="3027" spans="1:18" x14ac:dyDescent="0.3">
      <c r="A3027">
        <v>1529351</v>
      </c>
      <c r="B3027" t="s">
        <v>18</v>
      </c>
      <c r="C3027" t="s">
        <v>150</v>
      </c>
      <c r="D3027" t="s">
        <v>151</v>
      </c>
      <c r="E3027" t="s">
        <v>2220</v>
      </c>
      <c r="F3027" t="s">
        <v>22</v>
      </c>
      <c r="G3027" t="s">
        <v>23</v>
      </c>
      <c r="H3027" t="s">
        <v>1781</v>
      </c>
      <c r="I3027" t="s">
        <v>25</v>
      </c>
      <c r="J3027" s="2">
        <v>45780.356562499997</v>
      </c>
      <c r="K3027">
        <v>3</v>
      </c>
      <c r="L3027">
        <v>5</v>
      </c>
      <c r="M3027">
        <v>2025</v>
      </c>
      <c r="N3027" t="s">
        <v>27</v>
      </c>
      <c r="O3027">
        <v>100</v>
      </c>
      <c r="P3027">
        <v>100</v>
      </c>
      <c r="R3027" s="3" t="str">
        <f>HYPERLINK("https://panda.att.com.mx/ODKServer/view/binaryData?blobKey=FSSuministroFluidosv3%5B%40version%3Dnull+and+%40uiVersion%3Dnull%5D%2Fdata%5B%40key%3Duuid%3A60ca17b7-28a2-4579-826f-a1f69086f2b3%5D%2FgroupInfoFuel%5B%40ordinal%3D1%5D%2FpicFuelRecibeInterno","Descargar")</f>
        <v>Descargar</v>
      </c>
    </row>
    <row r="3028" spans="1:18" x14ac:dyDescent="0.3">
      <c r="A3028">
        <v>1529331</v>
      </c>
      <c r="B3028" t="s">
        <v>18</v>
      </c>
      <c r="C3028" t="s">
        <v>34</v>
      </c>
      <c r="D3028" t="s">
        <v>53</v>
      </c>
      <c r="E3028" t="s">
        <v>2311</v>
      </c>
      <c r="F3028" t="s">
        <v>22</v>
      </c>
      <c r="G3028" t="s">
        <v>23</v>
      </c>
      <c r="H3028" t="s">
        <v>37</v>
      </c>
      <c r="I3028" t="s">
        <v>25</v>
      </c>
      <c r="J3028" s="2">
        <v>45780.033564814818</v>
      </c>
      <c r="K3028">
        <v>3</v>
      </c>
      <c r="L3028">
        <v>5</v>
      </c>
      <c r="M3028">
        <v>2025</v>
      </c>
      <c r="N3028" t="s">
        <v>27</v>
      </c>
      <c r="O3028">
        <v>100</v>
      </c>
      <c r="P3028">
        <v>100</v>
      </c>
      <c r="R3028" s="3" t="str">
        <f>HYPERLINK("https://panda.att.com.mx/ODKServer/view/binaryData?blobKey=FSSuministroFluidosv3%5B%40version%3Dnull+and+%40uiVersion%3Dnull%5D%2Fdata%5B%40key%3Duuid%3A62b320e5-7752-4bb8-bded-0ca4e58c756a%5D%2FgroupInfoFuel%5B%40ordinal%3D1%5D%2FpicFuelRecibeInterno","Descargar")</f>
        <v>Descargar</v>
      </c>
    </row>
    <row r="3029" spans="1:18" x14ac:dyDescent="0.3">
      <c r="A3029">
        <v>1529330</v>
      </c>
      <c r="B3029" t="s">
        <v>18</v>
      </c>
      <c r="C3029" t="s">
        <v>34</v>
      </c>
      <c r="D3029" t="s">
        <v>53</v>
      </c>
      <c r="E3029" t="s">
        <v>2312</v>
      </c>
      <c r="F3029" t="s">
        <v>22</v>
      </c>
      <c r="G3029" t="s">
        <v>23</v>
      </c>
      <c r="H3029" t="s">
        <v>37</v>
      </c>
      <c r="I3029" t="s">
        <v>25</v>
      </c>
      <c r="J3029" s="2">
        <v>45780.016932870371</v>
      </c>
      <c r="K3029">
        <v>3</v>
      </c>
      <c r="L3029">
        <v>5</v>
      </c>
      <c r="M3029">
        <v>2025</v>
      </c>
      <c r="N3029" t="s">
        <v>27</v>
      </c>
      <c r="O3029">
        <v>101</v>
      </c>
      <c r="P3029">
        <v>101</v>
      </c>
      <c r="R3029" s="3" t="str">
        <f>HYPERLINK("https://panda.att.com.mx/ODKServer/view/binaryData?blobKey=FSSuministroFluidosv3%5B%40version%3Dnull+and+%40uiVersion%3Dnull%5D%2Fdata%5B%40key%3Duuid%3Ac7851d0e-88b5-4051-bce3-59fa32cbe4ac%5D%2FgroupInfoFuel%5B%40ordinal%3D1%5D%2FpicFuelRecibeInterno","Descargar")</f>
        <v>Descargar</v>
      </c>
    </row>
    <row r="3030" spans="1:18" x14ac:dyDescent="0.3">
      <c r="A3030">
        <v>1529328</v>
      </c>
      <c r="B3030" t="s">
        <v>18</v>
      </c>
      <c r="C3030" t="s">
        <v>34</v>
      </c>
      <c r="D3030" t="s">
        <v>53</v>
      </c>
      <c r="E3030" t="s">
        <v>2313</v>
      </c>
      <c r="F3030" t="s">
        <v>22</v>
      </c>
      <c r="G3030" t="s">
        <v>23</v>
      </c>
      <c r="H3030" t="s">
        <v>37</v>
      </c>
      <c r="I3030" t="s">
        <v>25</v>
      </c>
      <c r="J3030" s="2">
        <v>45779.959467592591</v>
      </c>
      <c r="K3030">
        <v>2</v>
      </c>
      <c r="L3030">
        <v>5</v>
      </c>
      <c r="M3030">
        <v>2025</v>
      </c>
      <c r="N3030" t="s">
        <v>27</v>
      </c>
      <c r="O3030">
        <v>200</v>
      </c>
      <c r="P3030">
        <v>200</v>
      </c>
      <c r="R3030" s="3" t="str">
        <f>HYPERLINK("https://panda.att.com.mx/ODKServer/view/binaryData?blobKey=FSSuministroFluidosv3%5B%40version%3Dnull+and+%40uiVersion%3Dnull%5D%2Fdata%5B%40key%3Duuid%3Ad6d05a1d-6d95-44e6-8ab2-ba06db0c8a2d%5D%2FgroupInfoFuel%5B%40ordinal%3D1%5D%2FpicFuelRecibeInterno","Descargar")</f>
        <v>Descargar</v>
      </c>
    </row>
    <row r="3031" spans="1:18" x14ac:dyDescent="0.3">
      <c r="A3031">
        <v>1529320</v>
      </c>
      <c r="B3031" t="s">
        <v>18</v>
      </c>
      <c r="C3031" t="s">
        <v>34</v>
      </c>
      <c r="D3031" t="s">
        <v>53</v>
      </c>
      <c r="E3031" t="s">
        <v>144</v>
      </c>
      <c r="F3031" t="s">
        <v>22</v>
      </c>
      <c r="G3031" t="s">
        <v>23</v>
      </c>
      <c r="H3031" t="s">
        <v>37</v>
      </c>
      <c r="I3031" t="s">
        <v>25</v>
      </c>
      <c r="J3031" s="2">
        <v>45779.76835648148</v>
      </c>
      <c r="K3031">
        <v>2</v>
      </c>
      <c r="L3031">
        <v>5</v>
      </c>
      <c r="M3031">
        <v>2025</v>
      </c>
      <c r="N3031" t="s">
        <v>27</v>
      </c>
      <c r="O3031">
        <v>350</v>
      </c>
      <c r="P3031">
        <v>350</v>
      </c>
      <c r="R3031" s="3" t="str">
        <f>HYPERLINK("https://panda.att.com.mx/ODKServer/view/binaryData?blobKey=FSSuministroFluidosv3%5B%40version%3Dnull+and+%40uiVersion%3Dnull%5D%2Fdata%5B%40key%3Duuid%3Aeaf73bca-6d79-4e05-9059-5405e257a6fc%5D%2FgroupInfoFuel%5B%40ordinal%3D1%5D%2FpicFuelRecibeInterno","Descargar")</f>
        <v>Descargar</v>
      </c>
    </row>
    <row r="3032" spans="1:18" x14ac:dyDescent="0.3">
      <c r="A3032">
        <v>1529319</v>
      </c>
      <c r="B3032" t="s">
        <v>18</v>
      </c>
      <c r="C3032" t="s">
        <v>34</v>
      </c>
      <c r="D3032" t="s">
        <v>53</v>
      </c>
      <c r="E3032" t="s">
        <v>1771</v>
      </c>
      <c r="F3032" t="s">
        <v>22</v>
      </c>
      <c r="G3032" t="s">
        <v>23</v>
      </c>
      <c r="H3032" t="s">
        <v>37</v>
      </c>
      <c r="I3032" t="s">
        <v>25</v>
      </c>
      <c r="J3032" s="2">
        <v>45779.764120370368</v>
      </c>
      <c r="K3032">
        <v>2</v>
      </c>
      <c r="L3032">
        <v>5</v>
      </c>
      <c r="M3032">
        <v>2025</v>
      </c>
      <c r="N3032" t="s">
        <v>27</v>
      </c>
      <c r="O3032">
        <v>600</v>
      </c>
      <c r="Q3032">
        <v>600</v>
      </c>
      <c r="R3032" s="3" t="str">
        <f>HYPERLINK("https://panda.att.com.mx/ODKServer/view/binaryData?blobKey=FSSuministroFluidosv3%5B%40version%3Dnull+and+%40uiVersion%3Dnull%5D%2Fdata%5B%40key%3Duuid%3Afa672b60-afef-4cd4-9446-2d06a206669a%5D%2FgroupInfoFuel%5B%40ordinal%3D1%5D%2FpicFuelRecibeInterno","Descargar")</f>
        <v>Descargar</v>
      </c>
    </row>
    <row r="3033" spans="1:18" x14ac:dyDescent="0.3">
      <c r="A3033">
        <v>1529318</v>
      </c>
      <c r="B3033" t="s">
        <v>18</v>
      </c>
      <c r="C3033" t="s">
        <v>34</v>
      </c>
      <c r="D3033" t="s">
        <v>53</v>
      </c>
      <c r="E3033" t="s">
        <v>2170</v>
      </c>
      <c r="F3033" t="s">
        <v>22</v>
      </c>
      <c r="G3033" t="s">
        <v>23</v>
      </c>
      <c r="H3033" t="s">
        <v>37</v>
      </c>
      <c r="I3033" t="s">
        <v>25</v>
      </c>
      <c r="J3033" s="2">
        <v>45779.758310185192</v>
      </c>
      <c r="K3033">
        <v>2</v>
      </c>
      <c r="L3033">
        <v>5</v>
      </c>
      <c r="M3033">
        <v>2025</v>
      </c>
      <c r="N3033" t="s">
        <v>27</v>
      </c>
      <c r="O3033">
        <v>100</v>
      </c>
      <c r="P3033">
        <v>100</v>
      </c>
      <c r="R3033" s="3" t="str">
        <f>HYPERLINK("https://panda.att.com.mx/ODKServer/view/binaryData?blobKey=FSSuministroFluidosv3%5B%40version%3Dnull+and+%40uiVersion%3Dnull%5D%2Fdata%5B%40key%3Duuid%3A0b0ccf2f-978e-46af-9127-e3610f3f9b36%5D%2FgroupInfoFuel%5B%40ordinal%3D1%5D%2FpicFuelRecibeInterno","Descargar")</f>
        <v>Descargar</v>
      </c>
    </row>
    <row r="3034" spans="1:18" x14ac:dyDescent="0.3">
      <c r="A3034">
        <v>1529312</v>
      </c>
      <c r="B3034" t="s">
        <v>18</v>
      </c>
      <c r="C3034" t="s">
        <v>34</v>
      </c>
      <c r="D3034" t="s">
        <v>53</v>
      </c>
      <c r="E3034" t="s">
        <v>1903</v>
      </c>
      <c r="F3034" t="s">
        <v>22</v>
      </c>
      <c r="G3034" t="s">
        <v>23</v>
      </c>
      <c r="H3034" t="s">
        <v>390</v>
      </c>
      <c r="I3034" t="s">
        <v>25</v>
      </c>
      <c r="J3034" s="2">
        <v>45779.554791666669</v>
      </c>
      <c r="K3034">
        <v>2</v>
      </c>
      <c r="L3034">
        <v>5</v>
      </c>
      <c r="M3034">
        <v>2025</v>
      </c>
      <c r="N3034" t="s">
        <v>27</v>
      </c>
      <c r="O3034">
        <v>250</v>
      </c>
      <c r="P3034">
        <v>250</v>
      </c>
      <c r="R3034" s="3" t="str">
        <f>HYPERLINK("https://panda.att.com.mx/ODKServer/view/binaryData?blobKey=FSSuministroFluidosv3%5B%40version%3Dnull+and+%40uiVersion%3Dnull%5D%2Fdata%5B%40key%3Duuid%3A35fef50f-1512-428e-a578-2865012bb219%5D%2FgroupInfoFuel%5B%40ordinal%3D1%5D%2FpicFuelRecibeInterno","Descargar")</f>
        <v>Descargar</v>
      </c>
    </row>
    <row r="3035" spans="1:18" x14ac:dyDescent="0.3">
      <c r="A3035">
        <v>1529311</v>
      </c>
      <c r="B3035" t="s">
        <v>18</v>
      </c>
      <c r="C3035" t="s">
        <v>34</v>
      </c>
      <c r="D3035" t="s">
        <v>53</v>
      </c>
      <c r="E3035" t="s">
        <v>1578</v>
      </c>
      <c r="F3035" t="s">
        <v>22</v>
      </c>
      <c r="G3035" t="s">
        <v>23</v>
      </c>
      <c r="H3035" t="s">
        <v>390</v>
      </c>
      <c r="I3035" t="s">
        <v>25</v>
      </c>
      <c r="J3035" s="2">
        <v>45779.488842592589</v>
      </c>
      <c r="K3035">
        <v>2</v>
      </c>
      <c r="L3035">
        <v>5</v>
      </c>
      <c r="M3035">
        <v>2025</v>
      </c>
      <c r="N3035" t="s">
        <v>27</v>
      </c>
      <c r="O3035">
        <v>80</v>
      </c>
      <c r="P3035">
        <v>80</v>
      </c>
      <c r="R3035" s="3" t="str">
        <f>HYPERLINK("https://panda.att.com.mx/ODKServer/view/binaryData?blobKey=FSSuministroFluidosv3%5B%40version%3Dnull+and+%40uiVersion%3Dnull%5D%2Fdata%5B%40key%3Duuid%3A5e96b231-c438-4042-ad88-9c12fa6656f3%5D%2FgroupInfoFuel%5B%40ordinal%3D1%5D%2FpicFuelRecibeInterno","Descargar")</f>
        <v>Descargar</v>
      </c>
    </row>
    <row r="3036" spans="1:18" x14ac:dyDescent="0.3">
      <c r="A3036">
        <v>1529300</v>
      </c>
      <c r="B3036" t="s">
        <v>18</v>
      </c>
      <c r="C3036" t="s">
        <v>28</v>
      </c>
      <c r="D3036" t="s">
        <v>242</v>
      </c>
      <c r="E3036" t="s">
        <v>2314</v>
      </c>
      <c r="F3036" t="s">
        <v>22</v>
      </c>
      <c r="G3036" t="s">
        <v>23</v>
      </c>
      <c r="H3036" t="s">
        <v>24</v>
      </c>
      <c r="I3036" t="s">
        <v>25</v>
      </c>
      <c r="J3036" s="2">
        <v>45778.394409722219</v>
      </c>
      <c r="K3036">
        <v>1</v>
      </c>
      <c r="L3036">
        <v>5</v>
      </c>
      <c r="M3036">
        <v>2025</v>
      </c>
      <c r="N3036" t="s">
        <v>44</v>
      </c>
      <c r="O3036">
        <v>50</v>
      </c>
      <c r="Q3036">
        <v>50</v>
      </c>
      <c r="R3036" s="3" t="str">
        <f>HYPERLINK("https://panda.att.com.mx/ODKServer/view/binaryData?blobKey=FSSuministroFluidosv3%5B%40version%3Dnull+and+%40uiVersion%3Dnull%5D%2Fdata%5B%40key%3Duuid%3A3095056a-fe42-40df-9300-7a9d0c998166%5D%2FgroupInfoFuel%5B%40ordinal%3D1%5D%2FpicFuelRecibeInterno","Descargar")</f>
        <v>Descargar</v>
      </c>
    </row>
    <row r="3037" spans="1:18" x14ac:dyDescent="0.3">
      <c r="A3037">
        <v>1529256</v>
      </c>
      <c r="B3037" t="s">
        <v>18</v>
      </c>
      <c r="C3037" t="s">
        <v>19</v>
      </c>
      <c r="D3037" t="s">
        <v>20</v>
      </c>
      <c r="E3037" t="s">
        <v>166</v>
      </c>
      <c r="F3037" t="s">
        <v>22</v>
      </c>
      <c r="G3037" t="s">
        <v>23</v>
      </c>
      <c r="H3037" t="s">
        <v>24</v>
      </c>
      <c r="I3037" t="s">
        <v>25</v>
      </c>
      <c r="J3037" s="2">
        <v>45779.768229166657</v>
      </c>
      <c r="K3037">
        <v>2</v>
      </c>
      <c r="L3037">
        <v>5</v>
      </c>
      <c r="M3037">
        <v>2025</v>
      </c>
      <c r="N3037" t="s">
        <v>27</v>
      </c>
      <c r="O3037">
        <v>200</v>
      </c>
      <c r="P3037">
        <v>200</v>
      </c>
      <c r="R3037" s="3" t="str">
        <f>HYPERLINK("https://panda.att.com.mx/ODKServer/view/binaryData?blobKey=FSSuministroFluidosv3%5B%40version%3Dnull+and+%40uiVersion%3Dnull%5D%2Fdata%5B%40key%3Duuid%3A11e7b6fa-7c6d-4795-ba24-51b24715b5fd%5D%2FgroupInfoFuel%5B%40ordinal%3D1%5D%2FpicFuelRecibeInterno","Descargar")</f>
        <v>Descargar</v>
      </c>
    </row>
    <row r="3038" spans="1:18" x14ac:dyDescent="0.3">
      <c r="A3038">
        <v>1529188</v>
      </c>
      <c r="B3038" t="s">
        <v>18</v>
      </c>
      <c r="C3038" t="s">
        <v>28</v>
      </c>
      <c r="D3038" t="s">
        <v>181</v>
      </c>
      <c r="E3038" t="s">
        <v>218</v>
      </c>
      <c r="F3038" t="s">
        <v>22</v>
      </c>
      <c r="G3038" t="s">
        <v>23</v>
      </c>
      <c r="H3038" t="s">
        <v>24</v>
      </c>
      <c r="I3038" t="s">
        <v>25</v>
      </c>
      <c r="J3038" t="s">
        <v>2315</v>
      </c>
      <c r="K3038">
        <v>24</v>
      </c>
      <c r="L3038">
        <v>4</v>
      </c>
      <c r="M3038">
        <v>2025</v>
      </c>
      <c r="N3038" t="s">
        <v>27</v>
      </c>
      <c r="O3038">
        <v>500</v>
      </c>
      <c r="P3038">
        <v>500</v>
      </c>
      <c r="R3038" s="3" t="str">
        <f>HYPERLINK("https://panda.att.com.mx/ODKServer/view/binaryData?blobKey=FSSuministroFluidosv3%5B%40version%3Dnull+and+%40uiVersion%3Dnull%5D%2Fdata%5B%40key%3Duuid%3A58fd5273-4b5a-46b3-b85b-bc0cd9f048dd%5D%2FgroupInfoFuel%5B%40ordinal%3D1%5D%2FpicFuelRecibeInterno","Descargar")</f>
        <v>Descargar</v>
      </c>
    </row>
    <row r="3039" spans="1:18" x14ac:dyDescent="0.3">
      <c r="A3039">
        <v>1529057</v>
      </c>
      <c r="B3039" t="s">
        <v>18</v>
      </c>
      <c r="C3039" t="s">
        <v>59</v>
      </c>
      <c r="D3039" t="s">
        <v>60</v>
      </c>
      <c r="E3039" t="s">
        <v>2283</v>
      </c>
      <c r="F3039" t="s">
        <v>22</v>
      </c>
      <c r="G3039" t="s">
        <v>23</v>
      </c>
      <c r="H3039" t="s">
        <v>37</v>
      </c>
      <c r="I3039" t="s">
        <v>25</v>
      </c>
      <c r="J3039" s="2">
        <v>45778.577777777777</v>
      </c>
      <c r="K3039">
        <v>1</v>
      </c>
      <c r="L3039">
        <v>5</v>
      </c>
      <c r="M3039">
        <v>2025</v>
      </c>
      <c r="N3039" t="s">
        <v>27</v>
      </c>
      <c r="O3039">
        <v>500</v>
      </c>
      <c r="P3039">
        <v>500</v>
      </c>
      <c r="R3039" s="3" t="str">
        <f>HYPERLINK("https://panda.att.com.mx/ODKServer/view/binaryData?blobKey=FSSuministroFluidosv3%5B%40version%3Dnull+and+%40uiVersion%3Dnull%5D%2Fdata%5B%40key%3Duuid%3A4a3e6954-25cf-40c5-8e60-96c9af23857d%5D%2FgroupInfoFuel%5B%40ordinal%3D1%5D%2FpicFuelRecibeInterno","Descargar")</f>
        <v>Descargar</v>
      </c>
    </row>
    <row r="3040" spans="1:18" x14ac:dyDescent="0.3">
      <c r="A3040">
        <v>1528763</v>
      </c>
      <c r="B3040" t="s">
        <v>18</v>
      </c>
      <c r="C3040" t="s">
        <v>55</v>
      </c>
      <c r="D3040" t="s">
        <v>56</v>
      </c>
      <c r="E3040" t="s">
        <v>2316</v>
      </c>
      <c r="F3040" t="s">
        <v>22</v>
      </c>
      <c r="G3040" t="s">
        <v>23</v>
      </c>
      <c r="H3040" t="s">
        <v>1763</v>
      </c>
      <c r="I3040" t="s">
        <v>25</v>
      </c>
      <c r="J3040" t="s">
        <v>2317</v>
      </c>
      <c r="K3040">
        <v>30</v>
      </c>
      <c r="L3040">
        <v>4</v>
      </c>
      <c r="M3040">
        <v>2025</v>
      </c>
      <c r="N3040" t="s">
        <v>27</v>
      </c>
      <c r="O3040">
        <v>150</v>
      </c>
      <c r="P3040">
        <v>150</v>
      </c>
      <c r="R3040" s="3" t="str">
        <f>HYPERLINK("https://panda.att.com.mx/ODKServer/view/binaryData?blobKey=FSSuministroFluidosv3%5B%40version%3Dnull+and+%40uiVersion%3Dnull%5D%2Fdata%5B%40key%3Duuid%3A97d4d380-8257-4692-ac37-17e5870428cc%5D%2FgroupInfoFuel%5B%40ordinal%3D1%5D%2FpicFuelRecibeInterno","Descargar")</f>
        <v>Descargar</v>
      </c>
    </row>
    <row r="3041" spans="1:18" x14ac:dyDescent="0.3">
      <c r="A3041">
        <v>1528761</v>
      </c>
      <c r="B3041" t="s">
        <v>18</v>
      </c>
      <c r="C3041" t="s">
        <v>55</v>
      </c>
      <c r="D3041" t="s">
        <v>288</v>
      </c>
      <c r="E3041" t="s">
        <v>440</v>
      </c>
      <c r="F3041" t="s">
        <v>22</v>
      </c>
      <c r="G3041" t="s">
        <v>23</v>
      </c>
      <c r="H3041" t="s">
        <v>1763</v>
      </c>
      <c r="I3041" t="s">
        <v>25</v>
      </c>
      <c r="J3041" s="2">
        <v>45779.309363425928</v>
      </c>
      <c r="K3041">
        <v>2</v>
      </c>
      <c r="L3041">
        <v>5</v>
      </c>
      <c r="M3041">
        <v>2025</v>
      </c>
      <c r="N3041" t="s">
        <v>27</v>
      </c>
      <c r="O3041">
        <v>300</v>
      </c>
      <c r="P3041">
        <v>300</v>
      </c>
      <c r="R3041" s="3" t="str">
        <f>HYPERLINK("https://panda.att.com.mx/ODKServer/view/binaryData?blobKey=FSSuministroFluidosv3%5B%40version%3Dnull+and+%40uiVersion%3Dnull%5D%2Fdata%5B%40key%3Duuid%3A0a3bccdb-c418-4a54-bebc-9c0a6ee05178%5D%2FgroupInfoFuel%5B%40ordinal%3D1%5D%2FpicFuelRecibeInterno","Descargar")</f>
        <v>Descargar</v>
      </c>
    </row>
    <row r="3042" spans="1:18" x14ac:dyDescent="0.3">
      <c r="A3042">
        <v>1528751</v>
      </c>
      <c r="B3042" t="s">
        <v>18</v>
      </c>
      <c r="C3042" t="s">
        <v>55</v>
      </c>
      <c r="D3042" t="s">
        <v>56</v>
      </c>
      <c r="E3042" t="s">
        <v>1626</v>
      </c>
      <c r="F3042" t="s">
        <v>22</v>
      </c>
      <c r="G3042" t="s">
        <v>23</v>
      </c>
      <c r="H3042" t="s">
        <v>1763</v>
      </c>
      <c r="I3042" t="s">
        <v>25</v>
      </c>
      <c r="J3042" s="2">
        <v>45778.548831018517</v>
      </c>
      <c r="K3042">
        <v>1</v>
      </c>
      <c r="L3042">
        <v>5</v>
      </c>
      <c r="M3042">
        <v>2025</v>
      </c>
      <c r="N3042" t="s">
        <v>27</v>
      </c>
      <c r="O3042">
        <v>100</v>
      </c>
      <c r="P3042">
        <v>100</v>
      </c>
      <c r="R3042" s="3" t="str">
        <f>HYPERLINK("https://panda.att.com.mx/ODKServer/view/binaryData?blobKey=FSSuministroFluidosv3%5B%40version%3Dnull+and+%40uiVersion%3Dnull%5D%2Fdata%5B%40key%3Duuid%3A699506b8-1723-4c5b-92a7-6397eea7d26c%5D%2FgroupInfoFuel%5B%40ordinal%3D1%5D%2FpicFuelRecibeInterno","Descargar")</f>
        <v>Descargar</v>
      </c>
    </row>
    <row r="3043" spans="1:18" x14ac:dyDescent="0.3">
      <c r="A3043">
        <v>1528747</v>
      </c>
      <c r="B3043" t="s">
        <v>18</v>
      </c>
      <c r="C3043" t="s">
        <v>55</v>
      </c>
      <c r="D3043" t="s">
        <v>288</v>
      </c>
      <c r="E3043" t="s">
        <v>1938</v>
      </c>
      <c r="F3043" t="s">
        <v>22</v>
      </c>
      <c r="G3043" t="s">
        <v>23</v>
      </c>
      <c r="H3043" t="s">
        <v>1763</v>
      </c>
      <c r="I3043" t="s">
        <v>25</v>
      </c>
      <c r="J3043" s="2">
        <v>45778.675393518519</v>
      </c>
      <c r="K3043">
        <v>1</v>
      </c>
      <c r="L3043">
        <v>5</v>
      </c>
      <c r="M3043">
        <v>2025</v>
      </c>
      <c r="N3043" t="s">
        <v>27</v>
      </c>
      <c r="O3043">
        <v>250</v>
      </c>
      <c r="P3043">
        <v>250</v>
      </c>
      <c r="R3043" s="3" t="str">
        <f>HYPERLINK("https://panda.att.com.mx/ODKServer/view/binaryData?blobKey=FSSuministroFluidosv3%5B%40version%3Dnull+and+%40uiVersion%3Dnull%5D%2Fdata%5B%40key%3Duuid%3Aa4da4abc-25e0-4dbd-8469-7d3f7691e39b%5D%2FgroupInfoFuel%5B%40ordinal%3D1%5D%2FpicFuelRecibeInterno","Descargar")</f>
        <v>Descargar</v>
      </c>
    </row>
    <row r="3044" spans="1:18" x14ac:dyDescent="0.3">
      <c r="A3044">
        <v>1528746</v>
      </c>
      <c r="B3044" t="s">
        <v>18</v>
      </c>
      <c r="C3044" t="s">
        <v>55</v>
      </c>
      <c r="D3044" t="s">
        <v>56</v>
      </c>
      <c r="E3044" t="s">
        <v>2083</v>
      </c>
      <c r="F3044" t="s">
        <v>22</v>
      </c>
      <c r="G3044" t="s">
        <v>23</v>
      </c>
      <c r="H3044" t="s">
        <v>1763</v>
      </c>
      <c r="I3044" t="s">
        <v>25</v>
      </c>
      <c r="J3044" s="2">
        <v>45778.518136574072</v>
      </c>
      <c r="K3044">
        <v>1</v>
      </c>
      <c r="L3044">
        <v>5</v>
      </c>
      <c r="M3044">
        <v>2025</v>
      </c>
      <c r="N3044" t="s">
        <v>27</v>
      </c>
      <c r="O3044">
        <v>100</v>
      </c>
      <c r="P3044">
        <v>100</v>
      </c>
      <c r="R3044" s="3" t="str">
        <f>HYPERLINK("https://panda.att.com.mx/ODKServer/view/binaryData?blobKey=FSSuministroFluidosv3%5B%40version%3Dnull+and+%40uiVersion%3Dnull%5D%2Fdata%5B%40key%3Duuid%3A56b42b44-18a6-48d0-8a7e-4ff96c630bcd%5D%2FgroupInfoFuel%5B%40ordinal%3D1%5D%2FpicFuelRecibeInterno","Descargar")</f>
        <v>Descargar</v>
      </c>
    </row>
    <row r="3045" spans="1:18" x14ac:dyDescent="0.3">
      <c r="A3045">
        <v>1528741</v>
      </c>
      <c r="B3045" t="s">
        <v>18</v>
      </c>
      <c r="C3045" t="s">
        <v>55</v>
      </c>
      <c r="D3045" t="s">
        <v>56</v>
      </c>
      <c r="E3045" t="s">
        <v>2083</v>
      </c>
      <c r="F3045" t="s">
        <v>22</v>
      </c>
      <c r="G3045" t="s">
        <v>23</v>
      </c>
      <c r="H3045" t="s">
        <v>1763</v>
      </c>
      <c r="I3045" t="s">
        <v>25</v>
      </c>
      <c r="J3045" t="s">
        <v>2318</v>
      </c>
      <c r="K3045">
        <v>29</v>
      </c>
      <c r="L3045">
        <v>4</v>
      </c>
      <c r="M3045">
        <v>2025</v>
      </c>
      <c r="N3045" t="s">
        <v>27</v>
      </c>
      <c r="O3045">
        <v>100</v>
      </c>
      <c r="P3045">
        <v>100</v>
      </c>
      <c r="R3045" s="3" t="str">
        <f>HYPERLINK("https://panda.att.com.mx/ODKServer/view/binaryData?blobKey=FSSuministroFluidosv3%5B%40version%3Dnull+and+%40uiVersion%3Dnull%5D%2Fdata%5B%40key%3Duuid%3A1644bfae-40ba-4ed6-bc2f-18f067716a6f%5D%2FgroupInfoFuel%5B%40ordinal%3D1%5D%2FpicFuelRecibeInterno","Descargar")</f>
        <v>Descargar</v>
      </c>
    </row>
    <row r="3046" spans="1:18" x14ac:dyDescent="0.3">
      <c r="A3046">
        <v>1528734</v>
      </c>
      <c r="B3046" t="s">
        <v>18</v>
      </c>
      <c r="C3046" t="s">
        <v>55</v>
      </c>
      <c r="D3046" t="s">
        <v>56</v>
      </c>
      <c r="E3046" t="s">
        <v>2319</v>
      </c>
      <c r="F3046" t="s">
        <v>22</v>
      </c>
      <c r="G3046" t="s">
        <v>23</v>
      </c>
      <c r="H3046" t="s">
        <v>1763</v>
      </c>
      <c r="I3046" t="s">
        <v>25</v>
      </c>
      <c r="J3046" t="s">
        <v>2320</v>
      </c>
      <c r="K3046">
        <v>29</v>
      </c>
      <c r="L3046">
        <v>4</v>
      </c>
      <c r="M3046">
        <v>2025</v>
      </c>
      <c r="N3046" t="s">
        <v>27</v>
      </c>
      <c r="O3046">
        <v>100</v>
      </c>
      <c r="P3046">
        <v>100</v>
      </c>
      <c r="R3046" s="3" t="str">
        <f>HYPERLINK("https://panda.att.com.mx/ODKServer/view/binaryData?blobKey=FSSuministroFluidosv3%5B%40version%3Dnull+and+%40uiVersion%3Dnull%5D%2Fdata%5B%40key%3Duuid%3A025e54d4-e6ce-4599-a724-54691f0a8534%5D%2FgroupInfoFuel%5B%40ordinal%3D1%5D%2FpicFuelRecibeInterno","Descargar")</f>
        <v>Descargar</v>
      </c>
    </row>
    <row r="3047" spans="1:18" x14ac:dyDescent="0.3">
      <c r="A3047">
        <v>1528732</v>
      </c>
      <c r="B3047" t="s">
        <v>18</v>
      </c>
      <c r="C3047" t="s">
        <v>55</v>
      </c>
      <c r="D3047" t="s">
        <v>56</v>
      </c>
      <c r="E3047" t="s">
        <v>57</v>
      </c>
      <c r="F3047" t="s">
        <v>22</v>
      </c>
      <c r="G3047" t="s">
        <v>23</v>
      </c>
      <c r="H3047" t="s">
        <v>1763</v>
      </c>
      <c r="I3047" t="s">
        <v>25</v>
      </c>
      <c r="J3047" s="2">
        <v>45778.588900462957</v>
      </c>
      <c r="K3047">
        <v>1</v>
      </c>
      <c r="L3047">
        <v>5</v>
      </c>
      <c r="M3047">
        <v>2025</v>
      </c>
      <c r="N3047" t="s">
        <v>27</v>
      </c>
      <c r="O3047">
        <v>60</v>
      </c>
      <c r="P3047">
        <v>60</v>
      </c>
      <c r="R3047" s="3" t="str">
        <f>HYPERLINK("https://panda.att.com.mx/ODKServer/view/binaryData?blobKey=FSSuministroFluidosv3%5B%40version%3Dnull+and+%40uiVersion%3Dnull%5D%2Fdata%5B%40key%3Duuid%3A37675f20-1a1f-4cff-b4fa-51782276bbe6%5D%2FgroupInfoFuel%5B%40ordinal%3D1%5D%2FpicFuelRecibeInterno","Descargar")</f>
        <v>Descargar</v>
      </c>
    </row>
    <row r="3048" spans="1:18" x14ac:dyDescent="0.3">
      <c r="A3048">
        <v>1528731</v>
      </c>
      <c r="B3048" t="s">
        <v>18</v>
      </c>
      <c r="C3048" t="s">
        <v>55</v>
      </c>
      <c r="D3048" t="s">
        <v>56</v>
      </c>
      <c r="E3048" t="s">
        <v>1842</v>
      </c>
      <c r="F3048" t="s">
        <v>22</v>
      </c>
      <c r="G3048" t="s">
        <v>23</v>
      </c>
      <c r="H3048" t="s">
        <v>1763</v>
      </c>
      <c r="I3048" t="s">
        <v>25</v>
      </c>
      <c r="J3048" t="s">
        <v>2321</v>
      </c>
      <c r="K3048">
        <v>30</v>
      </c>
      <c r="L3048">
        <v>4</v>
      </c>
      <c r="M3048">
        <v>2025</v>
      </c>
      <c r="N3048" t="s">
        <v>27</v>
      </c>
      <c r="O3048">
        <v>300</v>
      </c>
      <c r="P3048">
        <v>300</v>
      </c>
      <c r="R3048" s="3" t="str">
        <f>HYPERLINK("https://panda.att.com.mx/ODKServer/view/binaryData?blobKey=FSSuministroFluidosv3%5B%40version%3Dnull+and+%40uiVersion%3Dnull%5D%2Fdata%5B%40key%3Duuid%3A932e74ba-25cc-4d02-b357-03be49013081%5D%2FgroupInfoFuel%5B%40ordinal%3D1%5D%2FpicFuelRecibeInterno","Descargar")</f>
        <v>Descargar</v>
      </c>
    </row>
    <row r="3049" spans="1:18" x14ac:dyDescent="0.3">
      <c r="A3049">
        <v>1528730</v>
      </c>
      <c r="B3049" t="s">
        <v>18</v>
      </c>
      <c r="C3049" t="s">
        <v>55</v>
      </c>
      <c r="D3049" t="s">
        <v>56</v>
      </c>
      <c r="E3049" t="s">
        <v>2322</v>
      </c>
      <c r="F3049" t="s">
        <v>22</v>
      </c>
      <c r="G3049" t="s">
        <v>23</v>
      </c>
      <c r="H3049" t="s">
        <v>1763</v>
      </c>
      <c r="I3049" t="s">
        <v>25</v>
      </c>
      <c r="J3049" t="s">
        <v>2323</v>
      </c>
      <c r="K3049">
        <v>30</v>
      </c>
      <c r="L3049">
        <v>4</v>
      </c>
      <c r="M3049">
        <v>2025</v>
      </c>
      <c r="N3049" t="s">
        <v>27</v>
      </c>
      <c r="O3049">
        <v>100</v>
      </c>
      <c r="P3049">
        <v>100</v>
      </c>
      <c r="R3049" s="3" t="str">
        <f>HYPERLINK("https://panda.att.com.mx/ODKServer/view/binaryData?blobKey=FSSuministroFluidosv3%5B%40version%3Dnull+and+%40uiVersion%3Dnull%5D%2Fdata%5B%40key%3Duuid%3A3962bf6b-6852-47e3-8a20-cec65a60ff9d%5D%2FgroupInfoFuel%5B%40ordinal%3D1%5D%2FpicFuelRecibeInterno","Descargar")</f>
        <v>Descargar</v>
      </c>
    </row>
    <row r="3050" spans="1:18" x14ac:dyDescent="0.3">
      <c r="A3050">
        <v>1528651</v>
      </c>
      <c r="B3050" t="s">
        <v>18</v>
      </c>
      <c r="C3050" t="s">
        <v>59</v>
      </c>
      <c r="D3050" t="s">
        <v>60</v>
      </c>
      <c r="E3050" t="s">
        <v>2207</v>
      </c>
      <c r="F3050" t="s">
        <v>22</v>
      </c>
      <c r="G3050" t="s">
        <v>23</v>
      </c>
      <c r="H3050" t="s">
        <v>37</v>
      </c>
      <c r="I3050" t="s">
        <v>25</v>
      </c>
      <c r="J3050" s="2">
        <v>45778.924641203703</v>
      </c>
      <c r="K3050">
        <v>1</v>
      </c>
      <c r="L3050">
        <v>5</v>
      </c>
      <c r="M3050">
        <v>2025</v>
      </c>
      <c r="N3050" t="s">
        <v>27</v>
      </c>
      <c r="O3050">
        <v>180</v>
      </c>
      <c r="P3050">
        <v>180</v>
      </c>
      <c r="R3050" s="3" t="str">
        <f>HYPERLINK("https://panda.att.com.mx/ODKServer/view/binaryData?blobKey=FSSuministroFluidosv3%5B%40version%3Dnull+and+%40uiVersion%3Dnull%5D%2Fdata%5B%40key%3Duuid%3Aa5466ad9-6709-4854-9499-475b040639cf%5D%2FgroupInfoFuel%5B%40ordinal%3D1%5D%2FpicFuelRecibeInterno","Descargar")</f>
        <v>Descargar</v>
      </c>
    </row>
    <row r="3051" spans="1:18" x14ac:dyDescent="0.3">
      <c r="A3051">
        <v>1528633</v>
      </c>
      <c r="B3051" t="s">
        <v>18</v>
      </c>
      <c r="C3051" t="s">
        <v>183</v>
      </c>
      <c r="D3051" t="s">
        <v>1522</v>
      </c>
      <c r="E3051" t="s">
        <v>1523</v>
      </c>
      <c r="F3051" t="s">
        <v>22</v>
      </c>
      <c r="G3051" t="s">
        <v>23</v>
      </c>
      <c r="H3051" t="s">
        <v>37</v>
      </c>
      <c r="I3051" t="s">
        <v>25</v>
      </c>
      <c r="J3051" s="2">
        <v>45778.844594907408</v>
      </c>
      <c r="K3051">
        <v>1</v>
      </c>
      <c r="L3051">
        <v>5</v>
      </c>
      <c r="M3051">
        <v>2025</v>
      </c>
      <c r="N3051" t="s">
        <v>27</v>
      </c>
      <c r="O3051">
        <v>85.9</v>
      </c>
      <c r="P3051">
        <v>85.9</v>
      </c>
      <c r="R3051" s="3" t="str">
        <f>HYPERLINK("https://panda.att.com.mx/ODKServer/view/binaryData?blobKey=FSSuministroFluidosv3%5B%40version%3Dnull+and+%40uiVersion%3Dnull%5D%2Fdata%5B%40key%3Duuid%3A0cd6e5d6-d647-40c5-b3a4-6d20ea867531%5D%2FgroupInfoFuel%5B%40ordinal%3D1%5D%2FpicFuelRecibeInterno","Descargar")</f>
        <v>Descargar</v>
      </c>
    </row>
    <row r="3052" spans="1:18" x14ac:dyDescent="0.3">
      <c r="A3052">
        <v>1526636</v>
      </c>
      <c r="B3052" t="s">
        <v>18</v>
      </c>
      <c r="C3052" t="s">
        <v>34</v>
      </c>
      <c r="D3052" t="s">
        <v>53</v>
      </c>
      <c r="E3052" t="s">
        <v>457</v>
      </c>
      <c r="F3052" t="s">
        <v>22</v>
      </c>
      <c r="G3052" t="s">
        <v>83</v>
      </c>
      <c r="H3052" t="s">
        <v>390</v>
      </c>
      <c r="I3052" t="s">
        <v>25</v>
      </c>
      <c r="J3052" t="s">
        <v>2324</v>
      </c>
      <c r="K3052">
        <v>26</v>
      </c>
      <c r="L3052">
        <v>4</v>
      </c>
      <c r="M3052">
        <v>2025</v>
      </c>
      <c r="N3052" t="s">
        <v>27</v>
      </c>
      <c r="O3052">
        <v>550</v>
      </c>
      <c r="Q3052">
        <v>550</v>
      </c>
      <c r="R3052" s="3" t="str">
        <f>HYPERLINK("https://panda.att.com.mx/ODKServer/view/binaryData?blobKey=FSSuministroFluidosv3%5B%40version%3Dnull+and+%40uiVersion%3Dnull%5D%2Fdata%5B%40key%3Duuid%3A479bf540-8935-49a0-a7b1-41f3e80489f9%5D%2FgroupInfoFuel%5B%40ordinal%3D1%5D%2FpicFuelRecibeInterno","Descargar")</f>
        <v>Descargar</v>
      </c>
    </row>
    <row r="3053" spans="1:18" x14ac:dyDescent="0.3">
      <c r="A3053">
        <v>1526635</v>
      </c>
      <c r="B3053" t="s">
        <v>18</v>
      </c>
      <c r="C3053" t="s">
        <v>34</v>
      </c>
      <c r="D3053" t="s">
        <v>53</v>
      </c>
      <c r="E3053" t="s">
        <v>459</v>
      </c>
      <c r="F3053" t="s">
        <v>22</v>
      </c>
      <c r="G3053" t="s">
        <v>83</v>
      </c>
      <c r="H3053" t="s">
        <v>390</v>
      </c>
      <c r="I3053" t="s">
        <v>25</v>
      </c>
      <c r="J3053" t="s">
        <v>2325</v>
      </c>
      <c r="K3053">
        <v>26</v>
      </c>
      <c r="L3053">
        <v>4</v>
      </c>
      <c r="M3053">
        <v>2025</v>
      </c>
      <c r="N3053" t="s">
        <v>27</v>
      </c>
      <c r="O3053">
        <v>500</v>
      </c>
      <c r="P3053">
        <v>500</v>
      </c>
      <c r="R3053" s="3" t="str">
        <f>HYPERLINK("https://panda.att.com.mx/ODKServer/view/binaryData?blobKey=FSSuministroFluidosv3%5B%40version%3Dnull+and+%40uiVersion%3Dnull%5D%2Fdata%5B%40key%3Duuid%3A1eec734c-c2ed-4171-9c4c-edb47e3a8f88%5D%2FgroupInfoFuel%5B%40ordinal%3D1%5D%2FpicFuelRecibeInterno","Descargar")</f>
        <v>Descargar</v>
      </c>
    </row>
    <row r="3054" spans="1:18" x14ac:dyDescent="0.3">
      <c r="A3054">
        <v>1526522</v>
      </c>
      <c r="B3054" t="s">
        <v>18</v>
      </c>
      <c r="C3054" t="s">
        <v>167</v>
      </c>
      <c r="D3054" t="s">
        <v>168</v>
      </c>
      <c r="E3054" t="s">
        <v>2062</v>
      </c>
      <c r="F3054" t="s">
        <v>22</v>
      </c>
      <c r="G3054" t="s">
        <v>83</v>
      </c>
      <c r="H3054" t="s">
        <v>58</v>
      </c>
      <c r="I3054" t="s">
        <v>25</v>
      </c>
      <c r="J3054" t="s">
        <v>2326</v>
      </c>
      <c r="K3054">
        <v>29</v>
      </c>
      <c r="L3054">
        <v>4</v>
      </c>
      <c r="M3054">
        <v>2025</v>
      </c>
      <c r="N3054" t="s">
        <v>27</v>
      </c>
      <c r="O3054">
        <v>120</v>
      </c>
      <c r="P3054">
        <v>120</v>
      </c>
      <c r="R3054" s="3" t="str">
        <f>HYPERLINK("https://panda.att.com.mx/ODKServer/view/binaryData?blobKey=FSSuministroFluidosv3%5B%40version%3Dnull+and+%40uiVersion%3Dnull%5D%2Fdata%5B%40key%3Duuid%3Aca6957ef-22bf-4c3f-9e80-425c3d494afd%5D%2FgroupInfoFuel%5B%40ordinal%3D1%5D%2FpicFuelRecibeInterno","Descargar")</f>
        <v>Descargar</v>
      </c>
    </row>
    <row r="3055" spans="1:18" x14ac:dyDescent="0.3">
      <c r="A3055">
        <v>1526375</v>
      </c>
      <c r="B3055" t="s">
        <v>18</v>
      </c>
      <c r="C3055" t="s">
        <v>59</v>
      </c>
      <c r="D3055" t="s">
        <v>597</v>
      </c>
      <c r="E3055" t="s">
        <v>1495</v>
      </c>
      <c r="F3055" t="s">
        <v>22</v>
      </c>
      <c r="G3055" t="s">
        <v>23</v>
      </c>
      <c r="H3055" t="s">
        <v>37</v>
      </c>
      <c r="I3055" t="s">
        <v>25</v>
      </c>
      <c r="J3055" t="s">
        <v>2327</v>
      </c>
      <c r="K3055">
        <v>29</v>
      </c>
      <c r="L3055">
        <v>4</v>
      </c>
      <c r="M3055">
        <v>2025</v>
      </c>
      <c r="N3055" t="s">
        <v>27</v>
      </c>
      <c r="O3055">
        <v>160</v>
      </c>
      <c r="P3055">
        <v>160</v>
      </c>
      <c r="R3055" s="3" t="str">
        <f>HYPERLINK("https://panda.att.com.mx/ODKServer/view/binaryData?blobKey=FSSuministroFluidosv3%5B%40version%3Dnull+and+%40uiVersion%3Dnull%5D%2Fdata%5B%40key%3Duuid%3A1110354f-cd55-42af-a1e8-50f47df72c66%5D%2FgroupInfoFuel%5B%40ordinal%3D1%5D%2FpicFuelRecibeInterno","Descargar")</f>
        <v>Descargar</v>
      </c>
    </row>
    <row r="3056" spans="1:18" x14ac:dyDescent="0.3">
      <c r="A3056">
        <v>1526359</v>
      </c>
      <c r="B3056" t="s">
        <v>18</v>
      </c>
      <c r="C3056" t="s">
        <v>55</v>
      </c>
      <c r="D3056" t="s">
        <v>128</v>
      </c>
      <c r="E3056" t="s">
        <v>240</v>
      </c>
      <c r="F3056" t="s">
        <v>22</v>
      </c>
      <c r="G3056" t="s">
        <v>23</v>
      </c>
      <c r="H3056" t="s">
        <v>1763</v>
      </c>
      <c r="I3056" t="s">
        <v>25</v>
      </c>
      <c r="J3056" t="s">
        <v>2328</v>
      </c>
      <c r="K3056">
        <v>29</v>
      </c>
      <c r="L3056">
        <v>4</v>
      </c>
      <c r="M3056">
        <v>2025</v>
      </c>
      <c r="N3056" t="s">
        <v>44</v>
      </c>
      <c r="O3056">
        <v>60</v>
      </c>
      <c r="P3056">
        <v>60</v>
      </c>
      <c r="R3056" s="3" t="str">
        <f>HYPERLINK("https://panda.att.com.mx/ODKServer/view/binaryData?blobKey=FSSuministroFluidosv3%5B%40version%3Dnull+and+%40uiVersion%3Dnull%5D%2Fdata%5B%40key%3Duuid%3A0e2e0a9b-eb75-4888-86ab-0006441bde92%5D%2FgroupInfoFuel%5B%40ordinal%3D1%5D%2FpicFuelRecibeInterno","Descargar")</f>
        <v>Descargar</v>
      </c>
    </row>
    <row r="3057" spans="1:18" x14ac:dyDescent="0.3">
      <c r="A3057">
        <v>1526090</v>
      </c>
      <c r="B3057" t="s">
        <v>18</v>
      </c>
      <c r="C3057" t="s">
        <v>55</v>
      </c>
      <c r="D3057" t="s">
        <v>56</v>
      </c>
      <c r="E3057" t="s">
        <v>2329</v>
      </c>
      <c r="F3057" t="s">
        <v>22</v>
      </c>
      <c r="G3057" t="s">
        <v>23</v>
      </c>
      <c r="H3057" t="s">
        <v>1763</v>
      </c>
      <c r="I3057" t="s">
        <v>25</v>
      </c>
      <c r="J3057" t="s">
        <v>2330</v>
      </c>
      <c r="K3057">
        <v>24</v>
      </c>
      <c r="L3057">
        <v>4</v>
      </c>
      <c r="M3057">
        <v>2025</v>
      </c>
      <c r="N3057" t="s">
        <v>27</v>
      </c>
      <c r="O3057">
        <v>200</v>
      </c>
      <c r="P3057">
        <v>200</v>
      </c>
      <c r="R3057" s="3" t="str">
        <f>HYPERLINK("https://panda.att.com.mx/ODKServer/view/binaryData?blobKey=FSSuministroFluidosv3%5B%40version%3Dnull+and+%40uiVersion%3Dnull%5D%2Fdata%5B%40key%3Duuid%3Aaa2d81c9-768d-4e9f-92b0-94d9b3c05ea8%5D%2FgroupInfoFuel%5B%40ordinal%3D1%5D%2FpicFuelRecibeInterno","Descargar")</f>
        <v>Descargar</v>
      </c>
    </row>
    <row r="3058" spans="1:18" x14ac:dyDescent="0.3">
      <c r="A3058">
        <v>1526023</v>
      </c>
      <c r="B3058" t="s">
        <v>18</v>
      </c>
      <c r="C3058" t="s">
        <v>59</v>
      </c>
      <c r="D3058" t="s">
        <v>60</v>
      </c>
      <c r="E3058" t="s">
        <v>1519</v>
      </c>
      <c r="F3058" t="s">
        <v>22</v>
      </c>
      <c r="G3058" t="s">
        <v>23</v>
      </c>
      <c r="H3058" t="s">
        <v>37</v>
      </c>
      <c r="I3058" t="s">
        <v>25</v>
      </c>
      <c r="J3058" t="s">
        <v>2331</v>
      </c>
      <c r="K3058">
        <v>28</v>
      </c>
      <c r="L3058">
        <v>4</v>
      </c>
      <c r="M3058">
        <v>2025</v>
      </c>
      <c r="N3058" t="s">
        <v>27</v>
      </c>
      <c r="O3058">
        <v>150</v>
      </c>
      <c r="Q3058">
        <v>150</v>
      </c>
      <c r="R3058" s="3" t="str">
        <f>HYPERLINK("https://panda.att.com.mx/ODKServer/view/binaryData?blobKey=FSSuministroFluidosv3%5B%40version%3Dnull+and+%40uiVersion%3Dnull%5D%2Fdata%5B%40key%3Duuid%3Afd4b6a25-8972-4bec-94fa-15808e4da32c%5D%2FgroupInfoFuel%5B%40ordinal%3D1%5D%2FpicFuelRecibeInterno","Descargar")</f>
        <v>Descargar</v>
      </c>
    </row>
    <row r="3059" spans="1:18" x14ac:dyDescent="0.3">
      <c r="A3059">
        <v>1526018</v>
      </c>
      <c r="B3059" t="s">
        <v>18</v>
      </c>
      <c r="C3059" t="s">
        <v>34</v>
      </c>
      <c r="D3059" t="s">
        <v>53</v>
      </c>
      <c r="E3059" t="s">
        <v>2271</v>
      </c>
      <c r="F3059" t="s">
        <v>22</v>
      </c>
      <c r="G3059" t="s">
        <v>23</v>
      </c>
      <c r="H3059" t="s">
        <v>37</v>
      </c>
      <c r="I3059" t="s">
        <v>25</v>
      </c>
      <c r="J3059" t="s">
        <v>2332</v>
      </c>
      <c r="K3059">
        <v>28</v>
      </c>
      <c r="L3059">
        <v>4</v>
      </c>
      <c r="M3059">
        <v>2025</v>
      </c>
      <c r="N3059" t="s">
        <v>27</v>
      </c>
      <c r="O3059">
        <v>300</v>
      </c>
      <c r="P3059">
        <v>300</v>
      </c>
      <c r="R3059" s="3" t="str">
        <f>HYPERLINK("https://panda.att.com.mx/ODKServer/view/binaryData?blobKey=FSSuministroFluidosv3%5B%40version%3Dnull+and+%40uiVersion%3Dnull%5D%2Fdata%5B%40key%3Duuid%3A0ef95159-5798-44f9-9c5e-b8bd6dca9620%5D%2FgroupInfoFuel%5B%40ordinal%3D1%5D%2FpicFuelRecibeInterno","Descargar")</f>
        <v>Descargar</v>
      </c>
    </row>
    <row r="3060" spans="1:18" x14ac:dyDescent="0.3">
      <c r="A3060">
        <v>1525968</v>
      </c>
      <c r="B3060" t="s">
        <v>18</v>
      </c>
      <c r="C3060" t="s">
        <v>59</v>
      </c>
      <c r="D3060" t="s">
        <v>307</v>
      </c>
      <c r="E3060" t="s">
        <v>1907</v>
      </c>
      <c r="F3060" t="s">
        <v>22</v>
      </c>
      <c r="G3060" t="s">
        <v>23</v>
      </c>
      <c r="H3060" t="s">
        <v>37</v>
      </c>
      <c r="I3060" t="s">
        <v>25</v>
      </c>
      <c r="J3060" t="s">
        <v>2333</v>
      </c>
      <c r="K3060">
        <v>22</v>
      </c>
      <c r="L3060">
        <v>4</v>
      </c>
      <c r="M3060">
        <v>2025</v>
      </c>
      <c r="N3060" t="s">
        <v>27</v>
      </c>
      <c r="O3060">
        <v>100</v>
      </c>
      <c r="P3060">
        <v>100</v>
      </c>
      <c r="R3060" s="3" t="str">
        <f>HYPERLINK("https://panda.att.com.mx/ODKServer/view/binaryData?blobKey=FSSuministroFluidosv3%5B%40version%3Dnull+and+%40uiVersion%3Dnull%5D%2Fdata%5B%40key%3Duuid%3A89328de8-5cdd-423f-a747-78293ae66711%5D%2FgroupInfoFuel%5B%40ordinal%3D1%5D%2FpicFuelRecibeInterno","Descargar")</f>
        <v>Descargar</v>
      </c>
    </row>
    <row r="3061" spans="1:18" x14ac:dyDescent="0.3">
      <c r="A3061">
        <v>1525953</v>
      </c>
      <c r="B3061" t="s">
        <v>18</v>
      </c>
      <c r="C3061" t="s">
        <v>59</v>
      </c>
      <c r="D3061" t="s">
        <v>60</v>
      </c>
      <c r="E3061" t="s">
        <v>2334</v>
      </c>
      <c r="F3061" t="s">
        <v>22</v>
      </c>
      <c r="G3061" t="s">
        <v>23</v>
      </c>
      <c r="H3061" t="s">
        <v>1816</v>
      </c>
      <c r="I3061" t="s">
        <v>25</v>
      </c>
      <c r="J3061" t="s">
        <v>2335</v>
      </c>
      <c r="K3061">
        <v>25</v>
      </c>
      <c r="L3061">
        <v>4</v>
      </c>
      <c r="M3061">
        <v>2025</v>
      </c>
      <c r="N3061" t="s">
        <v>27</v>
      </c>
      <c r="O3061">
        <v>303.60000000000002</v>
      </c>
      <c r="P3061">
        <v>303.60000000000002</v>
      </c>
      <c r="R3061" s="3" t="str">
        <f>HYPERLINK("https://panda.att.com.mx/ODKServer/view/binaryData?blobKey=FSSuministroFluidosv3%5B%40version%3Dnull+and+%40uiVersion%3Dnull%5D%2Fdata%5B%40key%3Duuid%3A4c538c43-b3b4-4023-b8b9-c549218626bd%5D%2FgroupInfoFuel%5B%40ordinal%3D1%5D%2FpicFuelRecibeInterno","Descargar")</f>
        <v>Descargar</v>
      </c>
    </row>
    <row r="3062" spans="1:18" x14ac:dyDescent="0.3">
      <c r="A3062">
        <v>1525941</v>
      </c>
      <c r="B3062" t="s">
        <v>18</v>
      </c>
      <c r="C3062" t="s">
        <v>55</v>
      </c>
      <c r="D3062" t="s">
        <v>56</v>
      </c>
      <c r="E3062" t="s">
        <v>2083</v>
      </c>
      <c r="F3062" t="s">
        <v>22</v>
      </c>
      <c r="G3062" t="s">
        <v>23</v>
      </c>
      <c r="H3062" t="s">
        <v>1763</v>
      </c>
      <c r="I3062" t="s">
        <v>25</v>
      </c>
      <c r="J3062" t="s">
        <v>2336</v>
      </c>
      <c r="K3062">
        <v>28</v>
      </c>
      <c r="L3062">
        <v>4</v>
      </c>
      <c r="M3062">
        <v>2025</v>
      </c>
      <c r="N3062" t="s">
        <v>27</v>
      </c>
      <c r="O3062">
        <v>100</v>
      </c>
      <c r="P3062">
        <v>100</v>
      </c>
      <c r="R3062" s="3" t="str">
        <f>HYPERLINK("https://panda.att.com.mx/ODKServer/view/binaryData?blobKey=FSSuministroFluidosv3%5B%40version%3Dnull+and+%40uiVersion%3Dnull%5D%2Fdata%5B%40key%3Duuid%3A5c9bc17a-33c0-42d8-9e5b-ee096a971fac%5D%2FgroupInfoFuel%5B%40ordinal%3D1%5D%2FpicFuelRecibeInterno","Descargar")</f>
        <v>Descargar</v>
      </c>
    </row>
    <row r="3063" spans="1:18" x14ac:dyDescent="0.3">
      <c r="A3063">
        <v>1525926</v>
      </c>
      <c r="B3063" t="s">
        <v>18</v>
      </c>
      <c r="C3063" t="s">
        <v>55</v>
      </c>
      <c r="D3063" t="s">
        <v>56</v>
      </c>
      <c r="E3063" t="s">
        <v>1701</v>
      </c>
      <c r="F3063" t="s">
        <v>22</v>
      </c>
      <c r="G3063" t="s">
        <v>23</v>
      </c>
      <c r="H3063" t="s">
        <v>1763</v>
      </c>
      <c r="I3063" t="s">
        <v>25</v>
      </c>
      <c r="J3063" t="s">
        <v>2337</v>
      </c>
      <c r="K3063">
        <v>25</v>
      </c>
      <c r="L3063">
        <v>4</v>
      </c>
      <c r="M3063">
        <v>2025</v>
      </c>
      <c r="N3063" t="s">
        <v>27</v>
      </c>
      <c r="O3063">
        <v>200</v>
      </c>
      <c r="P3063">
        <v>200</v>
      </c>
      <c r="R3063" s="3" t="str">
        <f>HYPERLINK("https://panda.att.com.mx/ODKServer/view/binaryData?blobKey=FSSuministroFluidosv3%5B%40version%3Dnull+and+%40uiVersion%3Dnull%5D%2Fdata%5B%40key%3Duuid%3A5197920a-ba19-4893-93ca-d0a7bf0dfb58%5D%2FgroupInfoFuel%5B%40ordinal%3D1%5D%2FpicFuelRecibeInterno","Descargar")</f>
        <v>Descargar</v>
      </c>
    </row>
    <row r="3064" spans="1:18" x14ac:dyDescent="0.3">
      <c r="A3064">
        <v>1525925</v>
      </c>
      <c r="B3064" t="s">
        <v>18</v>
      </c>
      <c r="C3064" t="s">
        <v>19</v>
      </c>
      <c r="D3064" t="s">
        <v>45</v>
      </c>
      <c r="E3064" t="s">
        <v>539</v>
      </c>
      <c r="F3064" t="s">
        <v>22</v>
      </c>
      <c r="G3064" t="s">
        <v>23</v>
      </c>
      <c r="H3064" t="s">
        <v>24</v>
      </c>
      <c r="I3064" t="s">
        <v>25</v>
      </c>
      <c r="J3064" t="s">
        <v>2338</v>
      </c>
      <c r="K3064">
        <v>25</v>
      </c>
      <c r="L3064">
        <v>4</v>
      </c>
      <c r="M3064">
        <v>2025</v>
      </c>
      <c r="N3064" t="s">
        <v>27</v>
      </c>
      <c r="O3064">
        <v>500</v>
      </c>
      <c r="P3064">
        <v>500</v>
      </c>
      <c r="R3064" s="3" t="str">
        <f>HYPERLINK("https://panda.att.com.mx/ODKServer/view/binaryData?blobKey=FSSuministroFluidosv3%5B%40version%3Dnull+and+%40uiVersion%3Dnull%5D%2Fdata%5B%40key%3Duuid%3A21c0e76e-4ac4-4c61-b595-b1c52c1a285f%5D%2FgroupInfoFuel%5B%40ordinal%3D1%5D%2FpicFuelRecibeInterno","Descargar")</f>
        <v>Descargar</v>
      </c>
    </row>
    <row r="3065" spans="1:18" x14ac:dyDescent="0.3">
      <c r="A3065">
        <v>1525919</v>
      </c>
      <c r="B3065" t="s">
        <v>18</v>
      </c>
      <c r="C3065" t="s">
        <v>19</v>
      </c>
      <c r="D3065" t="s">
        <v>45</v>
      </c>
      <c r="E3065" t="s">
        <v>2135</v>
      </c>
      <c r="F3065" t="s">
        <v>22</v>
      </c>
      <c r="G3065" t="s">
        <v>23</v>
      </c>
      <c r="H3065" t="s">
        <v>24</v>
      </c>
      <c r="I3065" t="s">
        <v>25</v>
      </c>
      <c r="J3065" t="s">
        <v>2339</v>
      </c>
      <c r="K3065">
        <v>26</v>
      </c>
      <c r="L3065">
        <v>4</v>
      </c>
      <c r="M3065">
        <v>2025</v>
      </c>
      <c r="N3065" t="s">
        <v>27</v>
      </c>
      <c r="O3065">
        <v>300</v>
      </c>
      <c r="Q3065">
        <v>300</v>
      </c>
      <c r="R3065" s="3" t="str">
        <f>HYPERLINK("https://panda.att.com.mx/ODKServer/view/binaryData?blobKey=FSSuministroFluidosv3%5B%40version%3Dnull+and+%40uiVersion%3Dnull%5D%2Fdata%5B%40key%3Duuid%3A8488b3c5-f4ea-4eec-af29-b5fef741fa81%5D%2FgroupInfoFuel%5B%40ordinal%3D1%5D%2FpicFuelRecibeInterno","Descargar")</f>
        <v>Descargar</v>
      </c>
    </row>
    <row r="3066" spans="1:18" x14ac:dyDescent="0.3">
      <c r="A3066">
        <v>1525918</v>
      </c>
      <c r="B3066" t="s">
        <v>18</v>
      </c>
      <c r="C3066" t="s">
        <v>183</v>
      </c>
      <c r="D3066" t="s">
        <v>841</v>
      </c>
      <c r="E3066" t="s">
        <v>842</v>
      </c>
      <c r="F3066" t="s">
        <v>22</v>
      </c>
      <c r="G3066" t="s">
        <v>23</v>
      </c>
      <c r="H3066" t="s">
        <v>1763</v>
      </c>
      <c r="I3066" t="s">
        <v>25</v>
      </c>
      <c r="J3066" t="s">
        <v>2340</v>
      </c>
      <c r="K3066">
        <v>19</v>
      </c>
      <c r="L3066">
        <v>4</v>
      </c>
      <c r="M3066">
        <v>2025</v>
      </c>
      <c r="N3066" t="s">
        <v>27</v>
      </c>
      <c r="O3066">
        <v>60</v>
      </c>
      <c r="P3066">
        <v>60</v>
      </c>
      <c r="R3066" s="3" t="str">
        <f>HYPERLINK("https://panda.att.com.mx/ODKServer/view/binaryData?blobKey=FSSuministroFluidosv3%5B%40version%3Dnull+and+%40uiVersion%3Dnull%5D%2Fdata%5B%40key%3Duuid%3Aa4fa59a2-f416-401e-8c79-33394d2c4851%5D%2FgroupInfoFuel%5B%40ordinal%3D1%5D%2FpicFuelRecibeInterno","Descargar")</f>
        <v>Descargar</v>
      </c>
    </row>
    <row r="3067" spans="1:18" x14ac:dyDescent="0.3">
      <c r="A3067">
        <v>1525912</v>
      </c>
      <c r="B3067" t="s">
        <v>18</v>
      </c>
      <c r="C3067" t="s">
        <v>55</v>
      </c>
      <c r="D3067" t="s">
        <v>56</v>
      </c>
      <c r="E3067" t="s">
        <v>2144</v>
      </c>
      <c r="F3067" t="s">
        <v>22</v>
      </c>
      <c r="G3067" t="s">
        <v>23</v>
      </c>
      <c r="H3067" t="s">
        <v>1763</v>
      </c>
      <c r="I3067" t="s">
        <v>25</v>
      </c>
      <c r="J3067" t="s">
        <v>2341</v>
      </c>
      <c r="K3067">
        <v>19</v>
      </c>
      <c r="L3067">
        <v>4</v>
      </c>
      <c r="M3067">
        <v>2025</v>
      </c>
      <c r="N3067" t="s">
        <v>27</v>
      </c>
      <c r="O3067">
        <v>70</v>
      </c>
      <c r="P3067">
        <v>70</v>
      </c>
      <c r="R3067" s="3" t="str">
        <f>HYPERLINK("https://panda.att.com.mx/ODKServer/view/binaryData?blobKey=FSSuministroFluidosv3%5B%40version%3Dnull+and+%40uiVersion%3Dnull%5D%2Fdata%5B%40key%3Duuid%3A8dd0c158-2349-43a4-9f0b-68b0ee34918f%5D%2FgroupInfoFuel%5B%40ordinal%3D1%5D%2FpicFuelRecibeInterno","Descargar")</f>
        <v>Descargar</v>
      </c>
    </row>
    <row r="3068" spans="1:18" x14ac:dyDescent="0.3">
      <c r="A3068">
        <v>1525833</v>
      </c>
      <c r="B3068" t="s">
        <v>18</v>
      </c>
      <c r="C3068" t="s">
        <v>68</v>
      </c>
      <c r="D3068" t="s">
        <v>461</v>
      </c>
      <c r="E3068" t="s">
        <v>462</v>
      </c>
      <c r="F3068" t="s">
        <v>22</v>
      </c>
      <c r="G3068" t="s">
        <v>23</v>
      </c>
      <c r="H3068" t="s">
        <v>37</v>
      </c>
      <c r="I3068" t="s">
        <v>25</v>
      </c>
      <c r="J3068" t="s">
        <v>2342</v>
      </c>
      <c r="K3068">
        <v>25</v>
      </c>
      <c r="L3068">
        <v>4</v>
      </c>
      <c r="M3068">
        <v>2025</v>
      </c>
      <c r="N3068" t="s">
        <v>27</v>
      </c>
      <c r="O3068">
        <v>200</v>
      </c>
      <c r="P3068">
        <v>200</v>
      </c>
      <c r="R3068" s="3" t="str">
        <f>HYPERLINK("https://panda.att.com.mx/ODKServer/view/binaryData?blobKey=FSSuministroFluidosv3%5B%40version%3Dnull+and+%40uiVersion%3Dnull%5D%2Fdata%5B%40key%3Duuid%3A8db8637e-cdda-45e1-b28c-1c1c9e656f41%5D%2FgroupInfoFuel%5B%40ordinal%3D1%5D%2FpicFuelRecibeInterno","Descargar")</f>
        <v>Descargar</v>
      </c>
    </row>
    <row r="3069" spans="1:18" x14ac:dyDescent="0.3">
      <c r="A3069">
        <v>1525762</v>
      </c>
      <c r="B3069" t="s">
        <v>18</v>
      </c>
      <c r="C3069" t="s">
        <v>55</v>
      </c>
      <c r="D3069" t="s">
        <v>64</v>
      </c>
      <c r="E3069" t="s">
        <v>2343</v>
      </c>
      <c r="F3069" t="s">
        <v>22</v>
      </c>
      <c r="G3069" t="s">
        <v>23</v>
      </c>
      <c r="H3069" t="s">
        <v>1763</v>
      </c>
      <c r="I3069" t="s">
        <v>25</v>
      </c>
      <c r="J3069" t="s">
        <v>2344</v>
      </c>
      <c r="K3069">
        <v>28</v>
      </c>
      <c r="L3069">
        <v>4</v>
      </c>
      <c r="M3069">
        <v>2025</v>
      </c>
      <c r="N3069" t="s">
        <v>27</v>
      </c>
      <c r="O3069">
        <v>150</v>
      </c>
      <c r="P3069">
        <v>150</v>
      </c>
      <c r="R3069" s="3" t="str">
        <f>HYPERLINK("https://panda.att.com.mx/ODKServer/view/binaryData?blobKey=FSSuministroFluidosv3%5B%40version%3Dnull+and+%40uiVersion%3Dnull%5D%2Fdata%5B%40key%3Duuid%3A202b2d4f-24f7-4de4-aa28-411e03c3a818%5D%2FgroupInfoFuel%5B%40ordinal%3D1%5D%2FpicFuelRecibeInterno","Descargar")</f>
        <v>Descargar</v>
      </c>
    </row>
    <row r="3070" spans="1:18" x14ac:dyDescent="0.3">
      <c r="A3070">
        <v>1525721</v>
      </c>
      <c r="B3070" t="s">
        <v>18</v>
      </c>
      <c r="C3070" t="s">
        <v>100</v>
      </c>
      <c r="D3070" t="s">
        <v>651</v>
      </c>
      <c r="E3070" t="s">
        <v>2345</v>
      </c>
      <c r="F3070" t="s">
        <v>22</v>
      </c>
      <c r="G3070" t="s">
        <v>23</v>
      </c>
      <c r="H3070" t="s">
        <v>1781</v>
      </c>
      <c r="I3070" t="s">
        <v>25</v>
      </c>
      <c r="J3070" t="s">
        <v>2346</v>
      </c>
      <c r="K3070">
        <v>23</v>
      </c>
      <c r="L3070">
        <v>4</v>
      </c>
      <c r="M3070">
        <v>2025</v>
      </c>
      <c r="N3070" t="s">
        <v>27</v>
      </c>
      <c r="O3070">
        <v>56.7</v>
      </c>
      <c r="P3070">
        <v>56.7</v>
      </c>
      <c r="R3070" s="3" t="str">
        <f>HYPERLINK("https://panda.att.com.mx/ODKServer/view/binaryData?blobKey=FSSuministroFluidosv3%5B%40version%3Dnull+and+%40uiVersion%3Dnull%5D%2Fdata%5B%40key%3Duuid%3Aaa84552d-0e4c-4e3a-903b-492a72ed8c7f%5D%2FgroupInfoFuel%5B%40ordinal%3D1%5D%2FpicFuelRecibeInterno","Descargar")</f>
        <v>Descargar</v>
      </c>
    </row>
    <row r="3071" spans="1:18" x14ac:dyDescent="0.3">
      <c r="A3071">
        <v>1525698</v>
      </c>
      <c r="B3071" t="s">
        <v>18</v>
      </c>
      <c r="C3071" t="s">
        <v>19</v>
      </c>
      <c r="D3071" t="s">
        <v>189</v>
      </c>
      <c r="E3071" t="s">
        <v>191</v>
      </c>
      <c r="F3071" t="s">
        <v>22</v>
      </c>
      <c r="G3071" t="s">
        <v>23</v>
      </c>
      <c r="H3071" t="s">
        <v>24</v>
      </c>
      <c r="I3071" t="s">
        <v>25</v>
      </c>
      <c r="J3071" t="s">
        <v>2347</v>
      </c>
      <c r="K3071">
        <v>26</v>
      </c>
      <c r="L3071">
        <v>4</v>
      </c>
      <c r="M3071">
        <v>2025</v>
      </c>
      <c r="N3071" t="s">
        <v>27</v>
      </c>
      <c r="O3071">
        <v>100</v>
      </c>
      <c r="P3071">
        <v>100</v>
      </c>
      <c r="R3071" s="3" t="str">
        <f>HYPERLINK("https://panda.att.com.mx/ODKServer/view/binaryData?blobKey=FSSuministroFluidosv3%5B%40version%3Dnull+and+%40uiVersion%3Dnull%5D%2Fdata%5B%40key%3Duuid%3A84510fb4-1b90-42a9-891e-a78129c1f573%5D%2FgroupInfoFuel%5B%40ordinal%3D1%5D%2FpicFuelRecibeInterno","Descargar")</f>
        <v>Descargar</v>
      </c>
    </row>
    <row r="3072" spans="1:18" x14ac:dyDescent="0.3">
      <c r="A3072">
        <v>1525618</v>
      </c>
      <c r="B3072" t="s">
        <v>18</v>
      </c>
      <c r="C3072" t="s">
        <v>150</v>
      </c>
      <c r="D3072" t="s">
        <v>151</v>
      </c>
      <c r="E3072" t="s">
        <v>1621</v>
      </c>
      <c r="F3072" t="s">
        <v>22</v>
      </c>
      <c r="G3072" t="s">
        <v>23</v>
      </c>
      <c r="H3072" t="s">
        <v>1781</v>
      </c>
      <c r="I3072" t="s">
        <v>25</v>
      </c>
      <c r="J3072" t="s">
        <v>2348</v>
      </c>
      <c r="K3072">
        <v>28</v>
      </c>
      <c r="L3072">
        <v>4</v>
      </c>
      <c r="M3072">
        <v>2025</v>
      </c>
      <c r="N3072" t="s">
        <v>27</v>
      </c>
      <c r="O3072">
        <v>100</v>
      </c>
      <c r="P3072">
        <v>100</v>
      </c>
      <c r="R3072" s="3" t="str">
        <f>HYPERLINK("https://panda.att.com.mx/ODKServer/view/binaryData?blobKey=FSSuministroFluidosv3%5B%40version%3Dnull+and+%40uiVersion%3Dnull%5D%2Fdata%5B%40key%3Duuid%3A34bcad7f-8898-40d9-ad4c-aecbdc6bf3d8%5D%2FgroupInfoFuel%5B%40ordinal%3D1%5D%2FpicFuelRecibeInterno","Descargar")</f>
        <v>Descargar</v>
      </c>
    </row>
    <row r="3073" spans="1:18" x14ac:dyDescent="0.3">
      <c r="A3073">
        <v>1525562</v>
      </c>
      <c r="B3073" t="s">
        <v>18</v>
      </c>
      <c r="C3073" t="s">
        <v>28</v>
      </c>
      <c r="D3073" t="s">
        <v>513</v>
      </c>
      <c r="E3073" t="s">
        <v>2349</v>
      </c>
      <c r="F3073" t="s">
        <v>22</v>
      </c>
      <c r="G3073" t="s">
        <v>23</v>
      </c>
      <c r="H3073" t="s">
        <v>24</v>
      </c>
      <c r="I3073" t="s">
        <v>25</v>
      </c>
      <c r="J3073" t="s">
        <v>2350</v>
      </c>
      <c r="K3073">
        <v>28</v>
      </c>
      <c r="L3073">
        <v>4</v>
      </c>
      <c r="M3073">
        <v>2025</v>
      </c>
      <c r="N3073" t="s">
        <v>27</v>
      </c>
      <c r="O3073">
        <v>200</v>
      </c>
      <c r="Q3073">
        <v>200</v>
      </c>
      <c r="R3073" s="3" t="str">
        <f>HYPERLINK("https://panda.att.com.mx/ODKServer/view/binaryData?blobKey=FSSuministroFluidosv3%5B%40version%3Dnull+and+%40uiVersion%3Dnull%5D%2Fdata%5B%40key%3Duuid%3Aeb69963a-5e3d-4c7c-8a85-ad78c721c36a%5D%2FgroupInfoFuel%5B%40ordinal%3D1%5D%2FpicFuelRecibeInterno","Descargar")</f>
        <v>Descargar</v>
      </c>
    </row>
    <row r="3074" spans="1:18" x14ac:dyDescent="0.3">
      <c r="A3074">
        <v>1525561</v>
      </c>
      <c r="B3074" t="s">
        <v>18</v>
      </c>
      <c r="C3074" t="s">
        <v>55</v>
      </c>
      <c r="D3074" t="s">
        <v>56</v>
      </c>
      <c r="E3074" t="s">
        <v>320</v>
      </c>
      <c r="F3074" t="s">
        <v>22</v>
      </c>
      <c r="G3074" t="s">
        <v>1648</v>
      </c>
      <c r="H3074" t="s">
        <v>1763</v>
      </c>
      <c r="I3074" t="s">
        <v>25</v>
      </c>
      <c r="J3074" t="s">
        <v>2351</v>
      </c>
      <c r="K3074">
        <v>24</v>
      </c>
      <c r="L3074">
        <v>4</v>
      </c>
      <c r="M3074">
        <v>2025</v>
      </c>
      <c r="N3074" t="s">
        <v>27</v>
      </c>
      <c r="O3074">
        <v>300</v>
      </c>
      <c r="P3074">
        <v>300</v>
      </c>
      <c r="R3074" s="3" t="str">
        <f>HYPERLINK("https://panda.att.com.mx/ODKServer/view/binaryData?blobKey=FSSuministroFluidosv3%5B%40version%3Dnull+and+%40uiVersion%3Dnull%5D%2Fdata%5B%40key%3Duuid%3Aa3007d56-fe42-4f34-8a69-3df3f4a4dbba%5D%2FgroupInfoFuel%5B%40ordinal%3D1%5D%2FpicFuelRecibeInterno","Descargar")</f>
        <v>Descargar</v>
      </c>
    </row>
    <row r="3075" spans="1:18" x14ac:dyDescent="0.3">
      <c r="A3075">
        <v>1525474</v>
      </c>
      <c r="B3075" t="s">
        <v>18</v>
      </c>
      <c r="C3075" t="s">
        <v>34</v>
      </c>
      <c r="D3075" t="s">
        <v>53</v>
      </c>
      <c r="E3075" t="s">
        <v>1743</v>
      </c>
      <c r="F3075" t="s">
        <v>22</v>
      </c>
      <c r="G3075" t="s">
        <v>23</v>
      </c>
      <c r="H3075" t="s">
        <v>37</v>
      </c>
      <c r="I3075" t="s">
        <v>25</v>
      </c>
      <c r="J3075" t="s">
        <v>2352</v>
      </c>
      <c r="K3075">
        <v>28</v>
      </c>
      <c r="L3075">
        <v>4</v>
      </c>
      <c r="M3075">
        <v>2025</v>
      </c>
      <c r="N3075" t="s">
        <v>27</v>
      </c>
      <c r="O3075">
        <v>550</v>
      </c>
      <c r="Q3075">
        <v>550</v>
      </c>
      <c r="R3075" s="3" t="str">
        <f>HYPERLINK("https://panda.att.com.mx/ODKServer/view/binaryData?blobKey=FSSuministroFluidosv3%5B%40version%3Dnull+and+%40uiVersion%3Dnull%5D%2Fdata%5B%40key%3Duuid%3A7811368d-7903-49a4-920a-36c9ff68a19d%5D%2FgroupInfoFuel%5B%40ordinal%3D1%5D%2FpicFuelRecibeInterno","Descargar")</f>
        <v>Descargar</v>
      </c>
    </row>
    <row r="3076" spans="1:18" x14ac:dyDescent="0.3">
      <c r="A3076">
        <v>1525473</v>
      </c>
      <c r="B3076" t="s">
        <v>18</v>
      </c>
      <c r="C3076" t="s">
        <v>55</v>
      </c>
      <c r="D3076" t="s">
        <v>56</v>
      </c>
      <c r="E3076" t="s">
        <v>2083</v>
      </c>
      <c r="F3076" t="s">
        <v>22</v>
      </c>
      <c r="G3076" t="s">
        <v>23</v>
      </c>
      <c r="H3076" t="s">
        <v>1763</v>
      </c>
      <c r="I3076" t="s">
        <v>25</v>
      </c>
      <c r="J3076" t="s">
        <v>2353</v>
      </c>
      <c r="K3076">
        <v>23</v>
      </c>
      <c r="L3076">
        <v>4</v>
      </c>
      <c r="M3076">
        <v>2025</v>
      </c>
      <c r="N3076" t="s">
        <v>27</v>
      </c>
      <c r="O3076">
        <v>80</v>
      </c>
      <c r="P3076">
        <v>80</v>
      </c>
      <c r="R3076" s="3" t="str">
        <f>HYPERLINK("https://panda.att.com.mx/ODKServer/view/binaryData?blobKey=FSSuministroFluidosv3%5B%40version%3Dnull+and+%40uiVersion%3Dnull%5D%2Fdata%5B%40key%3Duuid%3A4997e5f7-31e0-4470-a5db-3037e7b1ac6e%5D%2FgroupInfoFuel%5B%40ordinal%3D1%5D%2FpicFuelRecibeInterno","Descargar")</f>
        <v>Descargar</v>
      </c>
    </row>
    <row r="3077" spans="1:18" x14ac:dyDescent="0.3">
      <c r="A3077">
        <v>1527930</v>
      </c>
      <c r="B3077" t="s">
        <v>18</v>
      </c>
      <c r="C3077" t="s">
        <v>19</v>
      </c>
      <c r="D3077" t="s">
        <v>170</v>
      </c>
      <c r="E3077" t="s">
        <v>2354</v>
      </c>
      <c r="F3077" t="s">
        <v>22</v>
      </c>
      <c r="G3077" t="s">
        <v>23</v>
      </c>
      <c r="H3077" t="s">
        <v>24</v>
      </c>
      <c r="I3077" t="s">
        <v>25</v>
      </c>
      <c r="J3077" t="s">
        <v>2355</v>
      </c>
      <c r="K3077">
        <v>23</v>
      </c>
      <c r="L3077">
        <v>4</v>
      </c>
      <c r="M3077">
        <v>2025</v>
      </c>
      <c r="N3077" t="s">
        <v>44</v>
      </c>
      <c r="O3077">
        <v>40</v>
      </c>
      <c r="P3077">
        <v>40</v>
      </c>
      <c r="R3077" s="3" t="str">
        <f>HYPERLINK("https://panda.att.com.mx/ODKServer/view/binaryData?blobKey=FSSuministroFluidosv3%5B%40version%3Dnull+and+%40uiVersion%3Dnull%5D%2Fdata%5B%40key%3Duuid%3A42258726-e27d-4723-8ae9-c54a945f8e00%5D%2FgroupInfoFuel%5B%40ordinal%3D1%5D%2FpicFuelRecibeInterno","Descargar")</f>
        <v>Descargar</v>
      </c>
    </row>
    <row r="3078" spans="1:18" x14ac:dyDescent="0.3">
      <c r="A3078">
        <v>1527865</v>
      </c>
      <c r="B3078" t="s">
        <v>18</v>
      </c>
      <c r="C3078" t="s">
        <v>55</v>
      </c>
      <c r="D3078" t="s">
        <v>56</v>
      </c>
      <c r="E3078" t="s">
        <v>1555</v>
      </c>
      <c r="F3078" t="s">
        <v>22</v>
      </c>
      <c r="G3078" t="s">
        <v>23</v>
      </c>
      <c r="H3078" t="s">
        <v>1763</v>
      </c>
      <c r="I3078" t="s">
        <v>25</v>
      </c>
      <c r="J3078" t="s">
        <v>2356</v>
      </c>
      <c r="K3078">
        <v>15</v>
      </c>
      <c r="L3078">
        <v>4</v>
      </c>
      <c r="M3078">
        <v>2025</v>
      </c>
      <c r="N3078" t="s">
        <v>27</v>
      </c>
      <c r="O3078">
        <v>200</v>
      </c>
      <c r="P3078">
        <v>200</v>
      </c>
      <c r="R3078" s="3" t="str">
        <f>HYPERLINK("https://panda.att.com.mx/ODKServer/view/binaryData?blobKey=FSSuministroFluidosv3%5B%40version%3Dnull+and+%40uiVersion%3Dnull%5D%2Fdata%5B%40key%3Duuid%3Aa19e327c-b1bb-427c-b621-0c09854432ca%5D%2FgroupInfoFuel%5B%40ordinal%3D1%5D%2FpicFuelRecibeInterno","Descargar")</f>
        <v>Descargar</v>
      </c>
    </row>
    <row r="3079" spans="1:18" x14ac:dyDescent="0.3">
      <c r="A3079">
        <v>1527721</v>
      </c>
      <c r="B3079" t="s">
        <v>18</v>
      </c>
      <c r="C3079" t="s">
        <v>19</v>
      </c>
      <c r="D3079" t="s">
        <v>189</v>
      </c>
      <c r="E3079" t="s">
        <v>2161</v>
      </c>
      <c r="F3079" t="s">
        <v>22</v>
      </c>
      <c r="G3079" t="s">
        <v>83</v>
      </c>
      <c r="H3079" t="s">
        <v>24</v>
      </c>
      <c r="I3079" t="s">
        <v>25</v>
      </c>
      <c r="J3079" t="s">
        <v>2357</v>
      </c>
      <c r="K3079">
        <v>29</v>
      </c>
      <c r="L3079">
        <v>4</v>
      </c>
      <c r="M3079">
        <v>2025</v>
      </c>
      <c r="N3079" t="s">
        <v>27</v>
      </c>
      <c r="O3079">
        <v>200</v>
      </c>
      <c r="P3079">
        <v>200</v>
      </c>
      <c r="R3079" s="3" t="str">
        <f>HYPERLINK("https://panda.att.com.mx/ODKServer/view/binaryData?blobKey=FSSuministroFluidosv3%5B%40version%3Dnull+and+%40uiVersion%3Dnull%5D%2Fdata%5B%40key%3Duuid%3Abd4ea17d-622b-4a40-b340-633a1f183669%5D%2FgroupInfoFuel%5B%40ordinal%3D1%5D%2FpicFuelRecibeInterno","Descargar")</f>
        <v>Descargar</v>
      </c>
    </row>
    <row r="3080" spans="1:18" x14ac:dyDescent="0.3">
      <c r="A3080">
        <v>1527712</v>
      </c>
      <c r="B3080" t="s">
        <v>18</v>
      </c>
      <c r="C3080" t="s">
        <v>19</v>
      </c>
      <c r="D3080" t="s">
        <v>189</v>
      </c>
      <c r="E3080" t="s">
        <v>2161</v>
      </c>
      <c r="F3080" t="s">
        <v>22</v>
      </c>
      <c r="G3080" t="s">
        <v>83</v>
      </c>
      <c r="H3080" t="s">
        <v>24</v>
      </c>
      <c r="I3080" t="s">
        <v>25</v>
      </c>
      <c r="J3080" t="s">
        <v>2358</v>
      </c>
      <c r="K3080">
        <v>25</v>
      </c>
      <c r="L3080">
        <v>4</v>
      </c>
      <c r="M3080">
        <v>2025</v>
      </c>
      <c r="N3080" t="s">
        <v>27</v>
      </c>
      <c r="O3080">
        <v>200</v>
      </c>
      <c r="P3080">
        <v>200</v>
      </c>
      <c r="R3080" s="3" t="str">
        <f>HYPERLINK("https://panda.att.com.mx/ODKServer/view/binaryData?blobKey=FSSuministroFluidosv3%5B%40version%3Dnull+and+%40uiVersion%3Dnull%5D%2Fdata%5B%40key%3Duuid%3A23e67c38-7376-4413-a426-6538adf01264%5D%2FgroupInfoFuel%5B%40ordinal%3D1%5D%2FpicFuelRecibeInterno","Descargar")</f>
        <v>Descargar</v>
      </c>
    </row>
    <row r="3081" spans="1:18" x14ac:dyDescent="0.3">
      <c r="A3081">
        <v>1527670</v>
      </c>
      <c r="B3081" t="s">
        <v>18</v>
      </c>
      <c r="C3081" t="s">
        <v>19</v>
      </c>
      <c r="D3081" t="s">
        <v>140</v>
      </c>
      <c r="E3081" t="s">
        <v>1600</v>
      </c>
      <c r="F3081" t="s">
        <v>22</v>
      </c>
      <c r="G3081" t="s">
        <v>23</v>
      </c>
      <c r="H3081" t="s">
        <v>24</v>
      </c>
      <c r="I3081" t="s">
        <v>25</v>
      </c>
      <c r="J3081" t="s">
        <v>2359</v>
      </c>
      <c r="K3081">
        <v>30</v>
      </c>
      <c r="L3081">
        <v>4</v>
      </c>
      <c r="M3081">
        <v>2025</v>
      </c>
      <c r="N3081" t="s">
        <v>27</v>
      </c>
      <c r="O3081">
        <v>350</v>
      </c>
      <c r="P3081">
        <v>350</v>
      </c>
      <c r="R3081" s="3" t="str">
        <f>HYPERLINK("https://panda.att.com.mx/ODKServer/view/binaryData?blobKey=FSSuministroFluidosv3%5B%40version%3Dnull+and+%40uiVersion%3Dnull%5D%2Fdata%5B%40key%3Duuid%3Aa4885a43-572f-491b-bc6c-d7a7d36d44e9%5D%2FgroupInfoFuel%5B%40ordinal%3D1%5D%2FpicFuelRecibeInterno","Descargar")</f>
        <v>Descargar</v>
      </c>
    </row>
    <row r="3082" spans="1:18" x14ac:dyDescent="0.3">
      <c r="A3082">
        <v>1527642</v>
      </c>
      <c r="B3082" t="s">
        <v>18</v>
      </c>
      <c r="C3082" t="s">
        <v>19</v>
      </c>
      <c r="D3082" t="s">
        <v>189</v>
      </c>
      <c r="E3082" t="s">
        <v>2307</v>
      </c>
      <c r="F3082" t="s">
        <v>22</v>
      </c>
      <c r="G3082" t="s">
        <v>23</v>
      </c>
      <c r="H3082" t="s">
        <v>24</v>
      </c>
      <c r="I3082" t="s">
        <v>25</v>
      </c>
      <c r="J3082" t="s">
        <v>2360</v>
      </c>
      <c r="K3082">
        <v>22</v>
      </c>
      <c r="L3082">
        <v>4</v>
      </c>
      <c r="M3082">
        <v>2025</v>
      </c>
      <c r="N3082" t="s">
        <v>27</v>
      </c>
      <c r="O3082">
        <v>80</v>
      </c>
      <c r="P3082">
        <v>80</v>
      </c>
      <c r="R3082" s="3" t="str">
        <f>HYPERLINK("https://panda.att.com.mx/ODKServer/view/binaryData?blobKey=FSSuministroFluidosv3%5B%40version%3Dnull+and+%40uiVersion%3Dnull%5D%2Fdata%5B%40key%3Duuid%3A0029458e-5192-4430-8c69-23bfd4199a40%5D%2FgroupInfoFuel%5B%40ordinal%3D1%5D%2FpicFuelRecibeInterno","Descargar")</f>
        <v>Descargar</v>
      </c>
    </row>
    <row r="3083" spans="1:18" x14ac:dyDescent="0.3">
      <c r="A3083">
        <v>1527633</v>
      </c>
      <c r="B3083" t="s">
        <v>18</v>
      </c>
      <c r="C3083" t="s">
        <v>19</v>
      </c>
      <c r="D3083" t="s">
        <v>347</v>
      </c>
      <c r="E3083" t="s">
        <v>2361</v>
      </c>
      <c r="F3083" t="s">
        <v>22</v>
      </c>
      <c r="G3083" t="s">
        <v>23</v>
      </c>
      <c r="H3083" t="s">
        <v>24</v>
      </c>
      <c r="I3083" t="s">
        <v>25</v>
      </c>
      <c r="J3083" t="s">
        <v>2362</v>
      </c>
      <c r="K3083">
        <v>30</v>
      </c>
      <c r="L3083">
        <v>4</v>
      </c>
      <c r="M3083">
        <v>2025</v>
      </c>
      <c r="N3083" t="s">
        <v>27</v>
      </c>
      <c r="O3083">
        <v>200</v>
      </c>
      <c r="P3083">
        <v>200</v>
      </c>
      <c r="R3083" s="3" t="str">
        <f>HYPERLINK("https://panda.att.com.mx/ODKServer/view/binaryData?blobKey=FSSuministroFluidosv3%5B%40version%3Dnull+and+%40uiVersion%3Dnull%5D%2Fdata%5B%40key%3Duuid%3A75e93142-b18d-4605-b341-0d5e2b4b2b19%5D%2FgroupInfoFuel%5B%40ordinal%3D1%5D%2FpicFuelRecibeInterno","Descargar")</f>
        <v>Descargar</v>
      </c>
    </row>
    <row r="3084" spans="1:18" x14ac:dyDescent="0.3">
      <c r="A3084">
        <v>1527620</v>
      </c>
      <c r="B3084" t="s">
        <v>18</v>
      </c>
      <c r="C3084" t="s">
        <v>19</v>
      </c>
      <c r="D3084" t="s">
        <v>347</v>
      </c>
      <c r="E3084" t="s">
        <v>1505</v>
      </c>
      <c r="F3084" t="s">
        <v>22</v>
      </c>
      <c r="G3084" t="s">
        <v>23</v>
      </c>
      <c r="H3084" t="s">
        <v>24</v>
      </c>
      <c r="I3084" t="s">
        <v>25</v>
      </c>
      <c r="J3084" t="s">
        <v>2363</v>
      </c>
      <c r="K3084">
        <v>29</v>
      </c>
      <c r="L3084">
        <v>4</v>
      </c>
      <c r="M3084">
        <v>2025</v>
      </c>
      <c r="N3084" t="s">
        <v>44</v>
      </c>
      <c r="O3084">
        <v>40</v>
      </c>
      <c r="P3084">
        <v>40</v>
      </c>
      <c r="R3084" s="3" t="str">
        <f>HYPERLINK("https://panda.att.com.mx/ODKServer/view/binaryData?blobKey=FSSuministroFluidosv3%5B%40version%3Dnull+and+%40uiVersion%3Dnull%5D%2Fdata%5B%40key%3Duuid%3A8018c0e4-9ca2-4809-8482-72491db4664c%5D%2FgroupInfoFuel%5B%40ordinal%3D1%5D%2FpicFuelRecibeInterno","Descargar")</f>
        <v>Descargar</v>
      </c>
    </row>
    <row r="3085" spans="1:18" x14ac:dyDescent="0.3">
      <c r="A3085">
        <v>1527610</v>
      </c>
      <c r="B3085" t="s">
        <v>18</v>
      </c>
      <c r="C3085" t="s">
        <v>19</v>
      </c>
      <c r="D3085" t="s">
        <v>347</v>
      </c>
      <c r="E3085" t="s">
        <v>2364</v>
      </c>
      <c r="F3085" t="s">
        <v>22</v>
      </c>
      <c r="G3085" t="s">
        <v>23</v>
      </c>
      <c r="H3085" t="s">
        <v>24</v>
      </c>
      <c r="I3085" t="s">
        <v>25</v>
      </c>
      <c r="J3085" t="s">
        <v>2365</v>
      </c>
      <c r="K3085">
        <v>29</v>
      </c>
      <c r="L3085">
        <v>4</v>
      </c>
      <c r="M3085">
        <v>2025</v>
      </c>
      <c r="N3085" t="s">
        <v>44</v>
      </c>
      <c r="O3085">
        <v>30</v>
      </c>
      <c r="P3085">
        <v>30</v>
      </c>
      <c r="R3085" s="3" t="str">
        <f>HYPERLINK("https://panda.att.com.mx/ODKServer/view/binaryData?blobKey=FSSuministroFluidosv3%5B%40version%3Dnull+and+%40uiVersion%3Dnull%5D%2Fdata%5B%40key%3Duuid%3A9ccfd888-642d-4a0e-a6ba-c36bda1c8f20%5D%2FgroupInfoFuel%5B%40ordinal%3D1%5D%2FpicFuelRecibeInterno","Descargar")</f>
        <v>Descargar</v>
      </c>
    </row>
    <row r="3086" spans="1:18" x14ac:dyDescent="0.3">
      <c r="A3086">
        <v>1527582</v>
      </c>
      <c r="B3086" t="s">
        <v>18</v>
      </c>
      <c r="C3086" t="s">
        <v>19</v>
      </c>
      <c r="D3086" t="s">
        <v>140</v>
      </c>
      <c r="E3086" t="s">
        <v>1599</v>
      </c>
      <c r="F3086" t="s">
        <v>22</v>
      </c>
      <c r="G3086" t="s">
        <v>23</v>
      </c>
      <c r="H3086" t="s">
        <v>24</v>
      </c>
      <c r="I3086" t="s">
        <v>25</v>
      </c>
      <c r="J3086" t="s">
        <v>2366</v>
      </c>
      <c r="K3086">
        <v>30</v>
      </c>
      <c r="L3086">
        <v>4</v>
      </c>
      <c r="M3086">
        <v>2025</v>
      </c>
      <c r="N3086" t="s">
        <v>27</v>
      </c>
      <c r="O3086">
        <v>93</v>
      </c>
      <c r="P3086">
        <v>93</v>
      </c>
      <c r="R3086" s="3" t="str">
        <f>HYPERLINK("https://panda.att.com.mx/ODKServer/view/binaryData?blobKey=FSSuministroFluidosv3%5B%40version%3Dnull+and+%40uiVersion%3Dnull%5D%2Fdata%5B%40key%3Duuid%3A138e46d8-251f-4acd-a8b2-6046b41e73eb%5D%2FgroupInfoFuel%5B%40ordinal%3D1%5D%2FpicFuelRecibeInterno","Descargar")</f>
        <v>Descargar</v>
      </c>
    </row>
    <row r="3087" spans="1:18" x14ac:dyDescent="0.3">
      <c r="A3087">
        <v>1527549</v>
      </c>
      <c r="B3087" t="s">
        <v>18</v>
      </c>
      <c r="C3087" t="s">
        <v>150</v>
      </c>
      <c r="D3087" t="s">
        <v>230</v>
      </c>
      <c r="E3087" t="s">
        <v>1510</v>
      </c>
      <c r="F3087" t="s">
        <v>22</v>
      </c>
      <c r="G3087" t="s">
        <v>23</v>
      </c>
      <c r="H3087" t="s">
        <v>1781</v>
      </c>
      <c r="I3087" t="s">
        <v>25</v>
      </c>
      <c r="J3087" t="s">
        <v>2367</v>
      </c>
      <c r="K3087">
        <v>30</v>
      </c>
      <c r="L3087">
        <v>4</v>
      </c>
      <c r="M3087">
        <v>2025</v>
      </c>
      <c r="N3087" t="s">
        <v>27</v>
      </c>
      <c r="O3087">
        <v>300</v>
      </c>
      <c r="P3087">
        <v>300</v>
      </c>
      <c r="R3087" s="3" t="str">
        <f>HYPERLINK("https://panda.att.com.mx/ODKServer/view/binaryData?blobKey=FSSuministroFluidosv3%5B%40version%3Dnull+and+%40uiVersion%3Dnull%5D%2Fdata%5B%40key%3Duuid%3A5b4d8c2d-5ce0-4400-906d-28a48f3bc6a4%5D%2FgroupInfoFuel%5B%40ordinal%3D1%5D%2FpicFuelRecibeInterno","Descargar")</f>
        <v>Descargar</v>
      </c>
    </row>
    <row r="3088" spans="1:18" x14ac:dyDescent="0.3">
      <c r="A3088">
        <v>1527541</v>
      </c>
      <c r="B3088" t="s">
        <v>18</v>
      </c>
      <c r="C3088" t="s">
        <v>19</v>
      </c>
      <c r="D3088" t="s">
        <v>45</v>
      </c>
      <c r="E3088" t="s">
        <v>374</v>
      </c>
      <c r="F3088" t="s">
        <v>22</v>
      </c>
      <c r="G3088" t="s">
        <v>23</v>
      </c>
      <c r="H3088" t="s">
        <v>24</v>
      </c>
      <c r="I3088" t="s">
        <v>25</v>
      </c>
      <c r="J3088" t="s">
        <v>2368</v>
      </c>
      <c r="K3088">
        <v>25</v>
      </c>
      <c r="L3088">
        <v>4</v>
      </c>
      <c r="M3088">
        <v>2025</v>
      </c>
      <c r="N3088" t="s">
        <v>27</v>
      </c>
      <c r="O3088">
        <v>200</v>
      </c>
      <c r="P3088">
        <v>200</v>
      </c>
      <c r="R3088" s="3" t="str">
        <f>HYPERLINK("https://panda.att.com.mx/ODKServer/view/binaryData?blobKey=FSSuministroFluidosv3%5B%40version%3Dnull+and+%40uiVersion%3Dnull%5D%2Fdata%5B%40key%3Duuid%3A81ed9f0f-a51a-4a7e-a571-55dbfd690c26%5D%2FgroupInfoFuel%5B%40ordinal%3D1%5D%2FpicFuelRecibeInterno","Descargar")</f>
        <v>Descargar</v>
      </c>
    </row>
    <row r="3089" spans="1:18" x14ac:dyDescent="0.3">
      <c r="A3089">
        <v>1527344</v>
      </c>
      <c r="B3089" t="s">
        <v>18</v>
      </c>
      <c r="C3089" t="s">
        <v>167</v>
      </c>
      <c r="D3089" t="s">
        <v>264</v>
      </c>
      <c r="E3089" t="s">
        <v>2237</v>
      </c>
      <c r="F3089" t="s">
        <v>22</v>
      </c>
      <c r="G3089" t="s">
        <v>23</v>
      </c>
      <c r="H3089" t="s">
        <v>58</v>
      </c>
      <c r="I3089" t="s">
        <v>25</v>
      </c>
      <c r="J3089" t="s">
        <v>2369</v>
      </c>
      <c r="K3089">
        <v>29</v>
      </c>
      <c r="L3089">
        <v>4</v>
      </c>
      <c r="M3089">
        <v>2025</v>
      </c>
      <c r="N3089" t="s">
        <v>27</v>
      </c>
      <c r="O3089">
        <v>100</v>
      </c>
      <c r="P3089">
        <v>100</v>
      </c>
      <c r="R3089" s="3" t="str">
        <f>HYPERLINK("https://panda.att.com.mx/ODKServer/view/binaryData?blobKey=FSSuministroFluidosv3%5B%40version%3Dnull+and+%40uiVersion%3Dnull%5D%2Fdata%5B%40key%3Duuid%3Ab43474e0-1796-43ed-8bc8-327ba09533f4%5D%2FgroupInfoFuel%5B%40ordinal%3D1%5D%2FpicFuelRecibeInterno","Descargar")</f>
        <v>Descargar</v>
      </c>
    </row>
    <row r="3090" spans="1:18" x14ac:dyDescent="0.3">
      <c r="A3090">
        <v>1527343</v>
      </c>
      <c r="B3090" t="s">
        <v>18</v>
      </c>
      <c r="C3090" t="s">
        <v>68</v>
      </c>
      <c r="D3090" t="s">
        <v>132</v>
      </c>
      <c r="E3090" t="s">
        <v>2370</v>
      </c>
      <c r="F3090" t="s">
        <v>22</v>
      </c>
      <c r="G3090" t="s">
        <v>23</v>
      </c>
      <c r="H3090" t="s">
        <v>37</v>
      </c>
      <c r="I3090" t="s">
        <v>25</v>
      </c>
      <c r="J3090" t="s">
        <v>2371</v>
      </c>
      <c r="K3090">
        <v>23</v>
      </c>
      <c r="L3090">
        <v>4</v>
      </c>
      <c r="M3090">
        <v>2025</v>
      </c>
      <c r="N3090" t="s">
        <v>27</v>
      </c>
      <c r="O3090">
        <v>400</v>
      </c>
      <c r="P3090">
        <v>400</v>
      </c>
      <c r="R3090" s="3" t="str">
        <f>HYPERLINK("https://panda.att.com.mx/ODKServer/view/binaryData?blobKey=FSSuministroFluidosv3%5B%40version%3Dnull+and+%40uiVersion%3Dnull%5D%2Fdata%5B%40key%3Duuid%3Aece15c48-2aa2-4417-9fe4-f70c73ed440b%5D%2FgroupInfoFuel%5B%40ordinal%3D1%5D%2FpicFuelRecibeInterno","Descargar")</f>
        <v>Descargar</v>
      </c>
    </row>
    <row r="3091" spans="1:18" x14ac:dyDescent="0.3">
      <c r="A3091">
        <v>1527342</v>
      </c>
      <c r="B3091" t="s">
        <v>18</v>
      </c>
      <c r="C3091" t="s">
        <v>167</v>
      </c>
      <c r="D3091" t="s">
        <v>264</v>
      </c>
      <c r="E3091" t="s">
        <v>2372</v>
      </c>
      <c r="F3091" t="s">
        <v>22</v>
      </c>
      <c r="G3091" t="s">
        <v>23</v>
      </c>
      <c r="H3091" t="s">
        <v>58</v>
      </c>
      <c r="I3091" t="s">
        <v>25</v>
      </c>
      <c r="J3091" t="s">
        <v>2373</v>
      </c>
      <c r="K3091">
        <v>29</v>
      </c>
      <c r="L3091">
        <v>4</v>
      </c>
      <c r="M3091">
        <v>2025</v>
      </c>
      <c r="N3091" t="s">
        <v>27</v>
      </c>
      <c r="O3091">
        <v>300</v>
      </c>
      <c r="P3091">
        <v>300</v>
      </c>
      <c r="R3091" s="3" t="str">
        <f>HYPERLINK("https://panda.att.com.mx/ODKServer/view/binaryData?blobKey=FSSuministroFluidosv3%5B%40version%3Dnull+and+%40uiVersion%3Dnull%5D%2Fdata%5B%40key%3Duuid%3Aa01867b6-bf65-476b-ba01-ee8b0e07f060%5D%2FgroupInfoFuel%5B%40ordinal%3D1%5D%2FpicFuelRecibeInterno","Descargar")</f>
        <v>Descargar</v>
      </c>
    </row>
    <row r="3092" spans="1:18" x14ac:dyDescent="0.3">
      <c r="A3092">
        <v>1527226</v>
      </c>
      <c r="B3092" t="s">
        <v>18</v>
      </c>
      <c r="C3092" t="s">
        <v>55</v>
      </c>
      <c r="D3092" t="s">
        <v>56</v>
      </c>
      <c r="E3092" t="s">
        <v>2374</v>
      </c>
      <c r="F3092" t="s">
        <v>22</v>
      </c>
      <c r="G3092" t="s">
        <v>23</v>
      </c>
      <c r="H3092" t="s">
        <v>1763</v>
      </c>
      <c r="I3092" t="s">
        <v>25</v>
      </c>
      <c r="J3092" t="s">
        <v>2375</v>
      </c>
      <c r="K3092">
        <v>15</v>
      </c>
      <c r="L3092">
        <v>4</v>
      </c>
      <c r="M3092">
        <v>2025</v>
      </c>
      <c r="N3092" t="s">
        <v>27</v>
      </c>
      <c r="O3092">
        <v>100</v>
      </c>
      <c r="P3092">
        <v>100</v>
      </c>
      <c r="R3092" s="3" t="str">
        <f>HYPERLINK("https://panda.att.com.mx/ODKServer/view/binaryData?blobKey=FSSuministroFluidosv3%5B%40version%3Dnull+and+%40uiVersion%3Dnull%5D%2Fdata%5B%40key%3Duuid%3A8ab77277-9513-4f95-9456-0f8e7df0591a%5D%2FgroupInfoFuel%5B%40ordinal%3D1%5D%2FpicFuelRecibeInterno","Descargar")</f>
        <v>Descargar</v>
      </c>
    </row>
    <row r="3093" spans="1:18" x14ac:dyDescent="0.3">
      <c r="A3093">
        <v>1526976</v>
      </c>
      <c r="B3093" t="s">
        <v>18</v>
      </c>
      <c r="C3093" t="s">
        <v>55</v>
      </c>
      <c r="D3093" t="s">
        <v>128</v>
      </c>
      <c r="E3093" t="s">
        <v>240</v>
      </c>
      <c r="F3093" t="s">
        <v>22</v>
      </c>
      <c r="G3093" t="s">
        <v>23</v>
      </c>
      <c r="H3093" t="s">
        <v>1763</v>
      </c>
      <c r="I3093" t="s">
        <v>25</v>
      </c>
      <c r="J3093" t="s">
        <v>2376</v>
      </c>
      <c r="K3093">
        <v>29</v>
      </c>
      <c r="L3093">
        <v>4</v>
      </c>
      <c r="M3093">
        <v>2025</v>
      </c>
      <c r="N3093" t="s">
        <v>44</v>
      </c>
      <c r="O3093">
        <v>60</v>
      </c>
      <c r="P3093">
        <v>60</v>
      </c>
      <c r="R3093" s="3" t="str">
        <f>HYPERLINK("https://panda.att.com.mx/ODKServer/view/binaryData?blobKey=FSSuministroFluidosv3%5B%40version%3Dnull+and+%40uiVersion%3Dnull%5D%2Fdata%5B%40key%3Duuid%3A6d1b383b-4c97-4f91-9a9e-5c94892ad373%5D%2FgroupInfoFuel%5B%40ordinal%3D1%5D%2FpicFuelRecibeInterno","Descargar")</f>
        <v>Descargar</v>
      </c>
    </row>
    <row r="3094" spans="1:18" x14ac:dyDescent="0.3">
      <c r="A3094">
        <v>1526965</v>
      </c>
      <c r="B3094" t="s">
        <v>18</v>
      </c>
      <c r="C3094" t="s">
        <v>34</v>
      </c>
      <c r="D3094" t="s">
        <v>53</v>
      </c>
      <c r="E3094" t="s">
        <v>2377</v>
      </c>
      <c r="F3094" t="s">
        <v>22</v>
      </c>
      <c r="G3094" t="s">
        <v>23</v>
      </c>
      <c r="H3094" t="s">
        <v>37</v>
      </c>
      <c r="I3094" t="s">
        <v>25</v>
      </c>
      <c r="J3094" t="s">
        <v>2378</v>
      </c>
      <c r="K3094">
        <v>29</v>
      </c>
      <c r="L3094">
        <v>4</v>
      </c>
      <c r="M3094">
        <v>2025</v>
      </c>
      <c r="N3094" t="s">
        <v>27</v>
      </c>
      <c r="O3094">
        <v>250</v>
      </c>
      <c r="Q3094">
        <v>250</v>
      </c>
      <c r="R3094" s="3" t="str">
        <f>HYPERLINK("https://panda.att.com.mx/ODKServer/view/binaryData?blobKey=FSSuministroFluidosv3%5B%40version%3Dnull+and+%40uiVersion%3Dnull%5D%2Fdata%5B%40key%3Duuid%3A5aa5e7af-4f0e-41de-9c21-1dfe64438990%5D%2FgroupInfoFuel%5B%40ordinal%3D1%5D%2FpicFuelRecibeInterno","Descargar")</f>
        <v>Descargar</v>
      </c>
    </row>
    <row r="3095" spans="1:18" x14ac:dyDescent="0.3">
      <c r="A3095">
        <v>1526922</v>
      </c>
      <c r="B3095" t="s">
        <v>18</v>
      </c>
      <c r="C3095" t="s">
        <v>19</v>
      </c>
      <c r="D3095" t="s">
        <v>189</v>
      </c>
      <c r="E3095" t="s">
        <v>1081</v>
      </c>
      <c r="F3095" t="s">
        <v>22</v>
      </c>
      <c r="G3095" t="s">
        <v>23</v>
      </c>
      <c r="H3095" t="s">
        <v>24</v>
      </c>
      <c r="I3095" t="s">
        <v>25</v>
      </c>
      <c r="J3095" t="s">
        <v>2379</v>
      </c>
      <c r="K3095">
        <v>17</v>
      </c>
      <c r="L3095">
        <v>4</v>
      </c>
      <c r="M3095">
        <v>2025</v>
      </c>
      <c r="N3095" t="s">
        <v>27</v>
      </c>
      <c r="O3095">
        <v>100</v>
      </c>
      <c r="P3095">
        <v>100</v>
      </c>
      <c r="R3095" s="3" t="str">
        <f>HYPERLINK("https://panda.att.com.mx/ODKServer/view/binaryData?blobKey=FSSuministroFluidosv3%5B%40version%3Dnull+and+%40uiVersion%3Dnull%5D%2Fdata%5B%40key%3Duuid%3A37743793-5e51-4c2e-a566-5bf00fea8c22%5D%2FgroupInfoFuel%5B%40ordinal%3D1%5D%2FpicFuelRecibeInterno","Descargar")</f>
        <v>Descargar</v>
      </c>
    </row>
    <row r="3096" spans="1:18" x14ac:dyDescent="0.3">
      <c r="A3096">
        <v>1526920</v>
      </c>
      <c r="B3096" t="s">
        <v>18</v>
      </c>
      <c r="C3096" t="s">
        <v>19</v>
      </c>
      <c r="D3096" t="s">
        <v>189</v>
      </c>
      <c r="E3096" t="s">
        <v>2380</v>
      </c>
      <c r="F3096" t="s">
        <v>22</v>
      </c>
      <c r="G3096" t="s">
        <v>23</v>
      </c>
      <c r="H3096" t="s">
        <v>24</v>
      </c>
      <c r="I3096" t="s">
        <v>25</v>
      </c>
      <c r="J3096" t="s">
        <v>2381</v>
      </c>
      <c r="K3096">
        <v>17</v>
      </c>
      <c r="L3096">
        <v>4</v>
      </c>
      <c r="M3096">
        <v>2025</v>
      </c>
      <c r="N3096" t="s">
        <v>27</v>
      </c>
      <c r="O3096">
        <v>200</v>
      </c>
      <c r="P3096">
        <v>200</v>
      </c>
      <c r="R3096" s="3" t="str">
        <f>HYPERLINK("https://panda.att.com.mx/ODKServer/view/binaryData?blobKey=FSSuministroFluidosv3%5B%40version%3Dnull+and+%40uiVersion%3Dnull%5D%2Fdata%5B%40key%3Duuid%3A196d1391-2517-45a3-958a-39d97d624d54%5D%2FgroupInfoFuel%5B%40ordinal%3D1%5D%2FpicFuelRecibeInterno","Descargar")</f>
        <v>Descargar</v>
      </c>
    </row>
    <row r="3097" spans="1:18" x14ac:dyDescent="0.3">
      <c r="A3097">
        <v>1526835</v>
      </c>
      <c r="B3097" t="s">
        <v>18</v>
      </c>
      <c r="C3097" t="s">
        <v>19</v>
      </c>
      <c r="D3097" t="s">
        <v>45</v>
      </c>
      <c r="E3097" t="s">
        <v>2382</v>
      </c>
      <c r="F3097" t="s">
        <v>22</v>
      </c>
      <c r="G3097" t="s">
        <v>23</v>
      </c>
      <c r="H3097" t="s">
        <v>24</v>
      </c>
      <c r="I3097" t="s">
        <v>25</v>
      </c>
      <c r="J3097" t="s">
        <v>2383</v>
      </c>
      <c r="K3097">
        <v>28</v>
      </c>
      <c r="L3097">
        <v>4</v>
      </c>
      <c r="M3097">
        <v>2025</v>
      </c>
      <c r="N3097" t="s">
        <v>27</v>
      </c>
      <c r="O3097">
        <v>300</v>
      </c>
      <c r="P3097">
        <v>300</v>
      </c>
      <c r="R3097" s="3" t="str">
        <f>HYPERLINK("https://panda.att.com.mx/ODKServer/view/binaryData?blobKey=FSSuministroFluidosv3%5B%40version%3Dnull+and+%40uiVersion%3Dnull%5D%2Fdata%5B%40key%3Duuid%3Ab10ebd59-286d-486c-8a5d-afbf650bc1df%5D%2FgroupInfoFuel%5B%40ordinal%3D1%5D%2FpicFuelRecibeInterno","Descargar")</f>
        <v>Descargar</v>
      </c>
    </row>
    <row r="3098" spans="1:18" x14ac:dyDescent="0.3">
      <c r="A3098">
        <v>1526730</v>
      </c>
      <c r="B3098" t="s">
        <v>18</v>
      </c>
      <c r="C3098" t="s">
        <v>100</v>
      </c>
      <c r="D3098" t="s">
        <v>716</v>
      </c>
      <c r="E3098" t="s">
        <v>717</v>
      </c>
      <c r="F3098" t="s">
        <v>22</v>
      </c>
      <c r="G3098" t="s">
        <v>83</v>
      </c>
      <c r="H3098" t="s">
        <v>1781</v>
      </c>
      <c r="I3098" t="s">
        <v>25</v>
      </c>
      <c r="J3098" t="s">
        <v>2384</v>
      </c>
      <c r="K3098">
        <v>29</v>
      </c>
      <c r="L3098">
        <v>4</v>
      </c>
      <c r="M3098">
        <v>2025</v>
      </c>
      <c r="N3098" t="s">
        <v>27</v>
      </c>
      <c r="O3098">
        <v>126</v>
      </c>
      <c r="P3098">
        <v>126</v>
      </c>
      <c r="R3098" s="3" t="str">
        <f>HYPERLINK("https://panda.att.com.mx/ODKServer/view/binaryData?blobKey=FSSuministroFluidosv3%5B%40version%3Dnull+and+%40uiVersion%3Dnull%5D%2Fdata%5B%40key%3Duuid%3A1ebfd1a4-0a91-4d8d-977f-1ec36fb6ba0f%5D%2FgroupInfoFuel%5B%40ordinal%3D1%5D%2FpicFuelRecibeInterno","Descargar")</f>
        <v>Descargar</v>
      </c>
    </row>
    <row r="3099" spans="1:18" x14ac:dyDescent="0.3">
      <c r="A3099">
        <v>1526712</v>
      </c>
      <c r="B3099" t="s">
        <v>18</v>
      </c>
      <c r="C3099" t="s">
        <v>59</v>
      </c>
      <c r="D3099" t="s">
        <v>636</v>
      </c>
      <c r="E3099" t="s">
        <v>2385</v>
      </c>
      <c r="F3099" t="s">
        <v>22</v>
      </c>
      <c r="G3099" t="s">
        <v>23</v>
      </c>
      <c r="H3099" t="s">
        <v>37</v>
      </c>
      <c r="I3099" t="s">
        <v>25</v>
      </c>
      <c r="J3099" t="s">
        <v>2386</v>
      </c>
      <c r="K3099">
        <v>28</v>
      </c>
      <c r="L3099">
        <v>4</v>
      </c>
      <c r="M3099">
        <v>2025</v>
      </c>
      <c r="N3099" t="s">
        <v>27</v>
      </c>
      <c r="O3099">
        <v>200</v>
      </c>
      <c r="Q3099">
        <v>200</v>
      </c>
      <c r="R3099" s="3" t="str">
        <f>HYPERLINK("https://panda.att.com.mx/ODKServer/view/binaryData?blobKey=FSSuministroFluidosv3%5B%40version%3Dnull+and+%40uiVersion%3Dnull%5D%2Fdata%5B%40key%3Duuid%3Af617fb4f-c150-4a5c-b15f-6d106a8f46b6%5D%2FgroupInfoFuel%5B%40ordinal%3D1%5D%2FpicFuelRecibeInterno","Descargar")</f>
        <v>Descargar</v>
      </c>
    </row>
    <row r="3100" spans="1:18" x14ac:dyDescent="0.3">
      <c r="A3100">
        <v>1526679</v>
      </c>
      <c r="B3100" t="s">
        <v>18</v>
      </c>
      <c r="C3100" t="s">
        <v>68</v>
      </c>
      <c r="D3100" t="s">
        <v>518</v>
      </c>
      <c r="E3100" t="s">
        <v>2387</v>
      </c>
      <c r="F3100" t="s">
        <v>22</v>
      </c>
      <c r="G3100" t="s">
        <v>23</v>
      </c>
      <c r="H3100" t="s">
        <v>37</v>
      </c>
      <c r="I3100" t="s">
        <v>25</v>
      </c>
      <c r="J3100" t="s">
        <v>2388</v>
      </c>
      <c r="K3100">
        <v>14</v>
      </c>
      <c r="L3100">
        <v>4</v>
      </c>
      <c r="M3100">
        <v>2025</v>
      </c>
      <c r="N3100" t="s">
        <v>27</v>
      </c>
      <c r="O3100">
        <v>200</v>
      </c>
      <c r="P3100">
        <v>200</v>
      </c>
      <c r="R3100" s="3" t="str">
        <f>HYPERLINK("https://panda.att.com.mx/ODKServer/view/binaryData?blobKey=FSSuministroFluidosv3%5B%40version%3Dnull+and+%40uiVersion%3Dnull%5D%2Fdata%5B%40key%3Duuid%3Abec97de9-fe86-4fd0-9859-4337f9207aab%5D%2FgroupInfoFuel%5B%40ordinal%3D1%5D%2FpicFuelRecibeInterno","Descargar")</f>
        <v>Descargar</v>
      </c>
    </row>
    <row r="3101" spans="1:18" x14ac:dyDescent="0.3">
      <c r="A3101">
        <v>1526678</v>
      </c>
      <c r="B3101" t="s">
        <v>18</v>
      </c>
      <c r="C3101" t="s">
        <v>55</v>
      </c>
      <c r="D3101" t="s">
        <v>56</v>
      </c>
      <c r="E3101" t="s">
        <v>76</v>
      </c>
      <c r="F3101" t="s">
        <v>22</v>
      </c>
      <c r="G3101" t="s">
        <v>23</v>
      </c>
      <c r="H3101" t="s">
        <v>1763</v>
      </c>
      <c r="I3101" t="s">
        <v>25</v>
      </c>
      <c r="J3101" t="s">
        <v>2389</v>
      </c>
      <c r="K3101">
        <v>28</v>
      </c>
      <c r="L3101">
        <v>4</v>
      </c>
      <c r="M3101">
        <v>2025</v>
      </c>
      <c r="N3101" t="s">
        <v>27</v>
      </c>
      <c r="O3101">
        <v>100</v>
      </c>
      <c r="P3101">
        <v>100</v>
      </c>
      <c r="R3101" s="3" t="str">
        <f>HYPERLINK("https://panda.att.com.mx/ODKServer/view/binaryData?blobKey=FSSuministroFluidosv3%5B%40version%3Dnull+and+%40uiVersion%3Dnull%5D%2Fdata%5B%40key%3Duuid%3Ab794195b-7584-46fd-b633-9c92a334685e%5D%2FgroupInfoFuel%5B%40ordinal%3D1%5D%2FpicFuelRecibeInterno","Descargar")</f>
        <v>Descargar</v>
      </c>
    </row>
    <row r="3102" spans="1:18" x14ac:dyDescent="0.3">
      <c r="A3102">
        <v>1525365</v>
      </c>
      <c r="B3102" t="s">
        <v>18</v>
      </c>
      <c r="C3102" t="s">
        <v>55</v>
      </c>
      <c r="D3102" t="s">
        <v>56</v>
      </c>
      <c r="E3102" t="s">
        <v>2188</v>
      </c>
      <c r="F3102" t="s">
        <v>22</v>
      </c>
      <c r="G3102" t="s">
        <v>23</v>
      </c>
      <c r="H3102" t="s">
        <v>1763</v>
      </c>
      <c r="I3102" t="s">
        <v>25</v>
      </c>
      <c r="J3102" t="s">
        <v>2390</v>
      </c>
      <c r="K3102">
        <v>22</v>
      </c>
      <c r="L3102">
        <v>4</v>
      </c>
      <c r="M3102">
        <v>2025</v>
      </c>
      <c r="N3102" t="s">
        <v>27</v>
      </c>
      <c r="O3102">
        <v>100</v>
      </c>
      <c r="P3102">
        <v>100</v>
      </c>
      <c r="R3102" s="3" t="str">
        <f>HYPERLINK("https://panda.att.com.mx/ODKServer/view/binaryData?blobKey=FSSuministroFluidosv3%5B%40version%3Dnull+and+%40uiVersion%3Dnull%5D%2Fdata%5B%40key%3Duuid%3A01691ea0-4761-4499-94fd-73b928d17eec%5D%2FgroupInfoFuel%5B%40ordinal%3D1%5D%2FpicFuelRecibeInterno","Descargar")</f>
        <v>Descargar</v>
      </c>
    </row>
    <row r="3103" spans="1:18" x14ac:dyDescent="0.3">
      <c r="A3103">
        <v>1525341</v>
      </c>
      <c r="B3103" t="s">
        <v>18</v>
      </c>
      <c r="C3103" t="s">
        <v>59</v>
      </c>
      <c r="D3103" t="s">
        <v>574</v>
      </c>
      <c r="E3103" t="s">
        <v>2391</v>
      </c>
      <c r="F3103" t="s">
        <v>22</v>
      </c>
      <c r="G3103" t="s">
        <v>23</v>
      </c>
      <c r="H3103" t="s">
        <v>37</v>
      </c>
      <c r="I3103" t="s">
        <v>84</v>
      </c>
      <c r="J3103" t="s">
        <v>2392</v>
      </c>
      <c r="K3103">
        <v>28</v>
      </c>
      <c r="L3103">
        <v>4</v>
      </c>
      <c r="M3103">
        <v>2025</v>
      </c>
      <c r="N3103" t="s">
        <v>44</v>
      </c>
      <c r="O3103">
        <v>50</v>
      </c>
      <c r="Q3103">
        <v>50</v>
      </c>
      <c r="R3103" s="3" t="str">
        <f>HYPERLINK("https://panda.att.com.mx/ODKServer/view/binaryData?blobKey=FSSuministroFluidosv3%5B%40version%3Dnull+and+%40uiVersion%3Dnull%5D%2Fdata%5B%40key%3Duuid%3Af8307115-cc9d-484e-a31d-28eef2f5bb06%5D%2FgroupInfoFuel%5B%40ordinal%3D1%5D%2FpicFuelRecibeInterno","Descargar")</f>
        <v>Descargar</v>
      </c>
    </row>
    <row r="3104" spans="1:18" x14ac:dyDescent="0.3">
      <c r="A3104">
        <v>1525276</v>
      </c>
      <c r="B3104" t="s">
        <v>18</v>
      </c>
      <c r="C3104" t="s">
        <v>55</v>
      </c>
      <c r="D3104" t="s">
        <v>56</v>
      </c>
      <c r="E3104" t="s">
        <v>320</v>
      </c>
      <c r="F3104" t="s">
        <v>22</v>
      </c>
      <c r="G3104" t="s">
        <v>23</v>
      </c>
      <c r="H3104" t="s">
        <v>1763</v>
      </c>
      <c r="I3104" t="s">
        <v>25</v>
      </c>
      <c r="J3104" t="s">
        <v>2393</v>
      </c>
      <c r="K3104">
        <v>27</v>
      </c>
      <c r="L3104">
        <v>4</v>
      </c>
      <c r="M3104">
        <v>2025</v>
      </c>
      <c r="N3104" t="s">
        <v>27</v>
      </c>
      <c r="O3104">
        <v>300</v>
      </c>
      <c r="P3104">
        <v>300</v>
      </c>
      <c r="R3104" s="3" t="str">
        <f>HYPERLINK("https://panda.att.com.mx/ODKServer/view/binaryData?blobKey=FSSuministroFluidosv3%5B%40version%3Dnull+and+%40uiVersion%3Dnull%5D%2Fdata%5B%40key%3Duuid%3A0be7b924-92f9-4278-a78a-bfcc82237750%5D%2FgroupInfoFuel%5B%40ordinal%3D1%5D%2FpicFuelRecibeInterno","Descargar")</f>
        <v>Descargar</v>
      </c>
    </row>
    <row r="3105" spans="1:18" x14ac:dyDescent="0.3">
      <c r="A3105">
        <v>1525201</v>
      </c>
      <c r="B3105" t="s">
        <v>18</v>
      </c>
      <c r="C3105" t="s">
        <v>59</v>
      </c>
      <c r="D3105" t="s">
        <v>60</v>
      </c>
      <c r="E3105" t="s">
        <v>2283</v>
      </c>
      <c r="F3105" t="s">
        <v>22</v>
      </c>
      <c r="G3105" t="s">
        <v>23</v>
      </c>
      <c r="H3105" t="s">
        <v>1816</v>
      </c>
      <c r="I3105" t="s">
        <v>25</v>
      </c>
      <c r="J3105" t="s">
        <v>2394</v>
      </c>
      <c r="K3105">
        <v>26</v>
      </c>
      <c r="L3105">
        <v>4</v>
      </c>
      <c r="M3105">
        <v>2025</v>
      </c>
      <c r="N3105" t="s">
        <v>27</v>
      </c>
      <c r="O3105">
        <v>553</v>
      </c>
      <c r="P3105">
        <v>553</v>
      </c>
      <c r="R3105" s="3" t="str">
        <f>HYPERLINK("https://panda.att.com.mx/ODKServer/view/binaryData?blobKey=FSSuministroFluidosv3%5B%40version%3Dnull+and+%40uiVersion%3Dnull%5D%2Fdata%5B%40key%3Duuid%3Aef2c5c32-905a-4a33-a831-f1ca5c158853%5D%2FgroupInfoFuel%5B%40ordinal%3D1%5D%2FpicFuelRecibeInterno","Descargar")</f>
        <v>Descargar</v>
      </c>
    </row>
    <row r="3106" spans="1:18" x14ac:dyDescent="0.3">
      <c r="A3106">
        <v>1525195</v>
      </c>
      <c r="B3106" t="s">
        <v>18</v>
      </c>
      <c r="C3106" t="s">
        <v>68</v>
      </c>
      <c r="D3106" t="s">
        <v>258</v>
      </c>
      <c r="E3106" t="s">
        <v>2395</v>
      </c>
      <c r="F3106" t="s">
        <v>22</v>
      </c>
      <c r="G3106" t="s">
        <v>23</v>
      </c>
      <c r="H3106" t="s">
        <v>37</v>
      </c>
      <c r="I3106" t="s">
        <v>25</v>
      </c>
      <c r="J3106" t="s">
        <v>2396</v>
      </c>
      <c r="K3106">
        <v>28</v>
      </c>
      <c r="L3106">
        <v>4</v>
      </c>
      <c r="M3106">
        <v>2025</v>
      </c>
      <c r="N3106" t="s">
        <v>27</v>
      </c>
      <c r="O3106">
        <v>200</v>
      </c>
      <c r="P3106">
        <v>200</v>
      </c>
      <c r="R3106" s="3" t="str">
        <f>HYPERLINK("https://panda.att.com.mx/ODKServer/view/binaryData?blobKey=FSSuministroFluidosv3%5B%40version%3Dnull+and+%40uiVersion%3Dnull%5D%2Fdata%5B%40key%3Duuid%3Aca51d4cd-0d58-4083-8522-74566e578634%5D%2FgroupInfoFuel%5B%40ordinal%3D1%5D%2FpicFuelRecibeInterno","Descargar")</f>
        <v>Descargar</v>
      </c>
    </row>
    <row r="3107" spans="1:18" x14ac:dyDescent="0.3">
      <c r="A3107">
        <v>1525014</v>
      </c>
      <c r="B3107" t="s">
        <v>18</v>
      </c>
      <c r="C3107" t="s">
        <v>55</v>
      </c>
      <c r="D3107" t="s">
        <v>56</v>
      </c>
      <c r="E3107" t="s">
        <v>1842</v>
      </c>
      <c r="F3107" t="s">
        <v>22</v>
      </c>
      <c r="G3107" t="s">
        <v>23</v>
      </c>
      <c r="H3107" t="s">
        <v>1763</v>
      </c>
      <c r="I3107" t="s">
        <v>25</v>
      </c>
      <c r="J3107" t="s">
        <v>2397</v>
      </c>
      <c r="K3107">
        <v>27</v>
      </c>
      <c r="L3107">
        <v>4</v>
      </c>
      <c r="M3107">
        <v>2025</v>
      </c>
      <c r="N3107" t="s">
        <v>27</v>
      </c>
      <c r="O3107">
        <v>300</v>
      </c>
      <c r="P3107">
        <v>300</v>
      </c>
      <c r="R3107" s="3" t="str">
        <f>HYPERLINK("https://panda.att.com.mx/ODKServer/view/binaryData?blobKey=FSSuministroFluidosv3%5B%40version%3Dnull+and+%40uiVersion%3Dnull%5D%2Fdata%5B%40key%3Duuid%3A935d5fe8-5369-46c3-9bea-614389988891%5D%2FgroupInfoFuel%5B%40ordinal%3D1%5D%2FpicFuelRecibeInterno","Descargar")</f>
        <v>Descargar</v>
      </c>
    </row>
    <row r="3108" spans="1:18" x14ac:dyDescent="0.3">
      <c r="A3108">
        <v>1524979</v>
      </c>
      <c r="B3108" t="s">
        <v>18</v>
      </c>
      <c r="C3108" t="s">
        <v>68</v>
      </c>
      <c r="D3108" t="s">
        <v>91</v>
      </c>
      <c r="E3108" t="s">
        <v>970</v>
      </c>
      <c r="F3108" t="s">
        <v>22</v>
      </c>
      <c r="G3108" t="s">
        <v>23</v>
      </c>
      <c r="H3108" t="s">
        <v>37</v>
      </c>
      <c r="I3108" t="s">
        <v>25</v>
      </c>
      <c r="J3108" t="s">
        <v>2398</v>
      </c>
      <c r="K3108">
        <v>27</v>
      </c>
      <c r="L3108">
        <v>4</v>
      </c>
      <c r="M3108">
        <v>2025</v>
      </c>
      <c r="N3108" t="s">
        <v>27</v>
      </c>
      <c r="O3108">
        <v>75</v>
      </c>
      <c r="P3108">
        <v>75</v>
      </c>
      <c r="R3108" s="3" t="str">
        <f>HYPERLINK("https://panda.att.com.mx/ODKServer/view/binaryData?blobKey=FSSuministroFluidosv3%5B%40version%3Dnull+and+%40uiVersion%3Dnull%5D%2Fdata%5B%40key%3Duuid%3Aa70e95bf-8d45-4f50-ba13-4217b79ef55e%5D%2FgroupInfoFuel%5B%40ordinal%3D1%5D%2FpicFuelRecibeInterno","Descargar")</f>
        <v>Descargar</v>
      </c>
    </row>
    <row r="3109" spans="1:18" x14ac:dyDescent="0.3">
      <c r="A3109">
        <v>1524970</v>
      </c>
      <c r="B3109" t="s">
        <v>18</v>
      </c>
      <c r="C3109" t="s">
        <v>55</v>
      </c>
      <c r="D3109" t="s">
        <v>56</v>
      </c>
      <c r="E3109" t="s">
        <v>2316</v>
      </c>
      <c r="F3109" t="s">
        <v>22</v>
      </c>
      <c r="G3109" t="s">
        <v>23</v>
      </c>
      <c r="H3109" t="s">
        <v>1763</v>
      </c>
      <c r="I3109" t="s">
        <v>25</v>
      </c>
      <c r="J3109" t="s">
        <v>2399</v>
      </c>
      <c r="K3109">
        <v>27</v>
      </c>
      <c r="L3109">
        <v>4</v>
      </c>
      <c r="M3109">
        <v>2025</v>
      </c>
      <c r="N3109" t="s">
        <v>27</v>
      </c>
      <c r="O3109">
        <v>100</v>
      </c>
      <c r="P3109">
        <v>100</v>
      </c>
      <c r="R3109" s="3" t="str">
        <f>HYPERLINK("https://panda.att.com.mx/ODKServer/view/binaryData?blobKey=FSSuministroFluidosv3%5B%40version%3Dnull+and+%40uiVersion%3Dnull%5D%2Fdata%5B%40key%3Duuid%3A29ef1ca7-47c7-42a9-8e0e-c1dd13741d70%5D%2FgroupInfoFuel%5B%40ordinal%3D1%5D%2FpicFuelRecibeInterno","Descargar")</f>
        <v>Descargar</v>
      </c>
    </row>
    <row r="3110" spans="1:18" x14ac:dyDescent="0.3">
      <c r="A3110">
        <v>1524914</v>
      </c>
      <c r="B3110" t="s">
        <v>18</v>
      </c>
      <c r="C3110" t="s">
        <v>19</v>
      </c>
      <c r="D3110" t="s">
        <v>45</v>
      </c>
      <c r="E3110" t="s">
        <v>2195</v>
      </c>
      <c r="F3110" t="s">
        <v>22</v>
      </c>
      <c r="G3110" t="s">
        <v>23</v>
      </c>
      <c r="H3110" t="s">
        <v>24</v>
      </c>
      <c r="I3110" t="s">
        <v>25</v>
      </c>
      <c r="J3110" t="s">
        <v>2400</v>
      </c>
      <c r="K3110">
        <v>16</v>
      </c>
      <c r="L3110">
        <v>4</v>
      </c>
      <c r="M3110">
        <v>2025</v>
      </c>
      <c r="N3110" t="s">
        <v>44</v>
      </c>
      <c r="O3110">
        <v>47</v>
      </c>
      <c r="P3110">
        <v>47</v>
      </c>
      <c r="R3110" s="3" t="str">
        <f>HYPERLINK("https://panda.att.com.mx/ODKServer/view/binaryData?blobKey=FSSuministroFluidosv3%5B%40version%3Dnull+and+%40uiVersion%3Dnull%5D%2Fdata%5B%40key%3Duuid%3A57d332e1-458e-42b1-865b-c78ca0c590a4%5D%2FgroupInfoFuel%5B%40ordinal%3D1%5D%2FpicFuelRecibeInterno","Descargar")</f>
        <v>Descargar</v>
      </c>
    </row>
    <row r="3111" spans="1:18" x14ac:dyDescent="0.3">
      <c r="A3111">
        <v>1524889</v>
      </c>
      <c r="B3111" t="s">
        <v>18</v>
      </c>
      <c r="C3111" t="s">
        <v>59</v>
      </c>
      <c r="D3111" t="s">
        <v>60</v>
      </c>
      <c r="E3111" t="s">
        <v>2207</v>
      </c>
      <c r="F3111" t="s">
        <v>22</v>
      </c>
      <c r="G3111" t="s">
        <v>23</v>
      </c>
      <c r="H3111" t="s">
        <v>37</v>
      </c>
      <c r="I3111" t="s">
        <v>25</v>
      </c>
      <c r="J3111" t="s">
        <v>2401</v>
      </c>
      <c r="K3111">
        <v>26</v>
      </c>
      <c r="L3111">
        <v>4</v>
      </c>
      <c r="M3111">
        <v>2025</v>
      </c>
      <c r="N3111" t="s">
        <v>27</v>
      </c>
      <c r="O3111">
        <v>180</v>
      </c>
      <c r="P3111">
        <v>180</v>
      </c>
      <c r="R3111" s="3" t="str">
        <f>HYPERLINK("https://panda.att.com.mx/ODKServer/view/binaryData?blobKey=FSSuministroFluidosv3%5B%40version%3Dnull+and+%40uiVersion%3Dnull%5D%2Fdata%5B%40key%3Duuid%3A804364c8-7b66-45ce-954c-0c3ac3387e5a%5D%2FgroupInfoFuel%5B%40ordinal%3D1%5D%2FpicFuelRecibeInterno","Descargar")</f>
        <v>Descargar</v>
      </c>
    </row>
    <row r="3112" spans="1:18" x14ac:dyDescent="0.3">
      <c r="A3112">
        <v>1524887</v>
      </c>
      <c r="B3112" t="s">
        <v>18</v>
      </c>
      <c r="C3112" t="s">
        <v>59</v>
      </c>
      <c r="D3112" t="s">
        <v>60</v>
      </c>
      <c r="E3112" t="s">
        <v>2207</v>
      </c>
      <c r="F3112" t="s">
        <v>22</v>
      </c>
      <c r="G3112" t="s">
        <v>23</v>
      </c>
      <c r="H3112" t="s">
        <v>37</v>
      </c>
      <c r="I3112" t="s">
        <v>25</v>
      </c>
      <c r="J3112" t="s">
        <v>2402</v>
      </c>
      <c r="K3112">
        <v>24</v>
      </c>
      <c r="L3112">
        <v>4</v>
      </c>
      <c r="M3112">
        <v>2025</v>
      </c>
      <c r="N3112" t="s">
        <v>27</v>
      </c>
      <c r="O3112">
        <v>180</v>
      </c>
      <c r="P3112">
        <v>180</v>
      </c>
      <c r="R3112" s="3" t="str">
        <f>HYPERLINK("https://panda.att.com.mx/ODKServer/view/binaryData?blobKey=FSSuministroFluidosv3%5B%40version%3Dnull+and+%40uiVersion%3Dnull%5D%2Fdata%5B%40key%3Duuid%3A0aa0c73c-0d4f-4b4c-9681-170f0650d2c6%5D%2FgroupInfoFuel%5B%40ordinal%3D1%5D%2FpicFuelRecibeInterno","Descargar")</f>
        <v>Descargar</v>
      </c>
    </row>
    <row r="3113" spans="1:18" x14ac:dyDescent="0.3">
      <c r="A3113">
        <v>1524871</v>
      </c>
      <c r="B3113" t="s">
        <v>18</v>
      </c>
      <c r="C3113" t="s">
        <v>167</v>
      </c>
      <c r="D3113" t="s">
        <v>168</v>
      </c>
      <c r="E3113" t="s">
        <v>2062</v>
      </c>
      <c r="F3113" t="s">
        <v>22</v>
      </c>
      <c r="G3113" t="s">
        <v>83</v>
      </c>
      <c r="H3113" t="s">
        <v>58</v>
      </c>
      <c r="I3113" t="s">
        <v>25</v>
      </c>
      <c r="J3113" t="s">
        <v>2403</v>
      </c>
      <c r="K3113">
        <v>27</v>
      </c>
      <c r="L3113">
        <v>4</v>
      </c>
      <c r="M3113">
        <v>2025</v>
      </c>
      <c r="N3113" t="s">
        <v>27</v>
      </c>
      <c r="O3113">
        <v>150</v>
      </c>
      <c r="P3113">
        <v>150</v>
      </c>
      <c r="R3113" s="3" t="str">
        <f>HYPERLINK("https://panda.att.com.mx/ODKServer/view/binaryData?blobKey=FSSuministroFluidosv3%5B%40version%3Dnull+and+%40uiVersion%3Dnull%5D%2Fdata%5B%40key%3Duuid%3Ab38709d6-3a52-478e-9047-aa5da309288c%5D%2FgroupInfoFuel%5B%40ordinal%3D1%5D%2FpicFuelRecibeInterno","Descargar")</f>
        <v>Descargar</v>
      </c>
    </row>
    <row r="3114" spans="1:18" x14ac:dyDescent="0.3">
      <c r="A3114">
        <v>1524835</v>
      </c>
      <c r="B3114" t="s">
        <v>18</v>
      </c>
      <c r="C3114" t="s">
        <v>55</v>
      </c>
      <c r="D3114" t="s">
        <v>56</v>
      </c>
      <c r="E3114" t="s">
        <v>2404</v>
      </c>
      <c r="F3114" t="s">
        <v>22</v>
      </c>
      <c r="G3114" t="s">
        <v>23</v>
      </c>
      <c r="H3114" t="s">
        <v>1763</v>
      </c>
      <c r="I3114" t="s">
        <v>25</v>
      </c>
      <c r="J3114" t="s">
        <v>2405</v>
      </c>
      <c r="K3114">
        <v>25</v>
      </c>
      <c r="L3114">
        <v>4</v>
      </c>
      <c r="M3114">
        <v>2025</v>
      </c>
      <c r="N3114" t="s">
        <v>27</v>
      </c>
      <c r="O3114">
        <v>100</v>
      </c>
      <c r="P3114">
        <v>100</v>
      </c>
      <c r="R3114" s="3" t="str">
        <f>HYPERLINK("https://panda.att.com.mx/ODKServer/view/binaryData?blobKey=FSSuministroFluidosv3%5B%40version%3Dnull+and+%40uiVersion%3Dnull%5D%2Fdata%5B%40key%3Duuid%3Aff827db7-964b-4ba2-b6d9-70294c044e50%5D%2FgroupInfoFuel%5B%40ordinal%3D1%5D%2FpicFuelRecibeInterno","Descargar")</f>
        <v>Descargar</v>
      </c>
    </row>
    <row r="3115" spans="1:18" x14ac:dyDescent="0.3">
      <c r="A3115">
        <v>1524824</v>
      </c>
      <c r="B3115" t="s">
        <v>18</v>
      </c>
      <c r="C3115" t="s">
        <v>100</v>
      </c>
      <c r="D3115" t="s">
        <v>716</v>
      </c>
      <c r="E3115" t="s">
        <v>717</v>
      </c>
      <c r="F3115" t="s">
        <v>22</v>
      </c>
      <c r="G3115" t="s">
        <v>83</v>
      </c>
      <c r="H3115" t="s">
        <v>1781</v>
      </c>
      <c r="I3115" t="s">
        <v>25</v>
      </c>
      <c r="J3115" t="s">
        <v>2406</v>
      </c>
      <c r="K3115">
        <v>27</v>
      </c>
      <c r="L3115">
        <v>4</v>
      </c>
      <c r="M3115">
        <v>2025</v>
      </c>
      <c r="N3115" t="s">
        <v>27</v>
      </c>
      <c r="O3115">
        <v>120</v>
      </c>
      <c r="P3115">
        <v>120</v>
      </c>
      <c r="R3115" s="3" t="str">
        <f>HYPERLINK("https://panda.att.com.mx/ODKServer/view/binaryData?blobKey=FSSuministroFluidosv3%5B%40version%3Dnull+and+%40uiVersion%3Dnull%5D%2Fdata%5B%40key%3Duuid%3Ab9b282ea-9858-4949-9ea1-8bc66d388a04%5D%2FgroupInfoFuel%5B%40ordinal%3D1%5D%2FpicFuelRecibeInterno","Descargar")</f>
        <v>Descargar</v>
      </c>
    </row>
    <row r="3116" spans="1:18" x14ac:dyDescent="0.3">
      <c r="A3116">
        <v>1524818</v>
      </c>
      <c r="B3116" t="s">
        <v>18</v>
      </c>
      <c r="C3116" t="s">
        <v>34</v>
      </c>
      <c r="D3116" t="s">
        <v>53</v>
      </c>
      <c r="E3116" t="s">
        <v>1771</v>
      </c>
      <c r="F3116" t="s">
        <v>22</v>
      </c>
      <c r="G3116" t="s">
        <v>23</v>
      </c>
      <c r="H3116" t="s">
        <v>37</v>
      </c>
      <c r="I3116" t="s">
        <v>25</v>
      </c>
      <c r="J3116" t="s">
        <v>2407</v>
      </c>
      <c r="K3116">
        <v>24</v>
      </c>
      <c r="L3116">
        <v>4</v>
      </c>
      <c r="M3116">
        <v>2025</v>
      </c>
      <c r="N3116" t="s">
        <v>27</v>
      </c>
      <c r="O3116">
        <v>250</v>
      </c>
      <c r="P3116">
        <v>250</v>
      </c>
      <c r="R3116" s="3" t="str">
        <f>HYPERLINK("https://panda.att.com.mx/ODKServer/view/binaryData?blobKey=FSSuministroFluidosv3%5B%40version%3Dnull+and+%40uiVersion%3Dnull%5D%2Fdata%5B%40key%3Duuid%3Adfe81a2e-2f10-4d3f-8540-475a38b5594f%5D%2FgroupInfoFuel%5B%40ordinal%3D1%5D%2FpicFuelRecibeInterno","Descargar")</f>
        <v>Descargar</v>
      </c>
    </row>
    <row r="3117" spans="1:18" x14ac:dyDescent="0.3">
      <c r="A3117">
        <v>1524817</v>
      </c>
      <c r="B3117" t="s">
        <v>18</v>
      </c>
      <c r="C3117" t="s">
        <v>34</v>
      </c>
      <c r="D3117" t="s">
        <v>53</v>
      </c>
      <c r="E3117" t="s">
        <v>1771</v>
      </c>
      <c r="F3117" t="s">
        <v>22</v>
      </c>
      <c r="G3117" t="s">
        <v>23</v>
      </c>
      <c r="H3117" t="s">
        <v>37</v>
      </c>
      <c r="I3117" t="s">
        <v>25</v>
      </c>
      <c r="J3117" t="s">
        <v>2408</v>
      </c>
      <c r="K3117">
        <v>27</v>
      </c>
      <c r="L3117">
        <v>4</v>
      </c>
      <c r="M3117">
        <v>2025</v>
      </c>
      <c r="N3117" t="s">
        <v>27</v>
      </c>
      <c r="O3117">
        <v>250</v>
      </c>
      <c r="P3117">
        <v>250</v>
      </c>
      <c r="R3117" s="3" t="str">
        <f>HYPERLINK("https://panda.att.com.mx/ODKServer/view/binaryData?blobKey=FSSuministroFluidosv3%5B%40version%3Dnull+and+%40uiVersion%3Dnull%5D%2Fdata%5B%40key%3Duuid%3Ab05bf6c7-505a-443d-93e0-2c5887d58819%5D%2FgroupInfoFuel%5B%40ordinal%3D1%5D%2FpicFuelRecibeInterno","Descargar")</f>
        <v>Descargar</v>
      </c>
    </row>
    <row r="3118" spans="1:18" x14ac:dyDescent="0.3">
      <c r="A3118">
        <v>1524772</v>
      </c>
      <c r="B3118" t="s">
        <v>18</v>
      </c>
      <c r="C3118" t="s">
        <v>100</v>
      </c>
      <c r="D3118" t="s">
        <v>101</v>
      </c>
      <c r="E3118" t="s">
        <v>1768</v>
      </c>
      <c r="F3118" t="s">
        <v>22</v>
      </c>
      <c r="G3118" t="s">
        <v>23</v>
      </c>
      <c r="H3118" t="s">
        <v>1781</v>
      </c>
      <c r="I3118" t="s">
        <v>25</v>
      </c>
      <c r="J3118" t="s">
        <v>2409</v>
      </c>
      <c r="K3118">
        <v>26</v>
      </c>
      <c r="L3118">
        <v>4</v>
      </c>
      <c r="M3118">
        <v>2025</v>
      </c>
      <c r="N3118" t="s">
        <v>27</v>
      </c>
      <c r="O3118">
        <v>200</v>
      </c>
      <c r="P3118">
        <v>200</v>
      </c>
      <c r="R3118" s="3" t="str">
        <f>HYPERLINK("https://panda.att.com.mx/ODKServer/view/binaryData?blobKey=FSSuministroFluidosv3%5B%40version%3Dnull+and+%40uiVersion%3Dnull%5D%2Fdata%5B%40key%3Duuid%3A0a81c81b-ab3c-4643-a921-23dc8a376f0f%5D%2FgroupInfoFuel%5B%40ordinal%3D1%5D%2FpicFuelRecibeInterno","Descargar")</f>
        <v>Descargar</v>
      </c>
    </row>
    <row r="3119" spans="1:18" x14ac:dyDescent="0.3">
      <c r="A3119">
        <v>1524757</v>
      </c>
      <c r="B3119" t="s">
        <v>18</v>
      </c>
      <c r="C3119" t="s">
        <v>19</v>
      </c>
      <c r="D3119" t="s">
        <v>42</v>
      </c>
      <c r="E3119" t="s">
        <v>982</v>
      </c>
      <c r="F3119" t="s">
        <v>22</v>
      </c>
      <c r="G3119" t="s">
        <v>23</v>
      </c>
      <c r="H3119" t="s">
        <v>24</v>
      </c>
      <c r="I3119" t="s">
        <v>25</v>
      </c>
      <c r="J3119" t="s">
        <v>2410</v>
      </c>
      <c r="K3119">
        <v>27</v>
      </c>
      <c r="L3119">
        <v>4</v>
      </c>
      <c r="M3119">
        <v>2025</v>
      </c>
      <c r="N3119" t="s">
        <v>44</v>
      </c>
      <c r="O3119">
        <v>45</v>
      </c>
      <c r="P3119">
        <v>45</v>
      </c>
      <c r="R3119" s="3" t="str">
        <f>HYPERLINK("https://panda.att.com.mx/ODKServer/view/binaryData?blobKey=FSSuministroFluidosv3%5B%40version%3Dnull+and+%40uiVersion%3Dnull%5D%2Fdata%5B%40key%3Duuid%3A7626e283-5133-46e7-a8b0-534a876c7c7b%5D%2FgroupInfoFuel%5B%40ordinal%3D1%5D%2FpicFuelRecibeInterno","Descargar")</f>
        <v>Descargar</v>
      </c>
    </row>
    <row r="3120" spans="1:18" x14ac:dyDescent="0.3">
      <c r="A3120">
        <v>1524745</v>
      </c>
      <c r="B3120" t="s">
        <v>18</v>
      </c>
      <c r="C3120" t="s">
        <v>55</v>
      </c>
      <c r="D3120" t="s">
        <v>56</v>
      </c>
      <c r="E3120" t="s">
        <v>2083</v>
      </c>
      <c r="F3120" t="s">
        <v>22</v>
      </c>
      <c r="G3120" t="s">
        <v>23</v>
      </c>
      <c r="H3120" t="s">
        <v>1763</v>
      </c>
      <c r="I3120" t="s">
        <v>25</v>
      </c>
      <c r="J3120" t="s">
        <v>2411</v>
      </c>
      <c r="K3120">
        <v>27</v>
      </c>
      <c r="L3120">
        <v>4</v>
      </c>
      <c r="M3120">
        <v>2025</v>
      </c>
      <c r="N3120" t="s">
        <v>27</v>
      </c>
      <c r="O3120">
        <v>100</v>
      </c>
      <c r="P3120">
        <v>100</v>
      </c>
      <c r="R3120" s="3" t="str">
        <f>HYPERLINK("https://panda.att.com.mx/ODKServer/view/binaryData?blobKey=FSSuministroFluidosv3%5B%40version%3Dnull+and+%40uiVersion%3Dnull%5D%2Fdata%5B%40key%3Duuid%3A148493b2-3872-491f-9b34-6dd91054cad0%5D%2FgroupInfoFuel%5B%40ordinal%3D1%5D%2FpicFuelRecibeInterno","Descargar")</f>
        <v>Descargar</v>
      </c>
    </row>
    <row r="3121" spans="1:18" x14ac:dyDescent="0.3">
      <c r="A3121">
        <v>1524725</v>
      </c>
      <c r="B3121" t="s">
        <v>18</v>
      </c>
      <c r="C3121" t="s">
        <v>55</v>
      </c>
      <c r="D3121" t="s">
        <v>64</v>
      </c>
      <c r="E3121" t="s">
        <v>2343</v>
      </c>
      <c r="F3121" t="s">
        <v>22</v>
      </c>
      <c r="G3121" t="s">
        <v>23</v>
      </c>
      <c r="H3121" t="s">
        <v>1763</v>
      </c>
      <c r="I3121" t="s">
        <v>25</v>
      </c>
      <c r="J3121" t="s">
        <v>2412</v>
      </c>
      <c r="K3121">
        <v>26</v>
      </c>
      <c r="L3121">
        <v>4</v>
      </c>
      <c r="M3121">
        <v>2025</v>
      </c>
      <c r="N3121" t="s">
        <v>27</v>
      </c>
      <c r="O3121">
        <v>150</v>
      </c>
      <c r="P3121">
        <v>150</v>
      </c>
      <c r="R3121" s="3" t="str">
        <f>HYPERLINK("https://panda.att.com.mx/ODKServer/view/binaryData?blobKey=FSSuministroFluidosv3%5B%40version%3Dnull+and+%40uiVersion%3Dnull%5D%2Fdata%5B%40key%3Duuid%3A0cf3f992-5fb8-45a4-b75c-6d5aaeae3ebf%5D%2FgroupInfoFuel%5B%40ordinal%3D1%5D%2FpicFuelRecibeInterno","Descargar")</f>
        <v>Descargar</v>
      </c>
    </row>
    <row r="3122" spans="1:18" x14ac:dyDescent="0.3">
      <c r="A3122">
        <v>1524721</v>
      </c>
      <c r="B3122" t="s">
        <v>18</v>
      </c>
      <c r="C3122" t="s">
        <v>150</v>
      </c>
      <c r="D3122" t="s">
        <v>230</v>
      </c>
      <c r="E3122" t="s">
        <v>1510</v>
      </c>
      <c r="F3122" t="s">
        <v>22</v>
      </c>
      <c r="G3122" t="s">
        <v>23</v>
      </c>
      <c r="H3122" t="s">
        <v>1781</v>
      </c>
      <c r="I3122" t="s">
        <v>25</v>
      </c>
      <c r="J3122" t="s">
        <v>2413</v>
      </c>
      <c r="K3122">
        <v>27</v>
      </c>
      <c r="L3122">
        <v>4</v>
      </c>
      <c r="M3122">
        <v>2025</v>
      </c>
      <c r="N3122" t="s">
        <v>27</v>
      </c>
      <c r="O3122">
        <v>250</v>
      </c>
      <c r="P3122">
        <v>250</v>
      </c>
      <c r="R3122" s="3" t="str">
        <f>HYPERLINK("https://panda.att.com.mx/ODKServer/view/binaryData?blobKey=FSSuministroFluidosv3%5B%40version%3Dnull+and+%40uiVersion%3Dnull%5D%2Fdata%5B%40key%3Duuid%3A0fe43753-93c2-403b-814a-d7a981f89ea1%5D%2FgroupInfoFuel%5B%40ordinal%3D1%5D%2FpicFuelRecibeInterno","Descargar")</f>
        <v>Descargar</v>
      </c>
    </row>
    <row r="3123" spans="1:18" x14ac:dyDescent="0.3">
      <c r="A3123">
        <v>1524715</v>
      </c>
      <c r="B3123" t="s">
        <v>18</v>
      </c>
      <c r="C3123" t="s">
        <v>55</v>
      </c>
      <c r="D3123" t="s">
        <v>56</v>
      </c>
      <c r="E3123" t="s">
        <v>2083</v>
      </c>
      <c r="F3123" t="s">
        <v>22</v>
      </c>
      <c r="G3123" t="s">
        <v>23</v>
      </c>
      <c r="H3123" t="s">
        <v>1763</v>
      </c>
      <c r="I3123" t="s">
        <v>25</v>
      </c>
      <c r="J3123" t="s">
        <v>2414</v>
      </c>
      <c r="K3123">
        <v>26</v>
      </c>
      <c r="L3123">
        <v>4</v>
      </c>
      <c r="M3123">
        <v>2025</v>
      </c>
      <c r="N3123" t="s">
        <v>27</v>
      </c>
      <c r="O3123">
        <v>100</v>
      </c>
      <c r="P3123">
        <v>100</v>
      </c>
      <c r="R3123" s="3" t="str">
        <f>HYPERLINK("https://panda.att.com.mx/ODKServer/view/binaryData?blobKey=FSSuministroFluidosv3%5B%40version%3Dnull+and+%40uiVersion%3Dnull%5D%2Fdata%5B%40key%3Duuid%3A58b1c8c8-c2dd-49ef-9de6-b1c45272c114%5D%2FgroupInfoFuel%5B%40ordinal%3D1%5D%2FpicFuelRecibeInterno","Descargar")</f>
        <v>Descargar</v>
      </c>
    </row>
    <row r="3124" spans="1:18" x14ac:dyDescent="0.3">
      <c r="A3124">
        <v>1524665</v>
      </c>
      <c r="B3124" t="s">
        <v>18</v>
      </c>
      <c r="C3124" t="s">
        <v>59</v>
      </c>
      <c r="D3124" t="s">
        <v>1242</v>
      </c>
      <c r="E3124" t="s">
        <v>1513</v>
      </c>
      <c r="F3124" t="s">
        <v>22</v>
      </c>
      <c r="G3124" t="s">
        <v>23</v>
      </c>
      <c r="H3124" t="s">
        <v>37</v>
      </c>
      <c r="I3124" t="s">
        <v>25</v>
      </c>
      <c r="J3124" t="s">
        <v>2415</v>
      </c>
      <c r="K3124">
        <v>26</v>
      </c>
      <c r="L3124">
        <v>4</v>
      </c>
      <c r="M3124">
        <v>2025</v>
      </c>
      <c r="N3124" t="s">
        <v>27</v>
      </c>
      <c r="O3124">
        <v>350</v>
      </c>
      <c r="P3124">
        <v>350</v>
      </c>
      <c r="R3124" s="3" t="str">
        <f>HYPERLINK("https://panda.att.com.mx/ODKServer/view/binaryData?blobKey=FSSuministroFluidosv3%5B%40version%3Dnull+and+%40uiVersion%3Dnull%5D%2Fdata%5B%40key%3Duuid%3A037c6479-d91a-4217-945f-8881adc77145%5D%2FgroupInfoFuel%5B%40ordinal%3D1%5D%2FpicFuelRecibeInterno","Descargar")</f>
        <v>Descargar</v>
      </c>
    </row>
    <row r="3125" spans="1:18" x14ac:dyDescent="0.3">
      <c r="A3125">
        <v>1524644</v>
      </c>
      <c r="B3125" t="s">
        <v>18</v>
      </c>
      <c r="C3125" t="s">
        <v>34</v>
      </c>
      <c r="D3125" t="s">
        <v>51</v>
      </c>
      <c r="E3125" t="s">
        <v>2049</v>
      </c>
      <c r="F3125" t="s">
        <v>22</v>
      </c>
      <c r="G3125" t="s">
        <v>23</v>
      </c>
      <c r="H3125" t="s">
        <v>24</v>
      </c>
      <c r="I3125" t="s">
        <v>25</v>
      </c>
      <c r="J3125" t="s">
        <v>2416</v>
      </c>
      <c r="K3125">
        <v>23</v>
      </c>
      <c r="L3125">
        <v>4</v>
      </c>
      <c r="M3125">
        <v>2025</v>
      </c>
      <c r="N3125" t="s">
        <v>27</v>
      </c>
      <c r="O3125">
        <v>150</v>
      </c>
      <c r="Q3125">
        <v>150</v>
      </c>
      <c r="R3125" s="3" t="str">
        <f>HYPERLINK("https://panda.att.com.mx/ODKServer/view/binaryData?blobKey=FSSuministroFluidosv3%5B%40version%3Dnull+and+%40uiVersion%3Dnull%5D%2Fdata%5B%40key%3Duuid%3Ab7065b75-8d35-4e48-93a6-fdadfdd16859%5D%2FgroupInfoFuel%5B%40ordinal%3D1%5D%2FpicFuelRecibeInterno","Descargar")</f>
        <v>Descargar</v>
      </c>
    </row>
    <row r="3126" spans="1:18" x14ac:dyDescent="0.3">
      <c r="A3126">
        <v>1524636</v>
      </c>
      <c r="B3126" t="s">
        <v>18</v>
      </c>
      <c r="C3126" t="s">
        <v>28</v>
      </c>
      <c r="D3126" t="s">
        <v>1723</v>
      </c>
      <c r="E3126" t="s">
        <v>1724</v>
      </c>
      <c r="F3126" t="s">
        <v>22</v>
      </c>
      <c r="G3126" t="s">
        <v>23</v>
      </c>
      <c r="H3126" t="s">
        <v>24</v>
      </c>
      <c r="I3126" t="s">
        <v>25</v>
      </c>
      <c r="J3126" t="s">
        <v>2417</v>
      </c>
      <c r="K3126">
        <v>24</v>
      </c>
      <c r="L3126">
        <v>4</v>
      </c>
      <c r="M3126">
        <v>2025</v>
      </c>
      <c r="N3126" t="s">
        <v>27</v>
      </c>
      <c r="O3126">
        <v>350</v>
      </c>
      <c r="Q3126">
        <v>350</v>
      </c>
      <c r="R3126" s="3" t="str">
        <f>HYPERLINK("https://panda.att.com.mx/ODKServer/view/binaryData?blobKey=FSSuministroFluidosv3%5B%40version%3Dnull+and+%40uiVersion%3Dnull%5D%2Fdata%5B%40key%3Duuid%3A6c88e29d-5e38-4e92-a688-667c6add54fe%5D%2FgroupInfoFuel%5B%40ordinal%3D1%5D%2FpicFuelRecibeInterno","Descargar")</f>
        <v>Descargar</v>
      </c>
    </row>
    <row r="3127" spans="1:18" x14ac:dyDescent="0.3">
      <c r="A3127">
        <v>1520702</v>
      </c>
      <c r="B3127" t="s">
        <v>18</v>
      </c>
      <c r="C3127" t="s">
        <v>150</v>
      </c>
      <c r="D3127" t="s">
        <v>230</v>
      </c>
      <c r="E3127" t="s">
        <v>2418</v>
      </c>
      <c r="F3127" t="s">
        <v>22</v>
      </c>
      <c r="G3127" t="s">
        <v>23</v>
      </c>
      <c r="H3127" t="s">
        <v>1781</v>
      </c>
      <c r="I3127" t="s">
        <v>25</v>
      </c>
      <c r="J3127" t="s">
        <v>2419</v>
      </c>
      <c r="K3127">
        <v>22</v>
      </c>
      <c r="L3127">
        <v>4</v>
      </c>
      <c r="M3127">
        <v>2025</v>
      </c>
      <c r="N3127" t="s">
        <v>27</v>
      </c>
      <c r="O3127">
        <v>250.03</v>
      </c>
      <c r="P3127">
        <v>250.03</v>
      </c>
      <c r="R3127" s="3" t="str">
        <f>HYPERLINK("https://panda.att.com.mx/ODKServer/view/binaryData?blobKey=FSSuministroFluidosv3%5B%40version%3Dnull+and+%40uiVersion%3Dnull%5D%2Fdata%5B%40key%3Duuid%3Ab1fbe251-0263-496a-81bb-84ac3d3eec86%5D%2FgroupInfoFuel%5B%40ordinal%3D1%5D%2FpicFuelRecibeInterno","Descargar")</f>
        <v>Descargar</v>
      </c>
    </row>
    <row r="3128" spans="1:18" x14ac:dyDescent="0.3">
      <c r="A3128">
        <v>1520655</v>
      </c>
      <c r="B3128" t="s">
        <v>18</v>
      </c>
      <c r="C3128" t="s">
        <v>167</v>
      </c>
      <c r="D3128" t="s">
        <v>168</v>
      </c>
      <c r="E3128" t="s">
        <v>2062</v>
      </c>
      <c r="F3128" t="s">
        <v>22</v>
      </c>
      <c r="G3128" t="s">
        <v>83</v>
      </c>
      <c r="H3128" t="s">
        <v>58</v>
      </c>
      <c r="I3128" t="s">
        <v>25</v>
      </c>
      <c r="J3128" t="s">
        <v>2420</v>
      </c>
      <c r="K3128">
        <v>21</v>
      </c>
      <c r="L3128">
        <v>4</v>
      </c>
      <c r="M3128">
        <v>2025</v>
      </c>
      <c r="N3128" t="s">
        <v>27</v>
      </c>
      <c r="O3128">
        <v>150</v>
      </c>
      <c r="P3128">
        <v>150</v>
      </c>
      <c r="R3128" s="3" t="str">
        <f>HYPERLINK("https://panda.att.com.mx/ODKServer/view/binaryData?blobKey=FSSuministroFluidosv3%5B%40version%3Dnull+and+%40uiVersion%3Dnull%5D%2Fdata%5B%40key%3Duuid%3Acd945733-1aa4-418c-8236-e9b2f73dd5c4%5D%2FgroupInfoFuel%5B%40ordinal%3D1%5D%2FpicFuelRecibeInterno","Descargar")</f>
        <v>Descargar</v>
      </c>
    </row>
    <row r="3129" spans="1:18" x14ac:dyDescent="0.3">
      <c r="A3129">
        <v>1520647</v>
      </c>
      <c r="B3129" t="s">
        <v>18</v>
      </c>
      <c r="C3129" t="s">
        <v>55</v>
      </c>
      <c r="D3129" t="s">
        <v>64</v>
      </c>
      <c r="E3129" t="s">
        <v>2343</v>
      </c>
      <c r="F3129" t="s">
        <v>22</v>
      </c>
      <c r="G3129" t="s">
        <v>23</v>
      </c>
      <c r="H3129" t="s">
        <v>1763</v>
      </c>
      <c r="I3129" t="s">
        <v>25</v>
      </c>
      <c r="J3129" t="s">
        <v>2421</v>
      </c>
      <c r="K3129">
        <v>21</v>
      </c>
      <c r="L3129">
        <v>4</v>
      </c>
      <c r="M3129">
        <v>2025</v>
      </c>
      <c r="N3129" t="s">
        <v>27</v>
      </c>
      <c r="O3129">
        <v>250</v>
      </c>
      <c r="P3129">
        <v>250</v>
      </c>
      <c r="R3129" s="3" t="str">
        <f>HYPERLINK("https://panda.att.com.mx/ODKServer/view/binaryData?blobKey=FSSuministroFluidosv3%5B%40version%3Dnull+and+%40uiVersion%3Dnull%5D%2Fdata%5B%40key%3Duuid%3A6ce88bdb-f582-42d7-b1a0-d45587dbc9b5%5D%2FgroupInfoFuel%5B%40ordinal%3D1%5D%2FpicFuelRecibeInterno","Descargar")</f>
        <v>Descargar</v>
      </c>
    </row>
    <row r="3130" spans="1:18" x14ac:dyDescent="0.3">
      <c r="A3130">
        <v>1520611</v>
      </c>
      <c r="B3130" t="s">
        <v>18</v>
      </c>
      <c r="C3130" t="s">
        <v>55</v>
      </c>
      <c r="D3130" t="s">
        <v>89</v>
      </c>
      <c r="E3130" t="s">
        <v>1944</v>
      </c>
      <c r="F3130" t="s">
        <v>22</v>
      </c>
      <c r="G3130" t="s">
        <v>23</v>
      </c>
      <c r="H3130" t="s">
        <v>1763</v>
      </c>
      <c r="I3130" t="s">
        <v>25</v>
      </c>
      <c r="J3130" t="s">
        <v>2422</v>
      </c>
      <c r="K3130">
        <v>21</v>
      </c>
      <c r="L3130">
        <v>4</v>
      </c>
      <c r="M3130">
        <v>2025</v>
      </c>
      <c r="N3130" t="s">
        <v>27</v>
      </c>
      <c r="O3130">
        <v>200</v>
      </c>
      <c r="P3130">
        <v>200</v>
      </c>
      <c r="R3130" s="3" t="str">
        <f>HYPERLINK("https://panda.att.com.mx/ODKServer/view/binaryData?blobKey=FSSuministroFluidosv3%5B%40version%3Dnull+and+%40uiVersion%3Dnull%5D%2Fdata%5B%40key%3Duuid%3Af21d4190-1262-432f-a97f-d5773769ddd7%5D%2FgroupInfoFuel%5B%40ordinal%3D1%5D%2FpicFuelRecibeInterno","Descargar")</f>
        <v>Descargar</v>
      </c>
    </row>
    <row r="3131" spans="1:18" x14ac:dyDescent="0.3">
      <c r="A3131">
        <v>1520557</v>
      </c>
      <c r="B3131" t="s">
        <v>18</v>
      </c>
      <c r="C3131" t="s">
        <v>167</v>
      </c>
      <c r="D3131" t="s">
        <v>168</v>
      </c>
      <c r="E3131" t="s">
        <v>2062</v>
      </c>
      <c r="F3131" t="s">
        <v>22</v>
      </c>
      <c r="G3131" t="s">
        <v>83</v>
      </c>
      <c r="H3131" t="s">
        <v>58</v>
      </c>
      <c r="I3131" t="s">
        <v>25</v>
      </c>
      <c r="J3131" t="s">
        <v>2423</v>
      </c>
      <c r="K3131">
        <v>21</v>
      </c>
      <c r="L3131">
        <v>4</v>
      </c>
      <c r="M3131">
        <v>2025</v>
      </c>
      <c r="N3131" t="s">
        <v>27</v>
      </c>
      <c r="O3131">
        <v>150</v>
      </c>
      <c r="P3131">
        <v>150</v>
      </c>
      <c r="R3131" s="3" t="str">
        <f>HYPERLINK("https://panda.att.com.mx/ODKServer/view/binaryData?blobKey=FSSuministroFluidosv3%5B%40version%3Dnull+and+%40uiVersion%3Dnull%5D%2Fdata%5B%40key%3Duuid%3Aad9215a0-a04f-46a5-b9e7-3ede2afa1caa%5D%2FgroupInfoFuel%5B%40ordinal%3D1%5D%2FpicFuelRecibeInterno","Descargar")</f>
        <v>Descargar</v>
      </c>
    </row>
    <row r="3132" spans="1:18" x14ac:dyDescent="0.3">
      <c r="A3132">
        <v>1520529</v>
      </c>
      <c r="B3132" t="s">
        <v>18</v>
      </c>
      <c r="C3132" t="s">
        <v>167</v>
      </c>
      <c r="D3132" t="s">
        <v>268</v>
      </c>
      <c r="E3132" t="s">
        <v>729</v>
      </c>
      <c r="F3132" t="s">
        <v>22</v>
      </c>
      <c r="G3132" t="s">
        <v>23</v>
      </c>
      <c r="H3132" t="s">
        <v>58</v>
      </c>
      <c r="I3132" t="s">
        <v>25</v>
      </c>
      <c r="J3132" t="s">
        <v>2424</v>
      </c>
      <c r="K3132">
        <v>15</v>
      </c>
      <c r="L3132">
        <v>4</v>
      </c>
      <c r="M3132">
        <v>2025</v>
      </c>
      <c r="N3132" t="s">
        <v>27</v>
      </c>
      <c r="O3132">
        <v>86</v>
      </c>
      <c r="Q3132">
        <v>86</v>
      </c>
      <c r="R3132" s="3" t="str">
        <f>HYPERLINK("https://panda.att.com.mx/ODKServer/view/binaryData?blobKey=FSSuministroFluidosv3%5B%40version%3Dnull+and+%40uiVersion%3Dnull%5D%2Fdata%5B%40key%3Duuid%3A38d5591c-71ec-4d7a-bf4b-32d5509881f7%5D%2FgroupInfoFuel%5B%40ordinal%3D1%5D%2FpicFuelRecibeInterno","Descargar")</f>
        <v>Descargar</v>
      </c>
    </row>
    <row r="3133" spans="1:18" x14ac:dyDescent="0.3">
      <c r="A3133">
        <v>1520517</v>
      </c>
      <c r="B3133" t="s">
        <v>18</v>
      </c>
      <c r="C3133" t="s">
        <v>183</v>
      </c>
      <c r="D3133" t="s">
        <v>2425</v>
      </c>
      <c r="E3133" t="s">
        <v>2426</v>
      </c>
      <c r="F3133" t="s">
        <v>22</v>
      </c>
      <c r="G3133" t="s">
        <v>23</v>
      </c>
      <c r="H3133" t="s">
        <v>58</v>
      </c>
      <c r="I3133" t="s">
        <v>25</v>
      </c>
      <c r="J3133" t="s">
        <v>2427</v>
      </c>
      <c r="K3133">
        <v>16</v>
      </c>
      <c r="L3133">
        <v>4</v>
      </c>
      <c r="M3133">
        <v>2025</v>
      </c>
      <c r="N3133" t="s">
        <v>27</v>
      </c>
      <c r="O3133">
        <v>200</v>
      </c>
      <c r="P3133">
        <v>200</v>
      </c>
      <c r="R3133" s="3" t="str">
        <f>HYPERLINK("https://panda.att.com.mx/ODKServer/view/binaryData?blobKey=FSSuministroFluidosv3%5B%40version%3Dnull+and+%40uiVersion%3Dnull%5D%2Fdata%5B%40key%3Duuid%3A492db4ab-b7c6-4478-8c17-9eae7634064f%5D%2FgroupInfoFuel%5B%40ordinal%3D1%5D%2FpicFuelRecibeInterno","Descargar")</f>
        <v>Descargar</v>
      </c>
    </row>
    <row r="3134" spans="1:18" x14ac:dyDescent="0.3">
      <c r="A3134">
        <v>1520512</v>
      </c>
      <c r="B3134" t="s">
        <v>18</v>
      </c>
      <c r="C3134" t="s">
        <v>167</v>
      </c>
      <c r="D3134" t="s">
        <v>268</v>
      </c>
      <c r="E3134" t="s">
        <v>729</v>
      </c>
      <c r="F3134" t="s">
        <v>22</v>
      </c>
      <c r="G3134" t="s">
        <v>23</v>
      </c>
      <c r="H3134" t="s">
        <v>58</v>
      </c>
      <c r="I3134" t="s">
        <v>25</v>
      </c>
      <c r="J3134" t="s">
        <v>2428</v>
      </c>
      <c r="K3134">
        <v>15</v>
      </c>
      <c r="L3134">
        <v>4</v>
      </c>
      <c r="M3134">
        <v>2025</v>
      </c>
      <c r="N3134" t="s">
        <v>27</v>
      </c>
      <c r="O3134">
        <v>214</v>
      </c>
      <c r="P3134">
        <v>214</v>
      </c>
      <c r="R3134" s="3" t="str">
        <f>HYPERLINK("https://panda.att.com.mx/ODKServer/view/binaryData?blobKey=FSSuministroFluidosv3%5B%40version%3Dnull+and+%40uiVersion%3Dnull%5D%2Fdata%5B%40key%3Duuid%3A78aae505-d7b5-4bc3-828a-f3660644d2bf%5D%2FgroupInfoFuel%5B%40ordinal%3D1%5D%2FpicFuelRecibeInterno","Descargar")</f>
        <v>Descargar</v>
      </c>
    </row>
    <row r="3135" spans="1:18" x14ac:dyDescent="0.3">
      <c r="A3135">
        <v>1520335</v>
      </c>
      <c r="B3135" t="s">
        <v>18</v>
      </c>
      <c r="C3135" t="s">
        <v>167</v>
      </c>
      <c r="D3135" t="s">
        <v>168</v>
      </c>
      <c r="E3135" t="s">
        <v>266</v>
      </c>
      <c r="F3135" t="s">
        <v>22</v>
      </c>
      <c r="G3135" t="s">
        <v>83</v>
      </c>
      <c r="H3135" t="s">
        <v>58</v>
      </c>
      <c r="I3135" t="s">
        <v>25</v>
      </c>
      <c r="J3135" t="s">
        <v>2429</v>
      </c>
      <c r="K3135">
        <v>12</v>
      </c>
      <c r="L3135">
        <v>4</v>
      </c>
      <c r="M3135">
        <v>2025</v>
      </c>
      <c r="N3135" t="s">
        <v>27</v>
      </c>
      <c r="O3135">
        <v>450</v>
      </c>
      <c r="P3135">
        <v>450</v>
      </c>
      <c r="R3135" s="3" t="str">
        <f>HYPERLINK("https://panda.att.com.mx/ODKServer/view/binaryData?blobKey=FSSuministroFluidosv3%5B%40version%3Dnull+and+%40uiVersion%3Dnull%5D%2Fdata%5B%40key%3Duuid%3A52122eb1-b207-4c74-a0ea-2ac6156bac16%5D%2FgroupInfoFuel%5B%40ordinal%3D1%5D%2FpicFuelRecibeInterno","Descargar")</f>
        <v>Descargar</v>
      </c>
    </row>
    <row r="3136" spans="1:18" x14ac:dyDescent="0.3">
      <c r="A3136">
        <v>1520297</v>
      </c>
      <c r="B3136" t="s">
        <v>18</v>
      </c>
      <c r="C3136" t="s">
        <v>167</v>
      </c>
      <c r="D3136" t="s">
        <v>168</v>
      </c>
      <c r="E3136" t="s">
        <v>2062</v>
      </c>
      <c r="F3136" t="s">
        <v>22</v>
      </c>
      <c r="G3136" t="s">
        <v>83</v>
      </c>
      <c r="H3136" t="s">
        <v>58</v>
      </c>
      <c r="I3136" t="s">
        <v>25</v>
      </c>
      <c r="J3136" t="s">
        <v>2430</v>
      </c>
      <c r="K3136">
        <v>7</v>
      </c>
      <c r="L3136">
        <v>4</v>
      </c>
      <c r="M3136">
        <v>2025</v>
      </c>
      <c r="N3136" t="s">
        <v>27</v>
      </c>
      <c r="O3136">
        <v>150</v>
      </c>
      <c r="P3136">
        <v>150</v>
      </c>
      <c r="R3136" s="3" t="str">
        <f>HYPERLINK("https://panda.att.com.mx/ODKServer/view/binaryData?blobKey=FSSuministroFluidosv3%5B%40version%3Dnull+and+%40uiVersion%3Dnull%5D%2Fdata%5B%40key%3Duuid%3A7347003e-7f66-4102-841a-ac8f174c68dc%5D%2FgroupInfoFuel%5B%40ordinal%3D1%5D%2FpicFuelRecibeInterno","Descargar")</f>
        <v>Descargar</v>
      </c>
    </row>
    <row r="3137" spans="1:18" x14ac:dyDescent="0.3">
      <c r="A3137">
        <v>1520296</v>
      </c>
      <c r="B3137" t="s">
        <v>18</v>
      </c>
      <c r="C3137" t="s">
        <v>167</v>
      </c>
      <c r="D3137" t="s">
        <v>168</v>
      </c>
      <c r="E3137" t="s">
        <v>169</v>
      </c>
      <c r="F3137" t="s">
        <v>22</v>
      </c>
      <c r="G3137" t="s">
        <v>83</v>
      </c>
      <c r="H3137" t="s">
        <v>58</v>
      </c>
      <c r="I3137" t="s">
        <v>25</v>
      </c>
      <c r="J3137" t="s">
        <v>2431</v>
      </c>
      <c r="K3137">
        <v>7</v>
      </c>
      <c r="L3137">
        <v>4</v>
      </c>
      <c r="M3137">
        <v>2025</v>
      </c>
      <c r="N3137" t="s">
        <v>27</v>
      </c>
      <c r="O3137">
        <v>450</v>
      </c>
      <c r="P3137">
        <v>450</v>
      </c>
      <c r="R3137" s="3" t="str">
        <f>HYPERLINK("https://panda.att.com.mx/ODKServer/view/binaryData?blobKey=FSSuministroFluidosv3%5B%40version%3Dnull+and+%40uiVersion%3Dnull%5D%2Fdata%5B%40key%3Duuid%3A43ffac47-a62f-4fac-9295-0ebc8896eb16%5D%2FgroupInfoFuel%5B%40ordinal%3D1%5D%2FpicFuelRecibeInterno","Descargar")</f>
        <v>Descargar</v>
      </c>
    </row>
    <row r="3138" spans="1:18" x14ac:dyDescent="0.3">
      <c r="A3138">
        <v>1520295</v>
      </c>
      <c r="B3138" t="s">
        <v>18</v>
      </c>
      <c r="C3138" t="s">
        <v>167</v>
      </c>
      <c r="D3138" t="s">
        <v>168</v>
      </c>
      <c r="E3138" t="s">
        <v>2062</v>
      </c>
      <c r="F3138" t="s">
        <v>22</v>
      </c>
      <c r="G3138" t="s">
        <v>83</v>
      </c>
      <c r="H3138" t="s">
        <v>58</v>
      </c>
      <c r="I3138" t="s">
        <v>25</v>
      </c>
      <c r="J3138" t="s">
        <v>2432</v>
      </c>
      <c r="K3138">
        <v>15</v>
      </c>
      <c r="L3138">
        <v>4</v>
      </c>
      <c r="M3138">
        <v>2025</v>
      </c>
      <c r="N3138" t="s">
        <v>27</v>
      </c>
      <c r="O3138">
        <v>150</v>
      </c>
      <c r="P3138">
        <v>150</v>
      </c>
      <c r="R3138" s="3" t="str">
        <f>HYPERLINK("https://panda.att.com.mx/ODKServer/view/binaryData?blobKey=FSSuministroFluidosv3%5B%40version%3Dnull+and+%40uiVersion%3Dnull%5D%2Fdata%5B%40key%3Duuid%3A48a06597-ecc0-46f2-804f-eeb756e78bfe%5D%2FgroupInfoFuel%5B%40ordinal%3D1%5D%2FpicFuelRecibeInterno","Descargar")</f>
        <v>Descargar</v>
      </c>
    </row>
    <row r="3139" spans="1:18" x14ac:dyDescent="0.3">
      <c r="A3139">
        <v>1520276</v>
      </c>
      <c r="B3139" t="s">
        <v>18</v>
      </c>
      <c r="C3139" t="s">
        <v>167</v>
      </c>
      <c r="D3139" t="s">
        <v>168</v>
      </c>
      <c r="E3139" t="s">
        <v>169</v>
      </c>
      <c r="F3139" t="s">
        <v>22</v>
      </c>
      <c r="G3139" t="s">
        <v>83</v>
      </c>
      <c r="H3139" t="s">
        <v>58</v>
      </c>
      <c r="I3139" t="s">
        <v>25</v>
      </c>
      <c r="J3139" t="s">
        <v>2433</v>
      </c>
      <c r="K3139">
        <v>18</v>
      </c>
      <c r="L3139">
        <v>4</v>
      </c>
      <c r="M3139">
        <v>2025</v>
      </c>
      <c r="N3139" t="s">
        <v>27</v>
      </c>
      <c r="O3139">
        <v>450</v>
      </c>
      <c r="P3139">
        <v>450</v>
      </c>
      <c r="R3139" s="3" t="str">
        <f>HYPERLINK("https://panda.att.com.mx/ODKServer/view/binaryData?blobKey=FSSuministroFluidosv3%5B%40version%3Dnull+and+%40uiVersion%3Dnull%5D%2Fdata%5B%40key%3Duuid%3A392d4f57-036a-4f0d-8fee-39101905ee83%5D%2FgroupInfoFuel%5B%40ordinal%3D1%5D%2FpicFuelRecibeInterno","Descargar")</f>
        <v>Descargar</v>
      </c>
    </row>
    <row r="3140" spans="1:18" x14ac:dyDescent="0.3">
      <c r="A3140">
        <v>1520275</v>
      </c>
      <c r="B3140" t="s">
        <v>18</v>
      </c>
      <c r="C3140" t="s">
        <v>167</v>
      </c>
      <c r="D3140" t="s">
        <v>168</v>
      </c>
      <c r="E3140" t="s">
        <v>2062</v>
      </c>
      <c r="F3140" t="s">
        <v>22</v>
      </c>
      <c r="G3140" t="s">
        <v>83</v>
      </c>
      <c r="H3140" t="s">
        <v>58</v>
      </c>
      <c r="I3140" t="s">
        <v>25</v>
      </c>
      <c r="J3140" t="s">
        <v>2434</v>
      </c>
      <c r="K3140">
        <v>19</v>
      </c>
      <c r="L3140">
        <v>4</v>
      </c>
      <c r="M3140">
        <v>2025</v>
      </c>
      <c r="N3140" t="s">
        <v>27</v>
      </c>
      <c r="O3140">
        <v>150</v>
      </c>
      <c r="P3140">
        <v>150</v>
      </c>
      <c r="R3140" s="3" t="str">
        <f>HYPERLINK("https://panda.att.com.mx/ODKServer/view/binaryData?blobKey=FSSuministroFluidosv3%5B%40version%3Dnull+and+%40uiVersion%3Dnull%5D%2Fdata%5B%40key%3Duuid%3A0355cb1e-e8a9-4033-9032-b1c819770dc1%5D%2FgroupInfoFuel%5B%40ordinal%3D1%5D%2FpicFuelRecibeInterno","Descargar")</f>
        <v>Descargar</v>
      </c>
    </row>
    <row r="3141" spans="1:18" x14ac:dyDescent="0.3">
      <c r="A3141">
        <v>1520180</v>
      </c>
      <c r="B3141" t="s">
        <v>18</v>
      </c>
      <c r="C3141" t="s">
        <v>100</v>
      </c>
      <c r="D3141" t="s">
        <v>854</v>
      </c>
      <c r="E3141" t="s">
        <v>993</v>
      </c>
      <c r="F3141" t="s">
        <v>22</v>
      </c>
      <c r="G3141" t="s">
        <v>83</v>
      </c>
      <c r="H3141" t="s">
        <v>1781</v>
      </c>
      <c r="I3141" t="s">
        <v>25</v>
      </c>
      <c r="J3141" t="s">
        <v>2435</v>
      </c>
      <c r="K3141">
        <v>21</v>
      </c>
      <c r="L3141">
        <v>4</v>
      </c>
      <c r="M3141">
        <v>2025</v>
      </c>
      <c r="N3141" t="s">
        <v>27</v>
      </c>
      <c r="O3141">
        <v>200</v>
      </c>
      <c r="P3141">
        <v>200</v>
      </c>
      <c r="R3141" s="3" t="str">
        <f>HYPERLINK("https://panda.att.com.mx/ODKServer/view/binaryData?blobKey=FSSuministroFluidosv3%5B%40version%3Dnull+and+%40uiVersion%3Dnull%5D%2Fdata%5B%40key%3Duuid%3Ad8fe2897-8e92-4097-a32c-a6a8aaaeeeaa%5D%2FgroupInfoFuel%5B%40ordinal%3D1%5D%2FpicFuelRecibeInterno","Descargar")</f>
        <v>Descargar</v>
      </c>
    </row>
    <row r="3142" spans="1:18" x14ac:dyDescent="0.3">
      <c r="A3142">
        <v>1520125</v>
      </c>
      <c r="B3142" t="s">
        <v>18</v>
      </c>
      <c r="C3142" t="s">
        <v>100</v>
      </c>
      <c r="D3142" t="s">
        <v>716</v>
      </c>
      <c r="E3142" t="s">
        <v>717</v>
      </c>
      <c r="F3142" t="s">
        <v>22</v>
      </c>
      <c r="G3142" t="s">
        <v>83</v>
      </c>
      <c r="H3142" t="s">
        <v>1781</v>
      </c>
      <c r="I3142" t="s">
        <v>25</v>
      </c>
      <c r="J3142" t="s">
        <v>2436</v>
      </c>
      <c r="K3142">
        <v>21</v>
      </c>
      <c r="L3142">
        <v>4</v>
      </c>
      <c r="M3142">
        <v>2025</v>
      </c>
      <c r="N3142" t="s">
        <v>27</v>
      </c>
      <c r="O3142">
        <v>150</v>
      </c>
      <c r="P3142">
        <v>150</v>
      </c>
      <c r="R3142" s="3" t="str">
        <f>HYPERLINK("https://panda.att.com.mx/ODKServer/view/binaryData?blobKey=FSSuministroFluidosv3%5B%40version%3Dnull+and+%40uiVersion%3Dnull%5D%2Fdata%5B%40key%3Duuid%3A5bfdb904-eb74-459e-a153-03f2487e2170%5D%2FgroupInfoFuel%5B%40ordinal%3D1%5D%2FpicFuelRecibeInterno","Descargar")</f>
        <v>Descargar</v>
      </c>
    </row>
    <row r="3143" spans="1:18" x14ac:dyDescent="0.3">
      <c r="A3143">
        <v>1520005</v>
      </c>
      <c r="B3143" t="s">
        <v>18</v>
      </c>
      <c r="C3143" t="s">
        <v>150</v>
      </c>
      <c r="D3143" t="s">
        <v>230</v>
      </c>
      <c r="E3143" t="s">
        <v>1510</v>
      </c>
      <c r="F3143" t="s">
        <v>22</v>
      </c>
      <c r="G3143" t="s">
        <v>23</v>
      </c>
      <c r="H3143" t="s">
        <v>1781</v>
      </c>
      <c r="I3143" t="s">
        <v>25</v>
      </c>
      <c r="J3143" t="s">
        <v>2437</v>
      </c>
      <c r="K3143">
        <v>21</v>
      </c>
      <c r="L3143">
        <v>4</v>
      </c>
      <c r="M3143">
        <v>2025</v>
      </c>
      <c r="N3143" t="s">
        <v>27</v>
      </c>
      <c r="O3143">
        <v>398.48</v>
      </c>
      <c r="P3143">
        <v>398.48</v>
      </c>
      <c r="R3143" s="3" t="str">
        <f>HYPERLINK("https://panda.att.com.mx/ODKServer/view/binaryData?blobKey=FSSuministroFluidosv3%5B%40version%3Dnull+and+%40uiVersion%3Dnull%5D%2Fdata%5B%40key%3Duuid%3A8dd0aa27-0bbc-49b5-807b-77931bd63f58%5D%2FgroupInfoFuel%5B%40ordinal%3D1%5D%2FpicFuelRecibeInterno","Descargar")</f>
        <v>Descargar</v>
      </c>
    </row>
    <row r="3144" spans="1:18" x14ac:dyDescent="0.3">
      <c r="A3144">
        <v>1520004</v>
      </c>
      <c r="B3144" t="s">
        <v>18</v>
      </c>
      <c r="C3144" t="s">
        <v>59</v>
      </c>
      <c r="D3144" t="s">
        <v>1745</v>
      </c>
      <c r="E3144" t="s">
        <v>1969</v>
      </c>
      <c r="F3144" t="s">
        <v>22</v>
      </c>
      <c r="G3144" t="s">
        <v>23</v>
      </c>
      <c r="H3144" t="s">
        <v>24</v>
      </c>
      <c r="I3144" t="s">
        <v>25</v>
      </c>
      <c r="J3144" t="s">
        <v>2438</v>
      </c>
      <c r="K3144">
        <v>21</v>
      </c>
      <c r="L3144">
        <v>4</v>
      </c>
      <c r="M3144">
        <v>2025</v>
      </c>
      <c r="N3144" t="s">
        <v>44</v>
      </c>
      <c r="O3144">
        <v>50</v>
      </c>
      <c r="P3144">
        <v>50</v>
      </c>
      <c r="R3144" s="3" t="str">
        <f>HYPERLINK("https://panda.att.com.mx/ODKServer/view/binaryData?blobKey=FSSuministroFluidosv3%5B%40version%3Dnull+and+%40uiVersion%3Dnull%5D%2Fdata%5B%40key%3Duuid%3A29e8ca8e-5aaa-4e81-ab1a-66e62bfbe1f2%5D%2FgroupInfoFuel%5B%40ordinal%3D1%5D%2FpicFuelRecibeInterno","Descargar")</f>
        <v>Descargar</v>
      </c>
    </row>
    <row r="3145" spans="1:18" x14ac:dyDescent="0.3">
      <c r="A3145">
        <v>1520003</v>
      </c>
      <c r="B3145" t="s">
        <v>18</v>
      </c>
      <c r="C3145" t="s">
        <v>59</v>
      </c>
      <c r="D3145" t="s">
        <v>1745</v>
      </c>
      <c r="E3145" t="s">
        <v>2439</v>
      </c>
      <c r="F3145" t="s">
        <v>22</v>
      </c>
      <c r="G3145" t="s">
        <v>23</v>
      </c>
      <c r="H3145" t="s">
        <v>24</v>
      </c>
      <c r="I3145" t="s">
        <v>25</v>
      </c>
      <c r="J3145" t="s">
        <v>2440</v>
      </c>
      <c r="K3145">
        <v>21</v>
      </c>
      <c r="L3145">
        <v>4</v>
      </c>
      <c r="M3145">
        <v>2025</v>
      </c>
      <c r="N3145" t="s">
        <v>44</v>
      </c>
      <c r="O3145">
        <v>50</v>
      </c>
      <c r="P3145">
        <v>50</v>
      </c>
      <c r="R3145" s="3" t="str">
        <f>HYPERLINK("https://panda.att.com.mx/ODKServer/view/binaryData?blobKey=FSSuministroFluidosv3%5B%40version%3Dnull+and+%40uiVersion%3Dnull%5D%2Fdata%5B%40key%3Duuid%3Ada298894-635f-44d4-baf2-2ea99bb95d2f%5D%2FgroupInfoFuel%5B%40ordinal%3D1%5D%2FpicFuelRecibeInterno","Descargar")</f>
        <v>Descargar</v>
      </c>
    </row>
    <row r="3146" spans="1:18" x14ac:dyDescent="0.3">
      <c r="A3146">
        <v>1519977</v>
      </c>
      <c r="B3146" t="s">
        <v>18</v>
      </c>
      <c r="C3146" t="s">
        <v>55</v>
      </c>
      <c r="D3146" t="s">
        <v>128</v>
      </c>
      <c r="E3146" t="s">
        <v>2441</v>
      </c>
      <c r="F3146" t="s">
        <v>22</v>
      </c>
      <c r="G3146" t="s">
        <v>23</v>
      </c>
      <c r="H3146" t="s">
        <v>1763</v>
      </c>
      <c r="I3146" t="s">
        <v>25</v>
      </c>
      <c r="J3146" t="s">
        <v>2442</v>
      </c>
      <c r="K3146">
        <v>21</v>
      </c>
      <c r="L3146">
        <v>4</v>
      </c>
      <c r="M3146">
        <v>2025</v>
      </c>
      <c r="N3146" t="s">
        <v>27</v>
      </c>
      <c r="O3146">
        <v>300</v>
      </c>
      <c r="P3146">
        <v>300</v>
      </c>
      <c r="R3146" s="3" t="str">
        <f>HYPERLINK("https://panda.att.com.mx/ODKServer/view/binaryData?blobKey=FSSuministroFluidosv3%5B%40version%3Dnull+and+%40uiVersion%3Dnull%5D%2Fdata%5B%40key%3Duuid%3Afb08ff20-39df-4541-b4aa-b43c311d0dc2%5D%2FgroupInfoFuel%5B%40ordinal%3D1%5D%2FpicFuelRecibeInterno","Descargar")</f>
        <v>Descargar</v>
      </c>
    </row>
    <row r="3147" spans="1:18" x14ac:dyDescent="0.3">
      <c r="A3147">
        <v>1519973</v>
      </c>
      <c r="B3147" t="s">
        <v>18</v>
      </c>
      <c r="C3147" t="s">
        <v>55</v>
      </c>
      <c r="D3147" t="s">
        <v>56</v>
      </c>
      <c r="E3147" t="s">
        <v>1842</v>
      </c>
      <c r="F3147" t="s">
        <v>22</v>
      </c>
      <c r="G3147" t="s">
        <v>23</v>
      </c>
      <c r="H3147" t="s">
        <v>1763</v>
      </c>
      <c r="I3147" t="s">
        <v>25</v>
      </c>
      <c r="J3147" t="s">
        <v>2443</v>
      </c>
      <c r="K3147">
        <v>18</v>
      </c>
      <c r="L3147">
        <v>4</v>
      </c>
      <c r="M3147">
        <v>2025</v>
      </c>
      <c r="N3147" t="s">
        <v>27</v>
      </c>
      <c r="O3147">
        <v>300</v>
      </c>
      <c r="P3147">
        <v>300</v>
      </c>
      <c r="R3147" s="3" t="str">
        <f>HYPERLINK("https://panda.att.com.mx/ODKServer/view/binaryData?blobKey=FSSuministroFluidosv3%5B%40version%3Dnull+and+%40uiVersion%3Dnull%5D%2Fdata%5B%40key%3Duuid%3A64522059-bdc9-4159-afed-e68a3e100112%5D%2FgroupInfoFuel%5B%40ordinal%3D1%5D%2FpicFuelRecibeInterno","Descargar")</f>
        <v>Descargar</v>
      </c>
    </row>
    <row r="3148" spans="1:18" x14ac:dyDescent="0.3">
      <c r="A3148">
        <v>1519935</v>
      </c>
      <c r="B3148" t="s">
        <v>18</v>
      </c>
      <c r="C3148" t="s">
        <v>28</v>
      </c>
      <c r="D3148" t="s">
        <v>118</v>
      </c>
      <c r="E3148" t="s">
        <v>2032</v>
      </c>
      <c r="F3148" t="s">
        <v>22</v>
      </c>
      <c r="G3148" t="s">
        <v>23</v>
      </c>
      <c r="H3148" t="s">
        <v>24</v>
      </c>
      <c r="I3148" t="s">
        <v>25</v>
      </c>
      <c r="J3148" t="s">
        <v>2444</v>
      </c>
      <c r="K3148">
        <v>20</v>
      </c>
      <c r="L3148">
        <v>4</v>
      </c>
      <c r="M3148">
        <v>2025</v>
      </c>
      <c r="N3148" t="s">
        <v>44</v>
      </c>
      <c r="O3148">
        <v>30</v>
      </c>
      <c r="Q3148">
        <v>30</v>
      </c>
      <c r="R3148" s="3" t="str">
        <f>HYPERLINK("https://panda.att.com.mx/ODKServer/view/binaryData?blobKey=FSSuministroFluidosv3%5B%40version%3Dnull+and+%40uiVersion%3Dnull%5D%2Fdata%5B%40key%3Duuid%3Abcf719b1-9910-4638-aa0e-878b7e1d808b%5D%2FgroupInfoFuel%5B%40ordinal%3D1%5D%2FpicFuelRecibeInterno","Descargar")</f>
        <v>Descargar</v>
      </c>
    </row>
    <row r="3149" spans="1:18" x14ac:dyDescent="0.3">
      <c r="A3149">
        <v>1519927</v>
      </c>
      <c r="B3149" t="s">
        <v>18</v>
      </c>
      <c r="C3149" t="s">
        <v>100</v>
      </c>
      <c r="D3149" t="s">
        <v>651</v>
      </c>
      <c r="E3149" t="s">
        <v>2445</v>
      </c>
      <c r="F3149" t="s">
        <v>22</v>
      </c>
      <c r="G3149" t="s">
        <v>23</v>
      </c>
      <c r="H3149" t="s">
        <v>1781</v>
      </c>
      <c r="I3149" t="s">
        <v>25</v>
      </c>
      <c r="J3149" t="s">
        <v>2446</v>
      </c>
      <c r="K3149">
        <v>20</v>
      </c>
      <c r="L3149">
        <v>4</v>
      </c>
      <c r="M3149">
        <v>2025</v>
      </c>
      <c r="N3149" t="s">
        <v>27</v>
      </c>
      <c r="O3149">
        <v>105</v>
      </c>
      <c r="P3149">
        <v>105</v>
      </c>
      <c r="R3149" s="3" t="str">
        <f>HYPERLINK("https://panda.att.com.mx/ODKServer/view/binaryData?blobKey=FSSuministroFluidosv3%5B%40version%3Dnull+and+%40uiVersion%3Dnull%5D%2Fdata%5B%40key%3Duuid%3A7166b8a4-7f52-4ddc-880f-738f1d5eb096%5D%2FgroupInfoFuel%5B%40ordinal%3D1%5D%2FpicFuelRecibeInterno","Descargar")</f>
        <v>Descargar</v>
      </c>
    </row>
    <row r="3150" spans="1:18" x14ac:dyDescent="0.3">
      <c r="A3150">
        <v>1519919</v>
      </c>
      <c r="B3150" t="s">
        <v>18</v>
      </c>
      <c r="C3150" t="s">
        <v>19</v>
      </c>
      <c r="D3150" t="s">
        <v>140</v>
      </c>
      <c r="E3150" t="s">
        <v>1599</v>
      </c>
      <c r="F3150" t="s">
        <v>22</v>
      </c>
      <c r="G3150" t="s">
        <v>23</v>
      </c>
      <c r="H3150" t="s">
        <v>24</v>
      </c>
      <c r="I3150" t="s">
        <v>25</v>
      </c>
      <c r="J3150" t="s">
        <v>2447</v>
      </c>
      <c r="K3150">
        <v>17</v>
      </c>
      <c r="L3150">
        <v>4</v>
      </c>
      <c r="M3150">
        <v>2025</v>
      </c>
      <c r="N3150" t="s">
        <v>27</v>
      </c>
      <c r="O3150">
        <v>100</v>
      </c>
      <c r="P3150">
        <v>100</v>
      </c>
      <c r="R3150" s="3" t="str">
        <f>HYPERLINK("https://panda.att.com.mx/ODKServer/view/binaryData?blobKey=FSSuministroFluidosv3%5B%40version%3Dnull+and+%40uiVersion%3Dnull%5D%2Fdata%5B%40key%3Duuid%3A1586daf5-226d-41c0-87f5-993df6f04bba%5D%2FgroupInfoFuel%5B%40ordinal%3D1%5D%2FpicFuelRecibeInterno","Descargar")</f>
        <v>Descargar</v>
      </c>
    </row>
    <row r="3151" spans="1:18" x14ac:dyDescent="0.3">
      <c r="A3151">
        <v>1519913</v>
      </c>
      <c r="B3151" t="s">
        <v>18</v>
      </c>
      <c r="C3151" t="s">
        <v>19</v>
      </c>
      <c r="D3151" t="s">
        <v>140</v>
      </c>
      <c r="E3151" t="s">
        <v>607</v>
      </c>
      <c r="F3151" t="s">
        <v>22</v>
      </c>
      <c r="G3151" t="s">
        <v>23</v>
      </c>
      <c r="H3151" t="s">
        <v>24</v>
      </c>
      <c r="I3151" t="s">
        <v>25</v>
      </c>
      <c r="J3151" t="s">
        <v>2448</v>
      </c>
      <c r="K3151">
        <v>14</v>
      </c>
      <c r="L3151">
        <v>4</v>
      </c>
      <c r="M3151">
        <v>2025</v>
      </c>
      <c r="N3151" t="s">
        <v>27</v>
      </c>
      <c r="O3151">
        <v>400</v>
      </c>
      <c r="Q3151">
        <v>400</v>
      </c>
      <c r="R3151" s="3" t="str">
        <f>HYPERLINK("https://panda.att.com.mx/ODKServer/view/binaryData?blobKey=FSSuministroFluidosv3%5B%40version%3Dnull+and+%40uiVersion%3Dnull%5D%2Fdata%5B%40key%3Duuid%3A4310c09d-1dd1-4e6e-a32f-f2e2b7abda39%5D%2FgroupInfoFuel%5B%40ordinal%3D1%5D%2FpicFuelRecibeInterno","Descargar")</f>
        <v>Descargar</v>
      </c>
    </row>
    <row r="3152" spans="1:18" x14ac:dyDescent="0.3">
      <c r="A3152">
        <v>1521677</v>
      </c>
      <c r="B3152" t="s">
        <v>18</v>
      </c>
      <c r="C3152" t="s">
        <v>100</v>
      </c>
      <c r="D3152" t="s">
        <v>716</v>
      </c>
      <c r="E3152" t="s">
        <v>717</v>
      </c>
      <c r="F3152" t="s">
        <v>22</v>
      </c>
      <c r="G3152" t="s">
        <v>83</v>
      </c>
      <c r="H3152" t="s">
        <v>1781</v>
      </c>
      <c r="I3152" t="s">
        <v>25</v>
      </c>
      <c r="J3152" t="s">
        <v>2449</v>
      </c>
      <c r="K3152">
        <v>23</v>
      </c>
      <c r="L3152">
        <v>4</v>
      </c>
      <c r="M3152">
        <v>2025</v>
      </c>
      <c r="N3152" t="s">
        <v>27</v>
      </c>
      <c r="O3152">
        <v>150</v>
      </c>
      <c r="P3152">
        <v>150</v>
      </c>
      <c r="R3152" s="3" t="str">
        <f>HYPERLINK("https://panda.att.com.mx/ODKServer/view/binaryData?blobKey=FSSuministroFluidosv3%5B%40version%3Dnull+and+%40uiVersion%3Dnull%5D%2Fdata%5B%40key%3Duuid%3A2884b87f-791c-4b26-9148-b0ac124af356%5D%2FgroupInfoFuel%5B%40ordinal%3D1%5D%2FpicFuelRecibeInterno","Descargar")</f>
        <v>Descargar</v>
      </c>
    </row>
    <row r="3153" spans="1:18" x14ac:dyDescent="0.3">
      <c r="A3153">
        <v>1521648</v>
      </c>
      <c r="B3153" t="s">
        <v>18</v>
      </c>
      <c r="C3153" t="s">
        <v>68</v>
      </c>
      <c r="D3153" t="s">
        <v>91</v>
      </c>
      <c r="E3153" t="s">
        <v>2450</v>
      </c>
      <c r="F3153" t="s">
        <v>22</v>
      </c>
      <c r="G3153" t="s">
        <v>23</v>
      </c>
      <c r="H3153" t="s">
        <v>37</v>
      </c>
      <c r="I3153" t="s">
        <v>25</v>
      </c>
      <c r="J3153" t="s">
        <v>2451</v>
      </c>
      <c r="K3153">
        <v>22</v>
      </c>
      <c r="L3153">
        <v>4</v>
      </c>
      <c r="M3153">
        <v>2025</v>
      </c>
      <c r="N3153" t="s">
        <v>27</v>
      </c>
      <c r="O3153">
        <v>100</v>
      </c>
      <c r="P3153">
        <v>100</v>
      </c>
      <c r="R3153" s="3" t="str">
        <f>HYPERLINK("https://panda.att.com.mx/ODKServer/view/binaryData?blobKey=FSSuministroFluidosv3%5B%40version%3Dnull+and+%40uiVersion%3Dnull%5D%2Fdata%5B%40key%3Duuid%3A4baff6fb-05ff-4fb2-959e-a02e3c036bf1%5D%2FgroupInfoFuel%5B%40ordinal%3D1%5D%2FpicFuelRecibeInterno","Descargar")</f>
        <v>Descargar</v>
      </c>
    </row>
    <row r="3154" spans="1:18" x14ac:dyDescent="0.3">
      <c r="A3154">
        <v>1521646</v>
      </c>
      <c r="B3154" t="s">
        <v>18</v>
      </c>
      <c r="C3154" t="s">
        <v>55</v>
      </c>
      <c r="D3154" t="s">
        <v>288</v>
      </c>
      <c r="E3154" t="s">
        <v>2452</v>
      </c>
      <c r="F3154" t="s">
        <v>22</v>
      </c>
      <c r="G3154" t="s">
        <v>23</v>
      </c>
      <c r="H3154" t="s">
        <v>1763</v>
      </c>
      <c r="I3154" t="s">
        <v>25</v>
      </c>
      <c r="J3154" t="s">
        <v>2453</v>
      </c>
      <c r="K3154">
        <v>23</v>
      </c>
      <c r="L3154">
        <v>4</v>
      </c>
      <c r="M3154">
        <v>2025</v>
      </c>
      <c r="N3154" t="s">
        <v>27</v>
      </c>
      <c r="O3154">
        <v>300</v>
      </c>
      <c r="P3154">
        <v>300</v>
      </c>
      <c r="R3154" s="3" t="str">
        <f>HYPERLINK("https://panda.att.com.mx/ODKServer/view/binaryData?blobKey=FSSuministroFluidosv3%5B%40version%3Dnull+and+%40uiVersion%3Dnull%5D%2Fdata%5B%40key%3Duuid%3Ad726a807-cb32-40be-ad1b-1f78e118f9f2%5D%2FgroupInfoFuel%5B%40ordinal%3D1%5D%2FpicFuelRecibeInterno","Descargar")</f>
        <v>Descargar</v>
      </c>
    </row>
    <row r="3155" spans="1:18" x14ac:dyDescent="0.3">
      <c r="A3155">
        <v>1521556</v>
      </c>
      <c r="B3155" t="s">
        <v>18</v>
      </c>
      <c r="C3155" t="s">
        <v>19</v>
      </c>
      <c r="D3155" t="s">
        <v>2250</v>
      </c>
      <c r="E3155" t="s">
        <v>2251</v>
      </c>
      <c r="F3155" t="s">
        <v>22</v>
      </c>
      <c r="G3155" t="s">
        <v>23</v>
      </c>
      <c r="H3155" t="s">
        <v>24</v>
      </c>
      <c r="I3155" t="s">
        <v>25</v>
      </c>
      <c r="J3155" t="s">
        <v>2454</v>
      </c>
      <c r="K3155">
        <v>22</v>
      </c>
      <c r="L3155">
        <v>4</v>
      </c>
      <c r="M3155">
        <v>2025</v>
      </c>
      <c r="N3155" t="s">
        <v>27</v>
      </c>
      <c r="O3155">
        <v>35</v>
      </c>
      <c r="P3155">
        <v>35</v>
      </c>
      <c r="R3155" s="3" t="str">
        <f>HYPERLINK("https://panda.att.com.mx/ODKServer/view/binaryData?blobKey=FSSuministroFluidosv3%5B%40version%3Dnull+and+%40uiVersion%3Dnull%5D%2Fdata%5B%40key%3Duuid%3A73fb61a6-f83d-444e-be03-d2c3a8784aa2%5D%2FgroupInfoFuel%5B%40ordinal%3D1%5D%2FpicFuelRecibeInterno","Descargar")</f>
        <v>Descargar</v>
      </c>
    </row>
    <row r="3156" spans="1:18" x14ac:dyDescent="0.3">
      <c r="A3156">
        <v>1521555</v>
      </c>
      <c r="B3156" t="s">
        <v>18</v>
      </c>
      <c r="C3156" t="s">
        <v>19</v>
      </c>
      <c r="D3156" t="s">
        <v>1048</v>
      </c>
      <c r="E3156" t="s">
        <v>2455</v>
      </c>
      <c r="F3156" t="s">
        <v>22</v>
      </c>
      <c r="G3156" t="s">
        <v>23</v>
      </c>
      <c r="H3156" t="s">
        <v>24</v>
      </c>
      <c r="I3156" t="s">
        <v>25</v>
      </c>
      <c r="J3156" t="s">
        <v>2456</v>
      </c>
      <c r="K3156">
        <v>21</v>
      </c>
      <c r="L3156">
        <v>4</v>
      </c>
      <c r="M3156">
        <v>2025</v>
      </c>
      <c r="N3156" t="s">
        <v>44</v>
      </c>
      <c r="O3156">
        <v>55</v>
      </c>
      <c r="P3156">
        <v>55</v>
      </c>
      <c r="R3156" s="3" t="str">
        <f>HYPERLINK("https://panda.att.com.mx/ODKServer/view/binaryData?blobKey=FSSuministroFluidosv3%5B%40version%3Dnull+and+%40uiVersion%3Dnull%5D%2Fdata%5B%40key%3Duuid%3A22433abc-8299-48cb-a8f1-90e99f7b7cdf%5D%2FgroupInfoFuel%5B%40ordinal%3D1%5D%2FpicFuelRecibeInterno","Descargar")</f>
        <v>Descargar</v>
      </c>
    </row>
    <row r="3157" spans="1:18" x14ac:dyDescent="0.3">
      <c r="A3157">
        <v>1521536</v>
      </c>
      <c r="B3157" t="s">
        <v>18</v>
      </c>
      <c r="C3157" t="s">
        <v>28</v>
      </c>
      <c r="D3157" t="s">
        <v>1723</v>
      </c>
      <c r="E3157" t="s">
        <v>1724</v>
      </c>
      <c r="F3157" t="s">
        <v>22</v>
      </c>
      <c r="G3157" t="s">
        <v>23</v>
      </c>
      <c r="H3157" t="s">
        <v>24</v>
      </c>
      <c r="I3157" t="s">
        <v>25</v>
      </c>
      <c r="J3157" t="s">
        <v>2457</v>
      </c>
      <c r="K3157">
        <v>21</v>
      </c>
      <c r="L3157">
        <v>4</v>
      </c>
      <c r="M3157">
        <v>2025</v>
      </c>
      <c r="N3157" t="s">
        <v>27</v>
      </c>
      <c r="O3157">
        <v>400</v>
      </c>
      <c r="Q3157">
        <v>400</v>
      </c>
      <c r="R3157" s="3" t="str">
        <f>HYPERLINK("https://panda.att.com.mx/ODKServer/view/binaryData?blobKey=FSSuministroFluidosv3%5B%40version%3Dnull+and+%40uiVersion%3Dnull%5D%2Fdata%5B%40key%3Duuid%3A34ebd809-a435-408f-a346-0e24c6073979%5D%2FgroupInfoFuel%5B%40ordinal%3D1%5D%2FpicFuelRecibeInterno","Descargar")</f>
        <v>Descargar</v>
      </c>
    </row>
    <row r="3158" spans="1:18" x14ac:dyDescent="0.3">
      <c r="A3158">
        <v>1521515</v>
      </c>
      <c r="B3158" t="s">
        <v>18</v>
      </c>
      <c r="C3158" t="s">
        <v>59</v>
      </c>
      <c r="D3158" t="s">
        <v>60</v>
      </c>
      <c r="E3158" t="s">
        <v>2283</v>
      </c>
      <c r="F3158" t="s">
        <v>22</v>
      </c>
      <c r="G3158" t="s">
        <v>23</v>
      </c>
      <c r="H3158" t="s">
        <v>37</v>
      </c>
      <c r="I3158" t="s">
        <v>25</v>
      </c>
      <c r="J3158" t="s">
        <v>2458</v>
      </c>
      <c r="K3158">
        <v>22</v>
      </c>
      <c r="L3158">
        <v>4</v>
      </c>
      <c r="M3158">
        <v>2025</v>
      </c>
      <c r="N3158" t="s">
        <v>27</v>
      </c>
      <c r="O3158">
        <v>550</v>
      </c>
      <c r="P3158">
        <v>550</v>
      </c>
      <c r="R3158" s="3" t="str">
        <f>HYPERLINK("https://panda.att.com.mx/ODKServer/view/binaryData?blobKey=FSSuministroFluidosv3%5B%40version%3Dnull+and+%40uiVersion%3Dnull%5D%2Fdata%5B%40key%3Duuid%3Af3c0804d-dee0-4d7c-b14e-1757b61a09f3%5D%2FgroupInfoFuel%5B%40ordinal%3D1%5D%2FpicFuelRecibeInterno","Descargar")</f>
        <v>Descargar</v>
      </c>
    </row>
    <row r="3159" spans="1:18" x14ac:dyDescent="0.3">
      <c r="A3159">
        <v>1521507</v>
      </c>
      <c r="B3159" t="s">
        <v>18</v>
      </c>
      <c r="C3159" t="s">
        <v>167</v>
      </c>
      <c r="D3159" t="s">
        <v>168</v>
      </c>
      <c r="E3159" t="s">
        <v>2062</v>
      </c>
      <c r="F3159" t="s">
        <v>22</v>
      </c>
      <c r="G3159" t="s">
        <v>83</v>
      </c>
      <c r="H3159" t="s">
        <v>58</v>
      </c>
      <c r="I3159" t="s">
        <v>25</v>
      </c>
      <c r="J3159" t="s">
        <v>2459</v>
      </c>
      <c r="K3159">
        <v>21</v>
      </c>
      <c r="L3159">
        <v>4</v>
      </c>
      <c r="M3159">
        <v>2025</v>
      </c>
      <c r="N3159" t="s">
        <v>27</v>
      </c>
      <c r="O3159">
        <v>150</v>
      </c>
      <c r="P3159">
        <v>150</v>
      </c>
      <c r="R3159" s="3" t="str">
        <f>HYPERLINK("https://panda.att.com.mx/ODKServer/view/binaryData?blobKey=FSSuministroFluidosv3%5B%40version%3Dnull+and+%40uiVersion%3Dnull%5D%2Fdata%5B%40key%3Duuid%3A5ea02f3a-58c7-4a75-851f-8241ea7ee257%5D%2FgroupInfoFuel%5B%40ordinal%3D1%5D%2FpicFuelRecibeInterno","Descargar")</f>
        <v>Descargar</v>
      </c>
    </row>
    <row r="3160" spans="1:18" x14ac:dyDescent="0.3">
      <c r="A3160">
        <v>1521506</v>
      </c>
      <c r="B3160" t="s">
        <v>18</v>
      </c>
      <c r="C3160" t="s">
        <v>59</v>
      </c>
      <c r="D3160" t="s">
        <v>60</v>
      </c>
      <c r="E3160" t="s">
        <v>2207</v>
      </c>
      <c r="F3160" t="s">
        <v>22</v>
      </c>
      <c r="G3160" t="s">
        <v>23</v>
      </c>
      <c r="H3160" t="s">
        <v>37</v>
      </c>
      <c r="I3160" t="s">
        <v>25</v>
      </c>
      <c r="J3160" t="s">
        <v>2460</v>
      </c>
      <c r="K3160">
        <v>22</v>
      </c>
      <c r="L3160">
        <v>4</v>
      </c>
      <c r="M3160">
        <v>2025</v>
      </c>
      <c r="N3160" t="s">
        <v>27</v>
      </c>
      <c r="O3160">
        <v>200</v>
      </c>
      <c r="P3160">
        <v>200</v>
      </c>
      <c r="R3160" s="3" t="str">
        <f>HYPERLINK("https://panda.att.com.mx/ODKServer/view/binaryData?blobKey=FSSuministroFluidosv3%5B%40version%3Dnull+and+%40uiVersion%3Dnull%5D%2Fdata%5B%40key%3Duuid%3A3b2329c8-b2c4-4c8c-a0c3-148ccabd97ee%5D%2FgroupInfoFuel%5B%40ordinal%3D1%5D%2FpicFuelRecibeInterno","Descargar")</f>
        <v>Descargar</v>
      </c>
    </row>
    <row r="3161" spans="1:18" x14ac:dyDescent="0.3">
      <c r="A3161">
        <v>1521505</v>
      </c>
      <c r="B3161" t="s">
        <v>18</v>
      </c>
      <c r="C3161" t="s">
        <v>59</v>
      </c>
      <c r="D3161" t="s">
        <v>233</v>
      </c>
      <c r="E3161" t="s">
        <v>1511</v>
      </c>
      <c r="F3161" t="s">
        <v>22</v>
      </c>
      <c r="G3161" t="s">
        <v>23</v>
      </c>
      <c r="H3161" t="s">
        <v>37</v>
      </c>
      <c r="I3161" t="s">
        <v>25</v>
      </c>
      <c r="J3161" t="s">
        <v>2461</v>
      </c>
      <c r="K3161">
        <v>22</v>
      </c>
      <c r="L3161">
        <v>4</v>
      </c>
      <c r="M3161">
        <v>2025</v>
      </c>
      <c r="N3161" t="s">
        <v>27</v>
      </c>
      <c r="O3161">
        <v>350</v>
      </c>
      <c r="P3161">
        <v>350</v>
      </c>
      <c r="R3161" s="3" t="str">
        <f>HYPERLINK("https://panda.att.com.mx/ODKServer/view/binaryData?blobKey=FSSuministroFluidosv3%5B%40version%3Dnull+and+%40uiVersion%3Dnull%5D%2Fdata%5B%40key%3Duuid%3A7764124e-838e-4587-b08c-de9460d50673%5D%2FgroupInfoFuel%5B%40ordinal%3D1%5D%2FpicFuelRecibeInterno","Descargar")</f>
        <v>Descargar</v>
      </c>
    </row>
    <row r="3162" spans="1:18" x14ac:dyDescent="0.3">
      <c r="A3162">
        <v>1521497</v>
      </c>
      <c r="B3162" t="s">
        <v>18</v>
      </c>
      <c r="C3162" t="s">
        <v>34</v>
      </c>
      <c r="D3162" t="s">
        <v>53</v>
      </c>
      <c r="E3162" t="s">
        <v>144</v>
      </c>
      <c r="F3162" t="s">
        <v>22</v>
      </c>
      <c r="G3162" t="s">
        <v>23</v>
      </c>
      <c r="H3162" t="s">
        <v>37</v>
      </c>
      <c r="I3162" t="s">
        <v>25</v>
      </c>
      <c r="J3162" t="s">
        <v>2462</v>
      </c>
      <c r="K3162">
        <v>22</v>
      </c>
      <c r="L3162">
        <v>4</v>
      </c>
      <c r="M3162">
        <v>2025</v>
      </c>
      <c r="N3162" t="s">
        <v>27</v>
      </c>
      <c r="O3162">
        <v>280</v>
      </c>
      <c r="P3162">
        <v>280</v>
      </c>
      <c r="R3162" s="3" t="str">
        <f>HYPERLINK("https://panda.att.com.mx/ODKServer/view/binaryData?blobKey=FSSuministroFluidosv3%5B%40version%3Dnull+and+%40uiVersion%3Dnull%5D%2Fdata%5B%40key%3Duuid%3Aea04f33a-6782-43ef-a751-cc5336bfff2e%5D%2FgroupInfoFuel%5B%40ordinal%3D1%5D%2FpicFuelRecibeInterno","Descargar")</f>
        <v>Descargar</v>
      </c>
    </row>
    <row r="3163" spans="1:18" x14ac:dyDescent="0.3">
      <c r="A3163">
        <v>1521388</v>
      </c>
      <c r="B3163" t="s">
        <v>18</v>
      </c>
      <c r="C3163" t="s">
        <v>59</v>
      </c>
      <c r="D3163" t="s">
        <v>60</v>
      </c>
      <c r="E3163" t="s">
        <v>2463</v>
      </c>
      <c r="F3163" t="s">
        <v>22</v>
      </c>
      <c r="G3163" t="s">
        <v>83</v>
      </c>
      <c r="H3163" t="s">
        <v>1816</v>
      </c>
      <c r="I3163" t="s">
        <v>84</v>
      </c>
      <c r="J3163" t="s">
        <v>2464</v>
      </c>
      <c r="K3163">
        <v>15</v>
      </c>
      <c r="L3163">
        <v>4</v>
      </c>
      <c r="M3163">
        <v>2025</v>
      </c>
      <c r="N3163" t="s">
        <v>27</v>
      </c>
      <c r="O3163">
        <v>129</v>
      </c>
      <c r="P3163">
        <v>129</v>
      </c>
      <c r="R3163" s="3" t="str">
        <f>HYPERLINK("https://panda.att.com.mx/ODKServer/view/binaryData?blobKey=FSSuministroFluidosv3%5B%40version%3Dnull+and+%40uiVersion%3Dnull%5D%2Fdata%5B%40key%3Duuid%3A61571f0f-c0ec-4640-9837-b197817aee4d%5D%2FgroupInfoFuel%5B%40ordinal%3D1%5D%2FpicFuelRecibeInterno","Descargar")</f>
        <v>Descargar</v>
      </c>
    </row>
    <row r="3164" spans="1:18" x14ac:dyDescent="0.3">
      <c r="A3164">
        <v>1521378</v>
      </c>
      <c r="B3164" t="s">
        <v>18</v>
      </c>
      <c r="C3164" t="s">
        <v>28</v>
      </c>
      <c r="D3164" t="s">
        <v>66</v>
      </c>
      <c r="E3164" t="s">
        <v>414</v>
      </c>
      <c r="F3164" t="s">
        <v>22</v>
      </c>
      <c r="G3164" t="s">
        <v>23</v>
      </c>
      <c r="H3164" t="s">
        <v>24</v>
      </c>
      <c r="I3164" t="s">
        <v>25</v>
      </c>
      <c r="J3164" t="s">
        <v>2465</v>
      </c>
      <c r="K3164">
        <v>22</v>
      </c>
      <c r="L3164">
        <v>4</v>
      </c>
      <c r="M3164">
        <v>2025</v>
      </c>
      <c r="N3164" t="s">
        <v>44</v>
      </c>
      <c r="O3164">
        <v>40</v>
      </c>
      <c r="Q3164">
        <v>40</v>
      </c>
      <c r="R3164" s="3" t="str">
        <f>HYPERLINK("https://panda.att.com.mx/ODKServer/view/binaryData?blobKey=FSSuministroFluidosv3%5B%40version%3Dnull+and+%40uiVersion%3Dnull%5D%2Fdata%5B%40key%3Duuid%3A69455234-c799-4643-93c8-9620d64a7458%5D%2FgroupInfoFuel%5B%40ordinal%3D1%5D%2FpicFuelRecibeInterno","Descargar")</f>
        <v>Descargar</v>
      </c>
    </row>
    <row r="3165" spans="1:18" x14ac:dyDescent="0.3">
      <c r="A3165">
        <v>1521331</v>
      </c>
      <c r="B3165" t="s">
        <v>18</v>
      </c>
      <c r="C3165" t="s">
        <v>55</v>
      </c>
      <c r="D3165" t="s">
        <v>56</v>
      </c>
      <c r="E3165" t="s">
        <v>2466</v>
      </c>
      <c r="F3165" t="s">
        <v>22</v>
      </c>
      <c r="G3165" t="s">
        <v>23</v>
      </c>
      <c r="H3165" t="s">
        <v>1763</v>
      </c>
      <c r="I3165" t="s">
        <v>25</v>
      </c>
      <c r="J3165" t="s">
        <v>2467</v>
      </c>
      <c r="K3165">
        <v>16</v>
      </c>
      <c r="L3165">
        <v>4</v>
      </c>
      <c r="M3165">
        <v>2025</v>
      </c>
      <c r="N3165" t="s">
        <v>27</v>
      </c>
      <c r="O3165">
        <v>200</v>
      </c>
      <c r="P3165">
        <v>200</v>
      </c>
      <c r="R3165" s="3" t="str">
        <f>HYPERLINK("https://panda.att.com.mx/ODKServer/view/binaryData?blobKey=FSSuministroFluidosv3%5B%40version%3Dnull+and+%40uiVersion%3Dnull%5D%2Fdata%5B%40key%3Duuid%3A616f8688-f6e7-4943-ac03-b28a852edddc%5D%2FgroupInfoFuel%5B%40ordinal%3D1%5D%2FpicFuelRecibeInterno","Descargar")</f>
        <v>Descargar</v>
      </c>
    </row>
    <row r="3166" spans="1:18" x14ac:dyDescent="0.3">
      <c r="A3166">
        <v>1521323</v>
      </c>
      <c r="B3166" t="s">
        <v>18</v>
      </c>
      <c r="C3166" t="s">
        <v>55</v>
      </c>
      <c r="D3166" t="s">
        <v>56</v>
      </c>
      <c r="E3166" t="s">
        <v>2083</v>
      </c>
      <c r="F3166" t="s">
        <v>22</v>
      </c>
      <c r="G3166" t="s">
        <v>23</v>
      </c>
      <c r="H3166" t="s">
        <v>1763</v>
      </c>
      <c r="I3166" t="s">
        <v>25</v>
      </c>
      <c r="J3166" t="s">
        <v>2468</v>
      </c>
      <c r="K3166">
        <v>22</v>
      </c>
      <c r="L3166">
        <v>4</v>
      </c>
      <c r="M3166">
        <v>2025</v>
      </c>
      <c r="N3166" t="s">
        <v>27</v>
      </c>
      <c r="O3166">
        <v>100</v>
      </c>
      <c r="P3166">
        <v>100</v>
      </c>
      <c r="R3166" s="3" t="str">
        <f>HYPERLINK("https://panda.att.com.mx/ODKServer/view/binaryData?blobKey=FSSuministroFluidosv3%5B%40version%3Dnull+and+%40uiVersion%3Dnull%5D%2Fdata%5B%40key%3Duuid%3A8862ca1e-c511-4f28-8c65-4027d7cb38ad%5D%2FgroupInfoFuel%5B%40ordinal%3D1%5D%2FpicFuelRecibeInterno","Descargar")</f>
        <v>Descargar</v>
      </c>
    </row>
    <row r="3167" spans="1:18" x14ac:dyDescent="0.3">
      <c r="A3167">
        <v>1521245</v>
      </c>
      <c r="B3167" t="s">
        <v>18</v>
      </c>
      <c r="C3167" t="s">
        <v>55</v>
      </c>
      <c r="D3167" t="s">
        <v>56</v>
      </c>
      <c r="E3167" t="s">
        <v>320</v>
      </c>
      <c r="F3167" t="s">
        <v>22</v>
      </c>
      <c r="G3167" t="s">
        <v>23</v>
      </c>
      <c r="H3167" t="s">
        <v>1763</v>
      </c>
      <c r="I3167" t="s">
        <v>25</v>
      </c>
      <c r="J3167" t="s">
        <v>2469</v>
      </c>
      <c r="K3167">
        <v>18</v>
      </c>
      <c r="L3167">
        <v>4</v>
      </c>
      <c r="M3167">
        <v>2025</v>
      </c>
      <c r="N3167" t="s">
        <v>27</v>
      </c>
      <c r="O3167">
        <v>300</v>
      </c>
      <c r="P3167">
        <v>300</v>
      </c>
      <c r="R3167" s="3" t="str">
        <f>HYPERLINK("https://panda.att.com.mx/ODKServer/view/binaryData?blobKey=FSSuministroFluidosv3%5B%40version%3Dnull+and+%40uiVersion%3Dnull%5D%2Fdata%5B%40key%3Duuid%3A959b1a09-70b8-4889-90c4-b7c66886b3cf%5D%2FgroupInfoFuel%5B%40ordinal%3D1%5D%2FpicFuelRecibeInterno","Descargar")</f>
        <v>Descargar</v>
      </c>
    </row>
    <row r="3168" spans="1:18" x14ac:dyDescent="0.3">
      <c r="A3168">
        <v>1521218</v>
      </c>
      <c r="B3168" t="s">
        <v>18</v>
      </c>
      <c r="C3168" t="s">
        <v>55</v>
      </c>
      <c r="D3168" t="s">
        <v>56</v>
      </c>
      <c r="E3168" t="s">
        <v>2470</v>
      </c>
      <c r="F3168" t="s">
        <v>22</v>
      </c>
      <c r="G3168" t="s">
        <v>23</v>
      </c>
      <c r="H3168" t="s">
        <v>1763</v>
      </c>
      <c r="I3168" t="s">
        <v>25</v>
      </c>
      <c r="J3168" t="s">
        <v>2471</v>
      </c>
      <c r="K3168">
        <v>17</v>
      </c>
      <c r="L3168">
        <v>4</v>
      </c>
      <c r="M3168">
        <v>2025</v>
      </c>
      <c r="N3168" t="s">
        <v>27</v>
      </c>
      <c r="O3168">
        <v>200</v>
      </c>
      <c r="P3168">
        <v>200</v>
      </c>
      <c r="R3168" s="3" t="str">
        <f>HYPERLINK("https://panda.att.com.mx/ODKServer/view/binaryData?blobKey=FSSuministroFluidosv3%5B%40version%3Dnull+and+%40uiVersion%3Dnull%5D%2Fdata%5B%40key%3Duuid%3Ac9d02ba5-4ff7-4c01-80cb-c3e21be0f0cc%5D%2FgroupInfoFuel%5B%40ordinal%3D1%5D%2FpicFuelRecibeInterno","Descargar")</f>
        <v>Descargar</v>
      </c>
    </row>
    <row r="3169" spans="1:18" x14ac:dyDescent="0.3">
      <c r="A3169">
        <v>1520958</v>
      </c>
      <c r="B3169" t="s">
        <v>18</v>
      </c>
      <c r="C3169" t="s">
        <v>59</v>
      </c>
      <c r="D3169" t="s">
        <v>60</v>
      </c>
      <c r="E3169" t="s">
        <v>2472</v>
      </c>
      <c r="F3169" t="s">
        <v>22</v>
      </c>
      <c r="G3169" t="s">
        <v>23</v>
      </c>
      <c r="H3169" t="s">
        <v>37</v>
      </c>
      <c r="I3169" t="s">
        <v>25</v>
      </c>
      <c r="J3169" t="s">
        <v>2473</v>
      </c>
      <c r="K3169">
        <v>16</v>
      </c>
      <c r="L3169">
        <v>4</v>
      </c>
      <c r="M3169">
        <v>2025</v>
      </c>
      <c r="N3169" t="s">
        <v>27</v>
      </c>
      <c r="O3169">
        <v>30</v>
      </c>
      <c r="P3169">
        <v>30</v>
      </c>
      <c r="R3169" s="3" t="str">
        <f>HYPERLINK("https://panda.att.com.mx/ODKServer/view/binaryData?blobKey=FSSuministroFluidosv3%5B%40version%3Dnull+and+%40uiVersion%3Dnull%5D%2Fdata%5B%40key%3Duuid%3A7a002616-2e08-41c5-b1b5-91c49eea6a2a%5D%2FgroupInfoFuel%5B%40ordinal%3D1%5D%2FpicFuelRecibeInterno","Descargar")</f>
        <v>Descargar</v>
      </c>
    </row>
    <row r="3170" spans="1:18" x14ac:dyDescent="0.3">
      <c r="A3170">
        <v>1520954</v>
      </c>
      <c r="B3170" t="s">
        <v>18</v>
      </c>
      <c r="C3170" t="s">
        <v>59</v>
      </c>
      <c r="D3170" t="s">
        <v>60</v>
      </c>
      <c r="E3170" t="s">
        <v>2207</v>
      </c>
      <c r="F3170" t="s">
        <v>22</v>
      </c>
      <c r="G3170" t="s">
        <v>23</v>
      </c>
      <c r="H3170" t="s">
        <v>37</v>
      </c>
      <c r="I3170" t="s">
        <v>25</v>
      </c>
      <c r="J3170" t="s">
        <v>2474</v>
      </c>
      <c r="K3170">
        <v>20</v>
      </c>
      <c r="L3170">
        <v>4</v>
      </c>
      <c r="M3170">
        <v>2025</v>
      </c>
      <c r="N3170" t="s">
        <v>27</v>
      </c>
      <c r="O3170">
        <v>180</v>
      </c>
      <c r="P3170">
        <v>180</v>
      </c>
      <c r="R3170" s="3" t="str">
        <f>HYPERLINK("https://panda.att.com.mx/ODKServer/view/binaryData?blobKey=FSSuministroFluidosv3%5B%40version%3Dnull+and+%40uiVersion%3Dnull%5D%2Fdata%5B%40key%3Duuid%3A2a8e92f0-3527-4aa2-821d-4dca8cc50448%5D%2FgroupInfoFuel%5B%40ordinal%3D1%5D%2FpicFuelRecibeInterno","Descargar")</f>
        <v>Descargar</v>
      </c>
    </row>
    <row r="3171" spans="1:18" x14ac:dyDescent="0.3">
      <c r="A3171">
        <v>1520950</v>
      </c>
      <c r="B3171" t="s">
        <v>18</v>
      </c>
      <c r="C3171" t="s">
        <v>59</v>
      </c>
      <c r="D3171" t="s">
        <v>60</v>
      </c>
      <c r="E3171" t="s">
        <v>2207</v>
      </c>
      <c r="F3171" t="s">
        <v>22</v>
      </c>
      <c r="G3171" t="s">
        <v>23</v>
      </c>
      <c r="H3171" t="s">
        <v>37</v>
      </c>
      <c r="I3171" t="s">
        <v>25</v>
      </c>
      <c r="J3171" t="s">
        <v>2475</v>
      </c>
      <c r="K3171">
        <v>18</v>
      </c>
      <c r="L3171">
        <v>4</v>
      </c>
      <c r="M3171">
        <v>2025</v>
      </c>
      <c r="N3171" t="s">
        <v>27</v>
      </c>
      <c r="O3171">
        <v>180</v>
      </c>
      <c r="P3171">
        <v>180</v>
      </c>
      <c r="R3171" s="3" t="str">
        <f>HYPERLINK("https://panda.att.com.mx/ODKServer/view/binaryData?blobKey=FSSuministroFluidosv3%5B%40version%3Dnull+and+%40uiVersion%3Dnull%5D%2Fdata%5B%40key%3Duuid%3A9a14c448-411d-4c01-927c-96216b230db5%5D%2FgroupInfoFuel%5B%40ordinal%3D1%5D%2FpicFuelRecibeInterno","Descargar")</f>
        <v>Descargar</v>
      </c>
    </row>
    <row r="3172" spans="1:18" x14ac:dyDescent="0.3">
      <c r="A3172">
        <v>1520808</v>
      </c>
      <c r="B3172" t="s">
        <v>18</v>
      </c>
      <c r="C3172" t="s">
        <v>167</v>
      </c>
      <c r="D3172" t="s">
        <v>264</v>
      </c>
      <c r="E3172" t="s">
        <v>2476</v>
      </c>
      <c r="F3172" t="s">
        <v>22</v>
      </c>
      <c r="G3172" t="s">
        <v>23</v>
      </c>
      <c r="H3172" t="s">
        <v>58</v>
      </c>
      <c r="I3172" t="s">
        <v>25</v>
      </c>
      <c r="J3172" t="s">
        <v>2477</v>
      </c>
      <c r="K3172">
        <v>18</v>
      </c>
      <c r="L3172">
        <v>4</v>
      </c>
      <c r="M3172">
        <v>2025</v>
      </c>
      <c r="N3172" t="s">
        <v>27</v>
      </c>
      <c r="O3172">
        <v>45</v>
      </c>
      <c r="P3172">
        <v>45</v>
      </c>
      <c r="R3172" s="3" t="str">
        <f>HYPERLINK("https://panda.att.com.mx/ODKServer/view/binaryData?blobKey=FSSuministroFluidosv3%5B%40version%3Dnull+and+%40uiVersion%3Dnull%5D%2Fdata%5B%40key%3Duuid%3A7f1f3bb4-34df-4adb-8278-2fe305b5e96f%5D%2FgroupInfoFuel%5B%40ordinal%3D1%5D%2FpicFuelRecibeInterno","Descargar")</f>
        <v>Descargar</v>
      </c>
    </row>
    <row r="3173" spans="1:18" x14ac:dyDescent="0.3">
      <c r="A3173">
        <v>1520801</v>
      </c>
      <c r="B3173" t="s">
        <v>18</v>
      </c>
      <c r="C3173" t="s">
        <v>28</v>
      </c>
      <c r="D3173" t="s">
        <v>1642</v>
      </c>
      <c r="E3173" t="s">
        <v>2478</v>
      </c>
      <c r="F3173" t="s">
        <v>22</v>
      </c>
      <c r="G3173" t="s">
        <v>23</v>
      </c>
      <c r="H3173" t="s">
        <v>24</v>
      </c>
      <c r="I3173" t="s">
        <v>25</v>
      </c>
      <c r="J3173" t="s">
        <v>2479</v>
      </c>
      <c r="K3173">
        <v>21</v>
      </c>
      <c r="L3173">
        <v>4</v>
      </c>
      <c r="M3173">
        <v>2025</v>
      </c>
      <c r="N3173" t="s">
        <v>44</v>
      </c>
      <c r="O3173">
        <v>50</v>
      </c>
      <c r="P3173">
        <v>50</v>
      </c>
      <c r="R3173" s="3" t="str">
        <f>HYPERLINK("https://panda.att.com.mx/ODKServer/view/binaryData?blobKey=FSSuministroFluidosv3%5B%40version%3Dnull+and+%40uiVersion%3Dnull%5D%2Fdata%5B%40key%3Duuid%3A9a150b37-b8b9-4c43-823e-06a4815c628c%5D%2FgroupInfoFuel%5B%40ordinal%3D1%5D%2FpicFuelRecibeInterno","Descargar")</f>
        <v>Descargar</v>
      </c>
    </row>
    <row r="3174" spans="1:18" x14ac:dyDescent="0.3">
      <c r="A3174">
        <v>1520792</v>
      </c>
      <c r="B3174" t="s">
        <v>18</v>
      </c>
      <c r="C3174" t="s">
        <v>167</v>
      </c>
      <c r="D3174" t="s">
        <v>168</v>
      </c>
      <c r="E3174" t="s">
        <v>2062</v>
      </c>
      <c r="F3174" t="s">
        <v>22</v>
      </c>
      <c r="G3174" t="s">
        <v>83</v>
      </c>
      <c r="H3174" t="s">
        <v>58</v>
      </c>
      <c r="I3174" t="s">
        <v>25</v>
      </c>
      <c r="J3174" t="s">
        <v>2480</v>
      </c>
      <c r="K3174">
        <v>21</v>
      </c>
      <c r="L3174">
        <v>4</v>
      </c>
      <c r="M3174">
        <v>2025</v>
      </c>
      <c r="N3174" t="s">
        <v>27</v>
      </c>
      <c r="O3174">
        <v>150</v>
      </c>
      <c r="P3174">
        <v>150</v>
      </c>
      <c r="R3174" s="3" t="str">
        <f>HYPERLINK("https://panda.att.com.mx/ODKServer/view/binaryData?blobKey=FSSuministroFluidosv3%5B%40version%3Dnull+and+%40uiVersion%3Dnull%5D%2Fdata%5B%40key%3Duuid%3Afb2a34f3-46a2-4cb0-b8eb-6f14bfd77823%5D%2FgroupInfoFuel%5B%40ordinal%3D1%5D%2FpicFuelRecibeInterno","Descargar")</f>
        <v>Descargar</v>
      </c>
    </row>
    <row r="3175" spans="1:18" x14ac:dyDescent="0.3">
      <c r="A3175">
        <v>1520778</v>
      </c>
      <c r="B3175" t="s">
        <v>18</v>
      </c>
      <c r="C3175" t="s">
        <v>55</v>
      </c>
      <c r="D3175" t="s">
        <v>56</v>
      </c>
      <c r="E3175" t="s">
        <v>2481</v>
      </c>
      <c r="F3175" t="s">
        <v>22</v>
      </c>
      <c r="G3175" t="s">
        <v>23</v>
      </c>
      <c r="H3175" t="s">
        <v>1763</v>
      </c>
      <c r="I3175" t="s">
        <v>25</v>
      </c>
      <c r="J3175" t="s">
        <v>2482</v>
      </c>
      <c r="K3175">
        <v>17</v>
      </c>
      <c r="L3175">
        <v>4</v>
      </c>
      <c r="M3175">
        <v>2025</v>
      </c>
      <c r="N3175" t="s">
        <v>27</v>
      </c>
      <c r="O3175">
        <v>300</v>
      </c>
      <c r="P3175">
        <v>300</v>
      </c>
      <c r="R3175" s="3" t="str">
        <f>HYPERLINK("https://panda.att.com.mx/ODKServer/view/binaryData?blobKey=FSSuministroFluidosv3%5B%40version%3Dnull+and+%40uiVersion%3Dnull%5D%2Fdata%5B%40key%3Duuid%3Ab7ad6850-1509-413a-8bc6-0c5aaeef0811%5D%2FgroupInfoFuel%5B%40ordinal%3D1%5D%2FpicFuelRecibeInterno","Descargar")</f>
        <v>Descargar</v>
      </c>
    </row>
    <row r="3176" spans="1:18" x14ac:dyDescent="0.3">
      <c r="A3176">
        <v>1520775</v>
      </c>
      <c r="B3176" t="s">
        <v>18</v>
      </c>
      <c r="C3176" t="s">
        <v>167</v>
      </c>
      <c r="D3176" t="s">
        <v>168</v>
      </c>
      <c r="E3176" t="s">
        <v>2062</v>
      </c>
      <c r="F3176" t="s">
        <v>22</v>
      </c>
      <c r="G3176" t="s">
        <v>83</v>
      </c>
      <c r="H3176" t="s">
        <v>58</v>
      </c>
      <c r="I3176" t="s">
        <v>25</v>
      </c>
      <c r="J3176" t="s">
        <v>2483</v>
      </c>
      <c r="K3176">
        <v>22</v>
      </c>
      <c r="L3176">
        <v>4</v>
      </c>
      <c r="M3176">
        <v>2025</v>
      </c>
      <c r="N3176" t="s">
        <v>27</v>
      </c>
      <c r="O3176">
        <v>150</v>
      </c>
      <c r="P3176">
        <v>150</v>
      </c>
      <c r="R3176" s="3" t="str">
        <f>HYPERLINK("https://panda.att.com.mx/ODKServer/view/binaryData?blobKey=FSSuministroFluidosv3%5B%40version%3Dnull+and+%40uiVersion%3Dnull%5D%2Fdata%5B%40key%3Duuid%3Acd5e9f55-3e60-4825-99b0-a7b4cd8fd26d%5D%2FgroupInfoFuel%5B%40ordinal%3D1%5D%2FpicFuelRecibeInterno","Descargar")</f>
        <v>Descargar</v>
      </c>
    </row>
    <row r="3177" spans="1:18" x14ac:dyDescent="0.3">
      <c r="A3177">
        <v>1523355</v>
      </c>
      <c r="B3177" t="s">
        <v>18</v>
      </c>
      <c r="C3177" t="s">
        <v>34</v>
      </c>
      <c r="D3177" t="s">
        <v>53</v>
      </c>
      <c r="E3177" t="s">
        <v>299</v>
      </c>
      <c r="F3177" t="s">
        <v>22</v>
      </c>
      <c r="G3177" t="s">
        <v>23</v>
      </c>
      <c r="H3177" t="s">
        <v>24</v>
      </c>
      <c r="I3177" t="s">
        <v>25</v>
      </c>
      <c r="J3177" t="s">
        <v>2484</v>
      </c>
      <c r="K3177">
        <v>24</v>
      </c>
      <c r="L3177">
        <v>4</v>
      </c>
      <c r="M3177">
        <v>2025</v>
      </c>
      <c r="N3177" t="s">
        <v>27</v>
      </c>
      <c r="O3177">
        <v>300</v>
      </c>
      <c r="Q3177">
        <v>300</v>
      </c>
      <c r="R3177" s="3" t="str">
        <f>HYPERLINK("https://panda.att.com.mx/ODKServer/view/binaryData?blobKey=FSSuministroFluidosv3%5B%40version%3Dnull+and+%40uiVersion%3Dnull%5D%2Fdata%5B%40key%3Duuid%3Ac3f1b20f-db5e-42b2-8373-621065649e2b%5D%2FgroupInfoFuel%5B%40ordinal%3D1%5D%2FpicFuelRecibeInterno","Descargar")</f>
        <v>Descargar</v>
      </c>
    </row>
    <row r="3178" spans="1:18" x14ac:dyDescent="0.3">
      <c r="A3178">
        <v>1523262</v>
      </c>
      <c r="B3178" t="s">
        <v>18</v>
      </c>
      <c r="C3178" t="s">
        <v>28</v>
      </c>
      <c r="D3178" t="s">
        <v>315</v>
      </c>
      <c r="E3178" t="s">
        <v>1078</v>
      </c>
      <c r="F3178" t="s">
        <v>22</v>
      </c>
      <c r="G3178" t="s">
        <v>23</v>
      </c>
      <c r="H3178" t="s">
        <v>24</v>
      </c>
      <c r="I3178" t="s">
        <v>25</v>
      </c>
      <c r="J3178" t="s">
        <v>2485</v>
      </c>
      <c r="K3178">
        <v>24</v>
      </c>
      <c r="L3178">
        <v>4</v>
      </c>
      <c r="M3178">
        <v>2025</v>
      </c>
      <c r="N3178" t="s">
        <v>44</v>
      </c>
      <c r="O3178">
        <v>30</v>
      </c>
      <c r="P3178">
        <v>30</v>
      </c>
      <c r="R3178" s="3" t="str">
        <f>HYPERLINK("https://panda.att.com.mx/ODKServer/view/binaryData?blobKey=FSSuministroFluidosv3%5B%40version%3Dnull+and+%40uiVersion%3Dnull%5D%2Fdata%5B%40key%3Duuid%3Abccb75a5-ba72-47a4-aff4-5f3f72a6278e%5D%2FgroupInfoFuel%5B%40ordinal%3D1%5D%2FpicFuelRecibeInterno","Descargar")</f>
        <v>Descargar</v>
      </c>
    </row>
    <row r="3179" spans="1:18" x14ac:dyDescent="0.3">
      <c r="A3179">
        <v>1523261</v>
      </c>
      <c r="B3179" t="s">
        <v>18</v>
      </c>
      <c r="C3179" t="s">
        <v>34</v>
      </c>
      <c r="D3179" t="s">
        <v>121</v>
      </c>
      <c r="E3179" t="s">
        <v>2486</v>
      </c>
      <c r="F3179" t="s">
        <v>22</v>
      </c>
      <c r="G3179" t="s">
        <v>23</v>
      </c>
      <c r="H3179" t="s">
        <v>37</v>
      </c>
      <c r="I3179" t="s">
        <v>25</v>
      </c>
      <c r="J3179" t="s">
        <v>2487</v>
      </c>
      <c r="K3179">
        <v>24</v>
      </c>
      <c r="L3179">
        <v>4</v>
      </c>
      <c r="M3179">
        <v>2025</v>
      </c>
      <c r="N3179" t="s">
        <v>27</v>
      </c>
      <c r="O3179">
        <v>200</v>
      </c>
      <c r="P3179">
        <v>200</v>
      </c>
      <c r="R3179" s="3" t="str">
        <f>HYPERLINK("https://panda.att.com.mx/ODKServer/view/binaryData?blobKey=FSSuministroFluidosv3%5B%40version%3Dnull+and+%40uiVersion%3Dnull%5D%2Fdata%5B%40key%3Duuid%3A19b32d12-c5f6-4772-b3bd-d6a60f50dceb%5D%2FgroupInfoFuel%5B%40ordinal%3D1%5D%2FpicFuelRecibeInterno","Descargar")</f>
        <v>Descargar</v>
      </c>
    </row>
    <row r="3180" spans="1:18" x14ac:dyDescent="0.3">
      <c r="A3180">
        <v>1523250</v>
      </c>
      <c r="B3180" t="s">
        <v>18</v>
      </c>
      <c r="C3180" t="s">
        <v>167</v>
      </c>
      <c r="D3180" t="s">
        <v>168</v>
      </c>
      <c r="E3180" t="s">
        <v>2062</v>
      </c>
      <c r="F3180" t="s">
        <v>22</v>
      </c>
      <c r="G3180" t="s">
        <v>83</v>
      </c>
      <c r="H3180" t="s">
        <v>58</v>
      </c>
      <c r="I3180" t="s">
        <v>25</v>
      </c>
      <c r="J3180" t="s">
        <v>2488</v>
      </c>
      <c r="K3180">
        <v>23</v>
      </c>
      <c r="L3180">
        <v>4</v>
      </c>
      <c r="M3180">
        <v>2025</v>
      </c>
      <c r="N3180" t="s">
        <v>27</v>
      </c>
      <c r="O3180">
        <v>150</v>
      </c>
      <c r="P3180">
        <v>150</v>
      </c>
      <c r="R3180" s="3" t="str">
        <f>HYPERLINK("https://panda.att.com.mx/ODKServer/view/binaryData?blobKey=FSSuministroFluidosv3%5B%40version%3Dnull+and+%40uiVersion%3Dnull%5D%2Fdata%5B%40key%3Duuid%3A031deb31-f9b7-4cfd-b2f2-8db8fb4cc729%5D%2FgroupInfoFuel%5B%40ordinal%3D1%5D%2FpicFuelRecibeInterno","Descargar")</f>
        <v>Descargar</v>
      </c>
    </row>
    <row r="3181" spans="1:18" x14ac:dyDescent="0.3">
      <c r="A3181">
        <v>1523249</v>
      </c>
      <c r="B3181" t="s">
        <v>18</v>
      </c>
      <c r="C3181" t="s">
        <v>34</v>
      </c>
      <c r="D3181" t="s">
        <v>53</v>
      </c>
      <c r="E3181" t="s">
        <v>2271</v>
      </c>
      <c r="F3181" t="s">
        <v>22</v>
      </c>
      <c r="G3181" t="s">
        <v>23</v>
      </c>
      <c r="H3181" t="s">
        <v>37</v>
      </c>
      <c r="I3181" t="s">
        <v>25</v>
      </c>
      <c r="J3181" t="s">
        <v>2489</v>
      </c>
      <c r="K3181">
        <v>24</v>
      </c>
      <c r="L3181">
        <v>4</v>
      </c>
      <c r="M3181">
        <v>2025</v>
      </c>
      <c r="N3181" t="s">
        <v>27</v>
      </c>
      <c r="O3181">
        <v>150</v>
      </c>
      <c r="P3181">
        <v>150</v>
      </c>
      <c r="R3181" s="3" t="str">
        <f>HYPERLINK("https://panda.att.com.mx/ODKServer/view/binaryData?blobKey=FSSuministroFluidosv3%5B%40version%3Dnull+and+%40uiVersion%3Dnull%5D%2Fdata%5B%40key%3Duuid%3Af885ab60-669d-4be3-90e2-27c13e24d17b%5D%2FgroupInfoFuel%5B%40ordinal%3D1%5D%2FpicFuelRecibeInterno","Descargar")</f>
        <v>Descargar</v>
      </c>
    </row>
    <row r="3182" spans="1:18" x14ac:dyDescent="0.3">
      <c r="A3182">
        <v>1523177</v>
      </c>
      <c r="B3182" t="s">
        <v>18</v>
      </c>
      <c r="C3182" t="s">
        <v>28</v>
      </c>
      <c r="D3182" t="s">
        <v>118</v>
      </c>
      <c r="E3182" t="s">
        <v>2490</v>
      </c>
      <c r="F3182" t="s">
        <v>22</v>
      </c>
      <c r="G3182" t="s">
        <v>23</v>
      </c>
      <c r="H3182" t="s">
        <v>24</v>
      </c>
      <c r="I3182" t="s">
        <v>25</v>
      </c>
      <c r="J3182" t="s">
        <v>2491</v>
      </c>
      <c r="K3182">
        <v>24</v>
      </c>
      <c r="L3182">
        <v>4</v>
      </c>
      <c r="M3182">
        <v>2025</v>
      </c>
      <c r="N3182" t="s">
        <v>44</v>
      </c>
      <c r="O3182">
        <v>45</v>
      </c>
      <c r="P3182">
        <v>45</v>
      </c>
      <c r="R3182" s="3" t="str">
        <f>HYPERLINK("https://panda.att.com.mx/ODKServer/view/binaryData?blobKey=FSSuministroFluidosv3%5B%40version%3Dnull+and+%40uiVersion%3Dnull%5D%2Fdata%5B%40key%3Duuid%3Adbeba8eb-98b2-475c-a232-ad817d4d2624%5D%2FgroupInfoFuel%5B%40ordinal%3D1%5D%2FpicFuelRecibeInterno","Descargar")</f>
        <v>Descargar</v>
      </c>
    </row>
    <row r="3183" spans="1:18" x14ac:dyDescent="0.3">
      <c r="A3183">
        <v>1523138</v>
      </c>
      <c r="B3183" t="s">
        <v>18</v>
      </c>
      <c r="C3183" t="s">
        <v>34</v>
      </c>
      <c r="D3183" t="s">
        <v>53</v>
      </c>
      <c r="E3183" t="s">
        <v>1771</v>
      </c>
      <c r="F3183" t="s">
        <v>22</v>
      </c>
      <c r="G3183" t="s">
        <v>23</v>
      </c>
      <c r="H3183" t="s">
        <v>37</v>
      </c>
      <c r="I3183" t="s">
        <v>25</v>
      </c>
      <c r="J3183" t="s">
        <v>2492</v>
      </c>
      <c r="K3183">
        <v>23</v>
      </c>
      <c r="L3183">
        <v>4</v>
      </c>
      <c r="M3183">
        <v>2025</v>
      </c>
      <c r="N3183" t="s">
        <v>27</v>
      </c>
      <c r="O3183">
        <v>50</v>
      </c>
      <c r="P3183">
        <v>50</v>
      </c>
      <c r="R3183" s="3" t="str">
        <f>HYPERLINK("https://panda.att.com.mx/ODKServer/view/binaryData?blobKey=FSSuministroFluidosv3%5B%40version%3Dnull+and+%40uiVersion%3Dnull%5D%2Fdata%5B%40key%3Duuid%3Ab7c7e7d6-b9db-48c3-aa50-35b6bcb170e9%5D%2FgroupInfoFuel%5B%40ordinal%3D1%5D%2FpicFuelRecibeInterno","Descargar")</f>
        <v>Descargar</v>
      </c>
    </row>
    <row r="3184" spans="1:18" x14ac:dyDescent="0.3">
      <c r="A3184">
        <v>1523137</v>
      </c>
      <c r="B3184" t="s">
        <v>18</v>
      </c>
      <c r="C3184" t="s">
        <v>34</v>
      </c>
      <c r="D3184" t="s">
        <v>53</v>
      </c>
      <c r="E3184" t="s">
        <v>1771</v>
      </c>
      <c r="F3184" t="s">
        <v>22</v>
      </c>
      <c r="G3184" t="s">
        <v>23</v>
      </c>
      <c r="H3184" t="s">
        <v>37</v>
      </c>
      <c r="I3184" t="s">
        <v>25</v>
      </c>
      <c r="J3184" t="s">
        <v>2493</v>
      </c>
      <c r="K3184">
        <v>23</v>
      </c>
      <c r="L3184">
        <v>4</v>
      </c>
      <c r="M3184">
        <v>2025</v>
      </c>
      <c r="N3184" t="s">
        <v>27</v>
      </c>
      <c r="O3184">
        <v>150</v>
      </c>
      <c r="P3184">
        <v>150</v>
      </c>
      <c r="R3184" s="3" t="str">
        <f>HYPERLINK("https://panda.att.com.mx/ODKServer/view/binaryData?blobKey=FSSuministroFluidosv3%5B%40version%3Dnull+and+%40uiVersion%3Dnull%5D%2Fdata%5B%40key%3Duuid%3A78c5a0a1-b5a0-49e0-963f-2a3a8617a611%5D%2FgroupInfoFuel%5B%40ordinal%3D1%5D%2FpicFuelRecibeInterno","Descargar")</f>
        <v>Descargar</v>
      </c>
    </row>
    <row r="3185" spans="1:18" x14ac:dyDescent="0.3">
      <c r="A3185">
        <v>1523074</v>
      </c>
      <c r="B3185" t="s">
        <v>18</v>
      </c>
      <c r="C3185" t="s">
        <v>68</v>
      </c>
      <c r="D3185" t="s">
        <v>258</v>
      </c>
      <c r="E3185" t="s">
        <v>548</v>
      </c>
      <c r="F3185" t="s">
        <v>22</v>
      </c>
      <c r="G3185" t="s">
        <v>23</v>
      </c>
      <c r="H3185" t="s">
        <v>37</v>
      </c>
      <c r="I3185" t="s">
        <v>25</v>
      </c>
      <c r="J3185" t="s">
        <v>2494</v>
      </c>
      <c r="K3185">
        <v>23</v>
      </c>
      <c r="L3185">
        <v>4</v>
      </c>
      <c r="M3185">
        <v>2025</v>
      </c>
      <c r="N3185" t="s">
        <v>27</v>
      </c>
      <c r="O3185">
        <v>450</v>
      </c>
      <c r="P3185">
        <v>450</v>
      </c>
      <c r="R3185" s="3" t="str">
        <f>HYPERLINK("https://panda.att.com.mx/ODKServer/view/binaryData?blobKey=FSSuministroFluidosv3%5B%40version%3Dnull+and+%40uiVersion%3Dnull%5D%2Fdata%5B%40key%3Duuid%3Aae01ce14-fbdd-45d4-9115-d8523441f6a4%5D%2FgroupInfoFuel%5B%40ordinal%3D1%5D%2FpicFuelRecibeInterno","Descargar")</f>
        <v>Descargar</v>
      </c>
    </row>
    <row r="3186" spans="1:18" x14ac:dyDescent="0.3">
      <c r="A3186">
        <v>1523073</v>
      </c>
      <c r="B3186" t="s">
        <v>18</v>
      </c>
      <c r="C3186" t="s">
        <v>100</v>
      </c>
      <c r="D3186" t="s">
        <v>854</v>
      </c>
      <c r="E3186" t="s">
        <v>993</v>
      </c>
      <c r="F3186" t="s">
        <v>22</v>
      </c>
      <c r="G3186" t="s">
        <v>83</v>
      </c>
      <c r="H3186" t="s">
        <v>1781</v>
      </c>
      <c r="I3186" t="s">
        <v>25</v>
      </c>
      <c r="J3186" t="s">
        <v>2495</v>
      </c>
      <c r="K3186">
        <v>24</v>
      </c>
      <c r="L3186">
        <v>4</v>
      </c>
      <c r="M3186">
        <v>2025</v>
      </c>
      <c r="N3186" t="s">
        <v>27</v>
      </c>
      <c r="O3186">
        <v>200</v>
      </c>
      <c r="P3186">
        <v>200</v>
      </c>
      <c r="R3186" s="3" t="str">
        <f>HYPERLINK("https://panda.att.com.mx/ODKServer/view/binaryData?blobKey=FSSuministroFluidosv3%5B%40version%3Dnull+and+%40uiVersion%3Dnull%5D%2Fdata%5B%40key%3Duuid%3A1ba8e2c0-03b7-4752-9d77-bf61057e09fa%5D%2FgroupInfoFuel%5B%40ordinal%3D1%5D%2FpicFuelRecibeInterno","Descargar")</f>
        <v>Descargar</v>
      </c>
    </row>
    <row r="3187" spans="1:18" x14ac:dyDescent="0.3">
      <c r="A3187">
        <v>1522983</v>
      </c>
      <c r="B3187" t="s">
        <v>18</v>
      </c>
      <c r="C3187" t="s">
        <v>55</v>
      </c>
      <c r="D3187" t="s">
        <v>64</v>
      </c>
      <c r="E3187" t="s">
        <v>2496</v>
      </c>
      <c r="F3187" t="s">
        <v>22</v>
      </c>
      <c r="G3187" t="s">
        <v>23</v>
      </c>
      <c r="H3187" t="s">
        <v>1763</v>
      </c>
      <c r="I3187" t="s">
        <v>25</v>
      </c>
      <c r="J3187" t="s">
        <v>2497</v>
      </c>
      <c r="K3187">
        <v>23</v>
      </c>
      <c r="L3187">
        <v>4</v>
      </c>
      <c r="M3187">
        <v>2025</v>
      </c>
      <c r="N3187" t="s">
        <v>27</v>
      </c>
      <c r="O3187">
        <v>150</v>
      </c>
      <c r="P3187">
        <v>150</v>
      </c>
      <c r="R3187" s="3" t="str">
        <f>HYPERLINK("https://panda.att.com.mx/ODKServer/view/binaryData?blobKey=FSSuministroFluidosv3%5B%40version%3Dnull+and+%40uiVersion%3Dnull%5D%2Fdata%5B%40key%3Duuid%3Ac52031be-a639-4b2a-bffd-dcc4dae1b639%5D%2FgroupInfoFuel%5B%40ordinal%3D1%5D%2FpicFuelRecibeInterno","Descargar")</f>
        <v>Descargar</v>
      </c>
    </row>
    <row r="3188" spans="1:18" x14ac:dyDescent="0.3">
      <c r="A3188">
        <v>1522617</v>
      </c>
      <c r="B3188" t="s">
        <v>18</v>
      </c>
      <c r="C3188" t="s">
        <v>55</v>
      </c>
      <c r="D3188" t="s">
        <v>56</v>
      </c>
      <c r="E3188" t="s">
        <v>2498</v>
      </c>
      <c r="F3188" t="s">
        <v>22</v>
      </c>
      <c r="G3188" t="s">
        <v>23</v>
      </c>
      <c r="H3188" t="s">
        <v>1763</v>
      </c>
      <c r="I3188" t="s">
        <v>25</v>
      </c>
      <c r="J3188" t="s">
        <v>2499</v>
      </c>
      <c r="K3188">
        <v>15</v>
      </c>
      <c r="L3188">
        <v>4</v>
      </c>
      <c r="M3188">
        <v>2025</v>
      </c>
      <c r="N3188" t="s">
        <v>27</v>
      </c>
      <c r="O3188">
        <v>100</v>
      </c>
      <c r="P3188">
        <v>100</v>
      </c>
      <c r="R3188" s="3" t="str">
        <f>HYPERLINK("https://panda.att.com.mx/ODKServer/view/binaryData?blobKey=FSSuministroFluidosv3%5B%40version%3Dnull+and+%40uiVersion%3Dnull%5D%2Fdata%5B%40key%3Duuid%3A3e23bc43-4c9d-4dc4-9034-682a2f5a2afe%5D%2FgroupInfoFuel%5B%40ordinal%3D1%5D%2FpicFuelRecibeInterno","Descargar")</f>
        <v>Descargar</v>
      </c>
    </row>
    <row r="3189" spans="1:18" x14ac:dyDescent="0.3">
      <c r="A3189">
        <v>1522599</v>
      </c>
      <c r="B3189" t="s">
        <v>18</v>
      </c>
      <c r="C3189" t="s">
        <v>183</v>
      </c>
      <c r="D3189" t="s">
        <v>1720</v>
      </c>
      <c r="E3189" t="s">
        <v>1721</v>
      </c>
      <c r="F3189" t="s">
        <v>22</v>
      </c>
      <c r="G3189" t="s">
        <v>23</v>
      </c>
      <c r="H3189" t="s">
        <v>24</v>
      </c>
      <c r="I3189" t="s">
        <v>25</v>
      </c>
      <c r="J3189" t="s">
        <v>2500</v>
      </c>
      <c r="K3189">
        <v>23</v>
      </c>
      <c r="L3189">
        <v>4</v>
      </c>
      <c r="M3189">
        <v>2025</v>
      </c>
      <c r="N3189" t="s">
        <v>44</v>
      </c>
      <c r="O3189">
        <v>40</v>
      </c>
      <c r="P3189">
        <v>40</v>
      </c>
      <c r="R3189" s="3" t="str">
        <f>HYPERLINK("https://panda.att.com.mx/ODKServer/view/binaryData?blobKey=FSSuministroFluidosv3%5B%40version%3Dnull+and+%40uiVersion%3Dnull%5D%2Fdata%5B%40key%3Duuid%3A9943fdd4-8d82-448e-ad7e-fb8d482b9fe5%5D%2FgroupInfoFuel%5B%40ordinal%3D1%5D%2FpicFuelRecibeInterno","Descargar")</f>
        <v>Descargar</v>
      </c>
    </row>
    <row r="3190" spans="1:18" x14ac:dyDescent="0.3">
      <c r="A3190">
        <v>1522598</v>
      </c>
      <c r="B3190" t="s">
        <v>18</v>
      </c>
      <c r="C3190" t="s">
        <v>59</v>
      </c>
      <c r="D3190" t="s">
        <v>60</v>
      </c>
      <c r="E3190" t="s">
        <v>125</v>
      </c>
      <c r="F3190" t="s">
        <v>22</v>
      </c>
      <c r="G3190" t="s">
        <v>23</v>
      </c>
      <c r="H3190" t="s">
        <v>1816</v>
      </c>
      <c r="I3190" t="s">
        <v>25</v>
      </c>
      <c r="J3190" t="s">
        <v>2501</v>
      </c>
      <c r="K3190">
        <v>22</v>
      </c>
      <c r="L3190">
        <v>4</v>
      </c>
      <c r="M3190">
        <v>2025</v>
      </c>
      <c r="N3190" t="s">
        <v>27</v>
      </c>
      <c r="O3190">
        <v>285</v>
      </c>
      <c r="P3190">
        <v>285</v>
      </c>
      <c r="R3190" s="3" t="str">
        <f>HYPERLINK("https://panda.att.com.mx/ODKServer/view/binaryData?blobKey=FSSuministroFluidosv3%5B%40version%3Dnull+and+%40uiVersion%3Dnull%5D%2Fdata%5B%40key%3Duuid%3Ad90c9213-13f4-4bee-8f1f-5cf336393184%5D%2FgroupInfoFuel%5B%40ordinal%3D1%5D%2FpicFuelRecibeInterno","Descargar")</f>
        <v>Descargar</v>
      </c>
    </row>
    <row r="3191" spans="1:18" x14ac:dyDescent="0.3">
      <c r="A3191">
        <v>1522567</v>
      </c>
      <c r="B3191" t="s">
        <v>18</v>
      </c>
      <c r="C3191" t="s">
        <v>59</v>
      </c>
      <c r="D3191" t="s">
        <v>60</v>
      </c>
      <c r="E3191" t="s">
        <v>2502</v>
      </c>
      <c r="F3191" t="s">
        <v>22</v>
      </c>
      <c r="G3191" t="s">
        <v>23</v>
      </c>
      <c r="H3191" t="s">
        <v>1816</v>
      </c>
      <c r="I3191" t="s">
        <v>25</v>
      </c>
      <c r="J3191" t="s">
        <v>2503</v>
      </c>
      <c r="K3191">
        <v>22</v>
      </c>
      <c r="L3191">
        <v>4</v>
      </c>
      <c r="M3191">
        <v>2025</v>
      </c>
      <c r="N3191" t="s">
        <v>27</v>
      </c>
      <c r="O3191">
        <v>219</v>
      </c>
      <c r="P3191">
        <v>219</v>
      </c>
      <c r="R3191" s="3" t="str">
        <f>HYPERLINK("https://panda.att.com.mx/ODKServer/view/binaryData?blobKey=FSSuministroFluidosv3%5B%40version%3Dnull+and+%40uiVersion%3Dnull%5D%2Fdata%5B%40key%3Duuid%3A239cf7b7-e7a2-4e64-9992-b64ccdd026ec%5D%2FgroupInfoFuel%5B%40ordinal%3D1%5D%2FpicFuelRecibeInterno","Descargar")</f>
        <v>Descargar</v>
      </c>
    </row>
    <row r="3192" spans="1:18" x14ac:dyDescent="0.3">
      <c r="A3192">
        <v>1522499</v>
      </c>
      <c r="B3192" t="s">
        <v>18</v>
      </c>
      <c r="C3192" t="s">
        <v>183</v>
      </c>
      <c r="D3192" t="s">
        <v>1720</v>
      </c>
      <c r="E3192" t="s">
        <v>1721</v>
      </c>
      <c r="F3192" t="s">
        <v>22</v>
      </c>
      <c r="G3192" t="s">
        <v>23</v>
      </c>
      <c r="H3192" t="s">
        <v>24</v>
      </c>
      <c r="I3192" t="s">
        <v>25</v>
      </c>
      <c r="J3192" t="s">
        <v>2504</v>
      </c>
      <c r="K3192">
        <v>22</v>
      </c>
      <c r="L3192">
        <v>4</v>
      </c>
      <c r="M3192">
        <v>2025</v>
      </c>
      <c r="N3192" t="s">
        <v>44</v>
      </c>
      <c r="O3192">
        <v>30</v>
      </c>
      <c r="P3192">
        <v>30</v>
      </c>
      <c r="R3192" s="3" t="str">
        <f>HYPERLINK("https://panda.att.com.mx/ODKServer/view/binaryData?blobKey=FSSuministroFluidosv3%5B%40version%3Dnull+and+%40uiVersion%3Dnull%5D%2Fdata%5B%40key%3Duuid%3A7fe3f188-a15d-4484-9232-9827ec3cb1a9%5D%2FgroupInfoFuel%5B%40ordinal%3D1%5D%2FpicFuelRecibeInterno","Descargar")</f>
        <v>Descargar</v>
      </c>
    </row>
    <row r="3193" spans="1:18" x14ac:dyDescent="0.3">
      <c r="A3193">
        <v>1522437</v>
      </c>
      <c r="B3193" t="s">
        <v>18</v>
      </c>
      <c r="C3193" t="s">
        <v>150</v>
      </c>
      <c r="D3193" t="s">
        <v>230</v>
      </c>
      <c r="E3193" t="s">
        <v>1510</v>
      </c>
      <c r="F3193" t="s">
        <v>22</v>
      </c>
      <c r="G3193" t="s">
        <v>23</v>
      </c>
      <c r="H3193" t="s">
        <v>1781</v>
      </c>
      <c r="I3193" t="s">
        <v>25</v>
      </c>
      <c r="J3193" t="s">
        <v>2505</v>
      </c>
      <c r="K3193">
        <v>24</v>
      </c>
      <c r="L3193">
        <v>4</v>
      </c>
      <c r="M3193">
        <v>2025</v>
      </c>
      <c r="N3193" t="s">
        <v>27</v>
      </c>
      <c r="O3193">
        <v>250</v>
      </c>
      <c r="P3193">
        <v>250</v>
      </c>
      <c r="R3193" s="3" t="str">
        <f>HYPERLINK("https://panda.att.com.mx/ODKServer/view/binaryData?blobKey=FSSuministroFluidosv3%5B%40version%3Dnull+and+%40uiVersion%3Dnull%5D%2Fdata%5B%40key%3Duuid%3A0deccd62-48c5-42cc-aa55-08ef025c96d8%5D%2FgroupInfoFuel%5B%40ordinal%3D1%5D%2FpicFuelRecibeInterno","Descargar")</f>
        <v>Descargar</v>
      </c>
    </row>
    <row r="3194" spans="1:18" x14ac:dyDescent="0.3">
      <c r="A3194">
        <v>1522430</v>
      </c>
      <c r="B3194" t="s">
        <v>18</v>
      </c>
      <c r="C3194" t="s">
        <v>68</v>
      </c>
      <c r="D3194" t="s">
        <v>116</v>
      </c>
      <c r="E3194" t="s">
        <v>2506</v>
      </c>
      <c r="F3194" t="s">
        <v>33</v>
      </c>
      <c r="G3194" t="s">
        <v>23</v>
      </c>
      <c r="H3194" t="s">
        <v>37</v>
      </c>
      <c r="I3194" t="s">
        <v>25</v>
      </c>
      <c r="J3194" t="s">
        <v>2507</v>
      </c>
      <c r="K3194">
        <v>23</v>
      </c>
      <c r="L3194">
        <v>4</v>
      </c>
      <c r="M3194">
        <v>2025</v>
      </c>
      <c r="N3194" t="s">
        <v>27</v>
      </c>
      <c r="O3194">
        <v>200</v>
      </c>
      <c r="Q3194">
        <v>200</v>
      </c>
      <c r="R3194" s="3" t="str">
        <f>HYPERLINK("https://panda.att.com.mx/ODKServer/view/binaryData?blobKey=FSSuministroFluidosv3%5B%40version%3Dnull+and+%40uiVersion%3Dnull%5D%2Fdata%5B%40key%3Duuid%3A3ddde8aa-1763-4986-bf11-33ee362ee155%5D%2FgroupInfoFuel%5B%40ordinal%3D1%5D%2FpicFuelRecibeInterno","Descargar")</f>
        <v>Descargar</v>
      </c>
    </row>
    <row r="3195" spans="1:18" x14ac:dyDescent="0.3">
      <c r="A3195">
        <v>1522317</v>
      </c>
      <c r="B3195" t="s">
        <v>18</v>
      </c>
      <c r="C3195" t="s">
        <v>19</v>
      </c>
      <c r="D3195" t="s">
        <v>45</v>
      </c>
      <c r="E3195" t="s">
        <v>383</v>
      </c>
      <c r="F3195" t="s">
        <v>22</v>
      </c>
      <c r="G3195" t="s">
        <v>23</v>
      </c>
      <c r="H3195" t="s">
        <v>24</v>
      </c>
      <c r="I3195" t="s">
        <v>25</v>
      </c>
      <c r="J3195" t="s">
        <v>2508</v>
      </c>
      <c r="K3195">
        <v>7</v>
      </c>
      <c r="L3195">
        <v>4</v>
      </c>
      <c r="M3195">
        <v>2025</v>
      </c>
      <c r="N3195" t="s">
        <v>27</v>
      </c>
      <c r="O3195">
        <v>150</v>
      </c>
      <c r="P3195">
        <v>150</v>
      </c>
      <c r="R3195" s="3" t="str">
        <f>HYPERLINK("https://panda.att.com.mx/ODKServer/view/binaryData?blobKey=FSSuministroFluidosv3%5B%40version%3Dnull+and+%40uiVersion%3Dnull%5D%2Fdata%5B%40key%3Duuid%3A5719bf1b-8520-4479-bc27-e10b17c9d9e6%5D%2FgroupInfoFuel%5B%40ordinal%3D1%5D%2FpicFuelRecibeInterno","Descargar")</f>
        <v>Descargar</v>
      </c>
    </row>
    <row r="3196" spans="1:18" x14ac:dyDescent="0.3">
      <c r="A3196">
        <v>1522177</v>
      </c>
      <c r="B3196" t="s">
        <v>18</v>
      </c>
      <c r="C3196" t="s">
        <v>68</v>
      </c>
      <c r="D3196" t="s">
        <v>116</v>
      </c>
      <c r="E3196" t="s">
        <v>1864</v>
      </c>
      <c r="F3196" t="s">
        <v>22</v>
      </c>
      <c r="G3196" t="s">
        <v>23</v>
      </c>
      <c r="H3196" t="s">
        <v>37</v>
      </c>
      <c r="I3196" t="s">
        <v>25</v>
      </c>
      <c r="J3196" t="s">
        <v>2509</v>
      </c>
      <c r="K3196">
        <v>22</v>
      </c>
      <c r="L3196">
        <v>4</v>
      </c>
      <c r="M3196">
        <v>2025</v>
      </c>
      <c r="N3196" t="s">
        <v>27</v>
      </c>
      <c r="O3196">
        <v>250</v>
      </c>
      <c r="Q3196">
        <v>250</v>
      </c>
      <c r="R3196" s="3" t="str">
        <f>HYPERLINK("https://panda.att.com.mx/ODKServer/view/binaryData?blobKey=FSSuministroFluidosv3%5B%40version%3Dnull+and+%40uiVersion%3Dnull%5D%2Fdata%5B%40key%3Duuid%3A8597afb1-be73-4503-810a-2d72deadfb79%5D%2FgroupInfoFuel%5B%40ordinal%3D1%5D%2FpicFuelRecibeInterno","Descargar")</f>
        <v>Descargar</v>
      </c>
    </row>
    <row r="3197" spans="1:18" x14ac:dyDescent="0.3">
      <c r="A3197">
        <v>1522130</v>
      </c>
      <c r="B3197" t="s">
        <v>18</v>
      </c>
      <c r="C3197" t="s">
        <v>55</v>
      </c>
      <c r="D3197" t="s">
        <v>56</v>
      </c>
      <c r="E3197" t="s">
        <v>2083</v>
      </c>
      <c r="F3197" t="s">
        <v>22</v>
      </c>
      <c r="G3197" t="s">
        <v>23</v>
      </c>
      <c r="H3197" t="s">
        <v>1763</v>
      </c>
      <c r="I3197" t="s">
        <v>25</v>
      </c>
      <c r="J3197" t="s">
        <v>2510</v>
      </c>
      <c r="K3197">
        <v>21</v>
      </c>
      <c r="L3197">
        <v>4</v>
      </c>
      <c r="M3197">
        <v>2025</v>
      </c>
      <c r="N3197" t="s">
        <v>27</v>
      </c>
      <c r="O3197">
        <v>100</v>
      </c>
      <c r="P3197">
        <v>100</v>
      </c>
      <c r="R3197" s="3" t="str">
        <f>HYPERLINK("https://panda.att.com.mx/ODKServer/view/binaryData?blobKey=FSSuministroFluidosv3%5B%40version%3Dnull+and+%40uiVersion%3Dnull%5D%2Fdata%5B%40key%3Duuid%3Ab382191a-c8c9-45b5-b9ff-c8e3da5b51c4%5D%2FgroupInfoFuel%5B%40ordinal%3D1%5D%2FpicFuelRecibeInterno","Descargar")</f>
        <v>Descargar</v>
      </c>
    </row>
    <row r="3198" spans="1:18" x14ac:dyDescent="0.3">
      <c r="A3198">
        <v>1522055</v>
      </c>
      <c r="B3198" t="s">
        <v>18</v>
      </c>
      <c r="C3198" t="s">
        <v>55</v>
      </c>
      <c r="D3198" t="s">
        <v>128</v>
      </c>
      <c r="E3198" t="s">
        <v>2511</v>
      </c>
      <c r="F3198" t="s">
        <v>22</v>
      </c>
      <c r="G3198" t="s">
        <v>23</v>
      </c>
      <c r="H3198" t="s">
        <v>1763</v>
      </c>
      <c r="I3198" t="s">
        <v>25</v>
      </c>
      <c r="J3198" t="s">
        <v>2512</v>
      </c>
      <c r="K3198">
        <v>23</v>
      </c>
      <c r="L3198">
        <v>4</v>
      </c>
      <c r="M3198">
        <v>2025</v>
      </c>
      <c r="N3198" t="s">
        <v>27</v>
      </c>
      <c r="O3198">
        <v>300</v>
      </c>
      <c r="P3198">
        <v>300</v>
      </c>
      <c r="R3198" s="3" t="str">
        <f>HYPERLINK("https://panda.att.com.mx/ODKServer/view/binaryData?blobKey=FSSuministroFluidosv3%5B%40version%3Dnull+and+%40uiVersion%3Dnull%5D%2Fdata%5B%40key%3Duuid%3A5ecbc64d-73ad-4e04-a44a-62bf0167b208%5D%2FgroupInfoFuel%5B%40ordinal%3D1%5D%2FpicFuelRecibeInterno","Descargar")</f>
        <v>Descargar</v>
      </c>
    </row>
    <row r="3199" spans="1:18" x14ac:dyDescent="0.3">
      <c r="A3199">
        <v>1521978</v>
      </c>
      <c r="B3199" t="s">
        <v>18</v>
      </c>
      <c r="C3199" t="s">
        <v>100</v>
      </c>
      <c r="D3199" t="s">
        <v>716</v>
      </c>
      <c r="E3199" t="s">
        <v>2513</v>
      </c>
      <c r="F3199" t="s">
        <v>22</v>
      </c>
      <c r="G3199" t="s">
        <v>23</v>
      </c>
      <c r="H3199" t="s">
        <v>1781</v>
      </c>
      <c r="I3199" t="s">
        <v>25</v>
      </c>
      <c r="J3199" t="s">
        <v>2514</v>
      </c>
      <c r="K3199">
        <v>23</v>
      </c>
      <c r="L3199">
        <v>4</v>
      </c>
      <c r="M3199">
        <v>2025</v>
      </c>
      <c r="N3199" t="s">
        <v>27</v>
      </c>
      <c r="O3199">
        <v>47</v>
      </c>
      <c r="P3199">
        <v>47</v>
      </c>
      <c r="R3199" s="3" t="str">
        <f>HYPERLINK("https://panda.att.com.mx/ODKServer/view/binaryData?blobKey=FSSuministroFluidosv3%5B%40version%3Dnull+and+%40uiVersion%3Dnull%5D%2Fdata%5B%40key%3Duuid%3Aedb70cb1-a145-4969-87ca-68676ef1a15d%5D%2FgroupInfoFuel%5B%40ordinal%3D1%5D%2FpicFuelRecibeInterno","Descargar")</f>
        <v>Descargar</v>
      </c>
    </row>
    <row r="3200" spans="1:18" x14ac:dyDescent="0.3">
      <c r="A3200">
        <v>1521730</v>
      </c>
      <c r="B3200" t="s">
        <v>18</v>
      </c>
      <c r="C3200" t="s">
        <v>55</v>
      </c>
      <c r="D3200" t="s">
        <v>56</v>
      </c>
      <c r="E3200" t="s">
        <v>320</v>
      </c>
      <c r="F3200" t="s">
        <v>22</v>
      </c>
      <c r="G3200" t="s">
        <v>23</v>
      </c>
      <c r="H3200" t="s">
        <v>1763</v>
      </c>
      <c r="I3200" t="s">
        <v>25</v>
      </c>
      <c r="J3200" t="s">
        <v>2515</v>
      </c>
      <c r="K3200">
        <v>21</v>
      </c>
      <c r="L3200">
        <v>4</v>
      </c>
      <c r="M3200">
        <v>2025</v>
      </c>
      <c r="N3200" t="s">
        <v>27</v>
      </c>
      <c r="O3200">
        <v>300</v>
      </c>
      <c r="P3200">
        <v>300</v>
      </c>
      <c r="R3200" s="3" t="str">
        <f>HYPERLINK("https://panda.att.com.mx/ODKServer/view/binaryData?blobKey=FSSuministroFluidosv3%5B%40version%3Dnull+and+%40uiVersion%3Dnull%5D%2Fdata%5B%40key%3Duuid%3Aa83c64a2-bddf-4ffa-b569-ce0d281e8f19%5D%2FgroupInfoFuel%5B%40ordinal%3D1%5D%2FpicFuelRecibeInterno","Descargar")</f>
        <v>Descargar</v>
      </c>
    </row>
    <row r="3201" spans="1:18" x14ac:dyDescent="0.3">
      <c r="A3201">
        <v>1521718</v>
      </c>
      <c r="B3201" t="s">
        <v>18</v>
      </c>
      <c r="C3201" t="s">
        <v>55</v>
      </c>
      <c r="D3201" t="s">
        <v>56</v>
      </c>
      <c r="E3201" t="s">
        <v>1842</v>
      </c>
      <c r="F3201" t="s">
        <v>22</v>
      </c>
      <c r="G3201" t="s">
        <v>23</v>
      </c>
      <c r="H3201" t="s">
        <v>1763</v>
      </c>
      <c r="I3201" t="s">
        <v>25</v>
      </c>
      <c r="J3201" t="s">
        <v>2516</v>
      </c>
      <c r="K3201">
        <v>21</v>
      </c>
      <c r="L3201">
        <v>4</v>
      </c>
      <c r="M3201">
        <v>2025</v>
      </c>
      <c r="N3201" t="s">
        <v>27</v>
      </c>
      <c r="O3201">
        <v>300</v>
      </c>
      <c r="P3201">
        <v>300</v>
      </c>
      <c r="R3201" s="3" t="str">
        <f>HYPERLINK("https://panda.att.com.mx/ODKServer/view/binaryData?blobKey=FSSuministroFluidosv3%5B%40version%3Dnull+and+%40uiVersion%3Dnull%5D%2Fdata%5B%40key%3Duuid%3A3fe68570-3210-49e6-ad40-11c667e397b5%5D%2FgroupInfoFuel%5B%40ordinal%3D1%5D%2FpicFuelRecibeInterno","Descargar")</f>
        <v>Descargar</v>
      </c>
    </row>
    <row r="3202" spans="1:18" x14ac:dyDescent="0.3">
      <c r="A3202">
        <v>1524630</v>
      </c>
      <c r="B3202" t="s">
        <v>18</v>
      </c>
      <c r="C3202" t="s">
        <v>19</v>
      </c>
      <c r="D3202" t="s">
        <v>45</v>
      </c>
      <c r="E3202" t="s">
        <v>752</v>
      </c>
      <c r="F3202" t="s">
        <v>22</v>
      </c>
      <c r="G3202" t="s">
        <v>23</v>
      </c>
      <c r="H3202" t="s">
        <v>24</v>
      </c>
      <c r="I3202" t="s">
        <v>25</v>
      </c>
      <c r="J3202" t="s">
        <v>2517</v>
      </c>
      <c r="K3202">
        <v>26</v>
      </c>
      <c r="L3202">
        <v>4</v>
      </c>
      <c r="M3202">
        <v>2025</v>
      </c>
      <c r="N3202" t="s">
        <v>27</v>
      </c>
      <c r="O3202">
        <v>300</v>
      </c>
      <c r="P3202">
        <v>300</v>
      </c>
      <c r="R3202" s="3" t="str">
        <f>HYPERLINK("https://panda.att.com.mx/ODKServer/view/binaryData?blobKey=FSSuministroFluidosv3%5B%40version%3Dnull+and+%40uiVersion%3Dnull%5D%2Fdata%5B%40key%3Duuid%3Ad8c58c9c-f405-4c5d-8da0-9e6c4fd4df39%5D%2FgroupInfoFuel%5B%40ordinal%3D1%5D%2FpicFuelRecibeInterno","Descargar")</f>
        <v>Descargar</v>
      </c>
    </row>
    <row r="3203" spans="1:18" x14ac:dyDescent="0.3">
      <c r="A3203">
        <v>1524617</v>
      </c>
      <c r="B3203" t="s">
        <v>18</v>
      </c>
      <c r="C3203" t="s">
        <v>59</v>
      </c>
      <c r="D3203" t="s">
        <v>233</v>
      </c>
      <c r="E3203" t="s">
        <v>1847</v>
      </c>
      <c r="F3203" t="s">
        <v>22</v>
      </c>
      <c r="G3203" t="s">
        <v>23</v>
      </c>
      <c r="H3203" t="s">
        <v>37</v>
      </c>
      <c r="I3203" t="s">
        <v>25</v>
      </c>
      <c r="J3203" t="s">
        <v>2518</v>
      </c>
      <c r="K3203">
        <v>26</v>
      </c>
      <c r="L3203">
        <v>4</v>
      </c>
      <c r="M3203">
        <v>2025</v>
      </c>
      <c r="N3203" t="s">
        <v>27</v>
      </c>
      <c r="O3203">
        <v>400</v>
      </c>
      <c r="Q3203">
        <v>400</v>
      </c>
      <c r="R3203" s="3" t="str">
        <f>HYPERLINK("https://panda.att.com.mx/ODKServer/view/binaryData?blobKey=FSSuministroFluidosv3%5B%40version%3Dnull+and+%40uiVersion%3Dnull%5D%2Fdata%5B%40key%3Duuid%3A91912ab4-6404-4e98-aabf-942a19cec7ef%5D%2FgroupInfoFuel%5B%40ordinal%3D1%5D%2FpicFuelRecibeInterno","Descargar")</f>
        <v>Descargar</v>
      </c>
    </row>
    <row r="3204" spans="1:18" x14ac:dyDescent="0.3">
      <c r="A3204">
        <v>1524427</v>
      </c>
      <c r="B3204" t="s">
        <v>18</v>
      </c>
      <c r="C3204" t="s">
        <v>59</v>
      </c>
      <c r="D3204" t="s">
        <v>60</v>
      </c>
      <c r="E3204" t="s">
        <v>820</v>
      </c>
      <c r="F3204" t="s">
        <v>22</v>
      </c>
      <c r="G3204" t="s">
        <v>83</v>
      </c>
      <c r="H3204" t="s">
        <v>1816</v>
      </c>
      <c r="I3204" t="s">
        <v>25</v>
      </c>
      <c r="J3204" t="s">
        <v>2519</v>
      </c>
      <c r="K3204">
        <v>24</v>
      </c>
      <c r="L3204">
        <v>4</v>
      </c>
      <c r="M3204">
        <v>2025</v>
      </c>
      <c r="N3204" t="s">
        <v>27</v>
      </c>
      <c r="O3204">
        <v>104</v>
      </c>
      <c r="Q3204">
        <v>104</v>
      </c>
      <c r="R3204" s="3" t="str">
        <f>HYPERLINK("https://panda.att.com.mx/ODKServer/view/binaryData?blobKey=FSSuministroFluidosv3%5B%40version%3Dnull+and+%40uiVersion%3Dnull%5D%2Fdata%5B%40key%3Duuid%3A09956d52-fcb2-4f3d-bbed-3cf814f2ec49%5D%2FgroupInfoFuel%5B%40ordinal%3D1%5D%2FpicFuelRecibeInterno","Descargar")</f>
        <v>Descargar</v>
      </c>
    </row>
    <row r="3205" spans="1:18" x14ac:dyDescent="0.3">
      <c r="A3205">
        <v>1524420</v>
      </c>
      <c r="B3205" t="s">
        <v>18</v>
      </c>
      <c r="C3205" t="s">
        <v>34</v>
      </c>
      <c r="D3205" t="s">
        <v>53</v>
      </c>
      <c r="E3205" t="s">
        <v>2520</v>
      </c>
      <c r="F3205" t="s">
        <v>22</v>
      </c>
      <c r="G3205" t="s">
        <v>23</v>
      </c>
      <c r="H3205" t="s">
        <v>37</v>
      </c>
      <c r="I3205" t="s">
        <v>25</v>
      </c>
      <c r="J3205" t="s">
        <v>2521</v>
      </c>
      <c r="K3205">
        <v>26</v>
      </c>
      <c r="L3205">
        <v>4</v>
      </c>
      <c r="M3205">
        <v>2025</v>
      </c>
      <c r="N3205" t="s">
        <v>27</v>
      </c>
      <c r="O3205">
        <v>300</v>
      </c>
      <c r="P3205">
        <v>300</v>
      </c>
      <c r="R3205" s="3" t="str">
        <f>HYPERLINK("https://panda.att.com.mx/ODKServer/view/binaryData?blobKey=FSSuministroFluidosv3%5B%40version%3Dnull+and+%40uiVersion%3Dnull%5D%2Fdata%5B%40key%3Duuid%3A2af36fc4-6e4f-4ea5-a4ff-c7ebcfa03957%5D%2FgroupInfoFuel%5B%40ordinal%3D1%5D%2FpicFuelRecibeInterno","Descargar")</f>
        <v>Descargar</v>
      </c>
    </row>
    <row r="3206" spans="1:18" x14ac:dyDescent="0.3">
      <c r="A3206">
        <v>1524377</v>
      </c>
      <c r="B3206" t="s">
        <v>18</v>
      </c>
      <c r="C3206" t="s">
        <v>34</v>
      </c>
      <c r="D3206" t="s">
        <v>292</v>
      </c>
      <c r="E3206" t="s">
        <v>1869</v>
      </c>
      <c r="G3206" t="s">
        <v>23</v>
      </c>
      <c r="H3206" t="s">
        <v>37</v>
      </c>
      <c r="I3206" t="s">
        <v>25</v>
      </c>
      <c r="J3206" t="s">
        <v>2522</v>
      </c>
      <c r="K3206">
        <v>26</v>
      </c>
      <c r="L3206">
        <v>4</v>
      </c>
      <c r="M3206">
        <v>2025</v>
      </c>
      <c r="N3206" t="s">
        <v>27</v>
      </c>
      <c r="O3206">
        <v>230</v>
      </c>
      <c r="Q3206">
        <v>230</v>
      </c>
      <c r="R3206" s="3" t="str">
        <f>HYPERLINK("https://panda.att.com.mx/ODKServer/view/binaryData?blobKey=FSSuministroFluidosv3%5B%40version%3Dnull+and+%40uiVersion%3Dnull%5D%2Fdata%5B%40key%3Duuid%3A070bda3e-9215-4667-8f6c-95e136fc3b06%5D%2FgroupInfoFuel%5B%40ordinal%3D1%5D%2FpicFuelRecibeInterno","Descargar")</f>
        <v>Descargar</v>
      </c>
    </row>
    <row r="3207" spans="1:18" x14ac:dyDescent="0.3">
      <c r="A3207">
        <v>1524364</v>
      </c>
      <c r="B3207" t="s">
        <v>18</v>
      </c>
      <c r="C3207" t="s">
        <v>19</v>
      </c>
      <c r="D3207" t="s">
        <v>2250</v>
      </c>
      <c r="E3207" t="s">
        <v>2251</v>
      </c>
      <c r="F3207" t="s">
        <v>22</v>
      </c>
      <c r="G3207" t="s">
        <v>23</v>
      </c>
      <c r="H3207" t="s">
        <v>24</v>
      </c>
      <c r="I3207" t="s">
        <v>25</v>
      </c>
      <c r="J3207" t="s">
        <v>2523</v>
      </c>
      <c r="K3207">
        <v>22</v>
      </c>
      <c r="L3207">
        <v>4</v>
      </c>
      <c r="M3207">
        <v>2025</v>
      </c>
      <c r="N3207" t="s">
        <v>44</v>
      </c>
      <c r="O3207">
        <v>25</v>
      </c>
      <c r="P3207">
        <v>25</v>
      </c>
      <c r="R3207" s="3" t="str">
        <f>HYPERLINK("https://panda.att.com.mx/ODKServer/view/binaryData?blobKey=FSSuministroFluidosv3%5B%40version%3Dnull+and+%40uiVersion%3Dnull%5D%2Fdata%5B%40key%3Duuid%3A09c91cc2-7131-4fe3-aa55-a5bf943cb67c%5D%2FgroupInfoFuel%5B%40ordinal%3D1%5D%2FpicFuelRecibeInterno","Descargar")</f>
        <v>Descargar</v>
      </c>
    </row>
    <row r="3208" spans="1:18" x14ac:dyDescent="0.3">
      <c r="A3208">
        <v>1524199</v>
      </c>
      <c r="B3208" t="s">
        <v>18</v>
      </c>
      <c r="C3208" t="s">
        <v>55</v>
      </c>
      <c r="D3208" t="s">
        <v>56</v>
      </c>
      <c r="E3208" t="s">
        <v>2524</v>
      </c>
      <c r="F3208" t="s">
        <v>22</v>
      </c>
      <c r="G3208" t="s">
        <v>23</v>
      </c>
      <c r="H3208" t="s">
        <v>1763</v>
      </c>
      <c r="I3208" t="s">
        <v>25</v>
      </c>
      <c r="J3208" t="s">
        <v>2525</v>
      </c>
      <c r="K3208">
        <v>25</v>
      </c>
      <c r="L3208">
        <v>4</v>
      </c>
      <c r="M3208">
        <v>2025</v>
      </c>
      <c r="N3208" t="s">
        <v>27</v>
      </c>
      <c r="O3208">
        <v>100</v>
      </c>
      <c r="P3208">
        <v>100</v>
      </c>
      <c r="R3208" s="3" t="str">
        <f>HYPERLINK("https://panda.att.com.mx/ODKServer/view/binaryData?blobKey=FSSuministroFluidosv3%5B%40version%3Dnull+and+%40uiVersion%3Dnull%5D%2Fdata%5B%40key%3Duuid%3A690fbc79-8660-4da3-9762-fa64f64fdd95%5D%2FgroupInfoFuel%5B%40ordinal%3D1%5D%2FpicFuelRecibeInterno","Descargar")</f>
        <v>Descargar</v>
      </c>
    </row>
    <row r="3209" spans="1:18" x14ac:dyDescent="0.3">
      <c r="A3209">
        <v>1524198</v>
      </c>
      <c r="B3209" t="s">
        <v>18</v>
      </c>
      <c r="C3209" t="s">
        <v>55</v>
      </c>
      <c r="D3209" t="s">
        <v>56</v>
      </c>
      <c r="E3209" t="s">
        <v>2083</v>
      </c>
      <c r="F3209" t="s">
        <v>22</v>
      </c>
      <c r="G3209" t="s">
        <v>23</v>
      </c>
      <c r="H3209" t="s">
        <v>1763</v>
      </c>
      <c r="I3209" t="s">
        <v>25</v>
      </c>
      <c r="J3209" t="s">
        <v>2526</v>
      </c>
      <c r="K3209">
        <v>25</v>
      </c>
      <c r="L3209">
        <v>4</v>
      </c>
      <c r="M3209">
        <v>2025</v>
      </c>
      <c r="N3209" t="s">
        <v>27</v>
      </c>
      <c r="O3209">
        <v>100</v>
      </c>
      <c r="P3209">
        <v>100</v>
      </c>
      <c r="R3209" s="3" t="str">
        <f>HYPERLINK("https://panda.att.com.mx/ODKServer/view/binaryData?blobKey=FSSuministroFluidosv3%5B%40version%3Dnull+and+%40uiVersion%3Dnull%5D%2Fdata%5B%40key%3Duuid%3Af08a4feb-5d69-4452-9976-1d71d9e75af7%5D%2FgroupInfoFuel%5B%40ordinal%3D1%5D%2FpicFuelRecibeInterno","Descargar")</f>
        <v>Descargar</v>
      </c>
    </row>
    <row r="3210" spans="1:18" x14ac:dyDescent="0.3">
      <c r="A3210">
        <v>1524195</v>
      </c>
      <c r="B3210" t="s">
        <v>18</v>
      </c>
      <c r="C3210" t="s">
        <v>55</v>
      </c>
      <c r="D3210" t="s">
        <v>56</v>
      </c>
      <c r="E3210" t="s">
        <v>2083</v>
      </c>
      <c r="F3210" t="s">
        <v>22</v>
      </c>
      <c r="G3210" t="s">
        <v>23</v>
      </c>
      <c r="H3210" t="s">
        <v>1763</v>
      </c>
      <c r="I3210" t="s">
        <v>25</v>
      </c>
      <c r="J3210" t="s">
        <v>2527</v>
      </c>
      <c r="K3210">
        <v>24</v>
      </c>
      <c r="L3210">
        <v>4</v>
      </c>
      <c r="M3210">
        <v>2025</v>
      </c>
      <c r="N3210" t="s">
        <v>27</v>
      </c>
      <c r="O3210">
        <v>100</v>
      </c>
      <c r="P3210">
        <v>100</v>
      </c>
      <c r="R3210" s="3" t="str">
        <f>HYPERLINK("https://panda.att.com.mx/ODKServer/view/binaryData?blobKey=FSSuministroFluidosv3%5B%40version%3Dnull+and+%40uiVersion%3Dnull%5D%2Fdata%5B%40key%3Duuid%3Acda09e45-7f04-4e1e-8785-2436d6433c98%5D%2FgroupInfoFuel%5B%40ordinal%3D1%5D%2FpicFuelRecibeInterno","Descargar")</f>
        <v>Descargar</v>
      </c>
    </row>
    <row r="3211" spans="1:18" x14ac:dyDescent="0.3">
      <c r="A3211">
        <v>1524177</v>
      </c>
      <c r="B3211" t="s">
        <v>18</v>
      </c>
      <c r="C3211" t="s">
        <v>19</v>
      </c>
      <c r="D3211" t="s">
        <v>109</v>
      </c>
      <c r="E3211" t="s">
        <v>2528</v>
      </c>
      <c r="F3211" t="s">
        <v>22</v>
      </c>
      <c r="G3211" t="s">
        <v>23</v>
      </c>
      <c r="H3211" t="s">
        <v>24</v>
      </c>
      <c r="I3211" t="s">
        <v>25</v>
      </c>
      <c r="J3211" t="s">
        <v>2529</v>
      </c>
      <c r="K3211">
        <v>25</v>
      </c>
      <c r="L3211">
        <v>4</v>
      </c>
      <c r="M3211">
        <v>2025</v>
      </c>
      <c r="N3211" t="s">
        <v>27</v>
      </c>
      <c r="O3211">
        <v>80</v>
      </c>
      <c r="P3211">
        <v>80</v>
      </c>
      <c r="R3211" s="3" t="str">
        <f>HYPERLINK("https://panda.att.com.mx/ODKServer/view/binaryData?blobKey=FSSuministroFluidosv3%5B%40version%3Dnull+and+%40uiVersion%3Dnull%5D%2Fdata%5B%40key%3Duuid%3A30f0b2fc-984c-4588-9de8-0929db5b7076%5D%2FgroupInfoFuel%5B%40ordinal%3D1%5D%2FpicFuelRecibeInterno","Descargar")</f>
        <v>Descargar</v>
      </c>
    </row>
    <row r="3212" spans="1:18" x14ac:dyDescent="0.3">
      <c r="A3212">
        <v>1524175</v>
      </c>
      <c r="B3212" t="s">
        <v>18</v>
      </c>
      <c r="C3212" t="s">
        <v>167</v>
      </c>
      <c r="D3212" t="s">
        <v>168</v>
      </c>
      <c r="E3212" t="s">
        <v>2062</v>
      </c>
      <c r="F3212" t="s">
        <v>22</v>
      </c>
      <c r="G3212" t="s">
        <v>83</v>
      </c>
      <c r="H3212" t="s">
        <v>58</v>
      </c>
      <c r="I3212" t="s">
        <v>25</v>
      </c>
      <c r="J3212" t="s">
        <v>2530</v>
      </c>
      <c r="K3212">
        <v>25</v>
      </c>
      <c r="L3212">
        <v>4</v>
      </c>
      <c r="M3212">
        <v>2025</v>
      </c>
      <c r="N3212" t="s">
        <v>27</v>
      </c>
      <c r="O3212">
        <v>150</v>
      </c>
      <c r="P3212">
        <v>150</v>
      </c>
      <c r="R3212" s="3" t="str">
        <f>HYPERLINK("https://panda.att.com.mx/ODKServer/view/binaryData?blobKey=FSSuministroFluidosv3%5B%40version%3Dnull+and+%40uiVersion%3Dnull%5D%2Fdata%5B%40key%3Duuid%3A74bb3bbe-b16d-4f2b-ac81-9102f0bf28aa%5D%2FgroupInfoFuel%5B%40ordinal%3D1%5D%2FpicFuelRecibeInterno","Descargar")</f>
        <v>Descargar</v>
      </c>
    </row>
    <row r="3213" spans="1:18" x14ac:dyDescent="0.3">
      <c r="A3213">
        <v>1524174</v>
      </c>
      <c r="B3213" t="s">
        <v>18</v>
      </c>
      <c r="C3213" t="s">
        <v>19</v>
      </c>
      <c r="D3213" t="s">
        <v>62</v>
      </c>
      <c r="E3213" t="s">
        <v>2060</v>
      </c>
      <c r="F3213" t="s">
        <v>22</v>
      </c>
      <c r="G3213" t="s">
        <v>23</v>
      </c>
      <c r="H3213" t="s">
        <v>24</v>
      </c>
      <c r="I3213" t="s">
        <v>25</v>
      </c>
      <c r="J3213" t="s">
        <v>2531</v>
      </c>
      <c r="K3213">
        <v>24</v>
      </c>
      <c r="L3213">
        <v>4</v>
      </c>
      <c r="M3213">
        <v>2025</v>
      </c>
      <c r="N3213" t="s">
        <v>27</v>
      </c>
      <c r="O3213">
        <v>250</v>
      </c>
      <c r="P3213">
        <v>250</v>
      </c>
      <c r="R3213" s="3" t="str">
        <f>HYPERLINK("https://panda.att.com.mx/ODKServer/view/binaryData?blobKey=FSSuministroFluidosv3%5B%40version%3Dnull+and+%40uiVersion%3Dnull%5D%2Fdata%5B%40key%3Duuid%3A796a4d5e-a722-46b7-acf8-cc17e22dd562%5D%2FgroupInfoFuel%5B%40ordinal%3D1%5D%2FpicFuelRecibeInterno","Descargar")</f>
        <v>Descargar</v>
      </c>
    </row>
    <row r="3214" spans="1:18" x14ac:dyDescent="0.3">
      <c r="A3214">
        <v>1524144</v>
      </c>
      <c r="B3214" t="s">
        <v>18</v>
      </c>
      <c r="C3214" t="s">
        <v>55</v>
      </c>
      <c r="D3214" t="s">
        <v>64</v>
      </c>
      <c r="E3214" t="s">
        <v>2343</v>
      </c>
      <c r="F3214" t="s">
        <v>22</v>
      </c>
      <c r="G3214" t="s">
        <v>23</v>
      </c>
      <c r="H3214" t="s">
        <v>1763</v>
      </c>
      <c r="I3214" t="s">
        <v>25</v>
      </c>
      <c r="J3214" t="s">
        <v>2532</v>
      </c>
      <c r="K3214">
        <v>25</v>
      </c>
      <c r="L3214">
        <v>4</v>
      </c>
      <c r="M3214">
        <v>2025</v>
      </c>
      <c r="N3214" t="s">
        <v>27</v>
      </c>
      <c r="O3214">
        <v>150</v>
      </c>
      <c r="P3214">
        <v>150</v>
      </c>
      <c r="R3214" s="3" t="str">
        <f>HYPERLINK("https://panda.att.com.mx/ODKServer/view/binaryData?blobKey=FSSuministroFluidosv3%5B%40version%3Dnull+and+%40uiVersion%3Dnull%5D%2Fdata%5B%40key%3Duuid%3Ac8bda9d7-9dd6-4b08-a563-c37a4e024137%5D%2FgroupInfoFuel%5B%40ordinal%3D1%5D%2FpicFuelRecibeInterno","Descargar")</f>
        <v>Descargar</v>
      </c>
    </row>
    <row r="3215" spans="1:18" x14ac:dyDescent="0.3">
      <c r="A3215">
        <v>1524142</v>
      </c>
      <c r="B3215" t="s">
        <v>18</v>
      </c>
      <c r="C3215" t="s">
        <v>34</v>
      </c>
      <c r="D3215" t="s">
        <v>121</v>
      </c>
      <c r="E3215" t="s">
        <v>2533</v>
      </c>
      <c r="F3215" t="s">
        <v>22</v>
      </c>
      <c r="G3215" t="s">
        <v>23</v>
      </c>
      <c r="H3215" t="s">
        <v>37</v>
      </c>
      <c r="I3215" t="s">
        <v>25</v>
      </c>
      <c r="J3215" t="s">
        <v>2534</v>
      </c>
      <c r="K3215">
        <v>25</v>
      </c>
      <c r="L3215">
        <v>4</v>
      </c>
      <c r="M3215">
        <v>2025</v>
      </c>
      <c r="N3215" t="s">
        <v>44</v>
      </c>
      <c r="O3215">
        <v>50</v>
      </c>
      <c r="P3215">
        <v>50</v>
      </c>
      <c r="R3215" s="3" t="str">
        <f>HYPERLINK("https://panda.att.com.mx/ODKServer/view/binaryData?blobKey=FSSuministroFluidosv3%5B%40version%3Dnull+and+%40uiVersion%3Dnull%5D%2Fdata%5B%40key%3Duuid%3A3e4a3538-7e05-4d86-a888-c4927ebb92f1%5D%2FgroupInfoFuel%5B%40ordinal%3D1%5D%2FpicFuelRecibeInterno","Descargar")</f>
        <v>Descargar</v>
      </c>
    </row>
    <row r="3216" spans="1:18" x14ac:dyDescent="0.3">
      <c r="A3216">
        <v>1524028</v>
      </c>
      <c r="B3216" t="s">
        <v>18</v>
      </c>
      <c r="C3216" t="s">
        <v>28</v>
      </c>
      <c r="D3216" t="s">
        <v>315</v>
      </c>
      <c r="E3216" t="s">
        <v>1078</v>
      </c>
      <c r="F3216" t="s">
        <v>22</v>
      </c>
      <c r="G3216" t="s">
        <v>23</v>
      </c>
      <c r="H3216" t="s">
        <v>24</v>
      </c>
      <c r="I3216" t="s">
        <v>25</v>
      </c>
      <c r="J3216" t="s">
        <v>2535</v>
      </c>
      <c r="K3216">
        <v>25</v>
      </c>
      <c r="L3216">
        <v>4</v>
      </c>
      <c r="M3216">
        <v>2025</v>
      </c>
      <c r="N3216" t="s">
        <v>44</v>
      </c>
      <c r="O3216">
        <v>40</v>
      </c>
      <c r="P3216">
        <v>40</v>
      </c>
      <c r="R3216" s="3" t="str">
        <f>HYPERLINK("https://panda.att.com.mx/ODKServer/view/binaryData?blobKey=FSSuministroFluidosv3%5B%40version%3Dnull+and+%40uiVersion%3Dnull%5D%2Fdata%5B%40key%3Duuid%3A8275016f-5025-42a4-8d9e-a62fc3b9afc1%5D%2FgroupInfoFuel%5B%40ordinal%3D1%5D%2FpicFuelRecibeInterno","Descargar")</f>
        <v>Descargar</v>
      </c>
    </row>
    <row r="3217" spans="1:18" x14ac:dyDescent="0.3">
      <c r="A3217">
        <v>1523906</v>
      </c>
      <c r="B3217" t="s">
        <v>18</v>
      </c>
      <c r="C3217" t="s">
        <v>59</v>
      </c>
      <c r="D3217" t="s">
        <v>597</v>
      </c>
      <c r="E3217" t="s">
        <v>1495</v>
      </c>
      <c r="F3217" t="s">
        <v>22</v>
      </c>
      <c r="G3217" t="s">
        <v>23</v>
      </c>
      <c r="H3217" t="s">
        <v>37</v>
      </c>
      <c r="I3217" t="s">
        <v>25</v>
      </c>
      <c r="J3217" t="s">
        <v>2536</v>
      </c>
      <c r="K3217">
        <v>25</v>
      </c>
      <c r="L3217">
        <v>4</v>
      </c>
      <c r="M3217">
        <v>2025</v>
      </c>
      <c r="N3217" t="s">
        <v>44</v>
      </c>
      <c r="O3217">
        <v>50</v>
      </c>
      <c r="P3217">
        <v>50</v>
      </c>
      <c r="R3217" s="3" t="str">
        <f>HYPERLINK("https://panda.att.com.mx/ODKServer/view/binaryData?blobKey=FSSuministroFluidosv3%5B%40version%3Dnull+and+%40uiVersion%3Dnull%5D%2Fdata%5B%40key%3Duuid%3A15c15453-2c60-40b1-8191-a8338dc0d65a%5D%2FgroupInfoFuel%5B%40ordinal%3D1%5D%2FpicFuelRecibeInterno","Descargar")</f>
        <v>Descargar</v>
      </c>
    </row>
    <row r="3218" spans="1:18" x14ac:dyDescent="0.3">
      <c r="A3218">
        <v>1523810</v>
      </c>
      <c r="B3218" t="s">
        <v>18</v>
      </c>
      <c r="C3218" t="s">
        <v>100</v>
      </c>
      <c r="D3218" t="s">
        <v>716</v>
      </c>
      <c r="E3218" t="s">
        <v>717</v>
      </c>
      <c r="F3218" t="s">
        <v>22</v>
      </c>
      <c r="G3218" t="s">
        <v>83</v>
      </c>
      <c r="H3218" t="s">
        <v>1781</v>
      </c>
      <c r="I3218" t="s">
        <v>25</v>
      </c>
      <c r="J3218" t="s">
        <v>2537</v>
      </c>
      <c r="K3218">
        <v>25</v>
      </c>
      <c r="L3218">
        <v>4</v>
      </c>
      <c r="M3218">
        <v>2025</v>
      </c>
      <c r="N3218" t="s">
        <v>27</v>
      </c>
      <c r="O3218">
        <v>120</v>
      </c>
      <c r="P3218">
        <v>120</v>
      </c>
      <c r="R3218" s="3" t="str">
        <f>HYPERLINK("https://panda.att.com.mx/ODKServer/view/binaryData?blobKey=FSSuministroFluidosv3%5B%40version%3Dnull+and+%40uiVersion%3Dnull%5D%2Fdata%5B%40key%3Duuid%3A213f09b0-4978-4af8-b418-ece0cbfd550a%5D%2FgroupInfoFuel%5B%40ordinal%3D1%5D%2FpicFuelRecibeInterno","Descargar")</f>
        <v>Descargar</v>
      </c>
    </row>
    <row r="3219" spans="1:18" x14ac:dyDescent="0.3">
      <c r="A3219">
        <v>1523795</v>
      </c>
      <c r="B3219" t="s">
        <v>18</v>
      </c>
      <c r="C3219" t="s">
        <v>59</v>
      </c>
      <c r="D3219" t="s">
        <v>60</v>
      </c>
      <c r="E3219" t="s">
        <v>2538</v>
      </c>
      <c r="F3219" t="s">
        <v>22</v>
      </c>
      <c r="G3219" t="s">
        <v>23</v>
      </c>
      <c r="H3219" t="s">
        <v>1816</v>
      </c>
      <c r="I3219" t="s">
        <v>84</v>
      </c>
      <c r="J3219" t="s">
        <v>2539</v>
      </c>
      <c r="K3219">
        <v>18</v>
      </c>
      <c r="L3219">
        <v>4</v>
      </c>
      <c r="M3219">
        <v>2025</v>
      </c>
      <c r="N3219" t="s">
        <v>27</v>
      </c>
      <c r="O3219">
        <v>70</v>
      </c>
      <c r="P3219">
        <v>70</v>
      </c>
      <c r="R3219" s="3" t="str">
        <f>HYPERLINK("https://panda.att.com.mx/ODKServer/view/binaryData?blobKey=FSSuministroFluidosv3%5B%40version%3Dnull+and+%40uiVersion%3Dnull%5D%2Fdata%5B%40key%3Duuid%3Ae93d5f70-f659-422a-b0b5-a5815c9c376b%5D%2FgroupInfoFuel%5B%40ordinal%3D1%5D%2FpicFuelRecibeInterno","Descargar")</f>
        <v>Descargar</v>
      </c>
    </row>
    <row r="3220" spans="1:18" x14ac:dyDescent="0.3">
      <c r="A3220">
        <v>1523709</v>
      </c>
      <c r="B3220" t="s">
        <v>18</v>
      </c>
      <c r="C3220" t="s">
        <v>34</v>
      </c>
      <c r="D3220" t="s">
        <v>53</v>
      </c>
      <c r="E3220" t="s">
        <v>1743</v>
      </c>
      <c r="F3220" t="s">
        <v>22</v>
      </c>
      <c r="G3220" t="s">
        <v>23</v>
      </c>
      <c r="H3220" t="s">
        <v>37</v>
      </c>
      <c r="I3220" t="s">
        <v>25</v>
      </c>
      <c r="J3220" t="s">
        <v>2540</v>
      </c>
      <c r="K3220">
        <v>25</v>
      </c>
      <c r="L3220">
        <v>4</v>
      </c>
      <c r="M3220">
        <v>2025</v>
      </c>
      <c r="N3220" t="s">
        <v>27</v>
      </c>
      <c r="O3220">
        <v>900</v>
      </c>
      <c r="Q3220">
        <v>900</v>
      </c>
      <c r="R3220" s="3" t="str">
        <f>HYPERLINK("https://panda.att.com.mx/ODKServer/view/binaryData?blobKey=FSSuministroFluidosv3%5B%40version%3Dnull+and+%40uiVersion%3Dnull%5D%2Fdata%5B%40key%3Duuid%3A8e65e443-f054-411c-97f7-d69c217b1723%5D%2FgroupInfoFuel%5B%40ordinal%3D1%5D%2FpicFuelRecibeInterno","Descargar")</f>
        <v>Descargar</v>
      </c>
    </row>
    <row r="3221" spans="1:18" x14ac:dyDescent="0.3">
      <c r="A3221">
        <v>1523696</v>
      </c>
      <c r="B3221" t="s">
        <v>18</v>
      </c>
      <c r="C3221" t="s">
        <v>100</v>
      </c>
      <c r="D3221" t="s">
        <v>101</v>
      </c>
      <c r="E3221" t="s">
        <v>126</v>
      </c>
      <c r="F3221" t="s">
        <v>22</v>
      </c>
      <c r="G3221" t="s">
        <v>23</v>
      </c>
      <c r="H3221" t="s">
        <v>1781</v>
      </c>
      <c r="I3221" t="s">
        <v>25</v>
      </c>
      <c r="J3221" t="s">
        <v>2541</v>
      </c>
      <c r="K3221">
        <v>25</v>
      </c>
      <c r="L3221">
        <v>4</v>
      </c>
      <c r="M3221">
        <v>2025</v>
      </c>
      <c r="N3221" t="s">
        <v>27</v>
      </c>
      <c r="O3221">
        <v>300</v>
      </c>
      <c r="P3221">
        <v>300</v>
      </c>
      <c r="R3221" s="3" t="str">
        <f>HYPERLINK("https://panda.att.com.mx/ODKServer/view/binaryData?blobKey=FSSuministroFluidosv3%5B%40version%3Dnull+and+%40uiVersion%3Dnull%5D%2Fdata%5B%40key%3Duuid%3Adad3c2e2-2f3a-4fc9-b400-2c12e2a61713%5D%2FgroupInfoFuel%5B%40ordinal%3D1%5D%2FpicFuelRecibeInterno","Descargar")</f>
        <v>Descargar</v>
      </c>
    </row>
    <row r="3222" spans="1:18" x14ac:dyDescent="0.3">
      <c r="A3222">
        <v>1523604</v>
      </c>
      <c r="B3222" t="s">
        <v>18</v>
      </c>
      <c r="C3222" t="s">
        <v>19</v>
      </c>
      <c r="D3222" t="s">
        <v>45</v>
      </c>
      <c r="E3222" t="s">
        <v>752</v>
      </c>
      <c r="F3222" t="s">
        <v>22</v>
      </c>
      <c r="G3222" t="s">
        <v>23</v>
      </c>
      <c r="H3222" t="s">
        <v>24</v>
      </c>
      <c r="I3222" t="s">
        <v>25</v>
      </c>
      <c r="J3222" t="s">
        <v>2542</v>
      </c>
      <c r="K3222">
        <v>23</v>
      </c>
      <c r="L3222">
        <v>4</v>
      </c>
      <c r="M3222">
        <v>2025</v>
      </c>
      <c r="N3222" t="s">
        <v>27</v>
      </c>
      <c r="O3222">
        <v>300</v>
      </c>
      <c r="P3222">
        <v>300</v>
      </c>
      <c r="R3222" s="3" t="str">
        <f>HYPERLINK("https://panda.att.com.mx/ODKServer/view/binaryData?blobKey=FSSuministroFluidosv3%5B%40version%3Dnull+and+%40uiVersion%3Dnull%5D%2Fdata%5B%40key%3Duuid%3Afb70d743-eb39-4ddc-8b30-6b2fe234bba1%5D%2FgroupInfoFuel%5B%40ordinal%3D1%5D%2FpicFuelRecibeInterno","Descargar")</f>
        <v>Descargar</v>
      </c>
    </row>
    <row r="3223" spans="1:18" x14ac:dyDescent="0.3">
      <c r="A3223">
        <v>1523579</v>
      </c>
      <c r="B3223" t="s">
        <v>18</v>
      </c>
      <c r="C3223" t="s">
        <v>28</v>
      </c>
      <c r="D3223" t="s">
        <v>513</v>
      </c>
      <c r="E3223" t="s">
        <v>2543</v>
      </c>
      <c r="F3223" t="s">
        <v>22</v>
      </c>
      <c r="G3223" t="s">
        <v>23</v>
      </c>
      <c r="H3223" t="s">
        <v>24</v>
      </c>
      <c r="I3223" t="s">
        <v>25</v>
      </c>
      <c r="J3223" t="s">
        <v>2544</v>
      </c>
      <c r="K3223">
        <v>23</v>
      </c>
      <c r="L3223">
        <v>4</v>
      </c>
      <c r="M3223">
        <v>2025</v>
      </c>
      <c r="N3223" t="s">
        <v>44</v>
      </c>
      <c r="O3223">
        <v>50</v>
      </c>
      <c r="P3223">
        <v>50</v>
      </c>
      <c r="R3223" s="3" t="str">
        <f>HYPERLINK("https://panda.att.com.mx/ODKServer/view/binaryData?blobKey=FSSuministroFluidosv3%5B%40version%3Dnull+and+%40uiVersion%3Dnull%5D%2Fdata%5B%40key%3Duuid%3Ad6e8fdf2-31e8-4ba4-9d26-1f1e0a2848c1%5D%2FgroupInfoFuel%5B%40ordinal%3D1%5D%2FpicFuelRecibeInterno","Descargar")</f>
        <v>Descargar</v>
      </c>
    </row>
    <row r="3224" spans="1:18" x14ac:dyDescent="0.3">
      <c r="A3224">
        <v>1523528</v>
      </c>
      <c r="B3224" t="s">
        <v>18</v>
      </c>
      <c r="C3224" t="s">
        <v>150</v>
      </c>
      <c r="D3224" t="s">
        <v>230</v>
      </c>
      <c r="E3224" t="s">
        <v>2545</v>
      </c>
      <c r="F3224" t="s">
        <v>22</v>
      </c>
      <c r="G3224" t="s">
        <v>23</v>
      </c>
      <c r="H3224" t="s">
        <v>1781</v>
      </c>
      <c r="I3224" t="s">
        <v>25</v>
      </c>
      <c r="J3224" t="s">
        <v>2546</v>
      </c>
      <c r="K3224">
        <v>25</v>
      </c>
      <c r="L3224">
        <v>4</v>
      </c>
      <c r="M3224">
        <v>2025</v>
      </c>
      <c r="N3224" t="s">
        <v>27</v>
      </c>
      <c r="O3224">
        <v>200.01</v>
      </c>
      <c r="P3224">
        <v>200.01</v>
      </c>
      <c r="R3224" s="3" t="str">
        <f>HYPERLINK("https://panda.att.com.mx/ODKServer/view/binaryData?blobKey=FSSuministroFluidosv3%5B%40version%3Dnull+and+%40uiVersion%3Dnull%5D%2Fdata%5B%40key%3Duuid%3A0d0ff217-bf2c-484f-b620-db74c2dd3b60%5D%2FgroupInfoFuel%5B%40ordinal%3D1%5D%2FpicFuelRecibeInterno","Descargar")</f>
        <v>Descargar</v>
      </c>
    </row>
    <row r="3225" spans="1:18" x14ac:dyDescent="0.3">
      <c r="A3225">
        <v>1523526</v>
      </c>
      <c r="B3225" t="s">
        <v>18</v>
      </c>
      <c r="C3225" t="s">
        <v>55</v>
      </c>
      <c r="D3225" t="s">
        <v>56</v>
      </c>
      <c r="E3225" t="s">
        <v>1842</v>
      </c>
      <c r="F3225" t="s">
        <v>22</v>
      </c>
      <c r="G3225" t="s">
        <v>23</v>
      </c>
      <c r="H3225" t="s">
        <v>1763</v>
      </c>
      <c r="I3225" t="s">
        <v>25</v>
      </c>
      <c r="J3225" t="s">
        <v>2547</v>
      </c>
      <c r="K3225">
        <v>24</v>
      </c>
      <c r="L3225">
        <v>4</v>
      </c>
      <c r="M3225">
        <v>2025</v>
      </c>
      <c r="N3225" t="s">
        <v>27</v>
      </c>
      <c r="O3225">
        <v>300</v>
      </c>
      <c r="P3225">
        <v>300</v>
      </c>
      <c r="R3225" s="3" t="str">
        <f>HYPERLINK("https://panda.att.com.mx/ODKServer/view/binaryData?blobKey=FSSuministroFluidosv3%5B%40version%3Dnull+and+%40uiVersion%3Dnull%5D%2Fdata%5B%40key%3Duuid%3A1ff7bbfb-935b-4d56-8485-1a13b30ac069%5D%2FgroupInfoFuel%5B%40ordinal%3D1%5D%2FpicFuelRecibeInterno","Descargar")</f>
        <v>Descargar</v>
      </c>
    </row>
    <row r="3226" spans="1:18" x14ac:dyDescent="0.3">
      <c r="A3226">
        <v>1523356</v>
      </c>
      <c r="B3226" t="s">
        <v>18</v>
      </c>
      <c r="C3226" t="s">
        <v>34</v>
      </c>
      <c r="D3226" t="s">
        <v>51</v>
      </c>
      <c r="E3226" t="s">
        <v>2548</v>
      </c>
      <c r="F3226" t="s">
        <v>22</v>
      </c>
      <c r="G3226" t="s">
        <v>23</v>
      </c>
      <c r="H3226" t="s">
        <v>24</v>
      </c>
      <c r="I3226" t="s">
        <v>25</v>
      </c>
      <c r="J3226" t="s">
        <v>2549</v>
      </c>
      <c r="K3226">
        <v>24</v>
      </c>
      <c r="L3226">
        <v>4</v>
      </c>
      <c r="M3226">
        <v>2025</v>
      </c>
      <c r="N3226" t="s">
        <v>27</v>
      </c>
      <c r="O3226">
        <v>150</v>
      </c>
      <c r="P3226">
        <v>150</v>
      </c>
      <c r="R3226" s="3" t="str">
        <f>HYPERLINK("https://panda.att.com.mx/ODKServer/view/binaryData?blobKey=FSSuministroFluidosv3%5B%40version%3Dnull+and+%40uiVersion%3Dnull%5D%2Fdata%5B%40key%3Duuid%3Aeb2b5330-d32a-4588-8fca-9c973e2cd291%5D%2FgroupInfoFuel%5B%40ordinal%3D1%5D%2FpicFuelRecibeInterno","Descargar")</f>
        <v>Descargar</v>
      </c>
    </row>
    <row r="3227" spans="1:18" x14ac:dyDescent="0.3">
      <c r="A3227">
        <v>1519904</v>
      </c>
      <c r="B3227" t="s">
        <v>18</v>
      </c>
      <c r="C3227" t="s">
        <v>100</v>
      </c>
      <c r="D3227" t="s">
        <v>101</v>
      </c>
      <c r="E3227" t="s">
        <v>102</v>
      </c>
      <c r="F3227" t="s">
        <v>22</v>
      </c>
      <c r="G3227" t="s">
        <v>23</v>
      </c>
      <c r="H3227" t="s">
        <v>1781</v>
      </c>
      <c r="I3227" t="s">
        <v>25</v>
      </c>
      <c r="J3227" t="s">
        <v>2550</v>
      </c>
      <c r="K3227">
        <v>19</v>
      </c>
      <c r="L3227">
        <v>4</v>
      </c>
      <c r="M3227">
        <v>2025</v>
      </c>
      <c r="N3227" t="s">
        <v>44</v>
      </c>
      <c r="O3227">
        <v>50</v>
      </c>
      <c r="P3227">
        <v>50</v>
      </c>
      <c r="R3227" s="3" t="str">
        <f>HYPERLINK("https://panda.att.com.mx/ODKServer/view/binaryData?blobKey=FSSuministroFluidosv3%5B%40version%3Dnull+and+%40uiVersion%3Dnull%5D%2Fdata%5B%40key%3Duuid%3Abd20c9cf-ca48-46ed-9fdd-2b675b3c0860%5D%2FgroupInfoFuel%5B%40ordinal%3D1%5D%2FpicFuelRecibeInterno","Descargar")</f>
        <v>Descargar</v>
      </c>
    </row>
    <row r="3228" spans="1:18" x14ac:dyDescent="0.3">
      <c r="A3228">
        <v>1519899</v>
      </c>
      <c r="B3228" t="s">
        <v>18</v>
      </c>
      <c r="C3228" t="s">
        <v>100</v>
      </c>
      <c r="D3228" t="s">
        <v>101</v>
      </c>
      <c r="E3228" t="s">
        <v>102</v>
      </c>
      <c r="F3228" t="s">
        <v>22</v>
      </c>
      <c r="G3228" t="s">
        <v>23</v>
      </c>
      <c r="H3228" t="s">
        <v>1781</v>
      </c>
      <c r="I3228" t="s">
        <v>25</v>
      </c>
      <c r="J3228" t="s">
        <v>2551</v>
      </c>
      <c r="K3228">
        <v>20</v>
      </c>
      <c r="L3228">
        <v>4</v>
      </c>
      <c r="M3228">
        <v>2025</v>
      </c>
      <c r="N3228" t="s">
        <v>44</v>
      </c>
      <c r="O3228">
        <v>50</v>
      </c>
      <c r="P3228">
        <v>50</v>
      </c>
      <c r="R3228" s="3" t="str">
        <f>HYPERLINK("https://panda.att.com.mx/ODKServer/view/binaryData?blobKey=FSSuministroFluidosv3%5B%40version%3Dnull+and+%40uiVersion%3Dnull%5D%2Fdata%5B%40key%3Duuid%3A8754da96-e1ea-4d77-a5d0-410b441d9b97%5D%2FgroupInfoFuel%5B%40ordinal%3D1%5D%2FpicFuelRecibeInterno","Descargar")</f>
        <v>Descargar</v>
      </c>
    </row>
    <row r="3229" spans="1:18" x14ac:dyDescent="0.3">
      <c r="A3229">
        <v>1519896</v>
      </c>
      <c r="B3229" t="s">
        <v>18</v>
      </c>
      <c r="C3229" t="s">
        <v>100</v>
      </c>
      <c r="D3229" t="s">
        <v>101</v>
      </c>
      <c r="E3229" t="s">
        <v>102</v>
      </c>
      <c r="F3229" t="s">
        <v>22</v>
      </c>
      <c r="G3229" t="s">
        <v>23</v>
      </c>
      <c r="H3229" t="s">
        <v>1781</v>
      </c>
      <c r="I3229" t="s">
        <v>25</v>
      </c>
      <c r="J3229" t="s">
        <v>2552</v>
      </c>
      <c r="K3229">
        <v>20</v>
      </c>
      <c r="L3229">
        <v>4</v>
      </c>
      <c r="M3229">
        <v>2025</v>
      </c>
      <c r="N3229" t="s">
        <v>44</v>
      </c>
      <c r="O3229">
        <v>50</v>
      </c>
      <c r="P3229">
        <v>50</v>
      </c>
      <c r="R3229" s="3" t="str">
        <f>HYPERLINK("https://panda.att.com.mx/ODKServer/view/binaryData?blobKey=FSSuministroFluidosv3%5B%40version%3Dnull+and+%40uiVersion%3Dnull%5D%2Fdata%5B%40key%3Duuid%3Aaac63fea-6883-4328-bd09-b1fa4b509fde%5D%2FgroupInfoFuel%5B%40ordinal%3D1%5D%2FpicFuelRecibeInterno","Descargar")</f>
        <v>Descargar</v>
      </c>
    </row>
    <row r="3230" spans="1:18" x14ac:dyDescent="0.3">
      <c r="A3230">
        <v>1519883</v>
      </c>
      <c r="B3230" t="s">
        <v>18</v>
      </c>
      <c r="C3230" t="s">
        <v>34</v>
      </c>
      <c r="D3230" t="s">
        <v>121</v>
      </c>
      <c r="E3230" t="s">
        <v>2553</v>
      </c>
      <c r="F3230" t="s">
        <v>22</v>
      </c>
      <c r="G3230" t="s">
        <v>23</v>
      </c>
      <c r="H3230" t="s">
        <v>37</v>
      </c>
      <c r="I3230" t="s">
        <v>25</v>
      </c>
      <c r="J3230" t="s">
        <v>2554</v>
      </c>
      <c r="K3230">
        <v>20</v>
      </c>
      <c r="L3230">
        <v>4</v>
      </c>
      <c r="M3230">
        <v>2025</v>
      </c>
      <c r="N3230" t="s">
        <v>44</v>
      </c>
      <c r="O3230">
        <v>50</v>
      </c>
      <c r="P3230">
        <v>50</v>
      </c>
      <c r="R3230" s="3" t="str">
        <f>HYPERLINK("https://panda.att.com.mx/ODKServer/view/binaryData?blobKey=FSSuministroFluidosv3%5B%40version%3Dnull+and+%40uiVersion%3Dnull%5D%2Fdata%5B%40key%3Duuid%3A676c353f-8ef9-4ea4-b861-7c46cd2e8174%5D%2FgroupInfoFuel%5B%40ordinal%3D1%5D%2FpicFuelRecibeInterno","Descargar")</f>
        <v>Descargar</v>
      </c>
    </row>
    <row r="3231" spans="1:18" x14ac:dyDescent="0.3">
      <c r="A3231">
        <v>1519872</v>
      </c>
      <c r="B3231" t="s">
        <v>18</v>
      </c>
      <c r="C3231" t="s">
        <v>55</v>
      </c>
      <c r="D3231" t="s">
        <v>210</v>
      </c>
      <c r="E3231" t="s">
        <v>2555</v>
      </c>
      <c r="F3231" t="s">
        <v>22</v>
      </c>
      <c r="G3231" t="s">
        <v>23</v>
      </c>
      <c r="H3231" t="s">
        <v>1763</v>
      </c>
      <c r="I3231" t="s">
        <v>25</v>
      </c>
      <c r="J3231" t="s">
        <v>2556</v>
      </c>
      <c r="K3231">
        <v>20</v>
      </c>
      <c r="L3231">
        <v>4</v>
      </c>
      <c r="M3231">
        <v>2025</v>
      </c>
      <c r="N3231" t="s">
        <v>27</v>
      </c>
      <c r="O3231">
        <v>200</v>
      </c>
      <c r="P3231">
        <v>200</v>
      </c>
      <c r="R3231" s="3" t="str">
        <f>HYPERLINK("https://panda.att.com.mx/ODKServer/view/binaryData?blobKey=FSSuministroFluidosv3%5B%40version%3Dnull+and+%40uiVersion%3Dnull%5D%2Fdata%5B%40key%3Duuid%3A9436f281-ec7f-4476-88da-59d2c5bcb4c8%5D%2FgroupInfoFuel%5B%40ordinal%3D1%5D%2FpicFuelRecibeInterno","Descargar")</f>
        <v>Descargar</v>
      </c>
    </row>
    <row r="3232" spans="1:18" x14ac:dyDescent="0.3">
      <c r="A3232">
        <v>1519867</v>
      </c>
      <c r="B3232" t="s">
        <v>18</v>
      </c>
      <c r="C3232" t="s">
        <v>55</v>
      </c>
      <c r="D3232" t="s">
        <v>64</v>
      </c>
      <c r="E3232" t="s">
        <v>2343</v>
      </c>
      <c r="F3232" t="s">
        <v>22</v>
      </c>
      <c r="G3232" t="s">
        <v>23</v>
      </c>
      <c r="H3232" t="s">
        <v>1763</v>
      </c>
      <c r="I3232" t="s">
        <v>25</v>
      </c>
      <c r="J3232" t="s">
        <v>2557</v>
      </c>
      <c r="K3232">
        <v>20</v>
      </c>
      <c r="L3232">
        <v>4</v>
      </c>
      <c r="M3232">
        <v>2025</v>
      </c>
      <c r="N3232" t="s">
        <v>27</v>
      </c>
      <c r="O3232">
        <v>250</v>
      </c>
      <c r="P3232">
        <v>250</v>
      </c>
      <c r="R3232" s="3" t="str">
        <f>HYPERLINK("https://panda.att.com.mx/ODKServer/view/binaryData?blobKey=FSSuministroFluidosv3%5B%40version%3Dnull+and+%40uiVersion%3Dnull%5D%2Fdata%5B%40key%3Duuid%3A7604381a-76cc-4cda-9cdf-c6f11b5c8558%5D%2FgroupInfoFuel%5B%40ordinal%3D1%5D%2FpicFuelRecibeInterno","Descargar")</f>
        <v>Descargar</v>
      </c>
    </row>
    <row r="3233" spans="1:18" x14ac:dyDescent="0.3">
      <c r="A3233">
        <v>1519866</v>
      </c>
      <c r="B3233" t="s">
        <v>18</v>
      </c>
      <c r="C3233" t="s">
        <v>68</v>
      </c>
      <c r="D3233" t="s">
        <v>69</v>
      </c>
      <c r="E3233" t="s">
        <v>1556</v>
      </c>
      <c r="F3233" t="s">
        <v>22</v>
      </c>
      <c r="G3233" t="s">
        <v>23</v>
      </c>
      <c r="H3233" t="s">
        <v>37</v>
      </c>
      <c r="I3233" t="s">
        <v>25</v>
      </c>
      <c r="J3233" t="s">
        <v>2558</v>
      </c>
      <c r="K3233">
        <v>20</v>
      </c>
      <c r="L3233">
        <v>4</v>
      </c>
      <c r="M3233">
        <v>2025</v>
      </c>
      <c r="N3233" t="s">
        <v>27</v>
      </c>
      <c r="O3233">
        <v>300</v>
      </c>
      <c r="P3233">
        <v>300</v>
      </c>
      <c r="R3233" s="3" t="str">
        <f>HYPERLINK("https://panda.att.com.mx/ODKServer/view/binaryData?blobKey=FSSuministroFluidosv3%5B%40version%3Dnull+and+%40uiVersion%3Dnull%5D%2Fdata%5B%40key%3Duuid%3Ab948df02-c406-4b0a-8e85-f063a9800fed%5D%2FgroupInfoFuel%5B%40ordinal%3D1%5D%2FpicFuelRecibeInterno","Descargar")</f>
        <v>Descargar</v>
      </c>
    </row>
    <row r="3234" spans="1:18" x14ac:dyDescent="0.3">
      <c r="A3234">
        <v>1519860</v>
      </c>
      <c r="B3234" t="s">
        <v>18</v>
      </c>
      <c r="C3234" t="s">
        <v>55</v>
      </c>
      <c r="D3234" t="s">
        <v>89</v>
      </c>
      <c r="E3234" t="s">
        <v>2559</v>
      </c>
      <c r="F3234" t="s">
        <v>22</v>
      </c>
      <c r="G3234" t="s">
        <v>23</v>
      </c>
      <c r="H3234" t="s">
        <v>1763</v>
      </c>
      <c r="I3234" t="s">
        <v>25</v>
      </c>
      <c r="J3234" t="s">
        <v>2560</v>
      </c>
      <c r="K3234">
        <v>20</v>
      </c>
      <c r="L3234">
        <v>4</v>
      </c>
      <c r="M3234">
        <v>2025</v>
      </c>
      <c r="N3234" t="s">
        <v>27</v>
      </c>
      <c r="O3234">
        <v>100</v>
      </c>
      <c r="P3234">
        <v>100</v>
      </c>
      <c r="R3234" s="3" t="str">
        <f>HYPERLINK("https://panda.att.com.mx/ODKServer/view/binaryData?blobKey=FSSuministroFluidosv3%5B%40version%3Dnull+and+%40uiVersion%3Dnull%5D%2Fdata%5B%40key%3Duuid%3Afefe5c29-3552-439a-819f-ca5d9764366f%5D%2FgroupInfoFuel%5B%40ordinal%3D1%5D%2FpicFuelRecibeInterno","Descargar")</f>
        <v>Descargar</v>
      </c>
    </row>
    <row r="3235" spans="1:18" x14ac:dyDescent="0.3">
      <c r="A3235">
        <v>1519855</v>
      </c>
      <c r="B3235" t="s">
        <v>18</v>
      </c>
      <c r="C3235" t="s">
        <v>55</v>
      </c>
      <c r="D3235" t="s">
        <v>56</v>
      </c>
      <c r="E3235" t="s">
        <v>2083</v>
      </c>
      <c r="F3235" t="s">
        <v>22</v>
      </c>
      <c r="G3235" t="s">
        <v>23</v>
      </c>
      <c r="H3235" t="s">
        <v>1763</v>
      </c>
      <c r="I3235" t="s">
        <v>25</v>
      </c>
      <c r="J3235" t="s">
        <v>2561</v>
      </c>
      <c r="K3235">
        <v>20</v>
      </c>
      <c r="L3235">
        <v>4</v>
      </c>
      <c r="M3235">
        <v>2025</v>
      </c>
      <c r="N3235" t="s">
        <v>27</v>
      </c>
      <c r="O3235">
        <v>70</v>
      </c>
      <c r="P3235">
        <v>70</v>
      </c>
      <c r="R3235" s="3" t="str">
        <f>HYPERLINK("https://panda.att.com.mx/ODKServer/view/binaryData?blobKey=FSSuministroFluidosv3%5B%40version%3Dnull+and+%40uiVersion%3Dnull%5D%2Fdata%5B%40key%3Duuid%3A798523e7-7728-4d7d-8eeb-f3bb0bf54b76%5D%2FgroupInfoFuel%5B%40ordinal%3D1%5D%2FpicFuelRecibeInterno","Descargar")</f>
        <v>Descargar</v>
      </c>
    </row>
    <row r="3236" spans="1:18" x14ac:dyDescent="0.3">
      <c r="A3236">
        <v>1519815</v>
      </c>
      <c r="B3236" t="s">
        <v>18</v>
      </c>
      <c r="C3236" t="s">
        <v>19</v>
      </c>
      <c r="D3236" t="s">
        <v>45</v>
      </c>
      <c r="E3236" t="s">
        <v>752</v>
      </c>
      <c r="F3236" t="s">
        <v>22</v>
      </c>
      <c r="G3236" t="s">
        <v>23</v>
      </c>
      <c r="H3236" t="s">
        <v>24</v>
      </c>
      <c r="I3236" t="s">
        <v>25</v>
      </c>
      <c r="J3236" t="s">
        <v>2562</v>
      </c>
      <c r="K3236">
        <v>19</v>
      </c>
      <c r="L3236">
        <v>4</v>
      </c>
      <c r="M3236">
        <v>2025</v>
      </c>
      <c r="N3236" t="s">
        <v>27</v>
      </c>
      <c r="O3236">
        <v>300</v>
      </c>
      <c r="P3236">
        <v>300</v>
      </c>
      <c r="R3236" s="3" t="str">
        <f>HYPERLINK("https://panda.att.com.mx/ODKServer/view/binaryData?blobKey=FSSuministroFluidosv3%5B%40version%3Dnull+and+%40uiVersion%3Dnull%5D%2Fdata%5B%40key%3Duuid%3A8aab5668-6cb5-4857-88ab-593d0b8c3e37%5D%2FgroupInfoFuel%5B%40ordinal%3D1%5D%2FpicFuelRecibeInterno","Descargar")</f>
        <v>Descargar</v>
      </c>
    </row>
    <row r="3237" spans="1:18" x14ac:dyDescent="0.3">
      <c r="A3237">
        <v>1519793</v>
      </c>
      <c r="B3237" t="s">
        <v>18</v>
      </c>
      <c r="C3237" t="s">
        <v>55</v>
      </c>
      <c r="D3237" t="s">
        <v>89</v>
      </c>
      <c r="E3237" t="s">
        <v>2563</v>
      </c>
      <c r="F3237" t="s">
        <v>22</v>
      </c>
      <c r="G3237" t="s">
        <v>23</v>
      </c>
      <c r="H3237" t="s">
        <v>1763</v>
      </c>
      <c r="I3237" t="s">
        <v>25</v>
      </c>
      <c r="J3237" t="s">
        <v>2564</v>
      </c>
      <c r="K3237">
        <v>19</v>
      </c>
      <c r="L3237">
        <v>4</v>
      </c>
      <c r="M3237">
        <v>2025</v>
      </c>
      <c r="N3237" t="s">
        <v>27</v>
      </c>
      <c r="O3237">
        <v>200</v>
      </c>
      <c r="P3237">
        <v>200</v>
      </c>
      <c r="R3237" s="3" t="str">
        <f>HYPERLINK("https://panda.att.com.mx/ODKServer/view/binaryData?blobKey=FSSuministroFluidosv3%5B%40version%3Dnull+and+%40uiVersion%3Dnull%5D%2Fdata%5B%40key%3Duuid%3A4eedb5de-52b0-4bcc-a266-2c940347e96d%5D%2FgroupInfoFuel%5B%40ordinal%3D1%5D%2FpicFuelRecibeInterno","Descargar")</f>
        <v>Descargar</v>
      </c>
    </row>
    <row r="3238" spans="1:18" x14ac:dyDescent="0.3">
      <c r="A3238">
        <v>1519788</v>
      </c>
      <c r="B3238" t="s">
        <v>18</v>
      </c>
      <c r="C3238" t="s">
        <v>55</v>
      </c>
      <c r="D3238" t="s">
        <v>89</v>
      </c>
      <c r="E3238" t="s">
        <v>2559</v>
      </c>
      <c r="F3238" t="s">
        <v>22</v>
      </c>
      <c r="G3238" t="s">
        <v>23</v>
      </c>
      <c r="H3238" t="s">
        <v>1763</v>
      </c>
      <c r="I3238" t="s">
        <v>25</v>
      </c>
      <c r="J3238" t="s">
        <v>2565</v>
      </c>
      <c r="K3238">
        <v>19</v>
      </c>
      <c r="L3238">
        <v>4</v>
      </c>
      <c r="M3238">
        <v>2025</v>
      </c>
      <c r="N3238" t="s">
        <v>27</v>
      </c>
      <c r="O3238">
        <v>100</v>
      </c>
      <c r="P3238">
        <v>100</v>
      </c>
      <c r="R3238" s="3" t="str">
        <f>HYPERLINK("https://panda.att.com.mx/ODKServer/view/binaryData?blobKey=FSSuministroFluidosv3%5B%40version%3Dnull+and+%40uiVersion%3Dnull%5D%2Fdata%5B%40key%3Duuid%3A36797bb4-b629-42ef-836d-0d77c184fac8%5D%2FgroupInfoFuel%5B%40ordinal%3D1%5D%2FpicFuelRecibeInterno","Descargar")</f>
        <v>Descargar</v>
      </c>
    </row>
    <row r="3239" spans="1:18" x14ac:dyDescent="0.3">
      <c r="A3239">
        <v>1519769</v>
      </c>
      <c r="B3239" t="s">
        <v>18</v>
      </c>
      <c r="C3239" t="s">
        <v>100</v>
      </c>
      <c r="D3239" t="s">
        <v>716</v>
      </c>
      <c r="E3239" t="s">
        <v>717</v>
      </c>
      <c r="F3239" t="s">
        <v>22</v>
      </c>
      <c r="G3239" t="s">
        <v>83</v>
      </c>
      <c r="H3239" t="s">
        <v>1781</v>
      </c>
      <c r="I3239" t="s">
        <v>25</v>
      </c>
      <c r="J3239" t="s">
        <v>2566</v>
      </c>
      <c r="K3239">
        <v>19</v>
      </c>
      <c r="L3239">
        <v>4</v>
      </c>
      <c r="M3239">
        <v>2025</v>
      </c>
      <c r="N3239" t="s">
        <v>27</v>
      </c>
      <c r="O3239">
        <v>150</v>
      </c>
      <c r="P3239">
        <v>150</v>
      </c>
      <c r="R3239" s="3" t="str">
        <f>HYPERLINK("https://panda.att.com.mx/ODKServer/view/binaryData?blobKey=FSSuministroFluidosv3%5B%40version%3Dnull+and+%40uiVersion%3Dnull%5D%2Fdata%5B%40key%3Duuid%3A5eab43e6-6982-44a3-9829-1895b512daf8%5D%2FgroupInfoFuel%5B%40ordinal%3D1%5D%2FpicFuelRecibeInterno","Descargar")</f>
        <v>Descargar</v>
      </c>
    </row>
    <row r="3240" spans="1:18" x14ac:dyDescent="0.3">
      <c r="A3240">
        <v>1519763</v>
      </c>
      <c r="B3240" t="s">
        <v>18</v>
      </c>
      <c r="C3240" t="s">
        <v>34</v>
      </c>
      <c r="D3240" t="s">
        <v>53</v>
      </c>
      <c r="E3240" t="s">
        <v>1743</v>
      </c>
      <c r="F3240" t="s">
        <v>22</v>
      </c>
      <c r="G3240" t="s">
        <v>23</v>
      </c>
      <c r="H3240" t="s">
        <v>37</v>
      </c>
      <c r="I3240" t="s">
        <v>25</v>
      </c>
      <c r="J3240" t="s">
        <v>2567</v>
      </c>
      <c r="K3240">
        <v>19</v>
      </c>
      <c r="L3240">
        <v>4</v>
      </c>
      <c r="M3240">
        <v>2025</v>
      </c>
      <c r="N3240" t="s">
        <v>27</v>
      </c>
      <c r="O3240">
        <v>597</v>
      </c>
      <c r="Q3240">
        <v>597</v>
      </c>
      <c r="R3240" s="3" t="str">
        <f>HYPERLINK("https://panda.att.com.mx/ODKServer/view/binaryData?blobKey=FSSuministroFluidosv3%5B%40version%3Dnull+and+%40uiVersion%3Dnull%5D%2Fdata%5B%40key%3Duuid%3Aa2d7d595-0f9c-4438-aa0b-931f60cbfab2%5D%2FgroupInfoFuel%5B%40ordinal%3D1%5D%2FpicFuelRecibeInterno","Descargar")</f>
        <v>Descargar</v>
      </c>
    </row>
    <row r="3241" spans="1:18" x14ac:dyDescent="0.3">
      <c r="A3241">
        <v>1519761</v>
      </c>
      <c r="B3241" t="s">
        <v>18</v>
      </c>
      <c r="C3241" t="s">
        <v>59</v>
      </c>
      <c r="D3241" t="s">
        <v>307</v>
      </c>
      <c r="E3241" t="s">
        <v>2568</v>
      </c>
      <c r="F3241" t="s">
        <v>22</v>
      </c>
      <c r="G3241" t="s">
        <v>23</v>
      </c>
      <c r="H3241" t="s">
        <v>37</v>
      </c>
      <c r="I3241" t="s">
        <v>25</v>
      </c>
      <c r="J3241" t="s">
        <v>2569</v>
      </c>
      <c r="K3241">
        <v>12</v>
      </c>
      <c r="L3241">
        <v>4</v>
      </c>
      <c r="M3241">
        <v>2025</v>
      </c>
      <c r="N3241" t="s">
        <v>44</v>
      </c>
      <c r="O3241">
        <v>35</v>
      </c>
      <c r="P3241">
        <v>35</v>
      </c>
      <c r="R3241" s="3" t="str">
        <f>HYPERLINK("https://panda.att.com.mx/ODKServer/view/binaryData?blobKey=FSSuministroFluidosv3%5B%40version%3Dnull+and+%40uiVersion%3Dnull%5D%2Fdata%5B%40key%3Duuid%3A6fa99985-fad8-4322-a94c-c9bb8c347ea6%5D%2FgroupInfoFuel%5B%40ordinal%3D1%5D%2FpicFuelRecibeInterno","Descargar")</f>
        <v>Descargar</v>
      </c>
    </row>
    <row r="3242" spans="1:18" x14ac:dyDescent="0.3">
      <c r="A3242">
        <v>1519756</v>
      </c>
      <c r="B3242" t="s">
        <v>18</v>
      </c>
      <c r="C3242" t="s">
        <v>59</v>
      </c>
      <c r="D3242" t="s">
        <v>2570</v>
      </c>
      <c r="E3242" t="s">
        <v>2571</v>
      </c>
      <c r="F3242" t="s">
        <v>22</v>
      </c>
      <c r="G3242" t="s">
        <v>23</v>
      </c>
      <c r="H3242" t="s">
        <v>37</v>
      </c>
      <c r="I3242" t="s">
        <v>25</v>
      </c>
      <c r="J3242" t="s">
        <v>2572</v>
      </c>
      <c r="K3242">
        <v>15</v>
      </c>
      <c r="L3242">
        <v>4</v>
      </c>
      <c r="M3242">
        <v>2025</v>
      </c>
      <c r="N3242" t="s">
        <v>44</v>
      </c>
      <c r="O3242">
        <v>60</v>
      </c>
      <c r="P3242">
        <v>60</v>
      </c>
      <c r="R3242" s="3" t="str">
        <f>HYPERLINK("https://panda.att.com.mx/ODKServer/view/binaryData?blobKey=FSSuministroFluidosv3%5B%40version%3Dnull+and+%40uiVersion%3Dnull%5D%2Fdata%5B%40key%3Duuid%3A7bfefb6f-570a-4e67-b6e9-6d3ba4e80aeb%5D%2FgroupInfoFuel%5B%40ordinal%3D1%5D%2FpicFuelRecibeInterno","Descargar")</f>
        <v>Descargar</v>
      </c>
    </row>
    <row r="3243" spans="1:18" x14ac:dyDescent="0.3">
      <c r="A3243">
        <v>1519752</v>
      </c>
      <c r="B3243" t="s">
        <v>18</v>
      </c>
      <c r="C3243" t="s">
        <v>100</v>
      </c>
      <c r="D3243" t="s">
        <v>833</v>
      </c>
      <c r="E3243" t="s">
        <v>1587</v>
      </c>
      <c r="F3243" t="s">
        <v>22</v>
      </c>
      <c r="G3243" t="s">
        <v>23</v>
      </c>
      <c r="H3243" t="s">
        <v>1781</v>
      </c>
      <c r="I3243" t="s">
        <v>25</v>
      </c>
      <c r="J3243" t="s">
        <v>2573</v>
      </c>
      <c r="K3243">
        <v>19</v>
      </c>
      <c r="L3243">
        <v>4</v>
      </c>
      <c r="M3243">
        <v>2025</v>
      </c>
      <c r="N3243" t="s">
        <v>44</v>
      </c>
      <c r="O3243">
        <v>50</v>
      </c>
      <c r="P3243">
        <v>50</v>
      </c>
      <c r="R3243" s="3" t="str">
        <f>HYPERLINK("https://panda.att.com.mx/ODKServer/view/binaryData?blobKey=FSSuministroFluidosv3%5B%40version%3Dnull+and+%40uiVersion%3Dnull%5D%2Fdata%5B%40key%3Duuid%3A60be54f5-196f-4bae-aeb0-4f8f98e62012%5D%2FgroupInfoFuel%5B%40ordinal%3D1%5D%2FpicFuelRecibeInterno","Descargar")</f>
        <v>Descargar</v>
      </c>
    </row>
    <row r="3244" spans="1:18" x14ac:dyDescent="0.3">
      <c r="A3244">
        <v>1519707</v>
      </c>
      <c r="B3244" t="s">
        <v>18</v>
      </c>
      <c r="C3244" t="s">
        <v>28</v>
      </c>
      <c r="D3244" t="s">
        <v>111</v>
      </c>
      <c r="E3244" t="s">
        <v>2574</v>
      </c>
      <c r="F3244" t="s">
        <v>22</v>
      </c>
      <c r="G3244" t="s">
        <v>23</v>
      </c>
      <c r="H3244" t="s">
        <v>24</v>
      </c>
      <c r="I3244" t="s">
        <v>25</v>
      </c>
      <c r="J3244" t="s">
        <v>2575</v>
      </c>
      <c r="K3244">
        <v>10</v>
      </c>
      <c r="L3244">
        <v>4</v>
      </c>
      <c r="M3244">
        <v>2025</v>
      </c>
      <c r="N3244" t="s">
        <v>44</v>
      </c>
      <c r="O3244">
        <v>50</v>
      </c>
      <c r="Q3244">
        <v>50</v>
      </c>
      <c r="R3244" s="3" t="str">
        <f>HYPERLINK("https://panda.att.com.mx/ODKServer/view/binaryData?blobKey=FSSuministroFluidosv3%5B%40version%3Dnull+and+%40uiVersion%3Dnull%5D%2Fdata%5B%40key%3Duuid%3A4c439899-65ed-4107-b6ca-b6b8a106cc6f%5D%2FgroupInfoFuel%5B%40ordinal%3D1%5D%2FpicFuelRecibeInterno","Descargar")</f>
        <v>Descargar</v>
      </c>
    </row>
    <row r="3245" spans="1:18" x14ac:dyDescent="0.3">
      <c r="A3245">
        <v>1519706</v>
      </c>
      <c r="B3245" t="s">
        <v>18</v>
      </c>
      <c r="C3245" t="s">
        <v>28</v>
      </c>
      <c r="D3245" t="s">
        <v>111</v>
      </c>
      <c r="E3245" t="s">
        <v>2574</v>
      </c>
      <c r="F3245" t="s">
        <v>22</v>
      </c>
      <c r="G3245" t="s">
        <v>23</v>
      </c>
      <c r="H3245" t="s">
        <v>24</v>
      </c>
      <c r="I3245" t="s">
        <v>25</v>
      </c>
      <c r="J3245" t="s">
        <v>2576</v>
      </c>
      <c r="K3245">
        <v>10</v>
      </c>
      <c r="L3245">
        <v>4</v>
      </c>
      <c r="M3245">
        <v>2025</v>
      </c>
      <c r="N3245" t="s">
        <v>44</v>
      </c>
      <c r="O3245">
        <v>50</v>
      </c>
      <c r="Q3245">
        <v>50</v>
      </c>
      <c r="R3245" s="3" t="str">
        <f>HYPERLINK("https://panda.att.com.mx/ODKServer/view/binaryData?blobKey=FSSuministroFluidosv3%5B%40version%3Dnull+and+%40uiVersion%3Dnull%5D%2Fdata%5B%40key%3Duuid%3A95f100c3-aa14-4a12-9264-856254e7389c%5D%2FgroupInfoFuel%5B%40ordinal%3D1%5D%2FpicFuelRecibeInterno","Descargar")</f>
        <v>Descargar</v>
      </c>
    </row>
    <row r="3246" spans="1:18" x14ac:dyDescent="0.3">
      <c r="A3246">
        <v>1519674</v>
      </c>
      <c r="B3246" t="s">
        <v>18</v>
      </c>
      <c r="C3246" t="s">
        <v>68</v>
      </c>
      <c r="D3246" t="s">
        <v>91</v>
      </c>
      <c r="E3246" t="s">
        <v>464</v>
      </c>
      <c r="F3246" t="s">
        <v>22</v>
      </c>
      <c r="G3246" t="s">
        <v>23</v>
      </c>
      <c r="H3246" t="s">
        <v>37</v>
      </c>
      <c r="I3246" t="s">
        <v>25</v>
      </c>
      <c r="J3246" t="s">
        <v>2577</v>
      </c>
      <c r="K3246">
        <v>18</v>
      </c>
      <c r="L3246">
        <v>4</v>
      </c>
      <c r="M3246">
        <v>2025</v>
      </c>
      <c r="N3246" t="s">
        <v>27</v>
      </c>
      <c r="O3246">
        <v>200</v>
      </c>
      <c r="Q3246">
        <v>200</v>
      </c>
      <c r="R3246" s="3" t="str">
        <f>HYPERLINK("https://panda.att.com.mx/ODKServer/view/binaryData?blobKey=FSSuministroFluidosv3%5B%40version%3Dnull+and+%40uiVersion%3Dnull%5D%2Fdata%5B%40key%3Duuid%3A45ba34ba-3ef5-4c41-9634-41bf6a618eaf%5D%2FgroupInfoFuel%5B%40ordinal%3D1%5D%2FpicFuelRecibeInterno","Descargar")</f>
        <v>Descargar</v>
      </c>
    </row>
    <row r="3247" spans="1:18" x14ac:dyDescent="0.3">
      <c r="A3247">
        <v>1519653</v>
      </c>
      <c r="B3247" t="s">
        <v>18</v>
      </c>
      <c r="C3247" t="s">
        <v>59</v>
      </c>
      <c r="D3247" t="s">
        <v>60</v>
      </c>
      <c r="E3247" t="s">
        <v>2207</v>
      </c>
      <c r="F3247" t="s">
        <v>22</v>
      </c>
      <c r="G3247" t="s">
        <v>23</v>
      </c>
      <c r="H3247" t="s">
        <v>37</v>
      </c>
      <c r="I3247" t="s">
        <v>25</v>
      </c>
      <c r="J3247" t="s">
        <v>2578</v>
      </c>
      <c r="K3247">
        <v>16</v>
      </c>
      <c r="L3247">
        <v>4</v>
      </c>
      <c r="M3247">
        <v>2025</v>
      </c>
      <c r="N3247" t="s">
        <v>27</v>
      </c>
      <c r="O3247">
        <v>180</v>
      </c>
      <c r="P3247">
        <v>180</v>
      </c>
      <c r="R3247" s="3" t="str">
        <f>HYPERLINK("https://panda.att.com.mx/ODKServer/view/binaryData?blobKey=FSSuministroFluidosv3%5B%40version%3Dnull+and+%40uiVersion%3Dnull%5D%2Fdata%5B%40key%3Duuid%3Aa3da1f31-f089-41e3-bd74-9191477504cd%5D%2FgroupInfoFuel%5B%40ordinal%3D1%5D%2FpicFuelRecibeInterno","Descargar")</f>
        <v>Descargar</v>
      </c>
    </row>
    <row r="3248" spans="1:18" x14ac:dyDescent="0.3">
      <c r="A3248">
        <v>1519650</v>
      </c>
      <c r="B3248" t="s">
        <v>18</v>
      </c>
      <c r="C3248" t="s">
        <v>59</v>
      </c>
      <c r="D3248" t="s">
        <v>60</v>
      </c>
      <c r="E3248" t="s">
        <v>2207</v>
      </c>
      <c r="F3248" t="s">
        <v>22</v>
      </c>
      <c r="G3248" t="s">
        <v>23</v>
      </c>
      <c r="H3248" t="s">
        <v>37</v>
      </c>
      <c r="I3248" t="s">
        <v>25</v>
      </c>
      <c r="J3248" t="s">
        <v>2579</v>
      </c>
      <c r="K3248">
        <v>14</v>
      </c>
      <c r="L3248">
        <v>4</v>
      </c>
      <c r="M3248">
        <v>2025</v>
      </c>
      <c r="N3248" t="s">
        <v>27</v>
      </c>
      <c r="O3248">
        <v>160</v>
      </c>
      <c r="P3248">
        <v>160</v>
      </c>
      <c r="R3248" s="3" t="str">
        <f>HYPERLINK("https://panda.att.com.mx/ODKServer/view/binaryData?blobKey=FSSuministroFluidosv3%5B%40version%3Dnull+and+%40uiVersion%3Dnull%5D%2Fdata%5B%40key%3Duuid%3A6801a7ee-b697-4e4a-8568-edd879aed966%5D%2FgroupInfoFuel%5B%40ordinal%3D1%5D%2FpicFuelRecibeInterno","Descargar")</f>
        <v>Descargar</v>
      </c>
    </row>
    <row r="3249" spans="1:18" x14ac:dyDescent="0.3">
      <c r="A3249">
        <v>1519634</v>
      </c>
      <c r="B3249" t="s">
        <v>18</v>
      </c>
      <c r="C3249" t="s">
        <v>55</v>
      </c>
      <c r="D3249" t="s">
        <v>56</v>
      </c>
      <c r="E3249" t="s">
        <v>2580</v>
      </c>
      <c r="F3249" t="s">
        <v>22</v>
      </c>
      <c r="G3249" t="s">
        <v>23</v>
      </c>
      <c r="H3249" t="s">
        <v>1763</v>
      </c>
      <c r="I3249" t="s">
        <v>25</v>
      </c>
      <c r="J3249" t="s">
        <v>2581</v>
      </c>
      <c r="K3249">
        <v>16</v>
      </c>
      <c r="L3249">
        <v>4</v>
      </c>
      <c r="M3249">
        <v>2025</v>
      </c>
      <c r="N3249" t="s">
        <v>27</v>
      </c>
      <c r="O3249">
        <v>150</v>
      </c>
      <c r="P3249">
        <v>150</v>
      </c>
      <c r="R3249" s="3" t="str">
        <f>HYPERLINK("https://panda.att.com.mx/ODKServer/view/binaryData?blobKey=FSSuministroFluidosv3%5B%40version%3Dnull+and+%40uiVersion%3Dnull%5D%2Fdata%5B%40key%3Duuid%3Addc6c55f-d55d-4e8d-920d-85fcda435789%5D%2FgroupInfoFuel%5B%40ordinal%3D1%5D%2FpicFuelRecibeInterno","Descargar")</f>
        <v>Descargar</v>
      </c>
    </row>
    <row r="3250" spans="1:18" x14ac:dyDescent="0.3">
      <c r="A3250">
        <v>1519632</v>
      </c>
      <c r="B3250" t="s">
        <v>18</v>
      </c>
      <c r="C3250" t="s">
        <v>55</v>
      </c>
      <c r="D3250" t="s">
        <v>56</v>
      </c>
      <c r="E3250" t="s">
        <v>320</v>
      </c>
      <c r="F3250" t="s">
        <v>22</v>
      </c>
      <c r="G3250" t="s">
        <v>23</v>
      </c>
      <c r="H3250" t="s">
        <v>1763</v>
      </c>
      <c r="I3250" t="s">
        <v>25</v>
      </c>
      <c r="J3250" t="s">
        <v>2582</v>
      </c>
      <c r="K3250">
        <v>16</v>
      </c>
      <c r="L3250">
        <v>4</v>
      </c>
      <c r="M3250">
        <v>2025</v>
      </c>
      <c r="N3250" t="s">
        <v>27</v>
      </c>
      <c r="O3250">
        <v>150</v>
      </c>
      <c r="P3250">
        <v>150</v>
      </c>
      <c r="R3250" s="3" t="str">
        <f>HYPERLINK("https://panda.att.com.mx/ODKServer/view/binaryData?blobKey=FSSuministroFluidosv3%5B%40version%3Dnull+and+%40uiVersion%3Dnull%5D%2Fdata%5B%40key%3Duuid%3A5fb30767-f2a3-41a8-be45-dca888369b5b%5D%2FgroupInfoFuel%5B%40ordinal%3D1%5D%2FpicFuelRecibeInterno","Descargar")</f>
        <v>Descargar</v>
      </c>
    </row>
    <row r="3251" spans="1:18" x14ac:dyDescent="0.3">
      <c r="A3251">
        <v>1519631</v>
      </c>
      <c r="B3251" t="s">
        <v>18</v>
      </c>
      <c r="C3251" t="s">
        <v>55</v>
      </c>
      <c r="D3251" t="s">
        <v>56</v>
      </c>
      <c r="E3251" t="s">
        <v>2583</v>
      </c>
      <c r="F3251" t="s">
        <v>22</v>
      </c>
      <c r="G3251" t="s">
        <v>23</v>
      </c>
      <c r="H3251" t="s">
        <v>1763</v>
      </c>
      <c r="I3251" t="s">
        <v>25</v>
      </c>
      <c r="J3251" t="s">
        <v>2584</v>
      </c>
      <c r="K3251">
        <v>16</v>
      </c>
      <c r="L3251">
        <v>4</v>
      </c>
      <c r="M3251">
        <v>2025</v>
      </c>
      <c r="N3251" t="s">
        <v>27</v>
      </c>
      <c r="O3251">
        <v>250</v>
      </c>
      <c r="P3251">
        <v>250</v>
      </c>
      <c r="R3251" s="3" t="str">
        <f>HYPERLINK("https://panda.att.com.mx/ODKServer/view/binaryData?blobKey=FSSuministroFluidosv3%5B%40version%3Dnull+and+%40uiVersion%3Dnull%5D%2Fdata%5B%40key%3Duuid%3Ae100500b-cbed-4ed8-8c16-06bdbc884023%5D%2FgroupInfoFuel%5B%40ordinal%3D1%5D%2FpicFuelRecibeInterno","Descargar")</f>
        <v>Descargar</v>
      </c>
    </row>
    <row r="3252" spans="1:18" x14ac:dyDescent="0.3">
      <c r="A3252">
        <v>1518025</v>
      </c>
      <c r="B3252" t="s">
        <v>18</v>
      </c>
      <c r="C3252" t="s">
        <v>100</v>
      </c>
      <c r="D3252" t="s">
        <v>854</v>
      </c>
      <c r="E3252" t="s">
        <v>993</v>
      </c>
      <c r="F3252" t="s">
        <v>22</v>
      </c>
      <c r="G3252" t="s">
        <v>83</v>
      </c>
      <c r="H3252" t="s">
        <v>1781</v>
      </c>
      <c r="I3252" t="s">
        <v>25</v>
      </c>
      <c r="J3252" t="s">
        <v>2585</v>
      </c>
      <c r="K3252">
        <v>15</v>
      </c>
      <c r="L3252">
        <v>4</v>
      </c>
      <c r="M3252">
        <v>2025</v>
      </c>
      <c r="N3252" t="s">
        <v>27</v>
      </c>
      <c r="O3252">
        <v>200</v>
      </c>
      <c r="P3252">
        <v>200</v>
      </c>
      <c r="R3252" s="3" t="str">
        <f>HYPERLINK("https://panda.att.com.mx/ODKServer/view/binaryData?blobKey=FSSuministroFluidosv3%5B%40version%3Dnull+and+%40uiVersion%3Dnull%5D%2Fdata%5B%40key%3Duuid%3Aa736ec9e-ea8b-4b36-89ce-b3510e308fb7%5D%2FgroupInfoFuel%5B%40ordinal%3D1%5D%2FpicFuelRecibeInterno","Descargar")</f>
        <v>Descargar</v>
      </c>
    </row>
    <row r="3253" spans="1:18" x14ac:dyDescent="0.3">
      <c r="A3253">
        <v>1517993</v>
      </c>
      <c r="B3253" t="s">
        <v>18</v>
      </c>
      <c r="C3253" t="s">
        <v>100</v>
      </c>
      <c r="D3253" t="s">
        <v>504</v>
      </c>
      <c r="E3253" t="s">
        <v>1390</v>
      </c>
      <c r="F3253" t="s">
        <v>22</v>
      </c>
      <c r="G3253" t="s">
        <v>23</v>
      </c>
      <c r="H3253" t="s">
        <v>1781</v>
      </c>
      <c r="I3253" t="s">
        <v>25</v>
      </c>
      <c r="J3253" t="s">
        <v>2586</v>
      </c>
      <c r="K3253">
        <v>15</v>
      </c>
      <c r="L3253">
        <v>4</v>
      </c>
      <c r="M3253">
        <v>2025</v>
      </c>
      <c r="N3253" t="s">
        <v>27</v>
      </c>
      <c r="O3253">
        <v>200</v>
      </c>
      <c r="P3253">
        <v>200</v>
      </c>
      <c r="R3253" s="3" t="str">
        <f>HYPERLINK("https://panda.att.com.mx/ODKServer/view/binaryData?blobKey=FSSuministroFluidosv3%5B%40version%3Dnull+and+%40uiVersion%3Dnull%5D%2Fdata%5B%40key%3Duuid%3A550e47d6-e161-469f-af49-11e2ff05c10b%5D%2FgroupInfoFuel%5B%40ordinal%3D1%5D%2FpicFuelRecibeInterno","Descargar")</f>
        <v>Descargar</v>
      </c>
    </row>
    <row r="3254" spans="1:18" x14ac:dyDescent="0.3">
      <c r="A3254">
        <v>1517955</v>
      </c>
      <c r="B3254" t="s">
        <v>18</v>
      </c>
      <c r="C3254" t="s">
        <v>100</v>
      </c>
      <c r="D3254" t="s">
        <v>716</v>
      </c>
      <c r="E3254" t="s">
        <v>717</v>
      </c>
      <c r="F3254" t="s">
        <v>22</v>
      </c>
      <c r="G3254" t="s">
        <v>83</v>
      </c>
      <c r="H3254" t="s">
        <v>1781</v>
      </c>
      <c r="I3254" t="s">
        <v>25</v>
      </c>
      <c r="J3254" t="s">
        <v>2587</v>
      </c>
      <c r="K3254">
        <v>15</v>
      </c>
      <c r="L3254">
        <v>4</v>
      </c>
      <c r="M3254">
        <v>2025</v>
      </c>
      <c r="N3254" t="s">
        <v>27</v>
      </c>
      <c r="O3254">
        <v>150</v>
      </c>
      <c r="P3254">
        <v>150</v>
      </c>
      <c r="R3254" s="3" t="str">
        <f>HYPERLINK("https://panda.att.com.mx/ODKServer/view/binaryData?blobKey=FSSuministroFluidosv3%5B%40version%3Dnull+and+%40uiVersion%3Dnull%5D%2Fdata%5B%40key%3Duuid%3A4fa16275-e2c2-4efe-bdf3-8cf11565b546%5D%2FgroupInfoFuel%5B%40ordinal%3D1%5D%2FpicFuelRecibeInterno","Descargar")</f>
        <v>Descargar</v>
      </c>
    </row>
    <row r="3255" spans="1:18" x14ac:dyDescent="0.3">
      <c r="A3255">
        <v>1517847</v>
      </c>
      <c r="B3255" t="s">
        <v>18</v>
      </c>
      <c r="C3255" t="s">
        <v>150</v>
      </c>
      <c r="D3255" t="s">
        <v>230</v>
      </c>
      <c r="E3255" t="s">
        <v>2418</v>
      </c>
      <c r="F3255" t="s">
        <v>22</v>
      </c>
      <c r="G3255" t="s">
        <v>23</v>
      </c>
      <c r="H3255" t="s">
        <v>1781</v>
      </c>
      <c r="I3255" t="s">
        <v>25</v>
      </c>
      <c r="J3255" t="s">
        <v>2588</v>
      </c>
      <c r="K3255">
        <v>15</v>
      </c>
      <c r="L3255">
        <v>4</v>
      </c>
      <c r="M3255">
        <v>2025</v>
      </c>
      <c r="N3255" t="s">
        <v>27</v>
      </c>
      <c r="O3255">
        <v>200.03</v>
      </c>
      <c r="P3255">
        <v>200.03</v>
      </c>
      <c r="R3255" s="3" t="str">
        <f>HYPERLINK("https://panda.att.com.mx/ODKServer/view/binaryData?blobKey=FSSuministroFluidosv3%5B%40version%3Dnull+and+%40uiVersion%3Dnull%5D%2Fdata%5B%40key%3Duuid%3Ac6d95101-6213-41d6-a1f5-7992e2b9e822%5D%2FgroupInfoFuel%5B%40ordinal%3D1%5D%2FpicFuelRecibeInterno","Descargar")</f>
        <v>Descargar</v>
      </c>
    </row>
    <row r="3256" spans="1:18" x14ac:dyDescent="0.3">
      <c r="A3256">
        <v>1517836</v>
      </c>
      <c r="B3256" t="s">
        <v>18</v>
      </c>
      <c r="C3256" t="s">
        <v>55</v>
      </c>
      <c r="D3256" t="s">
        <v>288</v>
      </c>
      <c r="E3256" t="s">
        <v>1999</v>
      </c>
      <c r="F3256" t="s">
        <v>22</v>
      </c>
      <c r="G3256" t="s">
        <v>23</v>
      </c>
      <c r="H3256" t="s">
        <v>1763</v>
      </c>
      <c r="I3256" t="s">
        <v>25</v>
      </c>
      <c r="J3256" t="s">
        <v>2589</v>
      </c>
      <c r="K3256">
        <v>15</v>
      </c>
      <c r="L3256">
        <v>4</v>
      </c>
      <c r="M3256">
        <v>2025</v>
      </c>
      <c r="N3256" t="s">
        <v>27</v>
      </c>
      <c r="O3256">
        <v>300</v>
      </c>
      <c r="P3256">
        <v>300</v>
      </c>
      <c r="R3256" s="3" t="str">
        <f>HYPERLINK("https://panda.att.com.mx/ODKServer/view/binaryData?blobKey=FSSuministroFluidosv3%5B%40version%3Dnull+and+%40uiVersion%3Dnull%5D%2Fdata%5B%40key%3Duuid%3Abea2fca0-f3e7-45b2-8fb3-88ab64a94f8d%5D%2FgroupInfoFuel%5B%40ordinal%3D1%5D%2FpicFuelRecibeInterno","Descargar")</f>
        <v>Descargar</v>
      </c>
    </row>
    <row r="3257" spans="1:18" x14ac:dyDescent="0.3">
      <c r="A3257">
        <v>1517786</v>
      </c>
      <c r="B3257" t="s">
        <v>18</v>
      </c>
      <c r="C3257" t="s">
        <v>55</v>
      </c>
      <c r="D3257" t="s">
        <v>56</v>
      </c>
      <c r="E3257" t="s">
        <v>2199</v>
      </c>
      <c r="F3257" t="s">
        <v>22</v>
      </c>
      <c r="G3257" t="s">
        <v>23</v>
      </c>
      <c r="H3257" t="s">
        <v>1763</v>
      </c>
      <c r="I3257" t="s">
        <v>25</v>
      </c>
      <c r="J3257" t="s">
        <v>2590</v>
      </c>
      <c r="K3257">
        <v>13</v>
      </c>
      <c r="L3257">
        <v>4</v>
      </c>
      <c r="M3257">
        <v>2025</v>
      </c>
      <c r="N3257" t="s">
        <v>27</v>
      </c>
      <c r="O3257">
        <v>90</v>
      </c>
      <c r="P3257">
        <v>90</v>
      </c>
      <c r="R3257" s="3" t="str">
        <f>HYPERLINK("https://panda.att.com.mx/ODKServer/view/binaryData?blobKey=FSSuministroFluidosv3%5B%40version%3Dnull+and+%40uiVersion%3Dnull%5D%2Fdata%5B%40key%3Duuid%3A952916d0-1f45-4dfa-a803-881dd9a74085%5D%2FgroupInfoFuel%5B%40ordinal%3D1%5D%2FpicFuelRecibeInterno","Descargar")</f>
        <v>Descargar</v>
      </c>
    </row>
    <row r="3258" spans="1:18" x14ac:dyDescent="0.3">
      <c r="A3258">
        <v>1517749</v>
      </c>
      <c r="B3258" t="s">
        <v>18</v>
      </c>
      <c r="C3258" t="s">
        <v>55</v>
      </c>
      <c r="D3258" t="s">
        <v>56</v>
      </c>
      <c r="E3258" t="s">
        <v>2591</v>
      </c>
      <c r="F3258" t="s">
        <v>22</v>
      </c>
      <c r="G3258" t="s">
        <v>23</v>
      </c>
      <c r="H3258" t="s">
        <v>1763</v>
      </c>
      <c r="I3258" t="s">
        <v>25</v>
      </c>
      <c r="J3258" t="s">
        <v>2592</v>
      </c>
      <c r="K3258">
        <v>12</v>
      </c>
      <c r="L3258">
        <v>4</v>
      </c>
      <c r="M3258">
        <v>2025</v>
      </c>
      <c r="N3258" t="s">
        <v>27</v>
      </c>
      <c r="O3258">
        <v>300</v>
      </c>
      <c r="P3258">
        <v>300</v>
      </c>
      <c r="R3258" s="3" t="str">
        <f>HYPERLINK("https://panda.att.com.mx/ODKServer/view/binaryData?blobKey=FSSuministroFluidosv3%5B%40version%3Dnull+and+%40uiVersion%3Dnull%5D%2Fdata%5B%40key%3Duuid%3Ac7552d8a-f0be-411f-909a-4147b9a904d2%5D%2FgroupInfoFuel%5B%40ordinal%3D1%5D%2FpicFuelRecibeInterno","Descargar")</f>
        <v>Descargar</v>
      </c>
    </row>
    <row r="3259" spans="1:18" x14ac:dyDescent="0.3">
      <c r="A3259">
        <v>1517748</v>
      </c>
      <c r="B3259" t="s">
        <v>18</v>
      </c>
      <c r="C3259" t="s">
        <v>55</v>
      </c>
      <c r="D3259" t="s">
        <v>56</v>
      </c>
      <c r="E3259" t="s">
        <v>1842</v>
      </c>
      <c r="F3259" t="s">
        <v>22</v>
      </c>
      <c r="G3259" t="s">
        <v>23</v>
      </c>
      <c r="H3259" t="s">
        <v>1763</v>
      </c>
      <c r="I3259" t="s">
        <v>25</v>
      </c>
      <c r="J3259" t="s">
        <v>2593</v>
      </c>
      <c r="K3259">
        <v>12</v>
      </c>
      <c r="L3259">
        <v>4</v>
      </c>
      <c r="M3259">
        <v>2025</v>
      </c>
      <c r="N3259" t="s">
        <v>27</v>
      </c>
      <c r="O3259">
        <v>150</v>
      </c>
      <c r="P3259">
        <v>150</v>
      </c>
      <c r="R3259" s="3" t="str">
        <f>HYPERLINK("https://panda.att.com.mx/ODKServer/view/binaryData?blobKey=FSSuministroFluidosv3%5B%40version%3Dnull+and+%40uiVersion%3Dnull%5D%2Fdata%5B%40key%3Duuid%3Aec764680-c6b7-4e43-a532-14b6ea1491d1%5D%2FgroupInfoFuel%5B%40ordinal%3D1%5D%2FpicFuelRecibeInterno","Descargar")</f>
        <v>Descargar</v>
      </c>
    </row>
    <row r="3260" spans="1:18" x14ac:dyDescent="0.3">
      <c r="A3260">
        <v>1517711</v>
      </c>
      <c r="B3260" t="s">
        <v>18</v>
      </c>
      <c r="C3260" t="s">
        <v>28</v>
      </c>
      <c r="D3260" t="s">
        <v>895</v>
      </c>
      <c r="E3260" t="s">
        <v>896</v>
      </c>
      <c r="F3260" t="s">
        <v>22</v>
      </c>
      <c r="G3260" t="s">
        <v>23</v>
      </c>
      <c r="H3260" t="s">
        <v>24</v>
      </c>
      <c r="I3260" t="s">
        <v>25</v>
      </c>
      <c r="J3260" t="s">
        <v>2594</v>
      </c>
      <c r="K3260">
        <v>14</v>
      </c>
      <c r="L3260">
        <v>4</v>
      </c>
      <c r="M3260">
        <v>2025</v>
      </c>
      <c r="N3260" t="s">
        <v>27</v>
      </c>
      <c r="O3260">
        <v>400</v>
      </c>
      <c r="P3260">
        <v>400</v>
      </c>
      <c r="R3260" s="3" t="str">
        <f>HYPERLINK("https://panda.att.com.mx/ODKServer/view/binaryData?blobKey=FSSuministroFluidosv3%5B%40version%3Dnull+and+%40uiVersion%3Dnull%5D%2Fdata%5B%40key%3Duuid%3A6f4c9aa5-1d37-4d46-abf3-a7e0032518ae%5D%2FgroupInfoFuel%5B%40ordinal%3D1%5D%2FpicFuelRecibeInterno","Descargar")</f>
        <v>Descargar</v>
      </c>
    </row>
    <row r="3261" spans="1:18" x14ac:dyDescent="0.3">
      <c r="A3261">
        <v>1517696</v>
      </c>
      <c r="B3261" t="s">
        <v>18</v>
      </c>
      <c r="C3261" t="s">
        <v>34</v>
      </c>
      <c r="D3261" t="s">
        <v>292</v>
      </c>
      <c r="E3261" t="s">
        <v>2595</v>
      </c>
      <c r="F3261" t="s">
        <v>22</v>
      </c>
      <c r="G3261" t="s">
        <v>23</v>
      </c>
      <c r="H3261" t="s">
        <v>37</v>
      </c>
      <c r="I3261" t="s">
        <v>25</v>
      </c>
      <c r="J3261" t="s">
        <v>2596</v>
      </c>
      <c r="K3261">
        <v>14</v>
      </c>
      <c r="L3261">
        <v>4</v>
      </c>
      <c r="M3261">
        <v>2025</v>
      </c>
      <c r="N3261" t="s">
        <v>27</v>
      </c>
      <c r="O3261">
        <v>300</v>
      </c>
      <c r="Q3261">
        <v>300</v>
      </c>
      <c r="R3261" s="3" t="str">
        <f>HYPERLINK("https://panda.att.com.mx/ODKServer/view/binaryData?blobKey=FSSuministroFluidosv3%5B%40version%3Dnull+and+%40uiVersion%3Dnull%5D%2Fdata%5B%40key%3Duuid%3A0e0622ca-98ea-431d-9110-174711e72ccc%5D%2FgroupInfoFuel%5B%40ordinal%3D1%5D%2FpicFuelRecibeInterno","Descargar")</f>
        <v>Descargar</v>
      </c>
    </row>
    <row r="3262" spans="1:18" x14ac:dyDescent="0.3">
      <c r="A3262">
        <v>1517683</v>
      </c>
      <c r="B3262" t="s">
        <v>18</v>
      </c>
      <c r="C3262" t="s">
        <v>34</v>
      </c>
      <c r="D3262" t="s">
        <v>292</v>
      </c>
      <c r="E3262" t="s">
        <v>293</v>
      </c>
      <c r="F3262" t="s">
        <v>22</v>
      </c>
      <c r="G3262" t="s">
        <v>23</v>
      </c>
      <c r="H3262" t="s">
        <v>37</v>
      </c>
      <c r="I3262" t="s">
        <v>25</v>
      </c>
      <c r="J3262" t="s">
        <v>2597</v>
      </c>
      <c r="K3262">
        <v>14</v>
      </c>
      <c r="L3262">
        <v>4</v>
      </c>
      <c r="M3262">
        <v>2025</v>
      </c>
      <c r="N3262" t="s">
        <v>27</v>
      </c>
      <c r="O3262">
        <v>500</v>
      </c>
      <c r="P3262">
        <v>500</v>
      </c>
      <c r="R3262" s="3" t="str">
        <f>HYPERLINK("https://panda.att.com.mx/ODKServer/view/binaryData?blobKey=FSSuministroFluidosv3%5B%40version%3Dnull+and+%40uiVersion%3Dnull%5D%2Fdata%5B%40key%3Duuid%3A755bbf8e-aab9-4239-b23b-2176b0ce19d4%5D%2FgroupInfoFuel%5B%40ordinal%3D1%5D%2FpicFuelRecibeInterno","Descargar")</f>
        <v>Descargar</v>
      </c>
    </row>
    <row r="3263" spans="1:18" x14ac:dyDescent="0.3">
      <c r="A3263">
        <v>1517677</v>
      </c>
      <c r="B3263" t="s">
        <v>18</v>
      </c>
      <c r="C3263" t="s">
        <v>34</v>
      </c>
      <c r="D3263" t="s">
        <v>292</v>
      </c>
      <c r="E3263" t="s">
        <v>2598</v>
      </c>
      <c r="F3263" t="s">
        <v>22</v>
      </c>
      <c r="G3263" t="s">
        <v>23</v>
      </c>
      <c r="H3263" t="s">
        <v>37</v>
      </c>
      <c r="I3263" t="s">
        <v>25</v>
      </c>
      <c r="J3263" t="s">
        <v>2599</v>
      </c>
      <c r="K3263">
        <v>14</v>
      </c>
      <c r="L3263">
        <v>4</v>
      </c>
      <c r="M3263">
        <v>2025</v>
      </c>
      <c r="N3263" t="s">
        <v>27</v>
      </c>
      <c r="O3263">
        <v>400</v>
      </c>
      <c r="P3263">
        <v>400</v>
      </c>
      <c r="R3263" s="3" t="str">
        <f>HYPERLINK("https://panda.att.com.mx/ODKServer/view/binaryData?blobKey=FSSuministroFluidosv3%5B%40version%3Dnull+and+%40uiVersion%3Dnull%5D%2Fdata%5B%40key%3Duuid%3Aab58b804-2c34-4df8-b734-28c77ba48f68%5D%2FgroupInfoFuel%5B%40ordinal%3D1%5D%2FpicFuelRecibeInterno","Descargar")</f>
        <v>Descargar</v>
      </c>
    </row>
    <row r="3264" spans="1:18" x14ac:dyDescent="0.3">
      <c r="A3264">
        <v>1517676</v>
      </c>
      <c r="B3264" t="s">
        <v>18</v>
      </c>
      <c r="C3264" t="s">
        <v>59</v>
      </c>
      <c r="D3264" t="s">
        <v>60</v>
      </c>
      <c r="E3264" t="s">
        <v>2600</v>
      </c>
      <c r="F3264" t="s">
        <v>22</v>
      </c>
      <c r="G3264" t="s">
        <v>23</v>
      </c>
      <c r="H3264" t="s">
        <v>37</v>
      </c>
      <c r="I3264" t="s">
        <v>25</v>
      </c>
      <c r="J3264" t="s">
        <v>2601</v>
      </c>
      <c r="K3264">
        <v>14</v>
      </c>
      <c r="L3264">
        <v>4</v>
      </c>
      <c r="M3264">
        <v>2025</v>
      </c>
      <c r="N3264" t="s">
        <v>27</v>
      </c>
      <c r="O3264">
        <v>130</v>
      </c>
      <c r="P3264">
        <v>130</v>
      </c>
      <c r="R3264" s="3" t="str">
        <f>HYPERLINK("https://panda.att.com.mx/ODKServer/view/binaryData?blobKey=FSSuministroFluidosv3%5B%40version%3Dnull+and+%40uiVersion%3Dnull%5D%2Fdata%5B%40key%3Duuid%3A133a594f-fb44-4a7f-89bc-974dfa412dee%5D%2FgroupInfoFuel%5B%40ordinal%3D1%5D%2FpicFuelRecibeInterno","Descargar")</f>
        <v>Descargar</v>
      </c>
    </row>
    <row r="3265" spans="1:18" x14ac:dyDescent="0.3">
      <c r="A3265">
        <v>1517639</v>
      </c>
      <c r="B3265" t="s">
        <v>18</v>
      </c>
      <c r="C3265" t="s">
        <v>59</v>
      </c>
      <c r="D3265" t="s">
        <v>60</v>
      </c>
      <c r="E3265" t="s">
        <v>2283</v>
      </c>
      <c r="F3265" t="s">
        <v>22</v>
      </c>
      <c r="G3265" t="s">
        <v>23</v>
      </c>
      <c r="H3265" t="s">
        <v>37</v>
      </c>
      <c r="I3265" t="s">
        <v>25</v>
      </c>
      <c r="J3265" t="s">
        <v>2602</v>
      </c>
      <c r="K3265">
        <v>14</v>
      </c>
      <c r="L3265">
        <v>4</v>
      </c>
      <c r="M3265">
        <v>2025</v>
      </c>
      <c r="N3265" t="s">
        <v>27</v>
      </c>
      <c r="O3265">
        <v>450</v>
      </c>
      <c r="P3265">
        <v>450</v>
      </c>
      <c r="R3265" s="3" t="str">
        <f>HYPERLINK("https://panda.att.com.mx/ODKServer/view/binaryData?blobKey=FSSuministroFluidosv3%5B%40version%3Dnull+and+%40uiVersion%3Dnull%5D%2Fdata%5B%40key%3Duuid%3A657ae261-99ca-436f-8976-76801e684140%5D%2FgroupInfoFuel%5B%40ordinal%3D1%5D%2FpicFuelRecibeInterno","Descargar")</f>
        <v>Descargar</v>
      </c>
    </row>
    <row r="3266" spans="1:18" x14ac:dyDescent="0.3">
      <c r="A3266">
        <v>1517609</v>
      </c>
      <c r="B3266" t="s">
        <v>18</v>
      </c>
      <c r="C3266" t="s">
        <v>68</v>
      </c>
      <c r="D3266" t="s">
        <v>91</v>
      </c>
      <c r="E3266" t="s">
        <v>2603</v>
      </c>
      <c r="F3266" t="s">
        <v>22</v>
      </c>
      <c r="G3266" t="s">
        <v>23</v>
      </c>
      <c r="H3266" t="s">
        <v>37</v>
      </c>
      <c r="I3266" t="s">
        <v>25</v>
      </c>
      <c r="J3266" t="s">
        <v>2604</v>
      </c>
      <c r="K3266">
        <v>14</v>
      </c>
      <c r="L3266">
        <v>4</v>
      </c>
      <c r="M3266">
        <v>2025</v>
      </c>
      <c r="N3266" t="s">
        <v>27</v>
      </c>
      <c r="O3266">
        <v>100</v>
      </c>
      <c r="P3266">
        <v>100</v>
      </c>
      <c r="R3266" s="3" t="str">
        <f>HYPERLINK("https://panda.att.com.mx/ODKServer/view/binaryData?blobKey=FSSuministroFluidosv3%5B%40version%3Dnull+and+%40uiVersion%3Dnull%5D%2Fdata%5B%40key%3Duuid%3A1bc17481-3baa-463e-855b-50f3ee0ab94c%5D%2FgroupInfoFuel%5B%40ordinal%3D1%5D%2FpicFuelRecibeInterno","Descargar")</f>
        <v>Descargar</v>
      </c>
    </row>
    <row r="3267" spans="1:18" x14ac:dyDescent="0.3">
      <c r="A3267">
        <v>1517601</v>
      </c>
      <c r="B3267" t="s">
        <v>18</v>
      </c>
      <c r="C3267" t="s">
        <v>19</v>
      </c>
      <c r="D3267" t="s">
        <v>175</v>
      </c>
      <c r="E3267" t="s">
        <v>263</v>
      </c>
      <c r="F3267" t="s">
        <v>22</v>
      </c>
      <c r="G3267" t="s">
        <v>23</v>
      </c>
      <c r="H3267" t="s">
        <v>24</v>
      </c>
      <c r="I3267" t="s">
        <v>25</v>
      </c>
      <c r="J3267" t="s">
        <v>2605</v>
      </c>
      <c r="K3267">
        <v>7</v>
      </c>
      <c r="L3267">
        <v>4</v>
      </c>
      <c r="M3267">
        <v>2025</v>
      </c>
      <c r="N3267" t="s">
        <v>44</v>
      </c>
      <c r="O3267">
        <v>40</v>
      </c>
      <c r="P3267">
        <v>40</v>
      </c>
      <c r="R3267" s="3" t="str">
        <f>HYPERLINK("https://panda.att.com.mx/ODKServer/view/binaryData?blobKey=FSSuministroFluidosv3%5B%40version%3Dnull+and+%40uiVersion%3Dnull%5D%2Fdata%5B%40key%3Duuid%3A497a3b21-cc32-4d24-83bb-320ea9d3bdef%5D%2FgroupInfoFuel%5B%40ordinal%3D1%5D%2FpicFuelRecibeInterno","Descargar")</f>
        <v>Descargar</v>
      </c>
    </row>
    <row r="3268" spans="1:18" x14ac:dyDescent="0.3">
      <c r="A3268">
        <v>1517593</v>
      </c>
      <c r="B3268" t="s">
        <v>18</v>
      </c>
      <c r="C3268" t="s">
        <v>55</v>
      </c>
      <c r="D3268" t="s">
        <v>56</v>
      </c>
      <c r="E3268" t="s">
        <v>2606</v>
      </c>
      <c r="F3268" t="s">
        <v>22</v>
      </c>
      <c r="G3268" t="s">
        <v>23</v>
      </c>
      <c r="H3268" t="s">
        <v>1763</v>
      </c>
      <c r="I3268" t="s">
        <v>25</v>
      </c>
      <c r="J3268" s="2">
        <v>45746.445636574077</v>
      </c>
      <c r="K3268">
        <v>30</v>
      </c>
      <c r="L3268">
        <v>3</v>
      </c>
      <c r="M3268">
        <v>2025</v>
      </c>
      <c r="N3268" t="s">
        <v>27</v>
      </c>
      <c r="O3268">
        <v>150</v>
      </c>
      <c r="P3268">
        <v>150</v>
      </c>
      <c r="R3268" s="3" t="str">
        <f>HYPERLINK("https://panda.att.com.mx/ODKServer/view/binaryData?blobKey=FSSuministroFluidosv3%5B%40version%3Dnull+and+%40uiVersion%3Dnull%5D%2Fdata%5B%40key%3Duuid%3A2e47ab56-7162-4635-a3da-d184bd5f3eae%5D%2FgroupInfoFuel%5B%40ordinal%3D1%5D%2FpicFuelRecibeInterno","Descargar")</f>
        <v>Descargar</v>
      </c>
    </row>
    <row r="3269" spans="1:18" x14ac:dyDescent="0.3">
      <c r="A3269">
        <v>1517592</v>
      </c>
      <c r="B3269" t="s">
        <v>18</v>
      </c>
      <c r="C3269" t="s">
        <v>59</v>
      </c>
      <c r="D3269" t="s">
        <v>60</v>
      </c>
      <c r="E3269" t="s">
        <v>2207</v>
      </c>
      <c r="F3269" t="s">
        <v>22</v>
      </c>
      <c r="G3269" t="s">
        <v>23</v>
      </c>
      <c r="H3269" t="s">
        <v>37</v>
      </c>
      <c r="I3269" t="s">
        <v>25</v>
      </c>
      <c r="J3269" t="s">
        <v>2607</v>
      </c>
      <c r="K3269">
        <v>12</v>
      </c>
      <c r="L3269">
        <v>4</v>
      </c>
      <c r="M3269">
        <v>2025</v>
      </c>
      <c r="N3269" t="s">
        <v>27</v>
      </c>
      <c r="O3269">
        <v>180</v>
      </c>
      <c r="P3269">
        <v>180</v>
      </c>
      <c r="R3269" s="3" t="str">
        <f>HYPERLINK("https://panda.att.com.mx/ODKServer/view/binaryData?blobKey=FSSuministroFluidosv3%5B%40version%3Dnull+and+%40uiVersion%3Dnull%5D%2Fdata%5B%40key%3Duuid%3Ad2754f04-5324-47e9-be1f-41aeb7eadcca%5D%2FgroupInfoFuel%5B%40ordinal%3D1%5D%2FpicFuelRecibeInterno","Descargar")</f>
        <v>Descargar</v>
      </c>
    </row>
    <row r="3270" spans="1:18" x14ac:dyDescent="0.3">
      <c r="A3270">
        <v>1517582</v>
      </c>
      <c r="B3270" t="s">
        <v>18</v>
      </c>
      <c r="C3270" t="s">
        <v>59</v>
      </c>
      <c r="D3270" t="s">
        <v>60</v>
      </c>
      <c r="E3270" t="s">
        <v>2207</v>
      </c>
      <c r="F3270" t="s">
        <v>22</v>
      </c>
      <c r="G3270" t="s">
        <v>23</v>
      </c>
      <c r="H3270" t="s">
        <v>37</v>
      </c>
      <c r="I3270" t="s">
        <v>25</v>
      </c>
      <c r="J3270" t="s">
        <v>2608</v>
      </c>
      <c r="K3270">
        <v>10</v>
      </c>
      <c r="L3270">
        <v>4</v>
      </c>
      <c r="M3270">
        <v>2025</v>
      </c>
      <c r="N3270" t="s">
        <v>27</v>
      </c>
      <c r="O3270">
        <v>180</v>
      </c>
      <c r="P3270">
        <v>180</v>
      </c>
      <c r="R3270" s="3" t="str">
        <f>HYPERLINK("https://panda.att.com.mx/ODKServer/view/binaryData?blobKey=FSSuministroFluidosv3%5B%40version%3Dnull+and+%40uiVersion%3Dnull%5D%2Fdata%5B%40key%3Duuid%3A408680d4-c64d-4ca8-877c-51dd82a16ac3%5D%2FgroupInfoFuel%5B%40ordinal%3D1%5D%2FpicFuelRecibeInterno","Descargar")</f>
        <v>Descargar</v>
      </c>
    </row>
    <row r="3271" spans="1:18" x14ac:dyDescent="0.3">
      <c r="A3271">
        <v>1517573</v>
      </c>
      <c r="B3271" t="s">
        <v>18</v>
      </c>
      <c r="C3271" t="s">
        <v>100</v>
      </c>
      <c r="D3271" t="s">
        <v>716</v>
      </c>
      <c r="E3271" t="s">
        <v>717</v>
      </c>
      <c r="F3271" t="s">
        <v>22</v>
      </c>
      <c r="G3271" t="s">
        <v>83</v>
      </c>
      <c r="H3271" t="s">
        <v>1781</v>
      </c>
      <c r="I3271" t="s">
        <v>25</v>
      </c>
      <c r="J3271" s="2">
        <v>45740.695370370369</v>
      </c>
      <c r="K3271">
        <v>24</v>
      </c>
      <c r="L3271">
        <v>3</v>
      </c>
      <c r="M3271">
        <v>2025</v>
      </c>
      <c r="N3271" t="s">
        <v>27</v>
      </c>
      <c r="O3271">
        <v>130</v>
      </c>
      <c r="P3271">
        <v>130</v>
      </c>
      <c r="R3271" s="3" t="str">
        <f>HYPERLINK("https://panda.att.com.mx/ODKServer/view/binaryData?blobKey=FSSuministroFluidosv3%5B%40version%3Dnull+and+%40uiVersion%3Dnull%5D%2Fdata%5B%40key%3Duuid%3A09d81ae0-b630-44d4-a787-5c3a8bc4ce7c%5D%2FgroupInfoFuel%5B%40ordinal%3D1%5D%2FpicFuelRecibeInterno","Descargar")</f>
        <v>Descargar</v>
      </c>
    </row>
    <row r="3272" spans="1:18" x14ac:dyDescent="0.3">
      <c r="A3272">
        <v>1517572</v>
      </c>
      <c r="B3272" t="s">
        <v>18</v>
      </c>
      <c r="C3272" t="s">
        <v>100</v>
      </c>
      <c r="D3272" t="s">
        <v>716</v>
      </c>
      <c r="E3272" t="s">
        <v>717</v>
      </c>
      <c r="F3272" t="s">
        <v>22</v>
      </c>
      <c r="G3272" t="s">
        <v>83</v>
      </c>
      <c r="H3272" t="s">
        <v>1781</v>
      </c>
      <c r="I3272" t="s">
        <v>25</v>
      </c>
      <c r="J3272" s="2">
        <v>45738.614999999998</v>
      </c>
      <c r="K3272">
        <v>22</v>
      </c>
      <c r="L3272">
        <v>3</v>
      </c>
      <c r="M3272">
        <v>2025</v>
      </c>
      <c r="N3272" t="s">
        <v>27</v>
      </c>
      <c r="O3272">
        <v>119</v>
      </c>
      <c r="P3272">
        <v>119</v>
      </c>
      <c r="R3272" s="3" t="str">
        <f>HYPERLINK("https://panda.att.com.mx/ODKServer/view/binaryData?blobKey=FSSuministroFluidosv3%5B%40version%3Dnull+and+%40uiVersion%3Dnull%5D%2Fdata%5B%40key%3Duuid%3A67bf4bce-02ec-4768-a5ad-cd38dc72756e%5D%2FgroupInfoFuel%5B%40ordinal%3D1%5D%2FpicFuelRecibeInterno","Descargar")</f>
        <v>Descargar</v>
      </c>
    </row>
    <row r="3273" spans="1:18" x14ac:dyDescent="0.3">
      <c r="A3273">
        <v>1517460</v>
      </c>
      <c r="B3273" t="s">
        <v>18</v>
      </c>
      <c r="C3273" t="s">
        <v>34</v>
      </c>
      <c r="D3273" t="s">
        <v>121</v>
      </c>
      <c r="E3273" t="s">
        <v>802</v>
      </c>
      <c r="F3273" t="s">
        <v>33</v>
      </c>
      <c r="G3273" t="s">
        <v>23</v>
      </c>
      <c r="H3273" t="s">
        <v>37</v>
      </c>
      <c r="I3273" t="s">
        <v>25</v>
      </c>
      <c r="J3273" t="s">
        <v>2609</v>
      </c>
      <c r="K3273">
        <v>12</v>
      </c>
      <c r="L3273">
        <v>4</v>
      </c>
      <c r="M3273">
        <v>2025</v>
      </c>
      <c r="N3273" t="s">
        <v>27</v>
      </c>
      <c r="O3273">
        <v>300</v>
      </c>
      <c r="Q3273">
        <v>300</v>
      </c>
      <c r="R3273" s="3" t="str">
        <f>HYPERLINK("https://panda.att.com.mx/ODKServer/view/binaryData?blobKey=FSSuministroFluidosv3%5B%40version%3Dnull+and+%40uiVersion%3Dnull%5D%2Fdata%5B%40key%3Duuid%3A2467d5f5-c824-4821-aa44-314b2de29b72%5D%2FgroupInfoFuel%5B%40ordinal%3D1%5D%2FpicFuelRecibeInterno","Descargar")</f>
        <v>Descargar</v>
      </c>
    </row>
    <row r="3274" spans="1:18" x14ac:dyDescent="0.3">
      <c r="A3274">
        <v>1517404</v>
      </c>
      <c r="B3274" t="s">
        <v>18</v>
      </c>
      <c r="C3274" t="s">
        <v>19</v>
      </c>
      <c r="D3274" t="s">
        <v>175</v>
      </c>
      <c r="E3274" t="s">
        <v>2093</v>
      </c>
      <c r="F3274" t="s">
        <v>22</v>
      </c>
      <c r="G3274" t="s">
        <v>23</v>
      </c>
      <c r="H3274" t="s">
        <v>24</v>
      </c>
      <c r="I3274" t="s">
        <v>25</v>
      </c>
      <c r="J3274" t="s">
        <v>2610</v>
      </c>
      <c r="K3274">
        <v>6</v>
      </c>
      <c r="L3274">
        <v>4</v>
      </c>
      <c r="M3274">
        <v>2025</v>
      </c>
      <c r="N3274" t="s">
        <v>44</v>
      </c>
      <c r="O3274">
        <v>30</v>
      </c>
      <c r="P3274">
        <v>30</v>
      </c>
      <c r="R3274" s="3" t="str">
        <f>HYPERLINK("https://panda.att.com.mx/ODKServer/view/binaryData?blobKey=FSSuministroFluidosv3%5B%40version%3Dnull+and+%40uiVersion%3Dnull%5D%2Fdata%5B%40key%3Duuid%3A48ab0899-da93-4b77-afbd-5e6f61e3859f%5D%2FgroupInfoFuel%5B%40ordinal%3D1%5D%2FpicFuelRecibeInterno","Descargar")</f>
        <v>Descargar</v>
      </c>
    </row>
    <row r="3275" spans="1:18" x14ac:dyDescent="0.3">
      <c r="A3275">
        <v>1517366</v>
      </c>
      <c r="B3275" t="s">
        <v>18</v>
      </c>
      <c r="C3275" t="s">
        <v>100</v>
      </c>
      <c r="D3275" t="s">
        <v>651</v>
      </c>
      <c r="E3275" t="s">
        <v>2611</v>
      </c>
      <c r="F3275" t="s">
        <v>22</v>
      </c>
      <c r="G3275" t="s">
        <v>23</v>
      </c>
      <c r="H3275" t="s">
        <v>1781</v>
      </c>
      <c r="I3275" t="s">
        <v>25</v>
      </c>
      <c r="J3275" t="s">
        <v>2612</v>
      </c>
      <c r="K3275">
        <v>3</v>
      </c>
      <c r="L3275">
        <v>4</v>
      </c>
      <c r="M3275">
        <v>2025</v>
      </c>
      <c r="N3275" t="s">
        <v>27</v>
      </c>
      <c r="O3275">
        <v>350</v>
      </c>
      <c r="Q3275">
        <v>350</v>
      </c>
      <c r="R3275" s="3" t="str">
        <f>HYPERLINK("https://panda.att.com.mx/ODKServer/view/binaryData?blobKey=FSSuministroFluidosv3%5B%40version%3Dnull+and+%40uiVersion%3Dnull%5D%2Fdata%5B%40key%3Duuid%3A4c04d4d3-3581-47be-8327-9bfd59998830%5D%2FgroupInfoFuel%5B%40ordinal%3D1%5D%2FpicFuelRecibeInterno","Descargar")</f>
        <v>Descargar</v>
      </c>
    </row>
    <row r="3276" spans="1:18" x14ac:dyDescent="0.3">
      <c r="A3276">
        <v>1517336</v>
      </c>
      <c r="B3276" t="s">
        <v>18</v>
      </c>
      <c r="C3276" t="s">
        <v>100</v>
      </c>
      <c r="D3276" t="s">
        <v>854</v>
      </c>
      <c r="E3276" t="s">
        <v>993</v>
      </c>
      <c r="F3276" t="s">
        <v>22</v>
      </c>
      <c r="G3276" t="s">
        <v>83</v>
      </c>
      <c r="H3276" t="s">
        <v>1781</v>
      </c>
      <c r="I3276" t="s">
        <v>25</v>
      </c>
      <c r="J3276" t="s">
        <v>2613</v>
      </c>
      <c r="K3276">
        <v>12</v>
      </c>
      <c r="L3276">
        <v>4</v>
      </c>
      <c r="M3276">
        <v>2025</v>
      </c>
      <c r="N3276" t="s">
        <v>27</v>
      </c>
      <c r="O3276">
        <v>200</v>
      </c>
      <c r="P3276">
        <v>200</v>
      </c>
      <c r="R3276" s="3" t="str">
        <f>HYPERLINK("https://panda.att.com.mx/ODKServer/view/binaryData?blobKey=FSSuministroFluidosv3%5B%40version%3Dnull+and+%40uiVersion%3Dnull%5D%2Fdata%5B%40key%3Duuid%3A52eecb4f-4b19-440c-8b2c-f2d91e4e321a%5D%2FgroupInfoFuel%5B%40ordinal%3D1%5D%2FpicFuelRecibeInterno","Descargar")</f>
        <v>Descargar</v>
      </c>
    </row>
    <row r="3277" spans="1:18" x14ac:dyDescent="0.3">
      <c r="A3277">
        <v>1519164</v>
      </c>
      <c r="B3277" t="s">
        <v>18</v>
      </c>
      <c r="C3277" t="s">
        <v>55</v>
      </c>
      <c r="D3277" t="s">
        <v>56</v>
      </c>
      <c r="E3277" t="s">
        <v>2374</v>
      </c>
      <c r="F3277" t="s">
        <v>22</v>
      </c>
      <c r="G3277" t="s">
        <v>23</v>
      </c>
      <c r="H3277" t="s">
        <v>1763</v>
      </c>
      <c r="I3277" t="s">
        <v>25</v>
      </c>
      <c r="J3277" t="s">
        <v>2614</v>
      </c>
      <c r="K3277">
        <v>14</v>
      </c>
      <c r="L3277">
        <v>4</v>
      </c>
      <c r="M3277">
        <v>2025</v>
      </c>
      <c r="N3277" t="s">
        <v>27</v>
      </c>
      <c r="O3277">
        <v>100</v>
      </c>
      <c r="P3277">
        <v>100</v>
      </c>
      <c r="R3277" s="3" t="str">
        <f>HYPERLINK("https://panda.att.com.mx/ODKServer/view/binaryData?blobKey=FSSuministroFluidosv3%5B%40version%3Dnull+and+%40uiVersion%3Dnull%5D%2Fdata%5B%40key%3Duuid%3A12172077-357f-49f9-8069-1ef07de8b2e9%5D%2FgroupInfoFuel%5B%40ordinal%3D1%5D%2FpicFuelRecibeInterno","Descargar")</f>
        <v>Descargar</v>
      </c>
    </row>
    <row r="3278" spans="1:18" x14ac:dyDescent="0.3">
      <c r="A3278">
        <v>1519160</v>
      </c>
      <c r="B3278" t="s">
        <v>18</v>
      </c>
      <c r="C3278" t="s">
        <v>68</v>
      </c>
      <c r="D3278" t="s">
        <v>219</v>
      </c>
      <c r="E3278" t="s">
        <v>2615</v>
      </c>
      <c r="F3278" t="s">
        <v>22</v>
      </c>
      <c r="G3278" t="s">
        <v>83</v>
      </c>
      <c r="H3278" t="s">
        <v>37</v>
      </c>
      <c r="I3278" t="s">
        <v>25</v>
      </c>
      <c r="J3278" t="s">
        <v>2616</v>
      </c>
      <c r="K3278">
        <v>14</v>
      </c>
      <c r="L3278">
        <v>4</v>
      </c>
      <c r="M3278">
        <v>2025</v>
      </c>
      <c r="N3278" t="s">
        <v>27</v>
      </c>
      <c r="O3278">
        <v>100</v>
      </c>
      <c r="P3278">
        <v>100</v>
      </c>
      <c r="R3278" s="3" t="str">
        <f>HYPERLINK("https://panda.att.com.mx/ODKServer/view/binaryData?blobKey=FSSuministroFluidosv3%5B%40version%3Dnull+and+%40uiVersion%3Dnull%5D%2Fdata%5B%40key%3Duuid%3A97d069ea-032c-488d-9c0e-64ac74d471cc%5D%2FgroupInfoFuel%5B%40ordinal%3D1%5D%2FpicFuelRecibeInterno","Descargar")</f>
        <v>Descargar</v>
      </c>
    </row>
    <row r="3279" spans="1:18" x14ac:dyDescent="0.3">
      <c r="A3279">
        <v>1519026</v>
      </c>
      <c r="B3279" t="s">
        <v>18</v>
      </c>
      <c r="C3279" t="s">
        <v>34</v>
      </c>
      <c r="D3279" t="s">
        <v>53</v>
      </c>
      <c r="E3279" t="s">
        <v>2617</v>
      </c>
      <c r="F3279" t="s">
        <v>22</v>
      </c>
      <c r="G3279" t="s">
        <v>23</v>
      </c>
      <c r="H3279" t="s">
        <v>37</v>
      </c>
      <c r="I3279" t="s">
        <v>25</v>
      </c>
      <c r="J3279" t="s">
        <v>2618</v>
      </c>
      <c r="K3279">
        <v>15</v>
      </c>
      <c r="L3279">
        <v>4</v>
      </c>
      <c r="M3279">
        <v>2025</v>
      </c>
      <c r="N3279" t="s">
        <v>27</v>
      </c>
      <c r="O3279">
        <v>250</v>
      </c>
      <c r="P3279">
        <v>250</v>
      </c>
      <c r="R3279" s="3" t="str">
        <f>HYPERLINK("https://panda.att.com.mx/ODKServer/view/binaryData?blobKey=FSSuministroFluidosv3%5B%40version%3Dnull+and+%40uiVersion%3Dnull%5D%2Fdata%5B%40key%3Duuid%3Afcc62a78-8afb-49c9-9cfb-21228877670a%5D%2FgroupInfoFuel%5B%40ordinal%3D1%5D%2FpicFuelRecibeInterno","Descargar")</f>
        <v>Descargar</v>
      </c>
    </row>
    <row r="3280" spans="1:18" x14ac:dyDescent="0.3">
      <c r="A3280">
        <v>1518996</v>
      </c>
      <c r="B3280" t="s">
        <v>18</v>
      </c>
      <c r="C3280" t="s">
        <v>34</v>
      </c>
      <c r="D3280" t="s">
        <v>53</v>
      </c>
      <c r="E3280" t="s">
        <v>1901</v>
      </c>
      <c r="F3280" t="s">
        <v>22</v>
      </c>
      <c r="G3280" t="s">
        <v>23</v>
      </c>
      <c r="H3280" t="s">
        <v>37</v>
      </c>
      <c r="I3280" t="s">
        <v>25</v>
      </c>
      <c r="J3280" t="s">
        <v>2619</v>
      </c>
      <c r="K3280">
        <v>14</v>
      </c>
      <c r="L3280">
        <v>4</v>
      </c>
      <c r="M3280">
        <v>2025</v>
      </c>
      <c r="N3280" t="s">
        <v>27</v>
      </c>
      <c r="O3280">
        <v>200</v>
      </c>
      <c r="P3280">
        <v>200</v>
      </c>
      <c r="R3280" s="3" t="str">
        <f>HYPERLINK("https://panda.att.com.mx/ODKServer/view/binaryData?blobKey=FSSuministroFluidosv3%5B%40version%3Dnull+and+%40uiVersion%3Dnull%5D%2Fdata%5B%40key%3Duuid%3Aa0dc654a-3eda-4ad0-a23f-2603c8d8ff13%5D%2FgroupInfoFuel%5B%40ordinal%3D1%5D%2FpicFuelRecibeInterno","Descargar")</f>
        <v>Descargar</v>
      </c>
    </row>
    <row r="3281" spans="1:18" x14ac:dyDescent="0.3">
      <c r="A3281">
        <v>1518992</v>
      </c>
      <c r="B3281" t="s">
        <v>18</v>
      </c>
      <c r="C3281" t="s">
        <v>34</v>
      </c>
      <c r="D3281" t="s">
        <v>53</v>
      </c>
      <c r="E3281" t="s">
        <v>144</v>
      </c>
      <c r="F3281" t="s">
        <v>22</v>
      </c>
      <c r="G3281" t="s">
        <v>23</v>
      </c>
      <c r="H3281" t="s">
        <v>37</v>
      </c>
      <c r="I3281" t="s">
        <v>25</v>
      </c>
      <c r="J3281" t="s">
        <v>2620</v>
      </c>
      <c r="K3281">
        <v>16</v>
      </c>
      <c r="L3281">
        <v>4</v>
      </c>
      <c r="M3281">
        <v>2025</v>
      </c>
      <c r="N3281" t="s">
        <v>27</v>
      </c>
      <c r="O3281">
        <v>300</v>
      </c>
      <c r="P3281">
        <v>300</v>
      </c>
      <c r="R3281" s="3" t="str">
        <f>HYPERLINK("https://panda.att.com.mx/ODKServer/view/binaryData?blobKey=FSSuministroFluidosv3%5B%40version%3Dnull+and+%40uiVersion%3Dnull%5D%2Fdata%5B%40key%3Duuid%3Aefd66ea3-6370-4e38-8a9f-43455b5a931c%5D%2FgroupInfoFuel%5B%40ordinal%3D1%5D%2FpicFuelRecibeInterno","Descargar")</f>
        <v>Descargar</v>
      </c>
    </row>
    <row r="3282" spans="1:18" x14ac:dyDescent="0.3">
      <c r="A3282">
        <v>1518960</v>
      </c>
      <c r="B3282" t="s">
        <v>18</v>
      </c>
      <c r="C3282" t="s">
        <v>34</v>
      </c>
      <c r="D3282" t="s">
        <v>53</v>
      </c>
      <c r="E3282" t="s">
        <v>2621</v>
      </c>
      <c r="F3282" t="s">
        <v>22</v>
      </c>
      <c r="G3282" t="s">
        <v>23</v>
      </c>
      <c r="H3282" t="s">
        <v>37</v>
      </c>
      <c r="I3282" t="s">
        <v>25</v>
      </c>
      <c r="J3282" t="s">
        <v>2622</v>
      </c>
      <c r="K3282">
        <v>16</v>
      </c>
      <c r="L3282">
        <v>4</v>
      </c>
      <c r="M3282">
        <v>2025</v>
      </c>
      <c r="N3282" t="s">
        <v>27</v>
      </c>
      <c r="O3282">
        <v>100</v>
      </c>
      <c r="P3282">
        <v>100</v>
      </c>
      <c r="R3282" s="3" t="str">
        <f>HYPERLINK("https://panda.att.com.mx/ODKServer/view/binaryData?blobKey=FSSuministroFluidosv3%5B%40version%3Dnull+and+%40uiVersion%3Dnull%5D%2Fdata%5B%40key%3Duuid%3A337a8f9e-de32-4978-af82-d0913afd87aa%5D%2FgroupInfoFuel%5B%40ordinal%3D1%5D%2FpicFuelRecibeInterno","Descargar")</f>
        <v>Descargar</v>
      </c>
    </row>
    <row r="3283" spans="1:18" x14ac:dyDescent="0.3">
      <c r="A3283">
        <v>1518952</v>
      </c>
      <c r="B3283" t="s">
        <v>18</v>
      </c>
      <c r="C3283" t="s">
        <v>19</v>
      </c>
      <c r="D3283" t="s">
        <v>42</v>
      </c>
      <c r="E3283" t="s">
        <v>980</v>
      </c>
      <c r="F3283" t="s">
        <v>22</v>
      </c>
      <c r="G3283" t="s">
        <v>23</v>
      </c>
      <c r="H3283" t="s">
        <v>24</v>
      </c>
      <c r="I3283" t="s">
        <v>25</v>
      </c>
      <c r="J3283" t="s">
        <v>2623</v>
      </c>
      <c r="K3283">
        <v>15</v>
      </c>
      <c r="L3283">
        <v>4</v>
      </c>
      <c r="M3283">
        <v>2025</v>
      </c>
      <c r="N3283" t="s">
        <v>44</v>
      </c>
      <c r="O3283">
        <v>40</v>
      </c>
      <c r="P3283">
        <v>40</v>
      </c>
      <c r="R3283" s="3" t="str">
        <f>HYPERLINK("https://panda.att.com.mx/ODKServer/view/binaryData?blobKey=FSSuministroFluidosv3%5B%40version%3Dnull+and+%40uiVersion%3Dnull%5D%2Fdata%5B%40key%3Duuid%3Adda96ab3-16e1-443d-9e05-f8449f741920%5D%2FgroupInfoFuel%5B%40ordinal%3D1%5D%2FpicFuelRecibeInterno","Descargar")</f>
        <v>Descargar</v>
      </c>
    </row>
    <row r="3284" spans="1:18" x14ac:dyDescent="0.3">
      <c r="A3284">
        <v>1518945</v>
      </c>
      <c r="B3284" t="s">
        <v>18</v>
      </c>
      <c r="C3284" t="s">
        <v>68</v>
      </c>
      <c r="D3284" t="s">
        <v>2624</v>
      </c>
      <c r="E3284" t="s">
        <v>2625</v>
      </c>
      <c r="G3284" t="s">
        <v>23</v>
      </c>
      <c r="H3284" t="s">
        <v>37</v>
      </c>
      <c r="I3284" t="s">
        <v>25</v>
      </c>
      <c r="J3284" t="s">
        <v>2626</v>
      </c>
      <c r="K3284">
        <v>16</v>
      </c>
      <c r="L3284">
        <v>4</v>
      </c>
      <c r="M3284">
        <v>2025</v>
      </c>
      <c r="N3284" t="s">
        <v>44</v>
      </c>
      <c r="O3284">
        <v>30</v>
      </c>
      <c r="P3284">
        <v>30</v>
      </c>
      <c r="R3284" s="3" t="str">
        <f>HYPERLINK("https://panda.att.com.mx/ODKServer/view/binaryData?blobKey=FSSuministroFluidosv3%5B%40version%3Dnull+and+%40uiVersion%3Dnull%5D%2Fdata%5B%40key%3Duuid%3A7ba23b9d-c897-48f4-b246-7c741eef697a%5D%2FgroupInfoFuel%5B%40ordinal%3D1%5D%2FpicFuelRecibeInterno","Descargar")</f>
        <v>Descargar</v>
      </c>
    </row>
    <row r="3285" spans="1:18" x14ac:dyDescent="0.3">
      <c r="A3285">
        <v>1518766</v>
      </c>
      <c r="B3285" t="s">
        <v>18</v>
      </c>
      <c r="C3285" t="s">
        <v>34</v>
      </c>
      <c r="D3285" t="s">
        <v>53</v>
      </c>
      <c r="E3285" t="s">
        <v>1743</v>
      </c>
      <c r="F3285" t="s">
        <v>22</v>
      </c>
      <c r="G3285" t="s">
        <v>23</v>
      </c>
      <c r="H3285" t="s">
        <v>37</v>
      </c>
      <c r="I3285" t="s">
        <v>25</v>
      </c>
      <c r="J3285" t="s">
        <v>2627</v>
      </c>
      <c r="K3285">
        <v>16</v>
      </c>
      <c r="L3285">
        <v>4</v>
      </c>
      <c r="M3285">
        <v>2025</v>
      </c>
      <c r="N3285" t="s">
        <v>27</v>
      </c>
      <c r="O3285">
        <v>900</v>
      </c>
      <c r="Q3285">
        <v>900</v>
      </c>
      <c r="R3285" s="3" t="str">
        <f>HYPERLINK("https://panda.att.com.mx/ODKServer/view/binaryData?blobKey=FSSuministroFluidosv3%5B%40version%3Dnull+and+%40uiVersion%3Dnull%5D%2Fdata%5B%40key%3Duuid%3A2a4df47b-cad4-4517-a24a-b397ada78074%5D%2FgroupInfoFuel%5B%40ordinal%3D1%5D%2FpicFuelRecibeInterno","Descargar")</f>
        <v>Descargar</v>
      </c>
    </row>
    <row r="3286" spans="1:18" x14ac:dyDescent="0.3">
      <c r="A3286">
        <v>1518765</v>
      </c>
      <c r="B3286" t="s">
        <v>18</v>
      </c>
      <c r="C3286" t="s">
        <v>100</v>
      </c>
      <c r="D3286" t="s">
        <v>101</v>
      </c>
      <c r="E3286" t="s">
        <v>126</v>
      </c>
      <c r="F3286" t="s">
        <v>22</v>
      </c>
      <c r="G3286" t="s">
        <v>23</v>
      </c>
      <c r="H3286" t="s">
        <v>1781</v>
      </c>
      <c r="I3286" t="s">
        <v>25</v>
      </c>
      <c r="J3286" t="s">
        <v>2628</v>
      </c>
      <c r="K3286">
        <v>16</v>
      </c>
      <c r="L3286">
        <v>4</v>
      </c>
      <c r="M3286">
        <v>2025</v>
      </c>
      <c r="N3286" t="s">
        <v>27</v>
      </c>
      <c r="O3286">
        <v>300</v>
      </c>
      <c r="P3286">
        <v>300</v>
      </c>
      <c r="R3286" s="3" t="str">
        <f>HYPERLINK("https://panda.att.com.mx/ODKServer/view/binaryData?blobKey=FSSuministroFluidosv3%5B%40version%3Dnull+and+%40uiVersion%3Dnull%5D%2Fdata%5B%40key%3Duuid%3Acb813217-a112-40e6-afd4-1c5aa7e26e2f%5D%2FgroupInfoFuel%5B%40ordinal%3D1%5D%2FpicFuelRecibeInterno","Descargar")</f>
        <v>Descargar</v>
      </c>
    </row>
    <row r="3287" spans="1:18" x14ac:dyDescent="0.3">
      <c r="A3287">
        <v>1518747</v>
      </c>
      <c r="B3287" t="s">
        <v>18</v>
      </c>
      <c r="C3287" t="s">
        <v>28</v>
      </c>
      <c r="D3287" t="s">
        <v>181</v>
      </c>
      <c r="E3287" t="s">
        <v>2629</v>
      </c>
      <c r="F3287" t="s">
        <v>22</v>
      </c>
      <c r="G3287" t="s">
        <v>23</v>
      </c>
      <c r="H3287" t="s">
        <v>24</v>
      </c>
      <c r="I3287" t="s">
        <v>25</v>
      </c>
      <c r="J3287" s="2">
        <v>45736.78502314815</v>
      </c>
      <c r="K3287">
        <v>20</v>
      </c>
      <c r="L3287">
        <v>3</v>
      </c>
      <c r="M3287">
        <v>2025</v>
      </c>
      <c r="N3287" t="s">
        <v>44</v>
      </c>
      <c r="O3287">
        <v>50</v>
      </c>
      <c r="P3287">
        <v>50</v>
      </c>
      <c r="R3287" s="3" t="str">
        <f>HYPERLINK("https://panda.att.com.mx/ODKServer/view/binaryData?blobKey=FSSuministroFluidosv3%5B%40version%3Dnull+and+%40uiVersion%3Dnull%5D%2Fdata%5B%40key%3Duuid%3A0273f62c-ebdd-496d-b550-868e0929a65e%5D%2FgroupInfoFuel%5B%40ordinal%3D1%5D%2FpicFuelRecibeInterno","Descargar")</f>
        <v>Descargar</v>
      </c>
    </row>
    <row r="3288" spans="1:18" x14ac:dyDescent="0.3">
      <c r="A3288">
        <v>1518654</v>
      </c>
      <c r="B3288" t="s">
        <v>18</v>
      </c>
      <c r="C3288" t="s">
        <v>183</v>
      </c>
      <c r="D3288" t="s">
        <v>329</v>
      </c>
      <c r="E3288" t="s">
        <v>330</v>
      </c>
      <c r="F3288" t="s">
        <v>22</v>
      </c>
      <c r="G3288" t="s">
        <v>23</v>
      </c>
      <c r="H3288" t="s">
        <v>24</v>
      </c>
      <c r="I3288" t="s">
        <v>25</v>
      </c>
      <c r="J3288" t="s">
        <v>2630</v>
      </c>
      <c r="K3288">
        <v>15</v>
      </c>
      <c r="L3288">
        <v>4</v>
      </c>
      <c r="M3288">
        <v>2025</v>
      </c>
      <c r="N3288" t="s">
        <v>27</v>
      </c>
      <c r="O3288">
        <v>100</v>
      </c>
      <c r="P3288">
        <v>100</v>
      </c>
      <c r="R3288" s="3" t="str">
        <f>HYPERLINK("https://panda.att.com.mx/ODKServer/view/binaryData?blobKey=FSSuministroFluidosv3%5B%40version%3Dnull+and+%40uiVersion%3Dnull%5D%2Fdata%5B%40key%3Duuid%3Ab03210dc-f85d-4eda-beb8-8fe7ebed1adb%5D%2FgroupInfoFuel%5B%40ordinal%3D1%5D%2FpicFuelRecibeInterno","Descargar")</f>
        <v>Descargar</v>
      </c>
    </row>
    <row r="3289" spans="1:18" x14ac:dyDescent="0.3">
      <c r="A3289">
        <v>1518594</v>
      </c>
      <c r="B3289" t="s">
        <v>18</v>
      </c>
      <c r="C3289" t="s">
        <v>34</v>
      </c>
      <c r="D3289" t="s">
        <v>121</v>
      </c>
      <c r="E3289" t="s">
        <v>122</v>
      </c>
      <c r="F3289" t="s">
        <v>22</v>
      </c>
      <c r="G3289" t="s">
        <v>23</v>
      </c>
      <c r="H3289" t="s">
        <v>37</v>
      </c>
      <c r="I3289" t="s">
        <v>25</v>
      </c>
      <c r="J3289" t="s">
        <v>2631</v>
      </c>
      <c r="K3289">
        <v>16</v>
      </c>
      <c r="L3289">
        <v>4</v>
      </c>
      <c r="M3289">
        <v>2025</v>
      </c>
      <c r="N3289" t="s">
        <v>27</v>
      </c>
      <c r="O3289">
        <v>200</v>
      </c>
      <c r="P3289">
        <v>200</v>
      </c>
      <c r="R3289" s="3" t="str">
        <f>HYPERLINK("https://panda.att.com.mx/ODKServer/view/binaryData?blobKey=FSSuministroFluidosv3%5B%40version%3Dnull+and+%40uiVersion%3Dnull%5D%2Fdata%5B%40key%3Duuid%3Ad4d7ef06-51a5-4d85-b3f8-5aec5ad903f5%5D%2FgroupInfoFuel%5B%40ordinal%3D1%5D%2FpicFuelRecibeInterno","Descargar")</f>
        <v>Descargar</v>
      </c>
    </row>
    <row r="3290" spans="1:18" x14ac:dyDescent="0.3">
      <c r="A3290">
        <v>1518574</v>
      </c>
      <c r="B3290" t="s">
        <v>18</v>
      </c>
      <c r="C3290" t="s">
        <v>19</v>
      </c>
      <c r="D3290" t="s">
        <v>2250</v>
      </c>
      <c r="E3290" t="s">
        <v>2632</v>
      </c>
      <c r="F3290" t="s">
        <v>22</v>
      </c>
      <c r="G3290" t="s">
        <v>23</v>
      </c>
      <c r="H3290" t="s">
        <v>24</v>
      </c>
      <c r="I3290" t="s">
        <v>25</v>
      </c>
      <c r="J3290" t="s">
        <v>2633</v>
      </c>
      <c r="K3290">
        <v>11</v>
      </c>
      <c r="L3290">
        <v>4</v>
      </c>
      <c r="M3290">
        <v>2025</v>
      </c>
      <c r="N3290" t="s">
        <v>27</v>
      </c>
      <c r="O3290">
        <v>115</v>
      </c>
      <c r="P3290">
        <v>115</v>
      </c>
      <c r="R3290" s="3" t="str">
        <f>HYPERLINK("https://panda.att.com.mx/ODKServer/view/binaryData?blobKey=FSSuministroFluidosv3%5B%40version%3Dnull+and+%40uiVersion%3Dnull%5D%2Fdata%5B%40key%3Duuid%3A9dbddeb4-bdf6-41da-b2ac-f87ba5e1f333%5D%2FgroupInfoFuel%5B%40ordinal%3D1%5D%2FpicFuelRecibeInterno","Descargar")</f>
        <v>Descargar</v>
      </c>
    </row>
    <row r="3291" spans="1:18" x14ac:dyDescent="0.3">
      <c r="A3291">
        <v>1518556</v>
      </c>
      <c r="B3291" t="s">
        <v>18</v>
      </c>
      <c r="C3291" t="s">
        <v>28</v>
      </c>
      <c r="D3291" t="s">
        <v>1377</v>
      </c>
      <c r="E3291" t="s">
        <v>2258</v>
      </c>
      <c r="F3291" t="s">
        <v>22</v>
      </c>
      <c r="G3291" t="s">
        <v>23</v>
      </c>
      <c r="H3291" t="s">
        <v>24</v>
      </c>
      <c r="I3291" t="s">
        <v>25</v>
      </c>
      <c r="J3291" t="s">
        <v>2634</v>
      </c>
      <c r="K3291">
        <v>15</v>
      </c>
      <c r="L3291">
        <v>4</v>
      </c>
      <c r="M3291">
        <v>2025</v>
      </c>
      <c r="N3291" t="s">
        <v>27</v>
      </c>
      <c r="O3291">
        <v>200</v>
      </c>
      <c r="P3291">
        <v>200</v>
      </c>
      <c r="R3291" s="3" t="str">
        <f>HYPERLINK("https://panda.att.com.mx/ODKServer/view/binaryData?blobKey=FSSuministroFluidosv3%5B%40version%3Dnull+and+%40uiVersion%3Dnull%5D%2Fdata%5B%40key%3Duuid%3Aa95aed2c-238f-4b08-9f91-d21dfc23a520%5D%2FgroupInfoFuel%5B%40ordinal%3D1%5D%2FpicFuelRecibeInterno","Descargar")</f>
        <v>Descargar</v>
      </c>
    </row>
    <row r="3292" spans="1:18" x14ac:dyDescent="0.3">
      <c r="A3292">
        <v>1518538</v>
      </c>
      <c r="B3292" t="s">
        <v>18</v>
      </c>
      <c r="C3292" t="s">
        <v>55</v>
      </c>
      <c r="D3292" t="s">
        <v>56</v>
      </c>
      <c r="E3292" t="s">
        <v>320</v>
      </c>
      <c r="F3292" t="s">
        <v>22</v>
      </c>
      <c r="G3292" t="s">
        <v>23</v>
      </c>
      <c r="H3292" t="s">
        <v>1763</v>
      </c>
      <c r="I3292" t="s">
        <v>25</v>
      </c>
      <c r="J3292" t="s">
        <v>2635</v>
      </c>
      <c r="K3292">
        <v>14</v>
      </c>
      <c r="L3292">
        <v>4</v>
      </c>
      <c r="M3292">
        <v>2025</v>
      </c>
      <c r="N3292" t="s">
        <v>27</v>
      </c>
      <c r="O3292">
        <v>300</v>
      </c>
      <c r="P3292">
        <v>300</v>
      </c>
      <c r="R3292" s="3" t="str">
        <f>HYPERLINK("https://panda.att.com.mx/ODKServer/view/binaryData?blobKey=FSSuministroFluidosv3%5B%40version%3Dnull+and+%40uiVersion%3Dnull%5D%2Fdata%5B%40key%3Duuid%3A2d6ae368-8088-46de-b6a1-0307e3f551ab%5D%2FgroupInfoFuel%5B%40ordinal%3D1%5D%2FpicFuelRecibeInterno","Descargar")</f>
        <v>Descargar</v>
      </c>
    </row>
    <row r="3293" spans="1:18" x14ac:dyDescent="0.3">
      <c r="A3293">
        <v>1518524</v>
      </c>
      <c r="B3293" t="s">
        <v>18</v>
      </c>
      <c r="C3293" t="s">
        <v>28</v>
      </c>
      <c r="D3293" t="s">
        <v>181</v>
      </c>
      <c r="E3293" t="s">
        <v>2636</v>
      </c>
      <c r="F3293" t="s">
        <v>22</v>
      </c>
      <c r="G3293" t="s">
        <v>23</v>
      </c>
      <c r="H3293" t="s">
        <v>24</v>
      </c>
      <c r="I3293" t="s">
        <v>25</v>
      </c>
      <c r="J3293" s="2">
        <v>45725.763599537036</v>
      </c>
      <c r="K3293">
        <v>9</v>
      </c>
      <c r="L3293">
        <v>3</v>
      </c>
      <c r="M3293">
        <v>2025</v>
      </c>
      <c r="N3293" t="s">
        <v>44</v>
      </c>
      <c r="O3293">
        <v>30</v>
      </c>
      <c r="P3293">
        <v>30</v>
      </c>
      <c r="R3293" s="3" t="str">
        <f>HYPERLINK("https://panda.att.com.mx/ODKServer/view/binaryData?blobKey=FSSuministroFluidosv3%5B%40version%3Dnull+and+%40uiVersion%3Dnull%5D%2Fdata%5B%40key%3Duuid%3A9a4be31f-fd01-44ed-adcb-08961add9c8d%5D%2FgroupInfoFuel%5B%40ordinal%3D1%5D%2FpicFuelRecibeInterno","Descargar")</f>
        <v>Descargar</v>
      </c>
    </row>
    <row r="3294" spans="1:18" x14ac:dyDescent="0.3">
      <c r="A3294">
        <v>1518445</v>
      </c>
      <c r="B3294" t="s">
        <v>18</v>
      </c>
      <c r="C3294" t="s">
        <v>34</v>
      </c>
      <c r="D3294" t="s">
        <v>53</v>
      </c>
      <c r="E3294" t="s">
        <v>459</v>
      </c>
      <c r="F3294" t="s">
        <v>22</v>
      </c>
      <c r="G3294" t="s">
        <v>83</v>
      </c>
      <c r="H3294" t="s">
        <v>390</v>
      </c>
      <c r="I3294" t="s">
        <v>25</v>
      </c>
      <c r="J3294" t="s">
        <v>2637</v>
      </c>
      <c r="K3294">
        <v>15</v>
      </c>
      <c r="L3294">
        <v>4</v>
      </c>
      <c r="M3294">
        <v>2025</v>
      </c>
      <c r="N3294" t="s">
        <v>27</v>
      </c>
      <c r="O3294">
        <v>450</v>
      </c>
      <c r="P3294">
        <v>450</v>
      </c>
      <c r="R3294" s="3" t="str">
        <f>HYPERLINK("https://panda.att.com.mx/ODKServer/view/binaryData?blobKey=FSSuministroFluidosv3%5B%40version%3Dnull+and+%40uiVersion%3Dnull%5D%2Fdata%5B%40key%3Duuid%3Ac44913ee-4603-499f-baed-5504abdb55e5%5D%2FgroupInfoFuel%5B%40ordinal%3D1%5D%2FpicFuelRecibeInterno","Descargar")</f>
        <v>Descargar</v>
      </c>
    </row>
    <row r="3295" spans="1:18" x14ac:dyDescent="0.3">
      <c r="A3295">
        <v>1518444</v>
      </c>
      <c r="B3295" t="s">
        <v>18</v>
      </c>
      <c r="C3295" t="s">
        <v>34</v>
      </c>
      <c r="D3295" t="s">
        <v>53</v>
      </c>
      <c r="E3295" t="s">
        <v>457</v>
      </c>
      <c r="F3295" t="s">
        <v>22</v>
      </c>
      <c r="G3295" t="s">
        <v>83</v>
      </c>
      <c r="H3295" t="s">
        <v>390</v>
      </c>
      <c r="I3295" t="s">
        <v>25</v>
      </c>
      <c r="J3295" t="s">
        <v>2638</v>
      </c>
      <c r="K3295">
        <v>15</v>
      </c>
      <c r="L3295">
        <v>4</v>
      </c>
      <c r="M3295">
        <v>2025</v>
      </c>
      <c r="N3295" t="s">
        <v>27</v>
      </c>
      <c r="O3295">
        <v>650</v>
      </c>
      <c r="P3295">
        <v>650</v>
      </c>
      <c r="R3295" s="3" t="str">
        <f>HYPERLINK("https://panda.att.com.mx/ODKServer/view/binaryData?blobKey=FSSuministroFluidosv3%5B%40version%3Dnull+and+%40uiVersion%3Dnull%5D%2Fdata%5B%40key%3Duuid%3A3c4912f1-5168-4ea0-b308-2bde0d10fc33%5D%2FgroupInfoFuel%5B%40ordinal%3D1%5D%2FpicFuelRecibeInterno","Descargar")</f>
        <v>Descargar</v>
      </c>
    </row>
    <row r="3296" spans="1:18" x14ac:dyDescent="0.3">
      <c r="A3296">
        <v>1518436</v>
      </c>
      <c r="B3296" t="s">
        <v>18</v>
      </c>
      <c r="C3296" t="s">
        <v>28</v>
      </c>
      <c r="D3296" t="s">
        <v>181</v>
      </c>
      <c r="E3296" t="s">
        <v>1651</v>
      </c>
      <c r="F3296" t="s">
        <v>22</v>
      </c>
      <c r="G3296" t="s">
        <v>23</v>
      </c>
      <c r="H3296" t="s">
        <v>24</v>
      </c>
      <c r="I3296" t="s">
        <v>25</v>
      </c>
      <c r="J3296" t="s">
        <v>2639</v>
      </c>
      <c r="K3296">
        <v>14</v>
      </c>
      <c r="L3296">
        <v>4</v>
      </c>
      <c r="M3296">
        <v>2025</v>
      </c>
      <c r="N3296" t="s">
        <v>44</v>
      </c>
      <c r="O3296">
        <v>50</v>
      </c>
      <c r="P3296">
        <v>50</v>
      </c>
      <c r="R3296" s="3" t="str">
        <f>HYPERLINK("https://panda.att.com.mx/ODKServer/view/binaryData?blobKey=FSSuministroFluidosv3%5B%40version%3Dnull+and+%40uiVersion%3Dnull%5D%2Fdata%5B%40key%3Duuid%3A975f26f3-64b3-489f-99ca-33d3e6cd274e%5D%2FgroupInfoFuel%5B%40ordinal%3D1%5D%2FpicFuelRecibeInterno","Descargar")</f>
        <v>Descargar</v>
      </c>
    </row>
    <row r="3297" spans="1:18" x14ac:dyDescent="0.3">
      <c r="A3297">
        <v>1518400</v>
      </c>
      <c r="B3297" t="s">
        <v>18</v>
      </c>
      <c r="C3297" t="s">
        <v>19</v>
      </c>
      <c r="D3297" t="s">
        <v>20</v>
      </c>
      <c r="E3297" t="s">
        <v>275</v>
      </c>
      <c r="F3297" t="s">
        <v>22</v>
      </c>
      <c r="G3297" t="s">
        <v>23</v>
      </c>
      <c r="H3297" t="s">
        <v>24</v>
      </c>
      <c r="I3297" t="s">
        <v>25</v>
      </c>
      <c r="J3297" t="s">
        <v>2640</v>
      </c>
      <c r="K3297">
        <v>15</v>
      </c>
      <c r="L3297">
        <v>4</v>
      </c>
      <c r="M3297">
        <v>2025</v>
      </c>
      <c r="N3297" t="s">
        <v>27</v>
      </c>
      <c r="O3297">
        <v>400</v>
      </c>
      <c r="P3297">
        <v>400</v>
      </c>
      <c r="R3297" s="3" t="str">
        <f>HYPERLINK("https://panda.att.com.mx/ODKServer/view/binaryData?blobKey=FSSuministroFluidosv3%5B%40version%3Dnull+and+%40uiVersion%3Dnull%5D%2Fdata%5B%40key%3Duuid%3A21f00523-eae5-48f1-9ed2-6b5d4ad4acc1%5D%2FgroupInfoFuel%5B%40ordinal%3D1%5D%2FpicFuelRecibeInterno","Descargar")</f>
        <v>Descargar</v>
      </c>
    </row>
    <row r="3298" spans="1:18" x14ac:dyDescent="0.3">
      <c r="A3298">
        <v>1518369</v>
      </c>
      <c r="B3298" t="s">
        <v>18</v>
      </c>
      <c r="C3298" t="s">
        <v>28</v>
      </c>
      <c r="D3298" t="s">
        <v>2641</v>
      </c>
      <c r="E3298" t="s">
        <v>2642</v>
      </c>
      <c r="F3298" t="s">
        <v>22</v>
      </c>
      <c r="G3298" t="s">
        <v>23</v>
      </c>
      <c r="H3298" t="s">
        <v>24</v>
      </c>
      <c r="I3298" t="s">
        <v>25</v>
      </c>
      <c r="J3298" t="s">
        <v>2643</v>
      </c>
      <c r="K3298">
        <v>15</v>
      </c>
      <c r="L3298">
        <v>4</v>
      </c>
      <c r="M3298">
        <v>2025</v>
      </c>
      <c r="N3298" t="s">
        <v>27</v>
      </c>
      <c r="O3298">
        <v>300</v>
      </c>
      <c r="P3298">
        <v>300</v>
      </c>
      <c r="R3298" s="3" t="str">
        <f>HYPERLINK("https://panda.att.com.mx/ODKServer/view/binaryData?blobKey=FSSuministroFluidosv3%5B%40version%3Dnull+and+%40uiVersion%3Dnull%5D%2Fdata%5B%40key%3Duuid%3A26a6a4b0-3d1a-46b6-b2d7-b6890b59f5a1%5D%2FgroupInfoFuel%5B%40ordinal%3D1%5D%2FpicFuelRecibeInterno","Descargar")</f>
        <v>Descargar</v>
      </c>
    </row>
    <row r="3299" spans="1:18" x14ac:dyDescent="0.3">
      <c r="A3299">
        <v>1518307</v>
      </c>
      <c r="B3299" t="s">
        <v>18</v>
      </c>
      <c r="C3299" t="s">
        <v>19</v>
      </c>
      <c r="D3299" t="s">
        <v>45</v>
      </c>
      <c r="E3299" t="s">
        <v>173</v>
      </c>
      <c r="F3299" t="s">
        <v>22</v>
      </c>
      <c r="G3299" t="s">
        <v>23</v>
      </c>
      <c r="H3299" t="s">
        <v>24</v>
      </c>
      <c r="I3299" t="s">
        <v>25</v>
      </c>
      <c r="J3299" t="s">
        <v>2644</v>
      </c>
      <c r="K3299">
        <v>8</v>
      </c>
      <c r="L3299">
        <v>4</v>
      </c>
      <c r="M3299">
        <v>2025</v>
      </c>
      <c r="N3299" t="s">
        <v>27</v>
      </c>
      <c r="O3299">
        <v>300</v>
      </c>
      <c r="P3299">
        <v>300</v>
      </c>
      <c r="R3299" s="3" t="str">
        <f>HYPERLINK("https://panda.att.com.mx/ODKServer/view/binaryData?blobKey=FSSuministroFluidosv3%5B%40version%3Dnull+and+%40uiVersion%3Dnull%5D%2Fdata%5B%40key%3Duuid%3Aae3a0360-e8aa-4067-9cb0-996086d0d76f%5D%2FgroupInfoFuel%5B%40ordinal%3D1%5D%2FpicFuelRecibeInterno","Descargar")</f>
        <v>Descargar</v>
      </c>
    </row>
    <row r="3300" spans="1:18" x14ac:dyDescent="0.3">
      <c r="A3300">
        <v>1518196</v>
      </c>
      <c r="B3300" t="s">
        <v>18</v>
      </c>
      <c r="C3300" t="s">
        <v>55</v>
      </c>
      <c r="D3300" t="s">
        <v>56</v>
      </c>
      <c r="E3300" t="s">
        <v>320</v>
      </c>
      <c r="F3300" t="s">
        <v>22</v>
      </c>
      <c r="G3300" t="s">
        <v>23</v>
      </c>
      <c r="H3300" t="s">
        <v>1763</v>
      </c>
      <c r="I3300" t="s">
        <v>25</v>
      </c>
      <c r="J3300" t="s">
        <v>2645</v>
      </c>
      <c r="K3300">
        <v>11</v>
      </c>
      <c r="L3300">
        <v>4</v>
      </c>
      <c r="M3300">
        <v>2025</v>
      </c>
      <c r="N3300" t="s">
        <v>27</v>
      </c>
      <c r="O3300">
        <v>300</v>
      </c>
      <c r="P3300">
        <v>300</v>
      </c>
      <c r="R3300" s="3" t="str">
        <f>HYPERLINK("https://panda.att.com.mx/ODKServer/view/binaryData?blobKey=FSSuministroFluidosv3%5B%40version%3Dnull+and+%40uiVersion%3Dnull%5D%2Fdata%5B%40key%3Duuid%3Aa4fffa9d-6631-4727-b148-6c6fcf64f9af%5D%2FgroupInfoFuel%5B%40ordinal%3D1%5D%2FpicFuelRecibeInterno","Descargar")</f>
        <v>Descargar</v>
      </c>
    </row>
    <row r="3301" spans="1:18" x14ac:dyDescent="0.3">
      <c r="A3301">
        <v>1518153</v>
      </c>
      <c r="B3301" t="s">
        <v>18</v>
      </c>
      <c r="C3301" t="s">
        <v>28</v>
      </c>
      <c r="D3301" t="s">
        <v>118</v>
      </c>
      <c r="E3301" t="s">
        <v>1231</v>
      </c>
      <c r="F3301" t="s">
        <v>22</v>
      </c>
      <c r="G3301" t="s">
        <v>23</v>
      </c>
      <c r="H3301" t="s">
        <v>24</v>
      </c>
      <c r="I3301" t="s">
        <v>25</v>
      </c>
      <c r="J3301" t="s">
        <v>2646</v>
      </c>
      <c r="K3301">
        <v>15</v>
      </c>
      <c r="L3301">
        <v>4</v>
      </c>
      <c r="M3301">
        <v>2025</v>
      </c>
      <c r="N3301" t="s">
        <v>27</v>
      </c>
      <c r="O3301">
        <v>350</v>
      </c>
      <c r="P3301">
        <v>350</v>
      </c>
      <c r="R3301" s="3" t="str">
        <f>HYPERLINK("https://panda.att.com.mx/ODKServer/view/binaryData?blobKey=FSSuministroFluidosv3%5B%40version%3Dnull+and+%40uiVersion%3Dnull%5D%2Fdata%5B%40key%3Duuid%3A5b002483-6501-4995-9a11-9d0ba27475e1%5D%2FgroupInfoFuel%5B%40ordinal%3D1%5D%2FpicFuelRecibeInterno","Descargar")</f>
        <v>Descargar</v>
      </c>
    </row>
    <row r="3302" spans="1:18" x14ac:dyDescent="0.3">
      <c r="A3302">
        <v>1519625</v>
      </c>
      <c r="B3302" t="s">
        <v>18</v>
      </c>
      <c r="C3302" t="s">
        <v>28</v>
      </c>
      <c r="D3302" t="s">
        <v>66</v>
      </c>
      <c r="E3302" t="s">
        <v>846</v>
      </c>
      <c r="F3302" t="s">
        <v>22</v>
      </c>
      <c r="G3302" t="s">
        <v>23</v>
      </c>
      <c r="H3302" t="s">
        <v>24</v>
      </c>
      <c r="I3302" t="s">
        <v>25</v>
      </c>
      <c r="J3302" t="s">
        <v>2647</v>
      </c>
      <c r="K3302">
        <v>18</v>
      </c>
      <c r="L3302">
        <v>4</v>
      </c>
      <c r="M3302">
        <v>2025</v>
      </c>
      <c r="N3302" t="s">
        <v>44</v>
      </c>
      <c r="O3302">
        <v>40</v>
      </c>
      <c r="P3302">
        <v>40</v>
      </c>
      <c r="R3302" s="3" t="str">
        <f>HYPERLINK("https://panda.att.com.mx/ODKServer/view/binaryData?blobKey=FSSuministroFluidosv3%5B%40version%3Dnull+and+%40uiVersion%3Dnull%5D%2Fdata%5B%40key%3Duuid%3A5afd753c-edf5-40dd-ac4c-693a82f581a6%5D%2FgroupInfoFuel%5B%40ordinal%3D1%5D%2FpicFuelRecibeInterno","Descargar")</f>
        <v>Descargar</v>
      </c>
    </row>
    <row r="3303" spans="1:18" x14ac:dyDescent="0.3">
      <c r="A3303">
        <v>1519621</v>
      </c>
      <c r="B3303" t="s">
        <v>18</v>
      </c>
      <c r="C3303" t="s">
        <v>28</v>
      </c>
      <c r="D3303" t="s">
        <v>66</v>
      </c>
      <c r="E3303" t="s">
        <v>2648</v>
      </c>
      <c r="F3303" t="s">
        <v>22</v>
      </c>
      <c r="G3303" t="s">
        <v>23</v>
      </c>
      <c r="H3303" t="s">
        <v>24</v>
      </c>
      <c r="I3303" t="s">
        <v>25</v>
      </c>
      <c r="J3303" t="s">
        <v>2649</v>
      </c>
      <c r="K3303">
        <v>18</v>
      </c>
      <c r="L3303">
        <v>4</v>
      </c>
      <c r="M3303">
        <v>2025</v>
      </c>
      <c r="N3303" t="s">
        <v>44</v>
      </c>
      <c r="O3303">
        <v>40</v>
      </c>
      <c r="Q3303">
        <v>40</v>
      </c>
      <c r="R3303" s="3" t="str">
        <f>HYPERLINK("https://panda.att.com.mx/ODKServer/view/binaryData?blobKey=FSSuministroFluidosv3%5B%40version%3Dnull+and+%40uiVersion%3Dnull%5D%2Fdata%5B%40key%3Duuid%3Aeb451caf-0af0-4769-8519-c075ed5f32d6%5D%2FgroupInfoFuel%5B%40ordinal%3D1%5D%2FpicFuelRecibeInterno","Descargar")</f>
        <v>Descargar</v>
      </c>
    </row>
    <row r="3304" spans="1:18" x14ac:dyDescent="0.3">
      <c r="A3304">
        <v>1519620</v>
      </c>
      <c r="B3304" t="s">
        <v>18</v>
      </c>
      <c r="C3304" t="s">
        <v>59</v>
      </c>
      <c r="D3304" t="s">
        <v>307</v>
      </c>
      <c r="E3304" t="s">
        <v>2140</v>
      </c>
      <c r="F3304" t="s">
        <v>22</v>
      </c>
      <c r="G3304" t="s">
        <v>23</v>
      </c>
      <c r="H3304" t="s">
        <v>37</v>
      </c>
      <c r="I3304" t="s">
        <v>25</v>
      </c>
      <c r="J3304" t="s">
        <v>2650</v>
      </c>
      <c r="K3304">
        <v>16</v>
      </c>
      <c r="L3304">
        <v>4</v>
      </c>
      <c r="M3304">
        <v>2025</v>
      </c>
      <c r="N3304" t="s">
        <v>27</v>
      </c>
      <c r="O3304">
        <v>300</v>
      </c>
      <c r="P3304">
        <v>300</v>
      </c>
      <c r="R3304" s="3" t="str">
        <f>HYPERLINK("https://panda.att.com.mx/ODKServer/view/binaryData?blobKey=FSSuministroFluidosv3%5B%40version%3Dnull+and+%40uiVersion%3Dnull%5D%2Fdata%5B%40key%3Duuid%3Af40395db-ad1a-41e4-84fc-275f9c53e3d9%5D%2FgroupInfoFuel%5B%40ordinal%3D1%5D%2FpicFuelRecibeInterno","Descargar")</f>
        <v>Descargar</v>
      </c>
    </row>
    <row r="3305" spans="1:18" x14ac:dyDescent="0.3">
      <c r="A3305">
        <v>1519616</v>
      </c>
      <c r="B3305" t="s">
        <v>18</v>
      </c>
      <c r="C3305" t="s">
        <v>55</v>
      </c>
      <c r="D3305" t="s">
        <v>89</v>
      </c>
      <c r="E3305" t="s">
        <v>1971</v>
      </c>
      <c r="F3305" t="s">
        <v>22</v>
      </c>
      <c r="G3305" t="s">
        <v>23</v>
      </c>
      <c r="H3305" t="s">
        <v>1763</v>
      </c>
      <c r="I3305" t="s">
        <v>25</v>
      </c>
      <c r="J3305" t="s">
        <v>2651</v>
      </c>
      <c r="K3305">
        <v>18</v>
      </c>
      <c r="L3305">
        <v>4</v>
      </c>
      <c r="M3305">
        <v>2025</v>
      </c>
      <c r="N3305" t="s">
        <v>27</v>
      </c>
      <c r="O3305">
        <v>200</v>
      </c>
      <c r="P3305">
        <v>200</v>
      </c>
      <c r="R3305" s="3" t="str">
        <f>HYPERLINK("https://panda.att.com.mx/ODKServer/view/binaryData?blobKey=FSSuministroFluidosv3%5B%40version%3Dnull+and+%40uiVersion%3Dnull%5D%2Fdata%5B%40key%3Duuid%3A6e0a674c-9827-4bc3-8e59-5a5486777635%5D%2FgroupInfoFuel%5B%40ordinal%3D1%5D%2FpicFuelRecibeInterno","Descargar")</f>
        <v>Descargar</v>
      </c>
    </row>
    <row r="3306" spans="1:18" x14ac:dyDescent="0.3">
      <c r="A3306">
        <v>1519613</v>
      </c>
      <c r="B3306" t="s">
        <v>18</v>
      </c>
      <c r="C3306" t="s">
        <v>100</v>
      </c>
      <c r="D3306" t="s">
        <v>854</v>
      </c>
      <c r="E3306" t="s">
        <v>993</v>
      </c>
      <c r="F3306" t="s">
        <v>22</v>
      </c>
      <c r="G3306" t="s">
        <v>83</v>
      </c>
      <c r="H3306" t="s">
        <v>1781</v>
      </c>
      <c r="I3306" t="s">
        <v>25</v>
      </c>
      <c r="J3306" t="s">
        <v>2652</v>
      </c>
      <c r="K3306">
        <v>18</v>
      </c>
      <c r="L3306">
        <v>4</v>
      </c>
      <c r="M3306">
        <v>2025</v>
      </c>
      <c r="N3306" t="s">
        <v>27</v>
      </c>
      <c r="O3306">
        <v>200</v>
      </c>
      <c r="P3306">
        <v>200</v>
      </c>
      <c r="R3306" s="3" t="str">
        <f>HYPERLINK("https://panda.att.com.mx/ODKServer/view/binaryData?blobKey=FSSuministroFluidosv3%5B%40version%3Dnull+and+%40uiVersion%3Dnull%5D%2Fdata%5B%40key%3Duuid%3A4de5a92e-63d2-4a88-9f03-af6f252ba2e6%5D%2FgroupInfoFuel%5B%40ordinal%3D1%5D%2FpicFuelRecibeInterno","Descargar")</f>
        <v>Descargar</v>
      </c>
    </row>
    <row r="3307" spans="1:18" x14ac:dyDescent="0.3">
      <c r="A3307">
        <v>1519584</v>
      </c>
      <c r="B3307" t="s">
        <v>18</v>
      </c>
      <c r="C3307" t="s">
        <v>19</v>
      </c>
      <c r="D3307" t="s">
        <v>45</v>
      </c>
      <c r="E3307" t="s">
        <v>752</v>
      </c>
      <c r="F3307" t="s">
        <v>22</v>
      </c>
      <c r="G3307" t="s">
        <v>23</v>
      </c>
      <c r="H3307" t="s">
        <v>24</v>
      </c>
      <c r="I3307" t="s">
        <v>25</v>
      </c>
      <c r="J3307" t="s">
        <v>2653</v>
      </c>
      <c r="K3307">
        <v>16</v>
      </c>
      <c r="L3307">
        <v>4</v>
      </c>
      <c r="M3307">
        <v>2025</v>
      </c>
      <c r="N3307" t="s">
        <v>27</v>
      </c>
      <c r="O3307">
        <v>300</v>
      </c>
      <c r="P3307">
        <v>300</v>
      </c>
      <c r="R3307" s="3" t="str">
        <f>HYPERLINK("https://panda.att.com.mx/ODKServer/view/binaryData?blobKey=FSSuministroFluidosv3%5B%40version%3Dnull+and+%40uiVersion%3Dnull%5D%2Fdata%5B%40key%3Duuid%3A26df5ee8-026b-4ee4-9860-ddc8026399b7%5D%2FgroupInfoFuel%5B%40ordinal%3D1%5D%2FpicFuelRecibeInterno","Descargar")</f>
        <v>Descargar</v>
      </c>
    </row>
    <row r="3308" spans="1:18" x14ac:dyDescent="0.3">
      <c r="A3308">
        <v>1519580</v>
      </c>
      <c r="B3308" t="s">
        <v>18</v>
      </c>
      <c r="C3308" t="s">
        <v>55</v>
      </c>
      <c r="D3308" t="s">
        <v>56</v>
      </c>
      <c r="E3308" t="s">
        <v>1713</v>
      </c>
      <c r="F3308" t="s">
        <v>22</v>
      </c>
      <c r="G3308" t="s">
        <v>23</v>
      </c>
      <c r="H3308" t="s">
        <v>1763</v>
      </c>
      <c r="I3308" t="s">
        <v>25</v>
      </c>
      <c r="J3308" t="s">
        <v>2654</v>
      </c>
      <c r="K3308">
        <v>14</v>
      </c>
      <c r="L3308">
        <v>4</v>
      </c>
      <c r="M3308">
        <v>2025</v>
      </c>
      <c r="N3308" t="s">
        <v>27</v>
      </c>
      <c r="O3308">
        <v>100</v>
      </c>
      <c r="P3308">
        <v>100</v>
      </c>
      <c r="R3308" s="3" t="str">
        <f>HYPERLINK("https://panda.att.com.mx/ODKServer/view/binaryData?blobKey=FSSuministroFluidosv3%5B%40version%3Dnull+and+%40uiVersion%3Dnull%5D%2Fdata%5B%40key%3Duuid%3Abbbe8604-ce51-44d9-b1bc-33004cb55683%5D%2FgroupInfoFuel%5B%40ordinal%3D1%5D%2FpicFuelRecibeInterno","Descargar")</f>
        <v>Descargar</v>
      </c>
    </row>
    <row r="3309" spans="1:18" x14ac:dyDescent="0.3">
      <c r="A3309">
        <v>1519538</v>
      </c>
      <c r="B3309" t="s">
        <v>18</v>
      </c>
      <c r="C3309" t="s">
        <v>100</v>
      </c>
      <c r="D3309" t="s">
        <v>716</v>
      </c>
      <c r="E3309" t="s">
        <v>2655</v>
      </c>
      <c r="F3309" t="s">
        <v>22</v>
      </c>
      <c r="G3309" t="s">
        <v>23</v>
      </c>
      <c r="H3309" t="s">
        <v>1781</v>
      </c>
      <c r="I3309" t="s">
        <v>25</v>
      </c>
      <c r="J3309" t="s">
        <v>2656</v>
      </c>
      <c r="K3309">
        <v>18</v>
      </c>
      <c r="L3309">
        <v>4</v>
      </c>
      <c r="M3309">
        <v>2025</v>
      </c>
      <c r="N3309" t="s">
        <v>27</v>
      </c>
      <c r="O3309">
        <v>150</v>
      </c>
      <c r="P3309">
        <v>150</v>
      </c>
      <c r="R3309" s="3" t="str">
        <f>HYPERLINK("https://panda.att.com.mx/ODKServer/view/binaryData?blobKey=FSSuministroFluidosv3%5B%40version%3Dnull+and+%40uiVersion%3Dnull%5D%2Fdata%5B%40key%3Duuid%3A7278c828-0aab-4404-8468-a3fdf477695b%5D%2FgroupInfoFuel%5B%40ordinal%3D1%5D%2FpicFuelRecibeInterno","Descargar")</f>
        <v>Descargar</v>
      </c>
    </row>
    <row r="3310" spans="1:18" x14ac:dyDescent="0.3">
      <c r="A3310">
        <v>1519522</v>
      </c>
      <c r="B3310" t="s">
        <v>18</v>
      </c>
      <c r="C3310" t="s">
        <v>68</v>
      </c>
      <c r="D3310" t="s">
        <v>116</v>
      </c>
      <c r="E3310" t="s">
        <v>2657</v>
      </c>
      <c r="F3310" t="s">
        <v>22</v>
      </c>
      <c r="G3310" t="s">
        <v>23</v>
      </c>
      <c r="H3310" t="s">
        <v>37</v>
      </c>
      <c r="I3310" t="s">
        <v>25</v>
      </c>
      <c r="J3310" t="s">
        <v>2658</v>
      </c>
      <c r="K3310">
        <v>14</v>
      </c>
      <c r="L3310">
        <v>4</v>
      </c>
      <c r="M3310">
        <v>2025</v>
      </c>
      <c r="N3310" t="s">
        <v>27</v>
      </c>
      <c r="O3310">
        <v>300</v>
      </c>
      <c r="P3310">
        <v>300</v>
      </c>
      <c r="R3310" s="3" t="str">
        <f>HYPERLINK("https://panda.att.com.mx/ODKServer/view/binaryData?blobKey=FSSuministroFluidosv3%5B%40version%3Dnull+and+%40uiVersion%3Dnull%5D%2Fdata%5B%40key%3Duuid%3Ae4e11d2b-1a11-4f27-a51c-161cecd10fb5%5D%2FgroupInfoFuel%5B%40ordinal%3D1%5D%2FpicFuelRecibeInterno","Descargar")</f>
        <v>Descargar</v>
      </c>
    </row>
    <row r="3311" spans="1:18" x14ac:dyDescent="0.3">
      <c r="A3311">
        <v>1519504</v>
      </c>
      <c r="B3311" t="s">
        <v>18</v>
      </c>
      <c r="C3311" t="s">
        <v>150</v>
      </c>
      <c r="D3311" t="s">
        <v>230</v>
      </c>
      <c r="E3311" t="s">
        <v>2418</v>
      </c>
      <c r="F3311" t="s">
        <v>22</v>
      </c>
      <c r="G3311" t="s">
        <v>23</v>
      </c>
      <c r="H3311" t="s">
        <v>1781</v>
      </c>
      <c r="I3311" t="s">
        <v>25</v>
      </c>
      <c r="J3311" t="s">
        <v>2659</v>
      </c>
      <c r="K3311">
        <v>18</v>
      </c>
      <c r="L3311">
        <v>4</v>
      </c>
      <c r="M3311">
        <v>2025</v>
      </c>
      <c r="N3311" t="s">
        <v>27</v>
      </c>
      <c r="O3311">
        <v>250</v>
      </c>
      <c r="P3311">
        <v>250</v>
      </c>
      <c r="R3311" s="3" t="str">
        <f>HYPERLINK("https://panda.att.com.mx/ODKServer/view/binaryData?blobKey=FSSuministroFluidosv3%5B%40version%3Dnull+and+%40uiVersion%3Dnull%5D%2Fdata%5B%40key%3Duuid%3A49f8bab2-8cf5-4863-9140-c40da84334b6%5D%2FgroupInfoFuel%5B%40ordinal%3D1%5D%2FpicFuelRecibeInterno","Descargar")</f>
        <v>Descargar</v>
      </c>
    </row>
    <row r="3312" spans="1:18" x14ac:dyDescent="0.3">
      <c r="A3312">
        <v>1519495</v>
      </c>
      <c r="B3312" t="s">
        <v>18</v>
      </c>
      <c r="C3312" t="s">
        <v>28</v>
      </c>
      <c r="D3312" t="s">
        <v>66</v>
      </c>
      <c r="E3312" t="s">
        <v>2267</v>
      </c>
      <c r="F3312" t="s">
        <v>22</v>
      </c>
      <c r="G3312" t="s">
        <v>23</v>
      </c>
      <c r="H3312" t="s">
        <v>24</v>
      </c>
      <c r="I3312" t="s">
        <v>25</v>
      </c>
      <c r="J3312" t="s">
        <v>2660</v>
      </c>
      <c r="K3312">
        <v>18</v>
      </c>
      <c r="L3312">
        <v>4</v>
      </c>
      <c r="M3312">
        <v>2025</v>
      </c>
      <c r="N3312" t="s">
        <v>44</v>
      </c>
      <c r="O3312">
        <v>40</v>
      </c>
      <c r="P3312">
        <v>40</v>
      </c>
      <c r="R3312" s="3" t="str">
        <f>HYPERLINK("https://panda.att.com.mx/ODKServer/view/binaryData?blobKey=FSSuministroFluidosv3%5B%40version%3Dnull+and+%40uiVersion%3Dnull%5D%2Fdata%5B%40key%3Duuid%3Ab5275304-5c3d-4254-b5bf-56b9e3c93cb1%5D%2FgroupInfoFuel%5B%40ordinal%3D1%5D%2FpicFuelRecibeInterno","Descargar")</f>
        <v>Descargar</v>
      </c>
    </row>
    <row r="3313" spans="1:18" x14ac:dyDescent="0.3">
      <c r="A3313">
        <v>1519494</v>
      </c>
      <c r="B3313" t="s">
        <v>18</v>
      </c>
      <c r="C3313" t="s">
        <v>19</v>
      </c>
      <c r="D3313" t="s">
        <v>42</v>
      </c>
      <c r="E3313" t="s">
        <v>980</v>
      </c>
      <c r="F3313" t="s">
        <v>22</v>
      </c>
      <c r="G3313" t="s">
        <v>23</v>
      </c>
      <c r="H3313" t="s">
        <v>24</v>
      </c>
      <c r="I3313" t="s">
        <v>25</v>
      </c>
      <c r="J3313" t="s">
        <v>2661</v>
      </c>
      <c r="K3313">
        <v>16</v>
      </c>
      <c r="L3313">
        <v>4</v>
      </c>
      <c r="M3313">
        <v>2025</v>
      </c>
      <c r="N3313" t="s">
        <v>44</v>
      </c>
      <c r="O3313">
        <v>50</v>
      </c>
      <c r="P3313">
        <v>50</v>
      </c>
      <c r="R3313" s="3" t="str">
        <f>HYPERLINK("https://panda.att.com.mx/ODKServer/view/binaryData?blobKey=FSSuministroFluidosv3%5B%40version%3Dnull+and+%40uiVersion%3Dnull%5D%2Fdata%5B%40key%3Duuid%3A6da7d994-e4a1-42bd-a735-2fabff68dd68%5D%2FgroupInfoFuel%5B%40ordinal%3D1%5D%2FpicFuelRecibeInterno","Descargar")</f>
        <v>Descargar</v>
      </c>
    </row>
    <row r="3314" spans="1:18" x14ac:dyDescent="0.3">
      <c r="A3314">
        <v>1519483</v>
      </c>
      <c r="B3314" t="s">
        <v>18</v>
      </c>
      <c r="C3314" t="s">
        <v>34</v>
      </c>
      <c r="D3314" t="s">
        <v>53</v>
      </c>
      <c r="E3314" t="s">
        <v>2662</v>
      </c>
      <c r="F3314" t="s">
        <v>22</v>
      </c>
      <c r="G3314" t="s">
        <v>23</v>
      </c>
      <c r="H3314" t="s">
        <v>37</v>
      </c>
      <c r="I3314" t="s">
        <v>25</v>
      </c>
      <c r="J3314" t="s">
        <v>2663</v>
      </c>
      <c r="K3314">
        <v>17</v>
      </c>
      <c r="L3314">
        <v>4</v>
      </c>
      <c r="M3314">
        <v>2025</v>
      </c>
      <c r="N3314" t="s">
        <v>27</v>
      </c>
      <c r="O3314">
        <v>500</v>
      </c>
      <c r="Q3314">
        <v>500</v>
      </c>
      <c r="R3314" s="3" t="str">
        <f>HYPERLINK("https://panda.att.com.mx/ODKServer/view/binaryData?blobKey=FSSuministroFluidosv3%5B%40version%3Dnull+and+%40uiVersion%3Dnull%5D%2Fdata%5B%40key%3Duuid%3A33963bed-a57d-45f3-a7cd-e2c7ac0ae950%5D%2FgroupInfoFuel%5B%40ordinal%3D1%5D%2FpicFuelRecibeInterno","Descargar")</f>
        <v>Descargar</v>
      </c>
    </row>
    <row r="3315" spans="1:18" x14ac:dyDescent="0.3">
      <c r="A3315">
        <v>1519474</v>
      </c>
      <c r="B3315" t="s">
        <v>18</v>
      </c>
      <c r="C3315" t="s">
        <v>59</v>
      </c>
      <c r="D3315" t="s">
        <v>60</v>
      </c>
      <c r="E3315" t="s">
        <v>2283</v>
      </c>
      <c r="F3315" t="s">
        <v>22</v>
      </c>
      <c r="G3315" t="s">
        <v>23</v>
      </c>
      <c r="H3315" t="s">
        <v>37</v>
      </c>
      <c r="I3315" t="s">
        <v>25</v>
      </c>
      <c r="J3315" t="s">
        <v>2664</v>
      </c>
      <c r="K3315">
        <v>15</v>
      </c>
      <c r="L3315">
        <v>4</v>
      </c>
      <c r="M3315">
        <v>2025</v>
      </c>
      <c r="N3315" t="s">
        <v>27</v>
      </c>
      <c r="O3315">
        <v>428</v>
      </c>
      <c r="P3315">
        <v>428</v>
      </c>
      <c r="R3315" s="3" t="str">
        <f>HYPERLINK("https://panda.att.com.mx/ODKServer/view/binaryData?blobKey=FSSuministroFluidosv3%5B%40version%3Dnull+and+%40uiVersion%3Dnull%5D%2Fdata%5B%40key%3Duuid%3A9ee5d4ae-d47e-4edc-b55d-928b552b69a8%5D%2FgroupInfoFuel%5B%40ordinal%3D1%5D%2FpicFuelRecibeInterno","Descargar")</f>
        <v>Descargar</v>
      </c>
    </row>
    <row r="3316" spans="1:18" x14ac:dyDescent="0.3">
      <c r="A3316">
        <v>1519425</v>
      </c>
      <c r="B3316" t="s">
        <v>18</v>
      </c>
      <c r="C3316" t="s">
        <v>19</v>
      </c>
      <c r="D3316" t="s">
        <v>62</v>
      </c>
      <c r="E3316" t="s">
        <v>2665</v>
      </c>
      <c r="F3316" t="s">
        <v>22</v>
      </c>
      <c r="G3316" t="s">
        <v>23</v>
      </c>
      <c r="H3316" t="s">
        <v>24</v>
      </c>
      <c r="I3316" t="s">
        <v>25</v>
      </c>
      <c r="J3316" t="s">
        <v>2666</v>
      </c>
      <c r="K3316">
        <v>16</v>
      </c>
      <c r="L3316">
        <v>4</v>
      </c>
      <c r="M3316">
        <v>2025</v>
      </c>
      <c r="N3316" t="s">
        <v>44</v>
      </c>
      <c r="O3316">
        <v>30</v>
      </c>
      <c r="P3316">
        <v>30</v>
      </c>
      <c r="R3316" s="3" t="str">
        <f>HYPERLINK("https://panda.att.com.mx/ODKServer/view/binaryData?blobKey=FSSuministroFluidosv3%5B%40version%3Dnull+and+%40uiVersion%3Dnull%5D%2Fdata%5B%40key%3Duuid%3A487d3765-042b-4556-bac3-cab7d14c7ae3%5D%2FgroupInfoFuel%5B%40ordinal%3D1%5D%2FpicFuelRecibeInterno","Descargar")</f>
        <v>Descargar</v>
      </c>
    </row>
    <row r="3317" spans="1:18" x14ac:dyDescent="0.3">
      <c r="A3317">
        <v>1519385</v>
      </c>
      <c r="B3317" t="s">
        <v>18</v>
      </c>
      <c r="C3317" t="s">
        <v>28</v>
      </c>
      <c r="D3317" t="s">
        <v>118</v>
      </c>
      <c r="E3317" t="s">
        <v>145</v>
      </c>
      <c r="F3317" t="s">
        <v>22</v>
      </c>
      <c r="G3317" t="s">
        <v>23</v>
      </c>
      <c r="H3317" t="s">
        <v>24</v>
      </c>
      <c r="I3317" t="s">
        <v>25</v>
      </c>
      <c r="J3317" t="s">
        <v>2667</v>
      </c>
      <c r="K3317">
        <v>16</v>
      </c>
      <c r="L3317">
        <v>4</v>
      </c>
      <c r="M3317">
        <v>2025</v>
      </c>
      <c r="N3317" t="s">
        <v>27</v>
      </c>
      <c r="O3317">
        <v>50</v>
      </c>
      <c r="P3317">
        <v>50</v>
      </c>
      <c r="R3317" s="3" t="str">
        <f>HYPERLINK("https://panda.att.com.mx/ODKServer/view/binaryData?blobKey=FSSuministroFluidosv3%5B%40version%3Dnull+and+%40uiVersion%3Dnull%5D%2Fdata%5B%40key%3Duuid%3A052f4f24-4206-411f-a4f7-9552ca3a127d%5D%2FgroupInfoFuel%5B%40ordinal%3D1%5D%2FpicFuelRecibeInterno","Descargar")</f>
        <v>Descargar</v>
      </c>
    </row>
    <row r="3318" spans="1:18" x14ac:dyDescent="0.3">
      <c r="A3318">
        <v>1519304</v>
      </c>
      <c r="B3318" t="s">
        <v>18</v>
      </c>
      <c r="C3318" t="s">
        <v>55</v>
      </c>
      <c r="D3318" t="s">
        <v>56</v>
      </c>
      <c r="E3318" t="s">
        <v>203</v>
      </c>
      <c r="F3318" t="s">
        <v>22</v>
      </c>
      <c r="G3318" t="s">
        <v>23</v>
      </c>
      <c r="H3318" t="s">
        <v>1763</v>
      </c>
      <c r="I3318" t="s">
        <v>25</v>
      </c>
      <c r="J3318" t="s">
        <v>2668</v>
      </c>
      <c r="K3318">
        <v>12</v>
      </c>
      <c r="L3318">
        <v>4</v>
      </c>
      <c r="M3318">
        <v>2025</v>
      </c>
      <c r="N3318" t="s">
        <v>27</v>
      </c>
      <c r="O3318">
        <v>110</v>
      </c>
      <c r="P3318">
        <v>110</v>
      </c>
      <c r="R3318" s="3" t="str">
        <f>HYPERLINK("https://panda.att.com.mx/ODKServer/view/binaryData?blobKey=FSSuministroFluidosv3%5B%40version%3Dnull+and+%40uiVersion%3Dnull%5D%2Fdata%5B%40key%3Duuid%3A6d2027b3-b3f5-4cdf-a878-8c589b825d53%5D%2FgroupInfoFuel%5B%40ordinal%3D1%5D%2FpicFuelRecibeInterno","Descargar")</f>
        <v>Descargar</v>
      </c>
    </row>
    <row r="3319" spans="1:18" x14ac:dyDescent="0.3">
      <c r="A3319">
        <v>1519261</v>
      </c>
      <c r="B3319" t="s">
        <v>18</v>
      </c>
      <c r="C3319" t="s">
        <v>34</v>
      </c>
      <c r="D3319" t="s">
        <v>51</v>
      </c>
      <c r="E3319" t="s">
        <v>2669</v>
      </c>
      <c r="F3319" t="s">
        <v>22</v>
      </c>
      <c r="G3319" t="s">
        <v>23</v>
      </c>
      <c r="H3319" t="s">
        <v>24</v>
      </c>
      <c r="I3319" t="s">
        <v>25</v>
      </c>
      <c r="J3319" t="s">
        <v>2670</v>
      </c>
      <c r="K3319">
        <v>16</v>
      </c>
      <c r="L3319">
        <v>4</v>
      </c>
      <c r="M3319">
        <v>2025</v>
      </c>
      <c r="N3319" t="s">
        <v>27</v>
      </c>
      <c r="O3319">
        <v>300</v>
      </c>
      <c r="P3319">
        <v>300</v>
      </c>
      <c r="R3319" s="3" t="str">
        <f>HYPERLINK("https://panda.att.com.mx/ODKServer/view/binaryData?blobKey=FSSuministroFluidosv3%5B%40version%3Dnull+and+%40uiVersion%3Dnull%5D%2Fdata%5B%40key%3Duuid%3A88ac28c7-243b-4943-9478-05281c2d5a4a%5D%2FgroupInfoFuel%5B%40ordinal%3D1%5D%2FpicFuelRecibeInterno","Descargar")</f>
        <v>Descargar</v>
      </c>
    </row>
    <row r="3320" spans="1:18" x14ac:dyDescent="0.3">
      <c r="A3320">
        <v>1519258</v>
      </c>
      <c r="B3320" t="s">
        <v>18</v>
      </c>
      <c r="C3320" t="s">
        <v>34</v>
      </c>
      <c r="D3320" t="s">
        <v>51</v>
      </c>
      <c r="E3320" t="s">
        <v>2671</v>
      </c>
      <c r="F3320" t="s">
        <v>22</v>
      </c>
      <c r="G3320" t="s">
        <v>23</v>
      </c>
      <c r="H3320" t="s">
        <v>24</v>
      </c>
      <c r="I3320" t="s">
        <v>25</v>
      </c>
      <c r="J3320" t="s">
        <v>2672</v>
      </c>
      <c r="K3320">
        <v>16</v>
      </c>
      <c r="L3320">
        <v>4</v>
      </c>
      <c r="M3320">
        <v>2025</v>
      </c>
      <c r="N3320" t="s">
        <v>27</v>
      </c>
      <c r="O3320">
        <v>300</v>
      </c>
      <c r="P3320">
        <v>300</v>
      </c>
      <c r="R3320" s="3" t="str">
        <f>HYPERLINK("https://panda.att.com.mx/ODKServer/view/binaryData?blobKey=FSSuministroFluidosv3%5B%40version%3Dnull+and+%40uiVersion%3Dnull%5D%2Fdata%5B%40key%3Duuid%3A392765c9-ac55-4818-9c77-0b287e435625%5D%2FgroupInfoFuel%5B%40ordinal%3D1%5D%2FpicFuelRecibeInterno","Descargar")</f>
        <v>Descargar</v>
      </c>
    </row>
    <row r="3321" spans="1:18" x14ac:dyDescent="0.3">
      <c r="A3321">
        <v>1519257</v>
      </c>
      <c r="B3321" t="s">
        <v>18</v>
      </c>
      <c r="C3321" t="s">
        <v>34</v>
      </c>
      <c r="D3321" t="s">
        <v>53</v>
      </c>
      <c r="E3321" t="s">
        <v>2673</v>
      </c>
      <c r="F3321" t="s">
        <v>22</v>
      </c>
      <c r="G3321" t="s">
        <v>23</v>
      </c>
      <c r="H3321" t="s">
        <v>37</v>
      </c>
      <c r="I3321" t="s">
        <v>25</v>
      </c>
      <c r="J3321" t="s">
        <v>2674</v>
      </c>
      <c r="K3321">
        <v>9</v>
      </c>
      <c r="L3321">
        <v>4</v>
      </c>
      <c r="M3321">
        <v>2025</v>
      </c>
      <c r="N3321" t="s">
        <v>27</v>
      </c>
      <c r="O3321">
        <v>240</v>
      </c>
      <c r="Q3321">
        <v>240</v>
      </c>
      <c r="R3321" s="3" t="str">
        <f>HYPERLINK("https://panda.att.com.mx/ODKServer/view/binaryData?blobKey=FSSuministroFluidosv3%5B%40version%3Dnull+and+%40uiVersion%3Dnull%5D%2Fdata%5B%40key%3Duuid%3A49dc57bd-3887-4b38-856b-9c47525754d8%5D%2FgroupInfoFuel%5B%40ordinal%3D1%5D%2FpicFuelRecibeInterno","Descargar")</f>
        <v>Descargar</v>
      </c>
    </row>
    <row r="3322" spans="1:18" x14ac:dyDescent="0.3">
      <c r="A3322">
        <v>1519256</v>
      </c>
      <c r="B3322" t="s">
        <v>18</v>
      </c>
      <c r="C3322" t="s">
        <v>100</v>
      </c>
      <c r="D3322" t="s">
        <v>716</v>
      </c>
      <c r="E3322" t="s">
        <v>717</v>
      </c>
      <c r="F3322" t="s">
        <v>22</v>
      </c>
      <c r="G3322" t="s">
        <v>83</v>
      </c>
      <c r="H3322" t="s">
        <v>1781</v>
      </c>
      <c r="I3322" t="s">
        <v>25</v>
      </c>
      <c r="J3322" t="s">
        <v>2675</v>
      </c>
      <c r="K3322">
        <v>17</v>
      </c>
      <c r="L3322">
        <v>4</v>
      </c>
      <c r="M3322">
        <v>2025</v>
      </c>
      <c r="N3322" t="s">
        <v>27</v>
      </c>
      <c r="O3322">
        <v>150</v>
      </c>
      <c r="P3322">
        <v>150</v>
      </c>
      <c r="R3322" s="3" t="str">
        <f>HYPERLINK("https://panda.att.com.mx/ODKServer/view/binaryData?blobKey=FSSuministroFluidosv3%5B%40version%3Dnull+and+%40uiVersion%3Dnull%5D%2Fdata%5B%40key%3Duuid%3Ab609d0a7-644c-4559-adbc-640cd63dd65f%5D%2FgroupInfoFuel%5B%40ordinal%3D1%5D%2FpicFuelRecibeInterno","Descargar")</f>
        <v>Descargar</v>
      </c>
    </row>
    <row r="3323" spans="1:18" x14ac:dyDescent="0.3">
      <c r="A3323">
        <v>1519237</v>
      </c>
      <c r="B3323" t="s">
        <v>18</v>
      </c>
      <c r="C3323" t="s">
        <v>68</v>
      </c>
      <c r="D3323" t="s">
        <v>258</v>
      </c>
      <c r="E3323" t="s">
        <v>2676</v>
      </c>
      <c r="F3323" t="s">
        <v>22</v>
      </c>
      <c r="G3323" t="s">
        <v>23</v>
      </c>
      <c r="H3323" t="s">
        <v>37</v>
      </c>
      <c r="I3323" t="s">
        <v>25</v>
      </c>
      <c r="J3323" t="s">
        <v>2677</v>
      </c>
      <c r="K3323">
        <v>17</v>
      </c>
      <c r="L3323">
        <v>4</v>
      </c>
      <c r="M3323">
        <v>2025</v>
      </c>
      <c r="N3323" t="s">
        <v>27</v>
      </c>
      <c r="O3323">
        <v>250</v>
      </c>
      <c r="Q3323">
        <v>250</v>
      </c>
      <c r="R3323" s="3" t="str">
        <f>HYPERLINK("https://panda.att.com.mx/ODKServer/view/binaryData?blobKey=FSSuministroFluidosv3%5B%40version%3Dnull+and+%40uiVersion%3Dnull%5D%2Fdata%5B%40key%3Duuid%3A3949f3b0-9ef5-400e-9ab6-c5ffe8c9a257%5D%2FgroupInfoFuel%5B%40ordinal%3D1%5D%2FpicFuelRecibeInterno","Descargar")</f>
        <v>Descargar</v>
      </c>
    </row>
    <row r="3324" spans="1:18" x14ac:dyDescent="0.3">
      <c r="A3324">
        <v>1519228</v>
      </c>
      <c r="B3324" t="s">
        <v>18</v>
      </c>
      <c r="C3324" t="s">
        <v>150</v>
      </c>
      <c r="D3324" t="s">
        <v>230</v>
      </c>
      <c r="E3324" t="s">
        <v>1510</v>
      </c>
      <c r="F3324" t="s">
        <v>22</v>
      </c>
      <c r="G3324" t="s">
        <v>23</v>
      </c>
      <c r="H3324" t="s">
        <v>1781</v>
      </c>
      <c r="I3324" t="s">
        <v>25</v>
      </c>
      <c r="J3324" t="s">
        <v>2678</v>
      </c>
      <c r="K3324">
        <v>17</v>
      </c>
      <c r="L3324">
        <v>4</v>
      </c>
      <c r="M3324">
        <v>2025</v>
      </c>
      <c r="N3324" t="s">
        <v>27</v>
      </c>
      <c r="O3324">
        <v>300.02999999999997</v>
      </c>
      <c r="P3324">
        <v>300.02999999999997</v>
      </c>
      <c r="R3324" s="3" t="str">
        <f>HYPERLINK("https://panda.att.com.mx/ODKServer/view/binaryData?blobKey=FSSuministroFluidosv3%5B%40version%3Dnull+and+%40uiVersion%3Dnull%5D%2Fdata%5B%40key%3Duuid%3A47c0ec26-8e8d-46e9-b987-a7f4394df2a7%5D%2FgroupInfoFuel%5B%40ordinal%3D1%5D%2FpicFuelRecibeInterno","Descargar")</f>
        <v>Descargar</v>
      </c>
    </row>
    <row r="3325" spans="1:18" x14ac:dyDescent="0.3">
      <c r="A3325">
        <v>1519214</v>
      </c>
      <c r="B3325" t="s">
        <v>18</v>
      </c>
      <c r="C3325" t="s">
        <v>55</v>
      </c>
      <c r="D3325" t="s">
        <v>56</v>
      </c>
      <c r="E3325" t="s">
        <v>2188</v>
      </c>
      <c r="F3325" t="s">
        <v>22</v>
      </c>
      <c r="G3325" t="s">
        <v>23</v>
      </c>
      <c r="H3325" t="s">
        <v>1763</v>
      </c>
      <c r="I3325" t="s">
        <v>25</v>
      </c>
      <c r="J3325" t="s">
        <v>2679</v>
      </c>
      <c r="K3325">
        <v>12</v>
      </c>
      <c r="L3325">
        <v>4</v>
      </c>
      <c r="M3325">
        <v>2025</v>
      </c>
      <c r="N3325" t="s">
        <v>27</v>
      </c>
      <c r="O3325">
        <v>110</v>
      </c>
      <c r="P3325">
        <v>110</v>
      </c>
      <c r="R3325" s="3" t="str">
        <f>HYPERLINK("https://panda.att.com.mx/ODKServer/view/binaryData?blobKey=FSSuministroFluidosv3%5B%40version%3Dnull+and+%40uiVersion%3Dnull%5D%2Fdata%5B%40key%3Duuid%3Aa8a68095-49d9-42e0-a5da-db966c9aede8%5D%2FgroupInfoFuel%5B%40ordinal%3D1%5D%2FpicFuelRecibeInterno","Descargar")</f>
        <v>Descargar</v>
      </c>
    </row>
    <row r="3326" spans="1:18" x14ac:dyDescent="0.3">
      <c r="A3326">
        <v>1519177</v>
      </c>
      <c r="B3326" t="s">
        <v>18</v>
      </c>
      <c r="C3326" t="s">
        <v>183</v>
      </c>
      <c r="D3326" t="s">
        <v>688</v>
      </c>
      <c r="E3326" t="s">
        <v>689</v>
      </c>
      <c r="F3326" t="s">
        <v>22</v>
      </c>
      <c r="G3326" t="s">
        <v>23</v>
      </c>
      <c r="H3326" t="s">
        <v>37</v>
      </c>
      <c r="I3326" t="s">
        <v>25</v>
      </c>
      <c r="J3326" t="s">
        <v>2680</v>
      </c>
      <c r="K3326">
        <v>16</v>
      </c>
      <c r="L3326">
        <v>4</v>
      </c>
      <c r="M3326">
        <v>2025</v>
      </c>
      <c r="N3326" t="s">
        <v>27</v>
      </c>
      <c r="O3326">
        <v>100</v>
      </c>
      <c r="P3326">
        <v>100</v>
      </c>
      <c r="R3326" s="3" t="str">
        <f>HYPERLINK("https://panda.att.com.mx/ODKServer/view/binaryData?blobKey=FSSuministroFluidosv3%5B%40version%3Dnull+and+%40uiVersion%3Dnull%5D%2Fdata%5B%40key%3Duuid%3A673a0513-2d1d-4571-8725-6665e68914d9%5D%2FgroupInfoFuel%5B%40ordinal%3D1%5D%2FpicFuelRecibeInterno","Descargar")</f>
        <v>Descargar</v>
      </c>
    </row>
    <row r="3327" spans="1:18" x14ac:dyDescent="0.3">
      <c r="A3327">
        <v>1517325</v>
      </c>
      <c r="B3327" t="s">
        <v>18</v>
      </c>
      <c r="C3327" t="s">
        <v>68</v>
      </c>
      <c r="D3327" t="s">
        <v>219</v>
      </c>
      <c r="E3327" t="s">
        <v>1340</v>
      </c>
      <c r="F3327" t="s">
        <v>22</v>
      </c>
      <c r="G3327" t="s">
        <v>23</v>
      </c>
      <c r="H3327" t="s">
        <v>37</v>
      </c>
      <c r="I3327" t="s">
        <v>25</v>
      </c>
      <c r="J3327" t="s">
        <v>2681</v>
      </c>
      <c r="K3327">
        <v>14</v>
      </c>
      <c r="L3327">
        <v>4</v>
      </c>
      <c r="M3327">
        <v>2025</v>
      </c>
      <c r="N3327" t="s">
        <v>27</v>
      </c>
      <c r="O3327">
        <v>200</v>
      </c>
      <c r="P3327">
        <v>200</v>
      </c>
      <c r="R3327" s="3" t="str">
        <f>HYPERLINK("https://panda.att.com.mx/ODKServer/view/binaryData?blobKey=FSSuministroFluidosv3%5B%40version%3Dnull+and+%40uiVersion%3Dnull%5D%2Fdata%5B%40key%3Duuid%3A09cbc52c-5c0b-47c9-b33c-b6af303f18e5%5D%2FgroupInfoFuel%5B%40ordinal%3D1%5D%2FpicFuelRecibeInterno","Descargar")</f>
        <v>Descargar</v>
      </c>
    </row>
    <row r="3328" spans="1:18" x14ac:dyDescent="0.3">
      <c r="A3328">
        <v>1517314</v>
      </c>
      <c r="B3328" t="s">
        <v>18</v>
      </c>
      <c r="C3328" t="s">
        <v>19</v>
      </c>
      <c r="D3328" t="s">
        <v>42</v>
      </c>
      <c r="E3328" t="s">
        <v>2682</v>
      </c>
      <c r="F3328" t="s">
        <v>22</v>
      </c>
      <c r="G3328" t="s">
        <v>23</v>
      </c>
      <c r="H3328" t="s">
        <v>24</v>
      </c>
      <c r="I3328" t="s">
        <v>25</v>
      </c>
      <c r="J3328" t="s">
        <v>2683</v>
      </c>
      <c r="K3328">
        <v>14</v>
      </c>
      <c r="L3328">
        <v>4</v>
      </c>
      <c r="M3328">
        <v>2025</v>
      </c>
      <c r="N3328" t="s">
        <v>44</v>
      </c>
      <c r="O3328">
        <v>35</v>
      </c>
      <c r="P3328">
        <v>35</v>
      </c>
      <c r="R3328" s="3" t="str">
        <f>HYPERLINK("https://panda.att.com.mx/ODKServer/view/binaryData?blobKey=FSSuministroFluidosv3%5B%40version%3Dnull+and+%40uiVersion%3Dnull%5D%2Fdata%5B%40key%3Duuid%3Ab6bbbba4-2299-44f6-b427-213e11b6a5f3%5D%2FgroupInfoFuel%5B%40ordinal%3D1%5D%2FpicFuelRecibeInterno","Descargar")</f>
        <v>Descargar</v>
      </c>
    </row>
    <row r="3329" spans="1:18" x14ac:dyDescent="0.3">
      <c r="A3329">
        <v>1517313</v>
      </c>
      <c r="B3329" t="s">
        <v>18</v>
      </c>
      <c r="C3329" t="s">
        <v>19</v>
      </c>
      <c r="D3329" t="s">
        <v>42</v>
      </c>
      <c r="E3329" t="s">
        <v>2281</v>
      </c>
      <c r="F3329" t="s">
        <v>22</v>
      </c>
      <c r="G3329" t="s">
        <v>23</v>
      </c>
      <c r="H3329" t="s">
        <v>24</v>
      </c>
      <c r="I3329" t="s">
        <v>25</v>
      </c>
      <c r="J3329" t="s">
        <v>2684</v>
      </c>
      <c r="K3329">
        <v>14</v>
      </c>
      <c r="L3329">
        <v>4</v>
      </c>
      <c r="M3329">
        <v>2025</v>
      </c>
      <c r="N3329" t="s">
        <v>44</v>
      </c>
      <c r="O3329">
        <v>45</v>
      </c>
      <c r="P3329">
        <v>45</v>
      </c>
      <c r="R3329" s="3" t="str">
        <f>HYPERLINK("https://panda.att.com.mx/ODKServer/view/binaryData?blobKey=FSSuministroFluidosv3%5B%40version%3Dnull+and+%40uiVersion%3Dnull%5D%2Fdata%5B%40key%3Duuid%3A6ef44c39-09fb-43aa-9e46-a1e3db2d39c8%5D%2FgroupInfoFuel%5B%40ordinal%3D1%5D%2FpicFuelRecibeInterno","Descargar")</f>
        <v>Descargar</v>
      </c>
    </row>
    <row r="3330" spans="1:18" x14ac:dyDescent="0.3">
      <c r="A3330">
        <v>1517196</v>
      </c>
      <c r="B3330" t="s">
        <v>18</v>
      </c>
      <c r="C3330" t="s">
        <v>100</v>
      </c>
      <c r="D3330" t="s">
        <v>101</v>
      </c>
      <c r="E3330" t="s">
        <v>126</v>
      </c>
      <c r="F3330" t="s">
        <v>22</v>
      </c>
      <c r="G3330" t="s">
        <v>23</v>
      </c>
      <c r="H3330" t="s">
        <v>1781</v>
      </c>
      <c r="I3330" t="s">
        <v>25</v>
      </c>
      <c r="J3330" t="s">
        <v>2685</v>
      </c>
      <c r="K3330">
        <v>7</v>
      </c>
      <c r="L3330">
        <v>4</v>
      </c>
      <c r="M3330">
        <v>2025</v>
      </c>
      <c r="N3330" t="s">
        <v>27</v>
      </c>
      <c r="O3330">
        <v>300</v>
      </c>
      <c r="P3330">
        <v>300</v>
      </c>
      <c r="R3330" s="3" t="str">
        <f>HYPERLINK("https://panda.att.com.mx/ODKServer/view/binaryData?blobKey=FSSuministroFluidosv3%5B%40version%3Dnull+and+%40uiVersion%3Dnull%5D%2Fdata%5B%40key%3Duuid%3A2a5021c8-502c-4880-8e32-7f35669fe9ea%5D%2FgroupInfoFuel%5B%40ordinal%3D1%5D%2FpicFuelRecibeInterno","Descargar")</f>
        <v>Descargar</v>
      </c>
    </row>
    <row r="3331" spans="1:18" x14ac:dyDescent="0.3">
      <c r="A3331">
        <v>1517195</v>
      </c>
      <c r="B3331" t="s">
        <v>18</v>
      </c>
      <c r="C3331" t="s">
        <v>100</v>
      </c>
      <c r="D3331" t="s">
        <v>101</v>
      </c>
      <c r="E3331" t="s">
        <v>1203</v>
      </c>
      <c r="F3331" t="s">
        <v>22</v>
      </c>
      <c r="G3331" t="s">
        <v>23</v>
      </c>
      <c r="H3331" t="s">
        <v>1781</v>
      </c>
      <c r="I3331" t="s">
        <v>25</v>
      </c>
      <c r="J3331" t="s">
        <v>2686</v>
      </c>
      <c r="K3331">
        <v>4</v>
      </c>
      <c r="L3331">
        <v>4</v>
      </c>
      <c r="M3331">
        <v>2025</v>
      </c>
      <c r="N3331" t="s">
        <v>27</v>
      </c>
      <c r="O3331">
        <v>200</v>
      </c>
      <c r="P3331">
        <v>200</v>
      </c>
      <c r="R3331" s="3" t="str">
        <f>HYPERLINK("https://panda.att.com.mx/ODKServer/view/binaryData?blobKey=FSSuministroFluidosv3%5B%40version%3Dnull+and+%40uiVersion%3Dnull%5D%2Fdata%5B%40key%3Duuid%3Ad0b19c76-1ceb-4966-98e3-bdb14a86604a%5D%2FgroupInfoFuel%5B%40ordinal%3D1%5D%2FpicFuelRecibeInterno","Descargar")</f>
        <v>Descargar</v>
      </c>
    </row>
    <row r="3332" spans="1:18" x14ac:dyDescent="0.3">
      <c r="A3332">
        <v>1517194</v>
      </c>
      <c r="B3332" t="s">
        <v>18</v>
      </c>
      <c r="C3332" t="s">
        <v>100</v>
      </c>
      <c r="D3332" t="s">
        <v>716</v>
      </c>
      <c r="E3332" t="s">
        <v>1584</v>
      </c>
      <c r="F3332" t="s">
        <v>22</v>
      </c>
      <c r="G3332" t="s">
        <v>23</v>
      </c>
      <c r="H3332" t="s">
        <v>1781</v>
      </c>
      <c r="I3332" t="s">
        <v>25</v>
      </c>
      <c r="J3332" t="s">
        <v>2687</v>
      </c>
      <c r="K3332">
        <v>3</v>
      </c>
      <c r="L3332">
        <v>4</v>
      </c>
      <c r="M3332">
        <v>2025</v>
      </c>
      <c r="N3332" t="s">
        <v>27</v>
      </c>
      <c r="O3332">
        <v>200</v>
      </c>
      <c r="P3332">
        <v>200</v>
      </c>
      <c r="R3332" s="3" t="str">
        <f>HYPERLINK("https://panda.att.com.mx/ODKServer/view/binaryData?blobKey=FSSuministroFluidosv3%5B%40version%3Dnull+and+%40uiVersion%3Dnull%5D%2Fdata%5B%40key%3Duuid%3Ad39447d5-b36b-49c5-a650-37f0b15d9e47%5D%2FgroupInfoFuel%5B%40ordinal%3D1%5D%2FpicFuelRecibeInterno","Descargar")</f>
        <v>Descargar</v>
      </c>
    </row>
    <row r="3333" spans="1:18" x14ac:dyDescent="0.3">
      <c r="A3333">
        <v>1517192</v>
      </c>
      <c r="B3333" t="s">
        <v>18</v>
      </c>
      <c r="C3333" t="s">
        <v>100</v>
      </c>
      <c r="D3333" t="s">
        <v>101</v>
      </c>
      <c r="E3333" t="s">
        <v>126</v>
      </c>
      <c r="F3333" t="s">
        <v>22</v>
      </c>
      <c r="G3333" t="s">
        <v>23</v>
      </c>
      <c r="H3333" t="s">
        <v>1781</v>
      </c>
      <c r="I3333" t="s">
        <v>25</v>
      </c>
      <c r="J3333" s="2">
        <v>45744.501145833332</v>
      </c>
      <c r="K3333">
        <v>28</v>
      </c>
      <c r="L3333">
        <v>3</v>
      </c>
      <c r="M3333">
        <v>2025</v>
      </c>
      <c r="N3333" t="s">
        <v>27</v>
      </c>
      <c r="O3333">
        <v>300</v>
      </c>
      <c r="P3333">
        <v>300</v>
      </c>
      <c r="R3333" s="3" t="str">
        <f>HYPERLINK("https://panda.att.com.mx/ODKServer/view/binaryData?blobKey=FSSuministroFluidosv3%5B%40version%3Dnull+and+%40uiVersion%3Dnull%5D%2Fdata%5B%40key%3Duuid%3A05d80733-0c24-4da1-9c0a-2eff4f167619%5D%2FgroupInfoFuel%5B%40ordinal%3D1%5D%2FpicFuelRecibeInterno","Descargar")</f>
        <v>Descargar</v>
      </c>
    </row>
    <row r="3334" spans="1:18" x14ac:dyDescent="0.3">
      <c r="A3334">
        <v>1517157</v>
      </c>
      <c r="B3334" t="s">
        <v>18</v>
      </c>
      <c r="C3334" t="s">
        <v>100</v>
      </c>
      <c r="D3334" t="s">
        <v>716</v>
      </c>
      <c r="E3334" t="s">
        <v>717</v>
      </c>
      <c r="F3334" t="s">
        <v>22</v>
      </c>
      <c r="G3334" t="s">
        <v>83</v>
      </c>
      <c r="H3334" t="s">
        <v>1781</v>
      </c>
      <c r="I3334" t="s">
        <v>25</v>
      </c>
      <c r="J3334" t="s">
        <v>2688</v>
      </c>
      <c r="K3334">
        <v>12</v>
      </c>
      <c r="L3334">
        <v>4</v>
      </c>
      <c r="M3334">
        <v>2025</v>
      </c>
      <c r="N3334" t="s">
        <v>27</v>
      </c>
      <c r="O3334">
        <v>150</v>
      </c>
      <c r="P3334">
        <v>150</v>
      </c>
      <c r="R3334" s="3" t="str">
        <f>HYPERLINK("https://panda.att.com.mx/ODKServer/view/binaryData?blobKey=FSSuministroFluidosv3%5B%40version%3Dnull+and+%40uiVersion%3Dnull%5D%2Fdata%5B%40key%3Duuid%3Ae43ca837-bcd5-448e-8f79-e7467cd0d3b0%5D%2FgroupInfoFuel%5B%40ordinal%3D1%5D%2FpicFuelRecibeInterno","Descargar")</f>
        <v>Descargar</v>
      </c>
    </row>
    <row r="3335" spans="1:18" x14ac:dyDescent="0.3">
      <c r="A3335">
        <v>1517087</v>
      </c>
      <c r="B3335" t="s">
        <v>18</v>
      </c>
      <c r="C3335" t="s">
        <v>55</v>
      </c>
      <c r="D3335" t="s">
        <v>366</v>
      </c>
      <c r="E3335" t="s">
        <v>2689</v>
      </c>
      <c r="F3335" t="s">
        <v>22</v>
      </c>
      <c r="G3335" t="s">
        <v>83</v>
      </c>
      <c r="H3335" t="s">
        <v>1781</v>
      </c>
      <c r="I3335" t="s">
        <v>25</v>
      </c>
      <c r="J3335" t="s">
        <v>2690</v>
      </c>
      <c r="K3335">
        <v>12</v>
      </c>
      <c r="L3335">
        <v>4</v>
      </c>
      <c r="M3335">
        <v>2025</v>
      </c>
      <c r="N3335" t="s">
        <v>27</v>
      </c>
      <c r="O3335">
        <v>170</v>
      </c>
      <c r="P3335">
        <v>170</v>
      </c>
      <c r="R3335" s="3" t="str">
        <f>HYPERLINK("https://panda.att.com.mx/ODKServer/view/binaryData?blobKey=FSSuministroFluidosv3%5B%40version%3Dnull+and+%40uiVersion%3Dnull%5D%2Fdata%5B%40key%3Duuid%3A00a28799-8c71-4909-b405-33879d33b4e9%5D%2FgroupInfoFuel%5B%40ordinal%3D1%5D%2FpicFuelRecibeInterno","Descargar")</f>
        <v>Descargar</v>
      </c>
    </row>
    <row r="3336" spans="1:18" x14ac:dyDescent="0.3">
      <c r="A3336">
        <v>1517086</v>
      </c>
      <c r="B3336" t="s">
        <v>18</v>
      </c>
      <c r="C3336" t="s">
        <v>55</v>
      </c>
      <c r="D3336" t="s">
        <v>366</v>
      </c>
      <c r="E3336" t="s">
        <v>1565</v>
      </c>
      <c r="F3336" t="s">
        <v>22</v>
      </c>
      <c r="G3336" t="s">
        <v>23</v>
      </c>
      <c r="H3336" t="s">
        <v>1781</v>
      </c>
      <c r="I3336" t="s">
        <v>25</v>
      </c>
      <c r="J3336" t="s">
        <v>2691</v>
      </c>
      <c r="K3336">
        <v>11</v>
      </c>
      <c r="L3336">
        <v>4</v>
      </c>
      <c r="M3336">
        <v>2025</v>
      </c>
      <c r="N3336" t="s">
        <v>27</v>
      </c>
      <c r="O3336">
        <v>250</v>
      </c>
      <c r="P3336">
        <v>250</v>
      </c>
      <c r="R3336" s="3" t="str">
        <f>HYPERLINK("https://panda.att.com.mx/ODKServer/view/binaryData?blobKey=FSSuministroFluidosv3%5B%40version%3Dnull+and+%40uiVersion%3Dnull%5D%2Fdata%5B%40key%3Duuid%3A26db4179-15b2-45b4-8349-fa19b9cb1fbf%5D%2FgroupInfoFuel%5B%40ordinal%3D1%5D%2FpicFuelRecibeInterno","Descargar")</f>
        <v>Descargar</v>
      </c>
    </row>
    <row r="3337" spans="1:18" x14ac:dyDescent="0.3">
      <c r="A3337">
        <v>1517085</v>
      </c>
      <c r="B3337" t="s">
        <v>18</v>
      </c>
      <c r="C3337" t="s">
        <v>55</v>
      </c>
      <c r="D3337" t="s">
        <v>366</v>
      </c>
      <c r="E3337" t="s">
        <v>2689</v>
      </c>
      <c r="F3337" t="s">
        <v>22</v>
      </c>
      <c r="G3337" t="s">
        <v>83</v>
      </c>
      <c r="H3337" t="s">
        <v>1781</v>
      </c>
      <c r="I3337" t="s">
        <v>25</v>
      </c>
      <c r="J3337" t="s">
        <v>2692</v>
      </c>
      <c r="K3337">
        <v>10</v>
      </c>
      <c r="L3337">
        <v>4</v>
      </c>
      <c r="M3337">
        <v>2025</v>
      </c>
      <c r="N3337" t="s">
        <v>27</v>
      </c>
      <c r="O3337">
        <v>170</v>
      </c>
      <c r="P3337">
        <v>170</v>
      </c>
      <c r="R3337" s="3" t="str">
        <f>HYPERLINK("https://panda.att.com.mx/ODKServer/view/binaryData?blobKey=FSSuministroFluidosv3%5B%40version%3Dnull+and+%40uiVersion%3Dnull%5D%2Fdata%5B%40key%3Duuid%3A97ad851e-304e-4fc3-9490-fb8968aee0e3%5D%2FgroupInfoFuel%5B%40ordinal%3D1%5D%2FpicFuelRecibeInterno","Descargar")</f>
        <v>Descargar</v>
      </c>
    </row>
    <row r="3338" spans="1:18" x14ac:dyDescent="0.3">
      <c r="A3338">
        <v>1517084</v>
      </c>
      <c r="B3338" t="s">
        <v>18</v>
      </c>
      <c r="C3338" t="s">
        <v>55</v>
      </c>
      <c r="D3338" t="s">
        <v>366</v>
      </c>
      <c r="E3338" t="s">
        <v>2693</v>
      </c>
      <c r="F3338" t="s">
        <v>22</v>
      </c>
      <c r="G3338" t="s">
        <v>23</v>
      </c>
      <c r="H3338" t="s">
        <v>1781</v>
      </c>
      <c r="I3338" t="s">
        <v>25</v>
      </c>
      <c r="J3338" t="s">
        <v>2694</v>
      </c>
      <c r="K3338">
        <v>11</v>
      </c>
      <c r="L3338">
        <v>4</v>
      </c>
      <c r="M3338">
        <v>2025</v>
      </c>
      <c r="N3338" t="s">
        <v>27</v>
      </c>
      <c r="O3338">
        <v>200</v>
      </c>
      <c r="P3338">
        <v>200</v>
      </c>
      <c r="R3338" s="3" t="str">
        <f>HYPERLINK("https://panda.att.com.mx/ODKServer/view/binaryData?blobKey=FSSuministroFluidosv3%5B%40version%3Dnull+and+%40uiVersion%3Dnull%5D%2Fdata%5B%40key%3Duuid%3A019f1d44-3cb0-4d53-8769-e533740e4cee%5D%2FgroupInfoFuel%5B%40ordinal%3D1%5D%2FpicFuelRecibeInterno","Descargar")</f>
        <v>Descargar</v>
      </c>
    </row>
    <row r="3339" spans="1:18" x14ac:dyDescent="0.3">
      <c r="A3339">
        <v>1517083</v>
      </c>
      <c r="B3339" t="s">
        <v>18</v>
      </c>
      <c r="C3339" t="s">
        <v>55</v>
      </c>
      <c r="D3339" t="s">
        <v>366</v>
      </c>
      <c r="E3339" t="s">
        <v>2695</v>
      </c>
      <c r="F3339" t="s">
        <v>22</v>
      </c>
      <c r="G3339" t="s">
        <v>23</v>
      </c>
      <c r="H3339" t="s">
        <v>1781</v>
      </c>
      <c r="I3339" t="s">
        <v>25</v>
      </c>
      <c r="J3339" t="s">
        <v>2696</v>
      </c>
      <c r="K3339">
        <v>9</v>
      </c>
      <c r="L3339">
        <v>4</v>
      </c>
      <c r="M3339">
        <v>2025</v>
      </c>
      <c r="N3339" t="s">
        <v>27</v>
      </c>
      <c r="O3339">
        <v>250</v>
      </c>
      <c r="P3339">
        <v>250</v>
      </c>
      <c r="R3339" s="3" t="str">
        <f>HYPERLINK("https://panda.att.com.mx/ODKServer/view/binaryData?blobKey=FSSuministroFluidosv3%5B%40version%3Dnull+and+%40uiVersion%3Dnull%5D%2Fdata%5B%40key%3Duuid%3A9b2b06ca-c853-4042-998d-da11212618ed%5D%2FgroupInfoFuel%5B%40ordinal%3D1%5D%2FpicFuelRecibeInterno","Descargar")</f>
        <v>Descargar</v>
      </c>
    </row>
    <row r="3340" spans="1:18" x14ac:dyDescent="0.3">
      <c r="A3340">
        <v>1517082</v>
      </c>
      <c r="B3340" t="s">
        <v>18</v>
      </c>
      <c r="C3340" t="s">
        <v>55</v>
      </c>
      <c r="D3340" t="s">
        <v>56</v>
      </c>
      <c r="E3340" t="s">
        <v>2293</v>
      </c>
      <c r="F3340" t="s">
        <v>22</v>
      </c>
      <c r="G3340" t="s">
        <v>23</v>
      </c>
      <c r="H3340" t="s">
        <v>1781</v>
      </c>
      <c r="I3340" t="s">
        <v>25</v>
      </c>
      <c r="J3340" t="s">
        <v>2697</v>
      </c>
      <c r="K3340">
        <v>5</v>
      </c>
      <c r="L3340">
        <v>4</v>
      </c>
      <c r="M3340">
        <v>2025</v>
      </c>
      <c r="N3340" t="s">
        <v>27</v>
      </c>
      <c r="O3340">
        <v>170</v>
      </c>
      <c r="P3340">
        <v>170</v>
      </c>
      <c r="R3340" s="3" t="str">
        <f>HYPERLINK("https://panda.att.com.mx/ODKServer/view/binaryData?blobKey=FSSuministroFluidosv3%5B%40version%3Dnull+and+%40uiVersion%3Dnull%5D%2Fdata%5B%40key%3Duuid%3A13b622f7-caa8-4415-8a57-78538592035a%5D%2FgroupInfoFuel%5B%40ordinal%3D1%5D%2FpicFuelRecibeInterno","Descargar")</f>
        <v>Descargar</v>
      </c>
    </row>
    <row r="3341" spans="1:18" x14ac:dyDescent="0.3">
      <c r="A3341">
        <v>1517081</v>
      </c>
      <c r="B3341" t="s">
        <v>18</v>
      </c>
      <c r="C3341" t="s">
        <v>55</v>
      </c>
      <c r="D3341" t="s">
        <v>366</v>
      </c>
      <c r="E3341" t="s">
        <v>2230</v>
      </c>
      <c r="F3341" t="s">
        <v>22</v>
      </c>
      <c r="G3341" t="s">
        <v>23</v>
      </c>
      <c r="H3341" t="s">
        <v>1781</v>
      </c>
      <c r="I3341" t="s">
        <v>25</v>
      </c>
      <c r="J3341" s="2">
        <v>45747.904988425929</v>
      </c>
      <c r="K3341">
        <v>31</v>
      </c>
      <c r="L3341">
        <v>3</v>
      </c>
      <c r="M3341">
        <v>2025</v>
      </c>
      <c r="N3341" t="s">
        <v>27</v>
      </c>
      <c r="O3341">
        <v>170</v>
      </c>
      <c r="P3341">
        <v>170</v>
      </c>
      <c r="R3341" s="3" t="str">
        <f>HYPERLINK("https://panda.att.com.mx/ODKServer/view/binaryData?blobKey=FSSuministroFluidosv3%5B%40version%3Dnull+and+%40uiVersion%3Dnull%5D%2Fdata%5B%40key%3Duuid%3A3589f27e-8394-4eb3-8936-bd4d6869db0e%5D%2FgroupInfoFuel%5B%40ordinal%3D1%5D%2FpicFuelRecibeInterno","Descargar")</f>
        <v>Descargar</v>
      </c>
    </row>
    <row r="3342" spans="1:18" x14ac:dyDescent="0.3">
      <c r="A3342">
        <v>1517080</v>
      </c>
      <c r="B3342" t="s">
        <v>18</v>
      </c>
      <c r="C3342" t="s">
        <v>55</v>
      </c>
      <c r="D3342" t="s">
        <v>366</v>
      </c>
      <c r="E3342" t="s">
        <v>881</v>
      </c>
      <c r="F3342" t="s">
        <v>22</v>
      </c>
      <c r="G3342" t="s">
        <v>23</v>
      </c>
      <c r="H3342" t="s">
        <v>1781</v>
      </c>
      <c r="I3342" t="s">
        <v>25</v>
      </c>
      <c r="J3342" s="2">
        <v>45744.469629629632</v>
      </c>
      <c r="K3342">
        <v>28</v>
      </c>
      <c r="L3342">
        <v>3</v>
      </c>
      <c r="M3342">
        <v>2025</v>
      </c>
      <c r="N3342" t="s">
        <v>27</v>
      </c>
      <c r="O3342">
        <v>163</v>
      </c>
      <c r="P3342">
        <v>163</v>
      </c>
      <c r="R3342" s="3" t="str">
        <f>HYPERLINK("https://panda.att.com.mx/ODKServer/view/binaryData?blobKey=FSSuministroFluidosv3%5B%40version%3Dnull+and+%40uiVersion%3Dnull%5D%2Fdata%5B%40key%3Duuid%3A1f00bec8-43cb-46d9-bcc1-cead25526bfb%5D%2FgroupInfoFuel%5B%40ordinal%3D1%5D%2FpicFuelRecibeInterno","Descargar")</f>
        <v>Descargar</v>
      </c>
    </row>
    <row r="3343" spans="1:18" x14ac:dyDescent="0.3">
      <c r="A3343">
        <v>1517059</v>
      </c>
      <c r="B3343" t="s">
        <v>18</v>
      </c>
      <c r="C3343" t="s">
        <v>55</v>
      </c>
      <c r="D3343" t="s">
        <v>366</v>
      </c>
      <c r="E3343" t="s">
        <v>1854</v>
      </c>
      <c r="F3343" t="s">
        <v>22</v>
      </c>
      <c r="G3343" t="s">
        <v>23</v>
      </c>
      <c r="H3343" t="s">
        <v>1781</v>
      </c>
      <c r="I3343" t="s">
        <v>25</v>
      </c>
      <c r="J3343" s="2">
        <v>45743.824780092589</v>
      </c>
      <c r="K3343">
        <v>27</v>
      </c>
      <c r="L3343">
        <v>3</v>
      </c>
      <c r="M3343">
        <v>2025</v>
      </c>
      <c r="N3343" t="s">
        <v>27</v>
      </c>
      <c r="O3343">
        <v>121.9</v>
      </c>
      <c r="P3343">
        <v>121.9</v>
      </c>
      <c r="R3343" s="3" t="str">
        <f>HYPERLINK("https://panda.att.com.mx/ODKServer/view/binaryData?blobKey=FSSuministroFluidosv3%5B%40version%3Dnull+and+%40uiVersion%3Dnull%5D%2Fdata%5B%40key%3Duuid%3Ab7c7f91d-be1a-41f6-b483-ed986a3103da%5D%2FgroupInfoFuel%5B%40ordinal%3D1%5D%2FpicFuelRecibeInterno","Descargar")</f>
        <v>Descargar</v>
      </c>
    </row>
    <row r="3344" spans="1:18" x14ac:dyDescent="0.3">
      <c r="A3344">
        <v>1517058</v>
      </c>
      <c r="B3344" t="s">
        <v>18</v>
      </c>
      <c r="C3344" t="s">
        <v>55</v>
      </c>
      <c r="D3344" t="s">
        <v>366</v>
      </c>
      <c r="E3344" t="s">
        <v>367</v>
      </c>
      <c r="F3344" t="s">
        <v>22</v>
      </c>
      <c r="G3344" t="s">
        <v>23</v>
      </c>
      <c r="H3344" t="s">
        <v>1781</v>
      </c>
      <c r="I3344" t="s">
        <v>25</v>
      </c>
      <c r="J3344" s="2">
        <v>45738.539548611108</v>
      </c>
      <c r="K3344">
        <v>22</v>
      </c>
      <c r="L3344">
        <v>3</v>
      </c>
      <c r="M3344">
        <v>2025</v>
      </c>
      <c r="N3344" t="s">
        <v>27</v>
      </c>
      <c r="O3344">
        <v>200</v>
      </c>
      <c r="P3344">
        <v>200</v>
      </c>
      <c r="R3344" s="3" t="str">
        <f>HYPERLINK("https://panda.att.com.mx/ODKServer/view/binaryData?blobKey=FSSuministroFluidosv3%5B%40version%3Dnull+and+%40uiVersion%3Dnull%5D%2Fdata%5B%40key%3Duuid%3A07e26837-eb18-452a-9364-33d843a60fa3%5D%2FgroupInfoFuel%5B%40ordinal%3D1%5D%2FpicFuelRecibeInterno","Descargar")</f>
        <v>Descargar</v>
      </c>
    </row>
    <row r="3345" spans="1:18" x14ac:dyDescent="0.3">
      <c r="A3345">
        <v>1517037</v>
      </c>
      <c r="B3345" t="s">
        <v>18</v>
      </c>
      <c r="C3345" t="s">
        <v>55</v>
      </c>
      <c r="D3345" t="s">
        <v>366</v>
      </c>
      <c r="E3345" t="s">
        <v>2689</v>
      </c>
      <c r="F3345" t="s">
        <v>22</v>
      </c>
      <c r="G3345" t="s">
        <v>23</v>
      </c>
      <c r="H3345" t="s">
        <v>1781</v>
      </c>
      <c r="I3345" t="s">
        <v>25</v>
      </c>
      <c r="J3345" t="s">
        <v>2698</v>
      </c>
      <c r="K3345">
        <v>14</v>
      </c>
      <c r="L3345">
        <v>4</v>
      </c>
      <c r="M3345">
        <v>2025</v>
      </c>
      <c r="N3345" t="s">
        <v>27</v>
      </c>
      <c r="O3345">
        <v>170</v>
      </c>
      <c r="P3345">
        <v>170</v>
      </c>
      <c r="R3345" s="3" t="str">
        <f>HYPERLINK("https://panda.att.com.mx/ODKServer/view/binaryData?blobKey=FSSuministroFluidosv3%5B%40version%3Dnull+and+%40uiVersion%3Dnull%5D%2Fdata%5B%40key%3Duuid%3A29217bba-1e1e-43ab-a83b-ac882ff4a89e%5D%2FgroupInfoFuel%5B%40ordinal%3D1%5D%2FpicFuelRecibeInterno","Descargar")</f>
        <v>Descargar</v>
      </c>
    </row>
    <row r="3346" spans="1:18" x14ac:dyDescent="0.3">
      <c r="A3346">
        <v>1517036</v>
      </c>
      <c r="B3346" t="s">
        <v>18</v>
      </c>
      <c r="C3346" t="s">
        <v>150</v>
      </c>
      <c r="D3346" t="s">
        <v>230</v>
      </c>
      <c r="E3346" t="s">
        <v>1510</v>
      </c>
      <c r="F3346" t="s">
        <v>22</v>
      </c>
      <c r="G3346" t="s">
        <v>23</v>
      </c>
      <c r="H3346" t="s">
        <v>1781</v>
      </c>
      <c r="I3346" t="s">
        <v>25</v>
      </c>
      <c r="J3346" t="s">
        <v>2699</v>
      </c>
      <c r="K3346">
        <v>14</v>
      </c>
      <c r="L3346">
        <v>4</v>
      </c>
      <c r="M3346">
        <v>2025</v>
      </c>
      <c r="N3346" t="s">
        <v>27</v>
      </c>
      <c r="O3346">
        <v>350.02</v>
      </c>
      <c r="P3346">
        <v>350.02</v>
      </c>
      <c r="R3346" s="3" t="str">
        <f>HYPERLINK("https://panda.att.com.mx/ODKServer/view/binaryData?blobKey=FSSuministroFluidosv3%5B%40version%3Dnull+and+%40uiVersion%3Dnull%5D%2Fdata%5B%40key%3Duuid%3Ac1944afc-a165-47bb-afda-dca68268f4eb%5D%2FgroupInfoFuel%5B%40ordinal%3D1%5D%2FpicFuelRecibeInterno","Descargar")</f>
        <v>Descargar</v>
      </c>
    </row>
    <row r="3347" spans="1:18" x14ac:dyDescent="0.3">
      <c r="A3347">
        <v>1517017</v>
      </c>
      <c r="B3347" t="s">
        <v>18</v>
      </c>
      <c r="C3347" t="s">
        <v>150</v>
      </c>
      <c r="D3347" t="s">
        <v>154</v>
      </c>
      <c r="E3347" t="s">
        <v>2700</v>
      </c>
      <c r="F3347" t="s">
        <v>22</v>
      </c>
      <c r="G3347" t="s">
        <v>23</v>
      </c>
      <c r="H3347" t="s">
        <v>1781</v>
      </c>
      <c r="I3347" t="s">
        <v>25</v>
      </c>
      <c r="J3347" s="2">
        <v>45738.577534722222</v>
      </c>
      <c r="K3347">
        <v>22</v>
      </c>
      <c r="L3347">
        <v>3</v>
      </c>
      <c r="M3347">
        <v>2025</v>
      </c>
      <c r="N3347" t="s">
        <v>27</v>
      </c>
      <c r="O3347">
        <v>200.03</v>
      </c>
      <c r="P3347">
        <v>200.03</v>
      </c>
      <c r="R3347" s="3" t="str">
        <f>HYPERLINK("https://panda.att.com.mx/ODKServer/view/binaryData?blobKey=FSSuministroFluidosv3%5B%40version%3Dnull+and+%40uiVersion%3Dnull%5D%2Fdata%5B%40key%3Duuid%3Ac63bc2f0-1b73-460a-99b9-27a0d9332d58%5D%2FgroupInfoFuel%5B%40ordinal%3D1%5D%2FpicFuelRecibeInterno","Descargar")</f>
        <v>Descargar</v>
      </c>
    </row>
    <row r="3348" spans="1:18" x14ac:dyDescent="0.3">
      <c r="A3348">
        <v>1517016</v>
      </c>
      <c r="B3348" t="s">
        <v>18</v>
      </c>
      <c r="C3348" t="s">
        <v>150</v>
      </c>
      <c r="D3348" t="s">
        <v>230</v>
      </c>
      <c r="E3348" t="s">
        <v>2418</v>
      </c>
      <c r="F3348" t="s">
        <v>22</v>
      </c>
      <c r="G3348" t="s">
        <v>23</v>
      </c>
      <c r="H3348" t="s">
        <v>1781</v>
      </c>
      <c r="I3348" t="s">
        <v>25</v>
      </c>
      <c r="J3348" t="s">
        <v>2701</v>
      </c>
      <c r="K3348">
        <v>12</v>
      </c>
      <c r="L3348">
        <v>4</v>
      </c>
      <c r="M3348">
        <v>2025</v>
      </c>
      <c r="N3348" t="s">
        <v>27</v>
      </c>
      <c r="O3348">
        <v>200.02</v>
      </c>
      <c r="P3348">
        <v>200.02</v>
      </c>
      <c r="R3348" s="3" t="str">
        <f>HYPERLINK("https://panda.att.com.mx/ODKServer/view/binaryData?blobKey=FSSuministroFluidosv3%5B%40version%3Dnull+and+%40uiVersion%3Dnull%5D%2Fdata%5B%40key%3Duuid%3A8a9265b5-baf1-469c-b0f4-3c6f92e607d8%5D%2FgroupInfoFuel%5B%40ordinal%3D1%5D%2FpicFuelRecibeInterno","Descargar")</f>
        <v>Descargar</v>
      </c>
    </row>
    <row r="3349" spans="1:18" x14ac:dyDescent="0.3">
      <c r="A3349">
        <v>1517015</v>
      </c>
      <c r="B3349" t="s">
        <v>18</v>
      </c>
      <c r="C3349" t="s">
        <v>150</v>
      </c>
      <c r="D3349" t="s">
        <v>230</v>
      </c>
      <c r="E3349" t="s">
        <v>1510</v>
      </c>
      <c r="F3349" t="s">
        <v>22</v>
      </c>
      <c r="G3349" t="s">
        <v>23</v>
      </c>
      <c r="H3349" t="s">
        <v>1781</v>
      </c>
      <c r="I3349" t="s">
        <v>25</v>
      </c>
      <c r="J3349" t="s">
        <v>2702</v>
      </c>
      <c r="K3349">
        <v>10</v>
      </c>
      <c r="L3349">
        <v>4</v>
      </c>
      <c r="M3349">
        <v>2025</v>
      </c>
      <c r="N3349" t="s">
        <v>27</v>
      </c>
      <c r="O3349">
        <v>250.03</v>
      </c>
      <c r="P3349">
        <v>250.03</v>
      </c>
      <c r="R3349" s="3" t="str">
        <f>HYPERLINK("https://panda.att.com.mx/ODKServer/view/binaryData?blobKey=FSSuministroFluidosv3%5B%40version%3Dnull+and+%40uiVersion%3Dnull%5D%2Fdata%5B%40key%3Duuid%3Acbdcd9a1-8fb7-4f94-80eb-4ced9b4a29b3%5D%2FgroupInfoFuel%5B%40ordinal%3D1%5D%2FpicFuelRecibeInterno","Descargar")</f>
        <v>Descargar</v>
      </c>
    </row>
    <row r="3350" spans="1:18" x14ac:dyDescent="0.3">
      <c r="A3350">
        <v>1517014</v>
      </c>
      <c r="B3350" t="s">
        <v>18</v>
      </c>
      <c r="C3350" t="s">
        <v>150</v>
      </c>
      <c r="D3350" t="s">
        <v>230</v>
      </c>
      <c r="E3350" t="s">
        <v>2418</v>
      </c>
      <c r="F3350" t="s">
        <v>22</v>
      </c>
      <c r="G3350" t="s">
        <v>23</v>
      </c>
      <c r="H3350" t="s">
        <v>1781</v>
      </c>
      <c r="I3350" t="s">
        <v>25</v>
      </c>
      <c r="J3350" t="s">
        <v>2703</v>
      </c>
      <c r="K3350">
        <v>10</v>
      </c>
      <c r="L3350">
        <v>4</v>
      </c>
      <c r="M3350">
        <v>2025</v>
      </c>
      <c r="N3350" t="s">
        <v>27</v>
      </c>
      <c r="O3350">
        <v>250.22</v>
      </c>
      <c r="P3350">
        <v>250.22</v>
      </c>
      <c r="R3350" s="3" t="str">
        <f>HYPERLINK("https://panda.att.com.mx/ODKServer/view/binaryData?blobKey=FSSuministroFluidosv3%5B%40version%3Dnull+and+%40uiVersion%3Dnull%5D%2Fdata%5B%40key%3Duuid%3A3240c041-cbc6-4a6c-888b-d68f45b6747e%5D%2FgroupInfoFuel%5B%40ordinal%3D1%5D%2FpicFuelRecibeInterno","Descargar")</f>
        <v>Descargar</v>
      </c>
    </row>
    <row r="3351" spans="1:18" x14ac:dyDescent="0.3">
      <c r="A3351">
        <v>1517013</v>
      </c>
      <c r="B3351" t="s">
        <v>18</v>
      </c>
      <c r="C3351" t="s">
        <v>150</v>
      </c>
      <c r="D3351" t="s">
        <v>230</v>
      </c>
      <c r="E3351" t="s">
        <v>1510</v>
      </c>
      <c r="F3351" t="s">
        <v>22</v>
      </c>
      <c r="G3351" t="s">
        <v>23</v>
      </c>
      <c r="H3351" t="s">
        <v>1781</v>
      </c>
      <c r="I3351" t="s">
        <v>25</v>
      </c>
      <c r="J3351" t="s">
        <v>2704</v>
      </c>
      <c r="K3351">
        <v>7</v>
      </c>
      <c r="L3351">
        <v>4</v>
      </c>
      <c r="M3351">
        <v>2025</v>
      </c>
      <c r="N3351" t="s">
        <v>27</v>
      </c>
      <c r="O3351">
        <v>400</v>
      </c>
      <c r="P3351">
        <v>400</v>
      </c>
      <c r="R3351" s="3" t="str">
        <f>HYPERLINK("https://panda.att.com.mx/ODKServer/view/binaryData?blobKey=FSSuministroFluidosv3%5B%40version%3Dnull+and+%40uiVersion%3Dnull%5D%2Fdata%5B%40key%3Duuid%3Abfc4dc85-fac9-4ecb-ab2d-86e0ac1b9321%5D%2FgroupInfoFuel%5B%40ordinal%3D1%5D%2FpicFuelRecibeInterno","Descargar")</f>
        <v>Descargar</v>
      </c>
    </row>
    <row r="3352" spans="1:18" x14ac:dyDescent="0.3">
      <c r="A3352">
        <v>1517012</v>
      </c>
      <c r="B3352" t="s">
        <v>18</v>
      </c>
      <c r="C3352" t="s">
        <v>150</v>
      </c>
      <c r="D3352" t="s">
        <v>230</v>
      </c>
      <c r="E3352" t="s">
        <v>2418</v>
      </c>
      <c r="F3352" t="s">
        <v>22</v>
      </c>
      <c r="G3352" t="s">
        <v>23</v>
      </c>
      <c r="H3352" t="s">
        <v>1781</v>
      </c>
      <c r="I3352" t="s">
        <v>25</v>
      </c>
      <c r="J3352" t="s">
        <v>2705</v>
      </c>
      <c r="K3352">
        <v>6</v>
      </c>
      <c r="L3352">
        <v>4</v>
      </c>
      <c r="M3352">
        <v>2025</v>
      </c>
      <c r="N3352" t="s">
        <v>27</v>
      </c>
      <c r="O3352">
        <v>218.55</v>
      </c>
      <c r="P3352">
        <v>218.55</v>
      </c>
      <c r="R3352" s="3" t="str">
        <f>HYPERLINK("https://panda.att.com.mx/ODKServer/view/binaryData?blobKey=FSSuministroFluidosv3%5B%40version%3Dnull+and+%40uiVersion%3Dnull%5D%2Fdata%5B%40key%3Duuid%3Abc46a9b9-d60d-4133-aa36-b3a301bcab18%5D%2FgroupInfoFuel%5B%40ordinal%3D1%5D%2FpicFuelRecibeInterno","Descargar")</f>
        <v>Descargar</v>
      </c>
    </row>
    <row r="3353" spans="1:18" x14ac:dyDescent="0.3">
      <c r="A3353">
        <v>1517011</v>
      </c>
      <c r="B3353" t="s">
        <v>18</v>
      </c>
      <c r="C3353" t="s">
        <v>150</v>
      </c>
      <c r="D3353" t="s">
        <v>230</v>
      </c>
      <c r="E3353" t="s">
        <v>1510</v>
      </c>
      <c r="F3353" t="s">
        <v>22</v>
      </c>
      <c r="G3353" t="s">
        <v>23</v>
      </c>
      <c r="H3353" t="s">
        <v>1781</v>
      </c>
      <c r="I3353" t="s">
        <v>25</v>
      </c>
      <c r="J3353" t="s">
        <v>2706</v>
      </c>
      <c r="K3353">
        <v>3</v>
      </c>
      <c r="L3353">
        <v>4</v>
      </c>
      <c r="M3353">
        <v>2025</v>
      </c>
      <c r="N3353" t="s">
        <v>27</v>
      </c>
      <c r="O3353">
        <v>250.03</v>
      </c>
      <c r="P3353">
        <v>250.03</v>
      </c>
      <c r="R3353" s="3" t="str">
        <f>HYPERLINK("https://panda.att.com.mx/ODKServer/view/binaryData?blobKey=FSSuministroFluidosv3%5B%40version%3Dnull+and+%40uiVersion%3Dnull%5D%2Fdata%5B%40key%3Duuid%3A4e002134-ddaa-4bdb-b126-401f22e5f518%5D%2FgroupInfoFuel%5B%40ordinal%3D1%5D%2FpicFuelRecibeInterno","Descargar")</f>
        <v>Descargar</v>
      </c>
    </row>
    <row r="3354" spans="1:18" x14ac:dyDescent="0.3">
      <c r="A3354">
        <v>1517010</v>
      </c>
      <c r="B3354" t="s">
        <v>18</v>
      </c>
      <c r="C3354" t="s">
        <v>150</v>
      </c>
      <c r="D3354" t="s">
        <v>230</v>
      </c>
      <c r="E3354" t="s">
        <v>399</v>
      </c>
      <c r="F3354" t="s">
        <v>22</v>
      </c>
      <c r="G3354" t="s">
        <v>23</v>
      </c>
      <c r="H3354" t="s">
        <v>1781</v>
      </c>
      <c r="I3354" t="s">
        <v>25</v>
      </c>
      <c r="J3354" t="s">
        <v>2707</v>
      </c>
      <c r="K3354">
        <v>3</v>
      </c>
      <c r="L3354">
        <v>4</v>
      </c>
      <c r="M3354">
        <v>2025</v>
      </c>
      <c r="N3354" t="s">
        <v>27</v>
      </c>
      <c r="O3354">
        <v>200.01</v>
      </c>
      <c r="P3354">
        <v>200.01</v>
      </c>
      <c r="R3354" s="3" t="str">
        <f>HYPERLINK("https://panda.att.com.mx/ODKServer/view/binaryData?blobKey=FSSuministroFluidosv3%5B%40version%3Dnull+and+%40uiVersion%3Dnull%5D%2Fdata%5B%40key%3Duuid%3A43736ee4-626d-428e-9c47-305bb8cacaec%5D%2FgroupInfoFuel%5B%40ordinal%3D1%5D%2FpicFuelRecibeInterno","Descargar")</f>
        <v>Descargar</v>
      </c>
    </row>
    <row r="3355" spans="1:18" x14ac:dyDescent="0.3">
      <c r="A3355">
        <v>1517009</v>
      </c>
      <c r="B3355" t="s">
        <v>18</v>
      </c>
      <c r="C3355" t="s">
        <v>150</v>
      </c>
      <c r="D3355" t="s">
        <v>230</v>
      </c>
      <c r="E3355" t="s">
        <v>399</v>
      </c>
      <c r="F3355" t="s">
        <v>22</v>
      </c>
      <c r="G3355" t="s">
        <v>23</v>
      </c>
      <c r="H3355" t="s">
        <v>1781</v>
      </c>
      <c r="I3355" t="s">
        <v>25</v>
      </c>
      <c r="J3355" t="s">
        <v>2708</v>
      </c>
      <c r="K3355">
        <v>2</v>
      </c>
      <c r="L3355">
        <v>4</v>
      </c>
      <c r="M3355">
        <v>2025</v>
      </c>
      <c r="N3355" t="s">
        <v>44</v>
      </c>
      <c r="O3355">
        <v>50.01</v>
      </c>
      <c r="P3355">
        <v>50.01</v>
      </c>
      <c r="R3355" s="3" t="str">
        <f>HYPERLINK("https://panda.att.com.mx/ODKServer/view/binaryData?blobKey=FSSuministroFluidosv3%5B%40version%3Dnull+and+%40uiVersion%3Dnull%5D%2Fdata%5B%40key%3Duuid%3A250768d8-1344-46fd-be8f-cf7681491c14%5D%2FgroupInfoFuel%5B%40ordinal%3D1%5D%2FpicFuelRecibeInterno","Descargar")</f>
        <v>Descargar</v>
      </c>
    </row>
    <row r="3356" spans="1:18" x14ac:dyDescent="0.3">
      <c r="A3356">
        <v>1517008</v>
      </c>
      <c r="B3356" t="s">
        <v>18</v>
      </c>
      <c r="C3356" t="s">
        <v>150</v>
      </c>
      <c r="D3356" t="s">
        <v>230</v>
      </c>
      <c r="E3356" t="s">
        <v>1510</v>
      </c>
      <c r="F3356" t="s">
        <v>22</v>
      </c>
      <c r="G3356" t="s">
        <v>23</v>
      </c>
      <c r="H3356" t="s">
        <v>1781</v>
      </c>
      <c r="I3356" t="s">
        <v>25</v>
      </c>
      <c r="J3356" s="2">
        <v>45747.70621527778</v>
      </c>
      <c r="K3356">
        <v>31</v>
      </c>
      <c r="L3356">
        <v>3</v>
      </c>
      <c r="M3356">
        <v>2025</v>
      </c>
      <c r="N3356" t="s">
        <v>27</v>
      </c>
      <c r="O3356">
        <v>400</v>
      </c>
      <c r="P3356">
        <v>400</v>
      </c>
      <c r="R3356" s="3" t="str">
        <f>HYPERLINK("https://panda.att.com.mx/ODKServer/view/binaryData?blobKey=FSSuministroFluidosv3%5B%40version%3Dnull+and+%40uiVersion%3Dnull%5D%2Fdata%5B%40key%3Duuid%3Afea52ea5-5c76-44f3-97ee-6b487593afe9%5D%2FgroupInfoFuel%5B%40ordinal%3D1%5D%2FpicFuelRecibeInterno","Descargar")</f>
        <v>Descargar</v>
      </c>
    </row>
    <row r="3357" spans="1:18" x14ac:dyDescent="0.3">
      <c r="A3357">
        <v>1516993</v>
      </c>
      <c r="B3357" t="s">
        <v>18</v>
      </c>
      <c r="C3357" t="s">
        <v>150</v>
      </c>
      <c r="D3357" t="s">
        <v>154</v>
      </c>
      <c r="E3357" t="s">
        <v>2709</v>
      </c>
      <c r="F3357" t="s">
        <v>22</v>
      </c>
      <c r="G3357" t="s">
        <v>23</v>
      </c>
      <c r="H3357" t="s">
        <v>1781</v>
      </c>
      <c r="I3357" t="s">
        <v>25</v>
      </c>
      <c r="J3357" s="2">
        <v>45747.491261574083</v>
      </c>
      <c r="K3357">
        <v>31</v>
      </c>
      <c r="L3357">
        <v>3</v>
      </c>
      <c r="M3357">
        <v>2025</v>
      </c>
      <c r="N3357" t="s">
        <v>27</v>
      </c>
      <c r="O3357">
        <v>250.02</v>
      </c>
      <c r="P3357">
        <v>250.02</v>
      </c>
      <c r="R3357" s="3" t="str">
        <f>HYPERLINK("https://panda.att.com.mx/ODKServer/view/binaryData?blobKey=FSSuministroFluidosv3%5B%40version%3Dnull+and+%40uiVersion%3Dnull%5D%2Fdata%5B%40key%3Duuid%3Ae52e431f-bd6f-439c-ae8f-ea8b5748e48c%5D%2FgroupInfoFuel%5B%40ordinal%3D1%5D%2FpicFuelRecibeInterno","Descargar")</f>
        <v>Descargar</v>
      </c>
    </row>
    <row r="3358" spans="1:18" x14ac:dyDescent="0.3">
      <c r="A3358">
        <v>1516992</v>
      </c>
      <c r="B3358" t="s">
        <v>18</v>
      </c>
      <c r="C3358" t="s">
        <v>150</v>
      </c>
      <c r="D3358" t="s">
        <v>230</v>
      </c>
      <c r="E3358" t="s">
        <v>399</v>
      </c>
      <c r="F3358" t="s">
        <v>22</v>
      </c>
      <c r="G3358" t="s">
        <v>23</v>
      </c>
      <c r="H3358" t="s">
        <v>1781</v>
      </c>
      <c r="I3358" t="s">
        <v>25</v>
      </c>
      <c r="J3358" t="s">
        <v>2710</v>
      </c>
      <c r="K3358">
        <v>1</v>
      </c>
      <c r="L3358">
        <v>4</v>
      </c>
      <c r="M3358">
        <v>2025</v>
      </c>
      <c r="N3358" t="s">
        <v>27</v>
      </c>
      <c r="O3358">
        <v>300.02999999999997</v>
      </c>
      <c r="P3358">
        <v>300.02999999999997</v>
      </c>
      <c r="R3358" s="3" t="str">
        <f>HYPERLINK("https://panda.att.com.mx/ODKServer/view/binaryData?blobKey=FSSuministroFluidosv3%5B%40version%3Dnull+and+%40uiVersion%3Dnull%5D%2Fdata%5B%40key%3Duuid%3A37be885a-da71-4609-a3ca-d876cd09ede8%5D%2FgroupInfoFuel%5B%40ordinal%3D1%5D%2FpicFuelRecibeInterno","Descargar")</f>
        <v>Descargar</v>
      </c>
    </row>
    <row r="3359" spans="1:18" x14ac:dyDescent="0.3">
      <c r="A3359">
        <v>1516991</v>
      </c>
      <c r="B3359" t="s">
        <v>18</v>
      </c>
      <c r="C3359" t="s">
        <v>150</v>
      </c>
      <c r="D3359" t="s">
        <v>154</v>
      </c>
      <c r="E3359" t="s">
        <v>2711</v>
      </c>
      <c r="F3359" t="s">
        <v>22</v>
      </c>
      <c r="G3359" t="s">
        <v>23</v>
      </c>
      <c r="H3359" t="s">
        <v>1781</v>
      </c>
      <c r="I3359" t="s">
        <v>25</v>
      </c>
      <c r="J3359" s="2">
        <v>45745.443738425929</v>
      </c>
      <c r="K3359">
        <v>29</v>
      </c>
      <c r="L3359">
        <v>3</v>
      </c>
      <c r="M3359">
        <v>2025</v>
      </c>
      <c r="N3359" t="s">
        <v>27</v>
      </c>
      <c r="O3359">
        <v>350</v>
      </c>
      <c r="P3359">
        <v>350</v>
      </c>
      <c r="R3359" s="3" t="str">
        <f>HYPERLINK("https://panda.att.com.mx/ODKServer/view/binaryData?blobKey=FSSuministroFluidosv3%5B%40version%3Dnull+and+%40uiVersion%3Dnull%5D%2Fdata%5B%40key%3Duuid%3A153a9afb-351d-4499-89a6-07d28e040569%5D%2FgroupInfoFuel%5B%40ordinal%3D1%5D%2FpicFuelRecibeInterno","Descargar")</f>
        <v>Descargar</v>
      </c>
    </row>
    <row r="3360" spans="1:18" x14ac:dyDescent="0.3">
      <c r="A3360">
        <v>1516990</v>
      </c>
      <c r="B3360" t="s">
        <v>18</v>
      </c>
      <c r="C3360" t="s">
        <v>150</v>
      </c>
      <c r="D3360" t="s">
        <v>230</v>
      </c>
      <c r="E3360" t="s">
        <v>1510</v>
      </c>
      <c r="F3360" t="s">
        <v>22</v>
      </c>
      <c r="G3360" t="s">
        <v>23</v>
      </c>
      <c r="H3360" t="s">
        <v>1781</v>
      </c>
      <c r="I3360" t="s">
        <v>25</v>
      </c>
      <c r="J3360" s="2">
        <v>45740.309432870366</v>
      </c>
      <c r="K3360">
        <v>24</v>
      </c>
      <c r="L3360">
        <v>3</v>
      </c>
      <c r="M3360">
        <v>2025</v>
      </c>
      <c r="N3360" t="s">
        <v>27</v>
      </c>
      <c r="O3360">
        <v>300</v>
      </c>
      <c r="P3360">
        <v>300</v>
      </c>
      <c r="R3360" s="3" t="str">
        <f>HYPERLINK("https://panda.att.com.mx/ODKServer/view/binaryData?blobKey=FSSuministroFluidosv3%5B%40version%3Dnull+and+%40uiVersion%3Dnull%5D%2Fdata%5B%40key%3Duuid%3Ac332e639-a0ed-4364-8542-d364876157bc%5D%2FgroupInfoFuel%5B%40ordinal%3D1%5D%2FpicFuelRecibeInterno","Descargar")</f>
        <v>Descargar</v>
      </c>
    </row>
    <row r="3361" spans="1:18" x14ac:dyDescent="0.3">
      <c r="A3361">
        <v>1516989</v>
      </c>
      <c r="B3361" t="s">
        <v>18</v>
      </c>
      <c r="C3361" t="s">
        <v>150</v>
      </c>
      <c r="D3361" t="s">
        <v>230</v>
      </c>
      <c r="E3361" t="s">
        <v>399</v>
      </c>
      <c r="F3361" t="s">
        <v>22</v>
      </c>
      <c r="G3361" t="s">
        <v>23</v>
      </c>
      <c r="H3361" t="s">
        <v>1781</v>
      </c>
      <c r="I3361" t="s">
        <v>25</v>
      </c>
      <c r="J3361" s="2">
        <v>45739.315150462957</v>
      </c>
      <c r="K3361">
        <v>23</v>
      </c>
      <c r="L3361">
        <v>3</v>
      </c>
      <c r="M3361">
        <v>2025</v>
      </c>
      <c r="N3361" t="s">
        <v>44</v>
      </c>
      <c r="O3361">
        <v>50.03</v>
      </c>
      <c r="P3361">
        <v>50.03</v>
      </c>
      <c r="R3361" s="3" t="str">
        <f>HYPERLINK("https://panda.att.com.mx/ODKServer/view/binaryData?blobKey=FSSuministroFluidosv3%5B%40version%3Dnull+and+%40uiVersion%3Dnull%5D%2Fdata%5B%40key%3Duuid%3A59edd20a-5568-4434-b97b-f9a7d36f8824%5D%2FgroupInfoFuel%5B%40ordinal%3D1%5D%2FpicFuelRecibeInterno","Descargar")</f>
        <v>Descargar</v>
      </c>
    </row>
    <row r="3362" spans="1:18" x14ac:dyDescent="0.3">
      <c r="A3362">
        <v>1516988</v>
      </c>
      <c r="B3362" t="s">
        <v>18</v>
      </c>
      <c r="C3362" t="s">
        <v>150</v>
      </c>
      <c r="D3362" t="s">
        <v>2712</v>
      </c>
      <c r="E3362" t="s">
        <v>2713</v>
      </c>
      <c r="F3362" t="s">
        <v>22</v>
      </c>
      <c r="G3362" t="s">
        <v>23</v>
      </c>
      <c r="H3362" t="s">
        <v>1781</v>
      </c>
      <c r="I3362" t="s">
        <v>25</v>
      </c>
      <c r="J3362" s="2">
        <v>45738.684050925927</v>
      </c>
      <c r="K3362">
        <v>22</v>
      </c>
      <c r="L3362">
        <v>3</v>
      </c>
      <c r="M3362">
        <v>2025</v>
      </c>
      <c r="N3362" t="s">
        <v>27</v>
      </c>
      <c r="O3362">
        <v>250</v>
      </c>
      <c r="P3362">
        <v>250</v>
      </c>
      <c r="R3362" s="3" t="str">
        <f>HYPERLINK("https://panda.att.com.mx/ODKServer/view/binaryData?blobKey=FSSuministroFluidosv3%5B%40version%3Dnull+and+%40uiVersion%3Dnull%5D%2Fdata%5B%40key%3Duuid%3Ad0f02639-2ef7-4992-a4fb-32f54a420756%5D%2FgroupInfoFuel%5B%40ordinal%3D1%5D%2FpicFuelRecibeInterno","Descargar")</f>
        <v>Descargar</v>
      </c>
    </row>
    <row r="3363" spans="1:18" x14ac:dyDescent="0.3">
      <c r="A3363">
        <v>1516987</v>
      </c>
      <c r="B3363" t="s">
        <v>18</v>
      </c>
      <c r="C3363" t="s">
        <v>150</v>
      </c>
      <c r="D3363" t="s">
        <v>154</v>
      </c>
      <c r="E3363" t="s">
        <v>1451</v>
      </c>
      <c r="F3363" t="s">
        <v>22</v>
      </c>
      <c r="G3363" t="s">
        <v>23</v>
      </c>
      <c r="H3363" t="s">
        <v>1781</v>
      </c>
      <c r="I3363" t="s">
        <v>25</v>
      </c>
      <c r="J3363" s="2">
        <v>45738.492013888892</v>
      </c>
      <c r="K3363">
        <v>22</v>
      </c>
      <c r="L3363">
        <v>3</v>
      </c>
      <c r="M3363">
        <v>2025</v>
      </c>
      <c r="N3363" t="s">
        <v>27</v>
      </c>
      <c r="O3363">
        <v>247.12</v>
      </c>
      <c r="P3363">
        <v>247.12</v>
      </c>
      <c r="R3363" s="3" t="str">
        <f>HYPERLINK("https://panda.att.com.mx/ODKServer/view/binaryData?blobKey=FSSuministroFluidosv3%5B%40version%3Dnull+and+%40uiVersion%3Dnull%5D%2Fdata%5B%40key%3Duuid%3A68a72842-7896-4470-bf3e-086dc8e01baf%5D%2FgroupInfoFuel%5B%40ordinal%3D1%5D%2FpicFuelRecibeInterno","Descargar")</f>
        <v>Descargar</v>
      </c>
    </row>
    <row r="3364" spans="1:18" x14ac:dyDescent="0.3">
      <c r="A3364">
        <v>1516986</v>
      </c>
      <c r="B3364" t="s">
        <v>18</v>
      </c>
      <c r="C3364" t="s">
        <v>150</v>
      </c>
      <c r="D3364" t="s">
        <v>154</v>
      </c>
      <c r="E3364" t="s">
        <v>2714</v>
      </c>
      <c r="F3364" t="s">
        <v>22</v>
      </c>
      <c r="G3364" t="s">
        <v>23</v>
      </c>
      <c r="H3364" t="s">
        <v>1781</v>
      </c>
      <c r="I3364" t="s">
        <v>25</v>
      </c>
      <c r="J3364" s="2">
        <v>45738.420601851853</v>
      </c>
      <c r="K3364">
        <v>22</v>
      </c>
      <c r="L3364">
        <v>3</v>
      </c>
      <c r="M3364">
        <v>2025</v>
      </c>
      <c r="N3364" t="s">
        <v>27</v>
      </c>
      <c r="O3364">
        <v>292.02</v>
      </c>
      <c r="P3364">
        <v>292.02</v>
      </c>
      <c r="R3364" s="3" t="str">
        <f>HYPERLINK("https://panda.att.com.mx/ODKServer/view/binaryData?blobKey=FSSuministroFluidosv3%5B%40version%3Dnull+and+%40uiVersion%3Dnull%5D%2Fdata%5B%40key%3Duuid%3Aefa1dfb4-e2cf-4b1b-a07a-af7cbd97fc68%5D%2FgroupInfoFuel%5B%40ordinal%3D1%5D%2FpicFuelRecibeInterno","Descargar")</f>
        <v>Descargar</v>
      </c>
    </row>
    <row r="3365" spans="1:18" x14ac:dyDescent="0.3">
      <c r="A3365">
        <v>1516985</v>
      </c>
      <c r="B3365" t="s">
        <v>18</v>
      </c>
      <c r="C3365" t="s">
        <v>150</v>
      </c>
      <c r="D3365" t="s">
        <v>230</v>
      </c>
      <c r="E3365" t="s">
        <v>1510</v>
      </c>
      <c r="F3365" t="s">
        <v>22</v>
      </c>
      <c r="G3365" t="s">
        <v>23</v>
      </c>
      <c r="H3365" t="s">
        <v>1781</v>
      </c>
      <c r="I3365" t="s">
        <v>25</v>
      </c>
      <c r="J3365" s="2">
        <v>45743.352442129632</v>
      </c>
      <c r="K3365">
        <v>27</v>
      </c>
      <c r="L3365">
        <v>3</v>
      </c>
      <c r="M3365">
        <v>2025</v>
      </c>
      <c r="N3365" t="s">
        <v>27</v>
      </c>
      <c r="O3365">
        <v>330</v>
      </c>
      <c r="P3365">
        <v>330</v>
      </c>
      <c r="R3365" s="3" t="str">
        <f>HYPERLINK("https://panda.att.com.mx/ODKServer/view/binaryData?blobKey=FSSuministroFluidosv3%5B%40version%3Dnull+and+%40uiVersion%3Dnull%5D%2Fdata%5B%40key%3Duuid%3A5bee8607-2618-47f7-b16f-c832b0d75d9c%5D%2FgroupInfoFuel%5B%40ordinal%3D1%5D%2FpicFuelRecibeInterno","Descargar")</f>
        <v>Descargar</v>
      </c>
    </row>
    <row r="3366" spans="1:18" x14ac:dyDescent="0.3">
      <c r="A3366">
        <v>1516984</v>
      </c>
      <c r="B3366" t="s">
        <v>18</v>
      </c>
      <c r="C3366" t="s">
        <v>150</v>
      </c>
      <c r="D3366" t="s">
        <v>230</v>
      </c>
      <c r="E3366" t="s">
        <v>399</v>
      </c>
      <c r="F3366" t="s">
        <v>22</v>
      </c>
      <c r="G3366" t="s">
        <v>23</v>
      </c>
      <c r="H3366" t="s">
        <v>1781</v>
      </c>
      <c r="I3366" t="s">
        <v>25</v>
      </c>
      <c r="J3366" s="2">
        <v>45744.339201388888</v>
      </c>
      <c r="K3366">
        <v>28</v>
      </c>
      <c r="L3366">
        <v>3</v>
      </c>
      <c r="M3366">
        <v>2025</v>
      </c>
      <c r="N3366" t="s">
        <v>27</v>
      </c>
      <c r="O3366">
        <v>250.03</v>
      </c>
      <c r="P3366">
        <v>250.03</v>
      </c>
      <c r="R3366" s="3" t="str">
        <f>HYPERLINK("https://panda.att.com.mx/ODKServer/view/binaryData?blobKey=FSSuministroFluidosv3%5B%40version%3Dnull+and+%40uiVersion%3Dnull%5D%2Fdata%5B%40key%3Duuid%3Abd329f90-02c6-42b0-bfdb-9c7d4a3f2955%5D%2FgroupInfoFuel%5B%40ordinal%3D1%5D%2FpicFuelRecibeInterno","Descargar")</f>
        <v>Descargar</v>
      </c>
    </row>
    <row r="3367" spans="1:18" x14ac:dyDescent="0.3">
      <c r="A3367">
        <v>1516983</v>
      </c>
      <c r="B3367" t="s">
        <v>18</v>
      </c>
      <c r="C3367" t="s">
        <v>150</v>
      </c>
      <c r="D3367" t="s">
        <v>230</v>
      </c>
      <c r="E3367" t="s">
        <v>890</v>
      </c>
      <c r="F3367" t="s">
        <v>22</v>
      </c>
      <c r="G3367" t="s">
        <v>23</v>
      </c>
      <c r="H3367" t="s">
        <v>1781</v>
      </c>
      <c r="I3367" t="s">
        <v>25</v>
      </c>
      <c r="J3367" s="2">
        <v>45743.453113425923</v>
      </c>
      <c r="K3367">
        <v>27</v>
      </c>
      <c r="L3367">
        <v>3</v>
      </c>
      <c r="M3367">
        <v>2025</v>
      </c>
      <c r="N3367" t="s">
        <v>27</v>
      </c>
      <c r="O3367">
        <v>200.03</v>
      </c>
      <c r="P3367">
        <v>200.03</v>
      </c>
      <c r="R3367" s="3" t="str">
        <f>HYPERLINK("https://panda.att.com.mx/ODKServer/view/binaryData?blobKey=FSSuministroFluidosv3%5B%40version%3Dnull+and+%40uiVersion%3Dnull%5D%2Fdata%5B%40key%3Duuid%3Aacea015b-2339-4330-b613-d273356bcea6%5D%2FgroupInfoFuel%5B%40ordinal%3D1%5D%2FpicFuelRecibeInterno","Descargar")</f>
        <v>Descargar</v>
      </c>
    </row>
    <row r="3368" spans="1:18" x14ac:dyDescent="0.3">
      <c r="A3368">
        <v>1516982</v>
      </c>
      <c r="B3368" t="s">
        <v>18</v>
      </c>
      <c r="C3368" t="s">
        <v>150</v>
      </c>
      <c r="D3368" t="s">
        <v>230</v>
      </c>
      <c r="E3368" t="s">
        <v>399</v>
      </c>
      <c r="F3368" t="s">
        <v>22</v>
      </c>
      <c r="G3368" t="s">
        <v>23</v>
      </c>
      <c r="H3368" t="s">
        <v>1781</v>
      </c>
      <c r="I3368" t="s">
        <v>25</v>
      </c>
      <c r="J3368" s="2">
        <v>45741.393240740741</v>
      </c>
      <c r="K3368">
        <v>25</v>
      </c>
      <c r="L3368">
        <v>3</v>
      </c>
      <c r="M3368">
        <v>2025</v>
      </c>
      <c r="N3368" t="s">
        <v>27</v>
      </c>
      <c r="O3368">
        <v>300.02</v>
      </c>
      <c r="P3368">
        <v>300.02</v>
      </c>
      <c r="R3368" s="3" t="str">
        <f>HYPERLINK("https://panda.att.com.mx/ODKServer/view/binaryData?blobKey=FSSuministroFluidosv3%5B%40version%3Dnull+and+%40uiVersion%3Dnull%5D%2Fdata%5B%40key%3Duuid%3A271fcb57-e110-42b8-ae64-8e1a412ab796%5D%2FgroupInfoFuel%5B%40ordinal%3D1%5D%2FpicFuelRecibeInterno","Descargar")</f>
        <v>Descargar</v>
      </c>
    </row>
    <row r="3369" spans="1:18" x14ac:dyDescent="0.3">
      <c r="A3369">
        <v>1516977</v>
      </c>
      <c r="B3369" t="s">
        <v>18</v>
      </c>
      <c r="C3369" t="s">
        <v>150</v>
      </c>
      <c r="D3369" t="s">
        <v>230</v>
      </c>
      <c r="E3369" t="s">
        <v>399</v>
      </c>
      <c r="F3369" t="s">
        <v>22</v>
      </c>
      <c r="G3369" t="s">
        <v>23</v>
      </c>
      <c r="H3369" t="s">
        <v>1781</v>
      </c>
      <c r="I3369" t="s">
        <v>25</v>
      </c>
      <c r="J3369" s="2">
        <v>45737.531076388892</v>
      </c>
      <c r="K3369">
        <v>21</v>
      </c>
      <c r="L3369">
        <v>3</v>
      </c>
      <c r="M3369">
        <v>2025</v>
      </c>
      <c r="N3369" t="s">
        <v>27</v>
      </c>
      <c r="O3369">
        <v>269.04000000000002</v>
      </c>
      <c r="P3369">
        <v>269.04000000000002</v>
      </c>
      <c r="R3369" s="3" t="str">
        <f>HYPERLINK("https://panda.att.com.mx/ODKServer/view/binaryData?blobKey=FSSuministroFluidosv3%5B%40version%3Dnull+and+%40uiVersion%3Dnull%5D%2Fdata%5B%40key%3Duuid%3A4532c56d-66fe-47a9-8fce-ed92b4246347%5D%2FgroupInfoFuel%5B%40ordinal%3D1%5D%2FpicFuelRecibeInterno","Descargar")</f>
        <v>Descargar</v>
      </c>
    </row>
    <row r="3370" spans="1:18" x14ac:dyDescent="0.3">
      <c r="A3370">
        <v>1516976</v>
      </c>
      <c r="B3370" t="s">
        <v>18</v>
      </c>
      <c r="C3370" t="s">
        <v>150</v>
      </c>
      <c r="D3370" t="s">
        <v>230</v>
      </c>
      <c r="E3370" t="s">
        <v>2715</v>
      </c>
      <c r="F3370" t="s">
        <v>22</v>
      </c>
      <c r="G3370" t="s">
        <v>23</v>
      </c>
      <c r="H3370" t="s">
        <v>1781</v>
      </c>
      <c r="I3370" t="s">
        <v>25</v>
      </c>
      <c r="J3370" s="2">
        <v>45737.471712962957</v>
      </c>
      <c r="K3370">
        <v>21</v>
      </c>
      <c r="L3370">
        <v>3</v>
      </c>
      <c r="M3370">
        <v>2025</v>
      </c>
      <c r="N3370" t="s">
        <v>27</v>
      </c>
      <c r="O3370">
        <v>200.01</v>
      </c>
      <c r="P3370">
        <v>200.01</v>
      </c>
      <c r="R3370" s="3" t="str">
        <f>HYPERLINK("https://panda.att.com.mx/ODKServer/view/binaryData?blobKey=FSSuministroFluidosv3%5B%40version%3Dnull+and+%40uiVersion%3Dnull%5D%2Fdata%5B%40key%3Duuid%3A81db4172-c8af-4054-8947-c7b09f58f905%5D%2FgroupInfoFuel%5B%40ordinal%3D1%5D%2FpicFuelRecibeInterno","Descargar")</f>
        <v>Descargar</v>
      </c>
    </row>
    <row r="3371" spans="1:18" x14ac:dyDescent="0.3">
      <c r="A3371">
        <v>1516975</v>
      </c>
      <c r="B3371" t="s">
        <v>18</v>
      </c>
      <c r="C3371" t="s">
        <v>150</v>
      </c>
      <c r="D3371" t="s">
        <v>230</v>
      </c>
      <c r="E3371" t="s">
        <v>1051</v>
      </c>
      <c r="F3371" t="s">
        <v>22</v>
      </c>
      <c r="G3371" t="s">
        <v>23</v>
      </c>
      <c r="H3371" t="s">
        <v>1781</v>
      </c>
      <c r="I3371" t="s">
        <v>25</v>
      </c>
      <c r="J3371" s="2">
        <v>45737.334224537037</v>
      </c>
      <c r="K3371">
        <v>21</v>
      </c>
      <c r="L3371">
        <v>3</v>
      </c>
      <c r="M3371">
        <v>2025</v>
      </c>
      <c r="N3371" t="s">
        <v>27</v>
      </c>
      <c r="O3371">
        <v>250</v>
      </c>
      <c r="P3371">
        <v>250</v>
      </c>
      <c r="R3371" s="3" t="str">
        <f>HYPERLINK("https://panda.att.com.mx/ODKServer/view/binaryData?blobKey=FSSuministroFluidosv3%5B%40version%3Dnull+and+%40uiVersion%3Dnull%5D%2Fdata%5B%40key%3Duuid%3A0576befa-1d66-49c1-8b1a-4444ed644ff9%5D%2FgroupInfoFuel%5B%40ordinal%3D1%5D%2FpicFuelRecibeInterno","Descargar")</f>
        <v>Descargar</v>
      </c>
    </row>
    <row r="3372" spans="1:18" x14ac:dyDescent="0.3">
      <c r="A3372">
        <v>1516943</v>
      </c>
      <c r="B3372" t="s">
        <v>18</v>
      </c>
      <c r="C3372" t="s">
        <v>100</v>
      </c>
      <c r="D3372" t="s">
        <v>854</v>
      </c>
      <c r="E3372" t="s">
        <v>993</v>
      </c>
      <c r="F3372" t="s">
        <v>22</v>
      </c>
      <c r="G3372" t="s">
        <v>83</v>
      </c>
      <c r="H3372" t="s">
        <v>1781</v>
      </c>
      <c r="I3372" t="s">
        <v>25</v>
      </c>
      <c r="J3372" t="s">
        <v>2716</v>
      </c>
      <c r="K3372">
        <v>9</v>
      </c>
      <c r="L3372">
        <v>4</v>
      </c>
      <c r="M3372">
        <v>2025</v>
      </c>
      <c r="N3372" t="s">
        <v>27</v>
      </c>
      <c r="O3372">
        <v>200</v>
      </c>
      <c r="P3372">
        <v>200</v>
      </c>
      <c r="R3372" s="3" t="str">
        <f>HYPERLINK("https://panda.att.com.mx/ODKServer/view/binaryData?blobKey=FSSuministroFluidosv3%5B%40version%3Dnull+and+%40uiVersion%3Dnull%5D%2Fdata%5B%40key%3Duuid%3A73ec6eb4-42b0-4269-8dff-09d560ae6c1f%5D%2FgroupInfoFuel%5B%40ordinal%3D1%5D%2FpicFuelRecibeInterno","Descargar")</f>
        <v>Descargar</v>
      </c>
    </row>
    <row r="3373" spans="1:18" x14ac:dyDescent="0.3">
      <c r="A3373">
        <v>1516942</v>
      </c>
      <c r="B3373" t="s">
        <v>18</v>
      </c>
      <c r="C3373" t="s">
        <v>100</v>
      </c>
      <c r="D3373" t="s">
        <v>854</v>
      </c>
      <c r="E3373" t="s">
        <v>855</v>
      </c>
      <c r="F3373" t="s">
        <v>22</v>
      </c>
      <c r="G3373" t="s">
        <v>23</v>
      </c>
      <c r="H3373" t="s">
        <v>1781</v>
      </c>
      <c r="I3373" t="s">
        <v>25</v>
      </c>
      <c r="J3373" t="s">
        <v>2717</v>
      </c>
      <c r="K3373">
        <v>9</v>
      </c>
      <c r="L3373">
        <v>4</v>
      </c>
      <c r="M3373">
        <v>2025</v>
      </c>
      <c r="N3373" t="s">
        <v>27</v>
      </c>
      <c r="O3373">
        <v>400</v>
      </c>
      <c r="P3373">
        <v>200</v>
      </c>
      <c r="Q3373">
        <v>200</v>
      </c>
      <c r="R3373" s="3" t="str">
        <f>HYPERLINK("https://panda.att.com.mx/ODKServer/view/binaryData?blobKey=FSSuministroFluidosv3%5B%40version%3Dnull+and+%40uiVersion%3Dnull%5D%2Fdata%5B%40key%3Duuid%3Ab456073e-543a-4fbc-87ea-41b9931f3b76%5D%2FgroupInfoFuel%5B%40ordinal%3D1%5D%2FpicFuelRecibeInterno","Descargar")</f>
        <v>Descargar</v>
      </c>
    </row>
    <row r="3374" spans="1:18" x14ac:dyDescent="0.3">
      <c r="A3374">
        <v>1516941</v>
      </c>
      <c r="B3374" t="s">
        <v>18</v>
      </c>
      <c r="C3374" t="s">
        <v>100</v>
      </c>
      <c r="D3374" t="s">
        <v>854</v>
      </c>
      <c r="E3374" t="s">
        <v>993</v>
      </c>
      <c r="F3374" t="s">
        <v>22</v>
      </c>
      <c r="G3374" t="s">
        <v>83</v>
      </c>
      <c r="H3374" t="s">
        <v>1781</v>
      </c>
      <c r="I3374" t="s">
        <v>25</v>
      </c>
      <c r="J3374" t="s">
        <v>2718</v>
      </c>
      <c r="K3374">
        <v>6</v>
      </c>
      <c r="L3374">
        <v>4</v>
      </c>
      <c r="M3374">
        <v>2025</v>
      </c>
      <c r="N3374" t="s">
        <v>27</v>
      </c>
      <c r="O3374">
        <v>220</v>
      </c>
      <c r="P3374">
        <v>220</v>
      </c>
      <c r="R3374" s="3" t="str">
        <f>HYPERLINK("https://panda.att.com.mx/ODKServer/view/binaryData?blobKey=FSSuministroFluidosv3%5B%40version%3Dnull+and+%40uiVersion%3Dnull%5D%2Fdata%5B%40key%3Duuid%3A6d992dc5-8280-46b1-8021-6a4df711bffd%5D%2FgroupInfoFuel%5B%40ordinal%3D1%5D%2FpicFuelRecibeInterno","Descargar")</f>
        <v>Descargar</v>
      </c>
    </row>
    <row r="3375" spans="1:18" x14ac:dyDescent="0.3">
      <c r="A3375">
        <v>1516907</v>
      </c>
      <c r="B3375" t="s">
        <v>18</v>
      </c>
      <c r="C3375" t="s">
        <v>100</v>
      </c>
      <c r="D3375" t="s">
        <v>716</v>
      </c>
      <c r="E3375" t="s">
        <v>717</v>
      </c>
      <c r="F3375" t="s">
        <v>22</v>
      </c>
      <c r="G3375" t="s">
        <v>83</v>
      </c>
      <c r="H3375" t="s">
        <v>1781</v>
      </c>
      <c r="I3375" t="s">
        <v>25</v>
      </c>
      <c r="J3375" t="s">
        <v>2719</v>
      </c>
      <c r="K3375">
        <v>11</v>
      </c>
      <c r="L3375">
        <v>4</v>
      </c>
      <c r="M3375">
        <v>2025</v>
      </c>
      <c r="N3375" t="s">
        <v>27</v>
      </c>
      <c r="O3375">
        <v>150</v>
      </c>
      <c r="P3375">
        <v>150</v>
      </c>
      <c r="R3375" s="3" t="str">
        <f>HYPERLINK("https://panda.att.com.mx/ODKServer/view/binaryData?blobKey=FSSuministroFluidosv3%5B%40version%3Dnull+and+%40uiVersion%3Dnull%5D%2Fdata%5B%40key%3Duuid%3Af32722b1-fb42-4b56-8446-5601d9594168%5D%2FgroupInfoFuel%5B%40ordinal%3D1%5D%2FpicFuelRecibeInterno","Descargar")</f>
        <v>Descargar</v>
      </c>
    </row>
    <row r="3376" spans="1:18" x14ac:dyDescent="0.3">
      <c r="A3376">
        <v>1516906</v>
      </c>
      <c r="B3376" t="s">
        <v>18</v>
      </c>
      <c r="C3376" t="s">
        <v>100</v>
      </c>
      <c r="D3376" t="s">
        <v>716</v>
      </c>
      <c r="E3376" t="s">
        <v>717</v>
      </c>
      <c r="F3376" t="s">
        <v>22</v>
      </c>
      <c r="G3376" t="s">
        <v>83</v>
      </c>
      <c r="H3376" t="s">
        <v>1781</v>
      </c>
      <c r="I3376" t="s">
        <v>25</v>
      </c>
      <c r="J3376" t="s">
        <v>2720</v>
      </c>
      <c r="K3376">
        <v>9</v>
      </c>
      <c r="L3376">
        <v>4</v>
      </c>
      <c r="M3376">
        <v>2025</v>
      </c>
      <c r="N3376" t="s">
        <v>27</v>
      </c>
      <c r="O3376">
        <v>150</v>
      </c>
      <c r="P3376">
        <v>150</v>
      </c>
      <c r="R3376" s="3" t="str">
        <f>HYPERLINK("https://panda.att.com.mx/ODKServer/view/binaryData?blobKey=FSSuministroFluidosv3%5B%40version%3Dnull+and+%40uiVersion%3Dnull%5D%2Fdata%5B%40key%3Duuid%3A4c6c9a61-3096-474a-8aba-088a5983541c%5D%2FgroupInfoFuel%5B%40ordinal%3D1%5D%2FpicFuelRecibeInterno","Descargar")</f>
        <v>Descargar</v>
      </c>
    </row>
    <row r="3377" spans="1:18" x14ac:dyDescent="0.3">
      <c r="A3377">
        <v>1515064</v>
      </c>
      <c r="B3377" t="s">
        <v>18</v>
      </c>
      <c r="C3377" t="s">
        <v>59</v>
      </c>
      <c r="D3377" t="s">
        <v>60</v>
      </c>
      <c r="E3377" t="s">
        <v>2721</v>
      </c>
      <c r="F3377" t="s">
        <v>22</v>
      </c>
      <c r="G3377" t="s">
        <v>23</v>
      </c>
      <c r="H3377" t="s">
        <v>1816</v>
      </c>
      <c r="I3377" t="s">
        <v>25</v>
      </c>
      <c r="J3377" t="s">
        <v>2722</v>
      </c>
      <c r="K3377">
        <v>9</v>
      </c>
      <c r="L3377">
        <v>4</v>
      </c>
      <c r="M3377">
        <v>2025</v>
      </c>
      <c r="N3377" t="s">
        <v>27</v>
      </c>
      <c r="O3377">
        <v>30</v>
      </c>
      <c r="P3377">
        <v>30</v>
      </c>
      <c r="R3377" s="3" t="str">
        <f>HYPERLINK("https://panda.att.com.mx/ODKServer/view/binaryData?blobKey=FSSuministroFluidosv3%5B%40version%3Dnull+and+%40uiVersion%3Dnull%5D%2Fdata%5B%40key%3Duuid%3Af65b1d9e-cb08-4c0e-9867-44fef390cabe%5D%2FgroupInfoFuel%5B%40ordinal%3D1%5D%2FpicFuelRecibeInterno","Descargar")</f>
        <v>Descargar</v>
      </c>
    </row>
    <row r="3378" spans="1:18" x14ac:dyDescent="0.3">
      <c r="A3378">
        <v>1515048</v>
      </c>
      <c r="B3378" t="s">
        <v>18</v>
      </c>
      <c r="C3378" t="s">
        <v>19</v>
      </c>
      <c r="D3378" t="s">
        <v>140</v>
      </c>
      <c r="E3378" t="s">
        <v>1599</v>
      </c>
      <c r="F3378" t="s">
        <v>22</v>
      </c>
      <c r="G3378" t="s">
        <v>23</v>
      </c>
      <c r="H3378" t="s">
        <v>24</v>
      </c>
      <c r="I3378" t="s">
        <v>25</v>
      </c>
      <c r="J3378" t="s">
        <v>2723</v>
      </c>
      <c r="K3378">
        <v>7</v>
      </c>
      <c r="L3378">
        <v>4</v>
      </c>
      <c r="M3378">
        <v>2025</v>
      </c>
      <c r="N3378" t="s">
        <v>27</v>
      </c>
      <c r="O3378">
        <v>100</v>
      </c>
      <c r="P3378">
        <v>100</v>
      </c>
      <c r="R3378" s="3" t="str">
        <f>HYPERLINK("https://panda.att.com.mx/ODKServer/view/binaryData?blobKey=FSSuministroFluidosv3%5B%40version%3Dnull+and+%40uiVersion%3Dnull%5D%2Fdata%5B%40key%3Duuid%3A39fd20c5-e009-4d41-8127-6d46e8f122cd%5D%2FgroupInfoFuel%5B%40ordinal%3D1%5D%2FpicFuelRecibeInterno","Descargar")</f>
        <v>Descargar</v>
      </c>
    </row>
    <row r="3379" spans="1:18" x14ac:dyDescent="0.3">
      <c r="A3379">
        <v>1515043</v>
      </c>
      <c r="B3379" t="s">
        <v>18</v>
      </c>
      <c r="C3379" t="s">
        <v>19</v>
      </c>
      <c r="D3379" t="s">
        <v>140</v>
      </c>
      <c r="E3379" t="s">
        <v>1599</v>
      </c>
      <c r="F3379" t="s">
        <v>22</v>
      </c>
      <c r="G3379" t="s">
        <v>23</v>
      </c>
      <c r="H3379" t="s">
        <v>24</v>
      </c>
      <c r="I3379" t="s">
        <v>25</v>
      </c>
      <c r="J3379" t="s">
        <v>2724</v>
      </c>
      <c r="K3379">
        <v>10</v>
      </c>
      <c r="L3379">
        <v>4</v>
      </c>
      <c r="M3379">
        <v>2025</v>
      </c>
      <c r="N3379" t="s">
        <v>27</v>
      </c>
      <c r="O3379">
        <v>150</v>
      </c>
      <c r="P3379">
        <v>150</v>
      </c>
      <c r="R3379" s="3" t="str">
        <f>HYPERLINK("https://panda.att.com.mx/ODKServer/view/binaryData?blobKey=FSSuministroFluidosv3%5B%40version%3Dnull+and+%40uiVersion%3Dnull%5D%2Fdata%5B%40key%3Duuid%3A843072fa-7ddd-4ad5-a001-27b97fde53f1%5D%2FgroupInfoFuel%5B%40ordinal%3D1%5D%2FpicFuelRecibeInterno","Descargar")</f>
        <v>Descargar</v>
      </c>
    </row>
    <row r="3380" spans="1:18" x14ac:dyDescent="0.3">
      <c r="A3380">
        <v>1515039</v>
      </c>
      <c r="B3380" t="s">
        <v>18</v>
      </c>
      <c r="C3380" t="s">
        <v>19</v>
      </c>
      <c r="D3380" t="s">
        <v>140</v>
      </c>
      <c r="E3380" t="s">
        <v>257</v>
      </c>
      <c r="F3380" t="s">
        <v>22</v>
      </c>
      <c r="G3380" t="s">
        <v>23</v>
      </c>
      <c r="H3380" t="s">
        <v>24</v>
      </c>
      <c r="I3380" t="s">
        <v>25</v>
      </c>
      <c r="J3380" t="s">
        <v>2725</v>
      </c>
      <c r="K3380">
        <v>7</v>
      </c>
      <c r="L3380">
        <v>4</v>
      </c>
      <c r="M3380">
        <v>2025</v>
      </c>
      <c r="N3380" t="s">
        <v>27</v>
      </c>
      <c r="O3380">
        <v>100</v>
      </c>
      <c r="P3380">
        <v>100</v>
      </c>
      <c r="R3380" s="3" t="str">
        <f>HYPERLINK("https://panda.att.com.mx/ODKServer/view/binaryData?blobKey=FSSuministroFluidosv3%5B%40version%3Dnull+and+%40uiVersion%3Dnull%5D%2Fdata%5B%40key%3Duuid%3A87602dfc-307e-48fe-b6dd-de447d43696e%5D%2FgroupInfoFuel%5B%40ordinal%3D1%5D%2FpicFuelRecibeInterno","Descargar")</f>
        <v>Descargar</v>
      </c>
    </row>
    <row r="3381" spans="1:18" x14ac:dyDescent="0.3">
      <c r="A3381">
        <v>1515038</v>
      </c>
      <c r="B3381" t="s">
        <v>18</v>
      </c>
      <c r="C3381" t="s">
        <v>19</v>
      </c>
      <c r="D3381" t="s">
        <v>347</v>
      </c>
      <c r="E3381" t="s">
        <v>353</v>
      </c>
      <c r="F3381" t="s">
        <v>22</v>
      </c>
      <c r="G3381" t="s">
        <v>23</v>
      </c>
      <c r="H3381" t="s">
        <v>24</v>
      </c>
      <c r="I3381" t="s">
        <v>25</v>
      </c>
      <c r="J3381" t="s">
        <v>2726</v>
      </c>
      <c r="K3381">
        <v>8</v>
      </c>
      <c r="L3381">
        <v>4</v>
      </c>
      <c r="M3381">
        <v>2025</v>
      </c>
      <c r="N3381" t="s">
        <v>27</v>
      </c>
      <c r="O3381">
        <v>200</v>
      </c>
      <c r="P3381">
        <v>200</v>
      </c>
      <c r="R3381" s="3" t="str">
        <f>HYPERLINK("https://panda.att.com.mx/ODKServer/view/binaryData?blobKey=FSSuministroFluidosv3%5B%40version%3Dnull+and+%40uiVersion%3Dnull%5D%2Fdata%5B%40key%3Duuid%3Af7925411-30c9-4bcd-9223-03cc83897e1d%5D%2FgroupInfoFuel%5B%40ordinal%3D1%5D%2FpicFuelRecibeInterno","Descargar")</f>
        <v>Descargar</v>
      </c>
    </row>
    <row r="3382" spans="1:18" x14ac:dyDescent="0.3">
      <c r="A3382">
        <v>1515006</v>
      </c>
      <c r="B3382" t="s">
        <v>18</v>
      </c>
      <c r="C3382" t="s">
        <v>55</v>
      </c>
      <c r="D3382" t="s">
        <v>56</v>
      </c>
      <c r="E3382" t="s">
        <v>2188</v>
      </c>
      <c r="F3382" t="s">
        <v>22</v>
      </c>
      <c r="G3382" t="s">
        <v>23</v>
      </c>
      <c r="H3382" t="s">
        <v>1763</v>
      </c>
      <c r="I3382" t="s">
        <v>25</v>
      </c>
      <c r="J3382" t="s">
        <v>2727</v>
      </c>
      <c r="K3382">
        <v>1</v>
      </c>
      <c r="L3382">
        <v>4</v>
      </c>
      <c r="M3382">
        <v>2025</v>
      </c>
      <c r="N3382" t="s">
        <v>27</v>
      </c>
      <c r="O3382">
        <v>100</v>
      </c>
      <c r="P3382">
        <v>100</v>
      </c>
      <c r="R3382" s="3" t="str">
        <f>HYPERLINK("https://panda.att.com.mx/ODKServer/view/binaryData?blobKey=FSSuministroFluidosv3%5B%40version%3Dnull+and+%40uiVersion%3Dnull%5D%2Fdata%5B%40key%3Duuid%3Ab2aa6f44-f391-45c7-9723-6ea06d140f5b%5D%2FgroupInfoFuel%5B%40ordinal%3D1%5D%2FpicFuelRecibeInterno","Descargar")</f>
        <v>Descargar</v>
      </c>
    </row>
    <row r="3383" spans="1:18" x14ac:dyDescent="0.3">
      <c r="A3383">
        <v>1515001</v>
      </c>
      <c r="B3383" t="s">
        <v>18</v>
      </c>
      <c r="C3383" t="s">
        <v>55</v>
      </c>
      <c r="D3383" t="s">
        <v>56</v>
      </c>
      <c r="E3383" t="s">
        <v>320</v>
      </c>
      <c r="F3383" t="s">
        <v>22</v>
      </c>
      <c r="G3383" t="s">
        <v>23</v>
      </c>
      <c r="H3383" t="s">
        <v>1763</v>
      </c>
      <c r="I3383" t="s">
        <v>25</v>
      </c>
      <c r="J3383" t="s">
        <v>2728</v>
      </c>
      <c r="K3383">
        <v>1</v>
      </c>
      <c r="L3383">
        <v>4</v>
      </c>
      <c r="M3383">
        <v>2025</v>
      </c>
      <c r="N3383" t="s">
        <v>27</v>
      </c>
      <c r="O3383">
        <v>300</v>
      </c>
      <c r="P3383">
        <v>300</v>
      </c>
      <c r="R3383" s="3" t="str">
        <f>HYPERLINK("https://panda.att.com.mx/ODKServer/view/binaryData?blobKey=FSSuministroFluidosv3%5B%40version%3Dnull+and+%40uiVersion%3Dnull%5D%2Fdata%5B%40key%3Duuid%3A1fee44d4-2989-43f9-bfb1-9c5f81bf3d3b%5D%2FgroupInfoFuel%5B%40ordinal%3D1%5D%2FpicFuelRecibeInterno","Descargar")</f>
        <v>Descargar</v>
      </c>
    </row>
    <row r="3384" spans="1:18" x14ac:dyDescent="0.3">
      <c r="A3384">
        <v>1515000</v>
      </c>
      <c r="B3384" t="s">
        <v>18</v>
      </c>
      <c r="C3384" t="s">
        <v>19</v>
      </c>
      <c r="D3384" t="s">
        <v>140</v>
      </c>
      <c r="E3384" t="s">
        <v>2729</v>
      </c>
      <c r="F3384" t="s">
        <v>22</v>
      </c>
      <c r="G3384" t="s">
        <v>23</v>
      </c>
      <c r="H3384" t="s">
        <v>24</v>
      </c>
      <c r="I3384" t="s">
        <v>25</v>
      </c>
      <c r="J3384" t="s">
        <v>2730</v>
      </c>
      <c r="K3384">
        <v>10</v>
      </c>
      <c r="L3384">
        <v>4</v>
      </c>
      <c r="M3384">
        <v>2025</v>
      </c>
      <c r="N3384" t="s">
        <v>27</v>
      </c>
      <c r="O3384">
        <v>200</v>
      </c>
      <c r="P3384">
        <v>200</v>
      </c>
      <c r="R3384" s="3" t="str">
        <f>HYPERLINK("https://panda.att.com.mx/ODKServer/view/binaryData?blobKey=FSSuministroFluidosv3%5B%40version%3Dnull+and+%40uiVersion%3Dnull%5D%2Fdata%5B%40key%3Duuid%3A1f34922d-69b1-41ca-905d-9f770859ec83%5D%2FgroupInfoFuel%5B%40ordinal%3D1%5D%2FpicFuelRecibeInterno","Descargar")</f>
        <v>Descargar</v>
      </c>
    </row>
    <row r="3385" spans="1:18" x14ac:dyDescent="0.3">
      <c r="A3385">
        <v>1514957</v>
      </c>
      <c r="B3385" t="s">
        <v>18</v>
      </c>
      <c r="C3385" t="s">
        <v>55</v>
      </c>
      <c r="D3385" t="s">
        <v>288</v>
      </c>
      <c r="E3385" t="s">
        <v>1954</v>
      </c>
      <c r="F3385" t="s">
        <v>22</v>
      </c>
      <c r="G3385" t="s">
        <v>23</v>
      </c>
      <c r="H3385" t="s">
        <v>1763</v>
      </c>
      <c r="I3385" t="s">
        <v>25</v>
      </c>
      <c r="J3385" t="s">
        <v>2731</v>
      </c>
      <c r="K3385">
        <v>10</v>
      </c>
      <c r="L3385">
        <v>4</v>
      </c>
      <c r="M3385">
        <v>2025</v>
      </c>
      <c r="N3385" t="s">
        <v>27</v>
      </c>
      <c r="O3385">
        <v>300</v>
      </c>
      <c r="P3385">
        <v>300</v>
      </c>
      <c r="R3385" s="3" t="str">
        <f>HYPERLINK("https://panda.att.com.mx/ODKServer/view/binaryData?blobKey=FSSuministroFluidosv3%5B%40version%3Dnull+and+%40uiVersion%3Dnull%5D%2Fdata%5B%40key%3Duuid%3A61f34d20-27e9-4302-8f5d-f80924e0758f%5D%2FgroupInfoFuel%5B%40ordinal%3D1%5D%2FpicFuelRecibeInterno","Descargar")</f>
        <v>Descargar</v>
      </c>
    </row>
    <row r="3386" spans="1:18" x14ac:dyDescent="0.3">
      <c r="A3386">
        <v>1514939</v>
      </c>
      <c r="B3386" t="s">
        <v>18</v>
      </c>
      <c r="C3386" t="s">
        <v>55</v>
      </c>
      <c r="D3386" t="s">
        <v>288</v>
      </c>
      <c r="E3386" t="s">
        <v>440</v>
      </c>
      <c r="F3386" t="s">
        <v>22</v>
      </c>
      <c r="G3386" t="s">
        <v>23</v>
      </c>
      <c r="H3386" t="s">
        <v>1763</v>
      </c>
      <c r="I3386" t="s">
        <v>25</v>
      </c>
      <c r="J3386" t="s">
        <v>2732</v>
      </c>
      <c r="K3386">
        <v>10</v>
      </c>
      <c r="L3386">
        <v>4</v>
      </c>
      <c r="M3386">
        <v>2025</v>
      </c>
      <c r="N3386" t="s">
        <v>27</v>
      </c>
      <c r="O3386">
        <v>250</v>
      </c>
      <c r="P3386">
        <v>250</v>
      </c>
      <c r="R3386" s="3" t="str">
        <f>HYPERLINK("https://panda.att.com.mx/ODKServer/view/binaryData?blobKey=FSSuministroFluidosv3%5B%40version%3Dnull+and+%40uiVersion%3Dnull%5D%2Fdata%5B%40key%3Duuid%3A1a48338f-3a05-4548-a5b6-01bdff9a801a%5D%2FgroupInfoFuel%5B%40ordinal%3D1%5D%2FpicFuelRecibeInterno","Descargar")</f>
        <v>Descargar</v>
      </c>
    </row>
    <row r="3387" spans="1:18" x14ac:dyDescent="0.3">
      <c r="A3387">
        <v>1514875</v>
      </c>
      <c r="B3387" t="s">
        <v>18</v>
      </c>
      <c r="C3387" t="s">
        <v>59</v>
      </c>
      <c r="D3387" t="s">
        <v>60</v>
      </c>
      <c r="E3387" t="s">
        <v>2283</v>
      </c>
      <c r="F3387" t="s">
        <v>22</v>
      </c>
      <c r="G3387" t="s">
        <v>23</v>
      </c>
      <c r="H3387" t="s">
        <v>37</v>
      </c>
      <c r="I3387" t="s">
        <v>25</v>
      </c>
      <c r="J3387" t="s">
        <v>2733</v>
      </c>
      <c r="K3387">
        <v>9</v>
      </c>
      <c r="L3387">
        <v>4</v>
      </c>
      <c r="M3387">
        <v>2025</v>
      </c>
      <c r="N3387" t="s">
        <v>27</v>
      </c>
      <c r="O3387">
        <v>393</v>
      </c>
      <c r="P3387">
        <v>393</v>
      </c>
      <c r="R3387" s="3" t="str">
        <f>HYPERLINK("https://panda.att.com.mx/ODKServer/view/binaryData?blobKey=FSSuministroFluidosv3%5B%40version%3Dnull+and+%40uiVersion%3Dnull%5D%2Fdata%5B%40key%3Duuid%3Ae9b7e5a4-c2ae-4eb8-8b3c-312dd2695b21%5D%2FgroupInfoFuel%5B%40ordinal%3D1%5D%2FpicFuelRecibeInterno","Descargar")</f>
        <v>Descargar</v>
      </c>
    </row>
    <row r="3388" spans="1:18" x14ac:dyDescent="0.3">
      <c r="A3388">
        <v>1514852</v>
      </c>
      <c r="B3388" t="s">
        <v>18</v>
      </c>
      <c r="C3388" t="s">
        <v>34</v>
      </c>
      <c r="D3388" t="s">
        <v>53</v>
      </c>
      <c r="E3388" t="s">
        <v>144</v>
      </c>
      <c r="F3388" t="s">
        <v>22</v>
      </c>
      <c r="G3388" t="s">
        <v>23</v>
      </c>
      <c r="H3388" t="s">
        <v>37</v>
      </c>
      <c r="I3388" t="s">
        <v>25</v>
      </c>
      <c r="J3388" t="s">
        <v>2734</v>
      </c>
      <c r="K3388">
        <v>9</v>
      </c>
      <c r="L3388">
        <v>4</v>
      </c>
      <c r="M3388">
        <v>2025</v>
      </c>
      <c r="N3388" t="s">
        <v>27</v>
      </c>
      <c r="O3388">
        <v>300</v>
      </c>
      <c r="P3388">
        <v>300</v>
      </c>
      <c r="R3388" s="3" t="str">
        <f>HYPERLINK("https://panda.att.com.mx/ODKServer/view/binaryData?blobKey=FSSuministroFluidosv3%5B%40version%3Dnull+and+%40uiVersion%3Dnull%5D%2Fdata%5B%40key%3Duuid%3A7cbcb152-1373-4665-b51b-ae923afcac14%5D%2FgroupInfoFuel%5B%40ordinal%3D1%5D%2FpicFuelRecibeInterno","Descargar")</f>
        <v>Descargar</v>
      </c>
    </row>
    <row r="3389" spans="1:18" x14ac:dyDescent="0.3">
      <c r="A3389">
        <v>1514840</v>
      </c>
      <c r="B3389" t="s">
        <v>18</v>
      </c>
      <c r="C3389" t="s">
        <v>55</v>
      </c>
      <c r="D3389" t="s">
        <v>56</v>
      </c>
      <c r="E3389" t="s">
        <v>2735</v>
      </c>
      <c r="F3389" t="s">
        <v>22</v>
      </c>
      <c r="G3389" t="s">
        <v>23</v>
      </c>
      <c r="H3389" t="s">
        <v>1763</v>
      </c>
      <c r="I3389" t="s">
        <v>25</v>
      </c>
      <c r="J3389" s="2">
        <v>45737.631053240737</v>
      </c>
      <c r="K3389">
        <v>21</v>
      </c>
      <c r="L3389">
        <v>3</v>
      </c>
      <c r="M3389">
        <v>2025</v>
      </c>
      <c r="N3389" t="s">
        <v>27</v>
      </c>
      <c r="O3389">
        <v>100</v>
      </c>
      <c r="P3389">
        <v>100</v>
      </c>
      <c r="R3389" s="3" t="str">
        <f>HYPERLINK("https://panda.att.com.mx/ODKServer/view/binaryData?blobKey=FSSuministroFluidosv3%5B%40version%3Dnull+and+%40uiVersion%3Dnull%5D%2Fdata%5B%40key%3Duuid%3A3c2e4874-3e87-493b-93ae-44cf2b77dc14%5D%2FgroupInfoFuel%5B%40ordinal%3D1%5D%2FpicFuelRecibeInterno","Descargar")</f>
        <v>Descargar</v>
      </c>
    </row>
    <row r="3390" spans="1:18" x14ac:dyDescent="0.3">
      <c r="A3390">
        <v>1514839</v>
      </c>
      <c r="B3390" t="s">
        <v>18</v>
      </c>
      <c r="C3390" t="s">
        <v>55</v>
      </c>
      <c r="D3390" t="s">
        <v>56</v>
      </c>
      <c r="E3390" t="s">
        <v>2735</v>
      </c>
      <c r="F3390" t="s">
        <v>22</v>
      </c>
      <c r="G3390" t="s">
        <v>23</v>
      </c>
      <c r="H3390" t="s">
        <v>1763</v>
      </c>
      <c r="I3390" t="s">
        <v>25</v>
      </c>
      <c r="J3390" s="2">
        <v>45743.565567129634</v>
      </c>
      <c r="K3390">
        <v>27</v>
      </c>
      <c r="L3390">
        <v>3</v>
      </c>
      <c r="M3390">
        <v>2025</v>
      </c>
      <c r="N3390" t="s">
        <v>27</v>
      </c>
      <c r="O3390">
        <v>100</v>
      </c>
      <c r="P3390">
        <v>100</v>
      </c>
      <c r="R3390" s="3" t="str">
        <f>HYPERLINK("https://panda.att.com.mx/ODKServer/view/binaryData?blobKey=FSSuministroFluidosv3%5B%40version%3Dnull+and+%40uiVersion%3Dnull%5D%2Fdata%5B%40key%3Duuid%3Ac5604a1e-5990-4d47-9a55-f36cc4f23155%5D%2FgroupInfoFuel%5B%40ordinal%3D1%5D%2FpicFuelRecibeInterno","Descargar")</f>
        <v>Descargar</v>
      </c>
    </row>
    <row r="3391" spans="1:18" x14ac:dyDescent="0.3">
      <c r="A3391">
        <v>1514838</v>
      </c>
      <c r="B3391" t="s">
        <v>18</v>
      </c>
      <c r="C3391" t="s">
        <v>55</v>
      </c>
      <c r="D3391" t="s">
        <v>56</v>
      </c>
      <c r="E3391" t="s">
        <v>2735</v>
      </c>
      <c r="F3391" t="s">
        <v>22</v>
      </c>
      <c r="G3391" t="s">
        <v>23</v>
      </c>
      <c r="H3391" t="s">
        <v>1763</v>
      </c>
      <c r="I3391" t="s">
        <v>25</v>
      </c>
      <c r="J3391" s="2">
        <v>45745.425613425927</v>
      </c>
      <c r="K3391">
        <v>29</v>
      </c>
      <c r="L3391">
        <v>3</v>
      </c>
      <c r="M3391">
        <v>2025</v>
      </c>
      <c r="N3391" t="s">
        <v>27</v>
      </c>
      <c r="O3391">
        <v>100</v>
      </c>
      <c r="P3391">
        <v>100</v>
      </c>
      <c r="R3391" s="3" t="str">
        <f>HYPERLINK("https://panda.att.com.mx/ODKServer/view/binaryData?blobKey=FSSuministroFluidosv3%5B%40version%3Dnull+and+%40uiVersion%3Dnull%5D%2Fdata%5B%40key%3Duuid%3Abb51e912-198f-48a4-b6fe-cabb3dc7baa4%5D%2FgroupInfoFuel%5B%40ordinal%3D1%5D%2FpicFuelRecibeInterno","Descargar")</f>
        <v>Descargar</v>
      </c>
    </row>
    <row r="3392" spans="1:18" x14ac:dyDescent="0.3">
      <c r="A3392">
        <v>1514837</v>
      </c>
      <c r="B3392" t="s">
        <v>18</v>
      </c>
      <c r="C3392" t="s">
        <v>55</v>
      </c>
      <c r="D3392" t="s">
        <v>56</v>
      </c>
      <c r="E3392" t="s">
        <v>2735</v>
      </c>
      <c r="F3392" t="s">
        <v>22</v>
      </c>
      <c r="G3392" t="s">
        <v>23</v>
      </c>
      <c r="H3392" t="s">
        <v>1763</v>
      </c>
      <c r="I3392" t="s">
        <v>25</v>
      </c>
      <c r="J3392" s="2">
        <v>45746.379907407398</v>
      </c>
      <c r="K3392">
        <v>30</v>
      </c>
      <c r="L3392">
        <v>3</v>
      </c>
      <c r="M3392">
        <v>2025</v>
      </c>
      <c r="N3392" t="s">
        <v>27</v>
      </c>
      <c r="O3392">
        <v>100</v>
      </c>
      <c r="P3392">
        <v>100</v>
      </c>
      <c r="R3392" s="3" t="str">
        <f>HYPERLINK("https://panda.att.com.mx/ODKServer/view/binaryData?blobKey=FSSuministroFluidosv3%5B%40version%3Dnull+and+%40uiVersion%3Dnull%5D%2Fdata%5B%40key%3Duuid%3A571d1fc3-bc57-4ead-b99c-37920189c3a0%5D%2FgroupInfoFuel%5B%40ordinal%3D1%5D%2FpicFuelRecibeInterno","Descargar")</f>
        <v>Descargar</v>
      </c>
    </row>
    <row r="3393" spans="1:18" x14ac:dyDescent="0.3">
      <c r="A3393">
        <v>1514836</v>
      </c>
      <c r="B3393" t="s">
        <v>18</v>
      </c>
      <c r="C3393" t="s">
        <v>183</v>
      </c>
      <c r="D3393" t="s">
        <v>841</v>
      </c>
      <c r="E3393" t="s">
        <v>2736</v>
      </c>
      <c r="F3393" t="s">
        <v>22</v>
      </c>
      <c r="G3393" t="s">
        <v>23</v>
      </c>
      <c r="H3393" t="s">
        <v>1763</v>
      </c>
      <c r="I3393" t="s">
        <v>25</v>
      </c>
      <c r="J3393" s="2">
        <v>45746.418020833327</v>
      </c>
      <c r="K3393">
        <v>30</v>
      </c>
      <c r="L3393">
        <v>3</v>
      </c>
      <c r="M3393">
        <v>2025</v>
      </c>
      <c r="N3393" t="s">
        <v>27</v>
      </c>
      <c r="O3393">
        <v>100</v>
      </c>
      <c r="P3393">
        <v>100</v>
      </c>
      <c r="R3393" s="3" t="str">
        <f>HYPERLINK("https://panda.att.com.mx/ODKServer/view/binaryData?blobKey=FSSuministroFluidosv3%5B%40version%3Dnull+and+%40uiVersion%3Dnull%5D%2Fdata%5B%40key%3Duuid%3Af53ae84e-d536-4511-afd7-075aaf812db9%5D%2FgroupInfoFuel%5B%40ordinal%3D1%5D%2FpicFuelRecibeInterno","Descargar")</f>
        <v>Descargar</v>
      </c>
    </row>
    <row r="3394" spans="1:18" x14ac:dyDescent="0.3">
      <c r="A3394">
        <v>1514831</v>
      </c>
      <c r="B3394" t="s">
        <v>18</v>
      </c>
      <c r="C3394" t="s">
        <v>55</v>
      </c>
      <c r="D3394" t="s">
        <v>56</v>
      </c>
      <c r="E3394" t="s">
        <v>2737</v>
      </c>
      <c r="F3394" t="s">
        <v>22</v>
      </c>
      <c r="G3394" t="s">
        <v>23</v>
      </c>
      <c r="H3394" t="s">
        <v>1763</v>
      </c>
      <c r="I3394" t="s">
        <v>25</v>
      </c>
      <c r="J3394" s="2">
        <v>45747.424178240741</v>
      </c>
      <c r="K3394">
        <v>31</v>
      </c>
      <c r="L3394">
        <v>3</v>
      </c>
      <c r="M3394">
        <v>2025</v>
      </c>
      <c r="N3394" t="s">
        <v>27</v>
      </c>
      <c r="O3394">
        <v>300</v>
      </c>
      <c r="P3394">
        <v>300</v>
      </c>
      <c r="R3394" s="3" t="str">
        <f>HYPERLINK("https://panda.att.com.mx/ODKServer/view/binaryData?blobKey=FSSuministroFluidosv3%5B%40version%3Dnull+and+%40uiVersion%3Dnull%5D%2Fdata%5B%40key%3Duuid%3A0b4d506e-d16b-4900-a5ea-055c801e4f4d%5D%2FgroupInfoFuel%5B%40ordinal%3D1%5D%2FpicFuelRecibeInterno","Descargar")</f>
        <v>Descargar</v>
      </c>
    </row>
    <row r="3395" spans="1:18" x14ac:dyDescent="0.3">
      <c r="A3395">
        <v>1514830</v>
      </c>
      <c r="B3395" t="s">
        <v>18</v>
      </c>
      <c r="C3395" t="s">
        <v>55</v>
      </c>
      <c r="D3395" t="s">
        <v>56</v>
      </c>
      <c r="E3395" t="s">
        <v>2735</v>
      </c>
      <c r="F3395" t="s">
        <v>22</v>
      </c>
      <c r="G3395" t="s">
        <v>23</v>
      </c>
      <c r="H3395" t="s">
        <v>1763</v>
      </c>
      <c r="I3395" t="s">
        <v>25</v>
      </c>
      <c r="J3395" s="2">
        <v>45747.472974537042</v>
      </c>
      <c r="K3395">
        <v>31</v>
      </c>
      <c r="L3395">
        <v>3</v>
      </c>
      <c r="M3395">
        <v>2025</v>
      </c>
      <c r="N3395" t="s">
        <v>27</v>
      </c>
      <c r="O3395">
        <v>100</v>
      </c>
      <c r="P3395">
        <v>100</v>
      </c>
      <c r="R3395" s="3" t="str">
        <f>HYPERLINK("https://panda.att.com.mx/ODKServer/view/binaryData?blobKey=FSSuministroFluidosv3%5B%40version%3Dnull+and+%40uiVersion%3Dnull%5D%2Fdata%5B%40key%3Duuid%3Ad1c6b077-56ae-4eca-8594-6ee1764c0c95%5D%2FgroupInfoFuel%5B%40ordinal%3D1%5D%2FpicFuelRecibeInterno","Descargar")</f>
        <v>Descargar</v>
      </c>
    </row>
    <row r="3396" spans="1:18" x14ac:dyDescent="0.3">
      <c r="A3396">
        <v>1514811</v>
      </c>
      <c r="B3396" t="s">
        <v>18</v>
      </c>
      <c r="C3396" t="s">
        <v>59</v>
      </c>
      <c r="D3396" t="s">
        <v>60</v>
      </c>
      <c r="E3396" t="s">
        <v>2738</v>
      </c>
      <c r="F3396" t="s">
        <v>22</v>
      </c>
      <c r="G3396" t="s">
        <v>23</v>
      </c>
      <c r="H3396" t="s">
        <v>37</v>
      </c>
      <c r="I3396" t="s">
        <v>25</v>
      </c>
      <c r="J3396" t="s">
        <v>2739</v>
      </c>
      <c r="K3396">
        <v>9</v>
      </c>
      <c r="L3396">
        <v>4</v>
      </c>
      <c r="M3396">
        <v>2025</v>
      </c>
      <c r="N3396" t="s">
        <v>27</v>
      </c>
      <c r="O3396">
        <v>131.34</v>
      </c>
      <c r="P3396">
        <v>131.34</v>
      </c>
      <c r="R3396" s="3" t="str">
        <f>HYPERLINK("https://panda.att.com.mx/ODKServer/view/binaryData?blobKey=FSSuministroFluidosv3%5B%40version%3Dnull+and+%40uiVersion%3Dnull%5D%2Fdata%5B%40key%3Duuid%3A1e502e97-ef6c-423b-8108-18eb1fc6b14a%5D%2FgroupInfoFuel%5B%40ordinal%3D1%5D%2FpicFuelRecibeInterno","Descargar")</f>
        <v>Descargar</v>
      </c>
    </row>
    <row r="3397" spans="1:18" x14ac:dyDescent="0.3">
      <c r="A3397">
        <v>1514800</v>
      </c>
      <c r="B3397" t="s">
        <v>18</v>
      </c>
      <c r="C3397" t="s">
        <v>19</v>
      </c>
      <c r="D3397" t="s">
        <v>45</v>
      </c>
      <c r="E3397" t="s">
        <v>752</v>
      </c>
      <c r="F3397" t="s">
        <v>22</v>
      </c>
      <c r="G3397" t="s">
        <v>23</v>
      </c>
      <c r="H3397" t="s">
        <v>24</v>
      </c>
      <c r="I3397" t="s">
        <v>25</v>
      </c>
      <c r="J3397" t="s">
        <v>2740</v>
      </c>
      <c r="K3397">
        <v>6</v>
      </c>
      <c r="L3397">
        <v>4</v>
      </c>
      <c r="M3397">
        <v>2025</v>
      </c>
      <c r="N3397" t="s">
        <v>27</v>
      </c>
      <c r="O3397">
        <v>300</v>
      </c>
      <c r="P3397">
        <v>300</v>
      </c>
      <c r="R3397" s="3" t="str">
        <f>HYPERLINK("https://panda.att.com.mx/ODKServer/view/binaryData?blobKey=FSSuministroFluidosv3%5B%40version%3Dnull+and+%40uiVersion%3Dnull%5D%2Fdata%5B%40key%3Duuid%3A801bd5ef-097c-4853-b267-7576c7aaa7b2%5D%2FgroupInfoFuel%5B%40ordinal%3D1%5D%2FpicFuelRecibeInterno","Descargar")</f>
        <v>Descargar</v>
      </c>
    </row>
    <row r="3398" spans="1:18" x14ac:dyDescent="0.3">
      <c r="A3398">
        <v>1514799</v>
      </c>
      <c r="B3398" t="s">
        <v>18</v>
      </c>
      <c r="C3398" t="s">
        <v>28</v>
      </c>
      <c r="D3398" t="s">
        <v>111</v>
      </c>
      <c r="E3398" t="s">
        <v>2574</v>
      </c>
      <c r="F3398" t="s">
        <v>22</v>
      </c>
      <c r="G3398" t="s">
        <v>23</v>
      </c>
      <c r="H3398" t="s">
        <v>24</v>
      </c>
      <c r="I3398" t="s">
        <v>25</v>
      </c>
      <c r="J3398" t="s">
        <v>2741</v>
      </c>
      <c r="K3398">
        <v>8</v>
      </c>
      <c r="L3398">
        <v>4</v>
      </c>
      <c r="M3398">
        <v>2025</v>
      </c>
      <c r="N3398" t="s">
        <v>44</v>
      </c>
      <c r="O3398">
        <v>50</v>
      </c>
      <c r="Q3398">
        <v>50</v>
      </c>
      <c r="R3398" s="3" t="str">
        <f>HYPERLINK("https://panda.att.com.mx/ODKServer/view/binaryData?blobKey=FSSuministroFluidosv3%5B%40version%3Dnull+and+%40uiVersion%3Dnull%5D%2Fdata%5B%40key%3Duuid%3A56c01490-39c0-4054-8e0b-44f6ae608183%5D%2FgroupInfoFuel%5B%40ordinal%3D1%5D%2FpicFuelRecibeInterno","Descargar")</f>
        <v>Descargar</v>
      </c>
    </row>
    <row r="3399" spans="1:18" x14ac:dyDescent="0.3">
      <c r="A3399">
        <v>1514791</v>
      </c>
      <c r="B3399" t="s">
        <v>18</v>
      </c>
      <c r="C3399" t="s">
        <v>28</v>
      </c>
      <c r="D3399" t="s">
        <v>111</v>
      </c>
      <c r="E3399" t="s">
        <v>2574</v>
      </c>
      <c r="F3399" t="s">
        <v>22</v>
      </c>
      <c r="G3399" t="s">
        <v>23</v>
      </c>
      <c r="H3399" t="s">
        <v>24</v>
      </c>
      <c r="I3399" t="s">
        <v>25</v>
      </c>
      <c r="J3399" t="s">
        <v>2742</v>
      </c>
      <c r="K3399">
        <v>8</v>
      </c>
      <c r="L3399">
        <v>4</v>
      </c>
      <c r="M3399">
        <v>2025</v>
      </c>
      <c r="N3399" t="s">
        <v>44</v>
      </c>
      <c r="O3399">
        <v>50</v>
      </c>
      <c r="Q3399">
        <v>50</v>
      </c>
      <c r="R3399" s="3" t="str">
        <f>HYPERLINK("https://panda.att.com.mx/ODKServer/view/binaryData?blobKey=FSSuministroFluidosv3%5B%40version%3Dnull+and+%40uiVersion%3Dnull%5D%2Fdata%5B%40key%3Duuid%3A9008703a-77ff-462d-8d34-aa51e2e2019f%5D%2FgroupInfoFuel%5B%40ordinal%3D1%5D%2FpicFuelRecibeInterno","Descargar")</f>
        <v>Descargar</v>
      </c>
    </row>
    <row r="3400" spans="1:18" x14ac:dyDescent="0.3">
      <c r="A3400">
        <v>1514790</v>
      </c>
      <c r="B3400" t="s">
        <v>18</v>
      </c>
      <c r="C3400" t="s">
        <v>59</v>
      </c>
      <c r="D3400" t="s">
        <v>60</v>
      </c>
      <c r="E3400" t="s">
        <v>2207</v>
      </c>
      <c r="F3400" t="s">
        <v>22</v>
      </c>
      <c r="G3400" t="s">
        <v>23</v>
      </c>
      <c r="H3400" t="s">
        <v>37</v>
      </c>
      <c r="I3400" t="s">
        <v>25</v>
      </c>
      <c r="J3400" t="s">
        <v>2743</v>
      </c>
      <c r="K3400">
        <v>6</v>
      </c>
      <c r="L3400">
        <v>4</v>
      </c>
      <c r="M3400">
        <v>2025</v>
      </c>
      <c r="N3400" t="s">
        <v>27</v>
      </c>
      <c r="O3400">
        <v>180</v>
      </c>
      <c r="P3400">
        <v>180</v>
      </c>
      <c r="R3400" s="3" t="str">
        <f>HYPERLINK("https://panda.att.com.mx/ODKServer/view/binaryData?blobKey=FSSuministroFluidosv3%5B%40version%3Dnull+and+%40uiVersion%3Dnull%5D%2Fdata%5B%40key%3Duuid%3A88a000fe-89ab-4ba1-8160-9a1899d15cc4%5D%2FgroupInfoFuel%5B%40ordinal%3D1%5D%2FpicFuelRecibeInterno","Descargar")</f>
        <v>Descargar</v>
      </c>
    </row>
    <row r="3401" spans="1:18" x14ac:dyDescent="0.3">
      <c r="A3401">
        <v>1514779</v>
      </c>
      <c r="B3401" t="s">
        <v>18</v>
      </c>
      <c r="C3401" t="s">
        <v>59</v>
      </c>
      <c r="D3401" t="s">
        <v>60</v>
      </c>
      <c r="E3401" t="s">
        <v>2744</v>
      </c>
      <c r="F3401" t="s">
        <v>22</v>
      </c>
      <c r="G3401" t="s">
        <v>23</v>
      </c>
      <c r="H3401" t="s">
        <v>37</v>
      </c>
      <c r="I3401" t="s">
        <v>25</v>
      </c>
      <c r="J3401" t="s">
        <v>2745</v>
      </c>
      <c r="K3401">
        <v>7</v>
      </c>
      <c r="L3401">
        <v>4</v>
      </c>
      <c r="M3401">
        <v>2025</v>
      </c>
      <c r="N3401" t="s">
        <v>27</v>
      </c>
      <c r="O3401">
        <v>250</v>
      </c>
      <c r="P3401">
        <v>250</v>
      </c>
      <c r="R3401" s="3" t="str">
        <f>HYPERLINK("https://panda.att.com.mx/ODKServer/view/binaryData?blobKey=FSSuministroFluidosv3%5B%40version%3Dnull+and+%40uiVersion%3Dnull%5D%2Fdata%5B%40key%3Duuid%3A72b7297d-13e1-43d9-bf94-42d33e67d1ff%5D%2FgroupInfoFuel%5B%40ordinal%3D1%5D%2FpicFuelRecibeInterno","Descargar")</f>
        <v>Descargar</v>
      </c>
    </row>
    <row r="3402" spans="1:18" x14ac:dyDescent="0.3">
      <c r="A3402">
        <v>1516266</v>
      </c>
      <c r="B3402" t="s">
        <v>18</v>
      </c>
      <c r="C3402" t="s">
        <v>68</v>
      </c>
      <c r="D3402" t="s">
        <v>219</v>
      </c>
      <c r="E3402" t="s">
        <v>221</v>
      </c>
      <c r="F3402" t="s">
        <v>22</v>
      </c>
      <c r="G3402" t="s">
        <v>23</v>
      </c>
      <c r="H3402" t="s">
        <v>37</v>
      </c>
      <c r="I3402" t="s">
        <v>25</v>
      </c>
      <c r="J3402" t="s">
        <v>2746</v>
      </c>
      <c r="K3402">
        <v>11</v>
      </c>
      <c r="L3402">
        <v>4</v>
      </c>
      <c r="M3402">
        <v>2025</v>
      </c>
      <c r="N3402" t="s">
        <v>27</v>
      </c>
      <c r="O3402">
        <v>150</v>
      </c>
      <c r="P3402">
        <v>150</v>
      </c>
      <c r="R3402" s="3" t="str">
        <f>HYPERLINK("https://panda.att.com.mx/ODKServer/view/binaryData?blobKey=FSSuministroFluidosv3%5B%40version%3Dnull+and+%40uiVersion%3Dnull%5D%2Fdata%5B%40key%3Duuid%3A6ca00ba2-cb91-459a-87bb-51c16fa868f3%5D%2FgroupInfoFuel%5B%40ordinal%3D1%5D%2FpicFuelRecibeInterno","Descargar")</f>
        <v>Descargar</v>
      </c>
    </row>
    <row r="3403" spans="1:18" x14ac:dyDescent="0.3">
      <c r="A3403">
        <v>1516258</v>
      </c>
      <c r="B3403" t="s">
        <v>18</v>
      </c>
      <c r="C3403" t="s">
        <v>59</v>
      </c>
      <c r="D3403" t="s">
        <v>60</v>
      </c>
      <c r="E3403" t="s">
        <v>1067</v>
      </c>
      <c r="F3403" t="s">
        <v>22</v>
      </c>
      <c r="G3403" t="s">
        <v>23</v>
      </c>
      <c r="H3403" t="s">
        <v>37</v>
      </c>
      <c r="I3403" t="s">
        <v>25</v>
      </c>
      <c r="J3403" t="s">
        <v>2747</v>
      </c>
      <c r="K3403">
        <v>10</v>
      </c>
      <c r="L3403">
        <v>4</v>
      </c>
      <c r="M3403">
        <v>2025</v>
      </c>
      <c r="N3403" t="s">
        <v>27</v>
      </c>
      <c r="O3403">
        <v>250</v>
      </c>
      <c r="Q3403">
        <v>250</v>
      </c>
      <c r="R3403" s="3" t="str">
        <f>HYPERLINK("https://panda.att.com.mx/ODKServer/view/binaryData?blobKey=FSSuministroFluidosv3%5B%40version%3Dnull+and+%40uiVersion%3Dnull%5D%2Fdata%5B%40key%3Duuid%3A736fee90-1b9d-411d-9a62-e33e254c1d1a%5D%2FgroupInfoFuel%5B%40ordinal%3D1%5D%2FpicFuelRecibeInterno","Descargar")</f>
        <v>Descargar</v>
      </c>
    </row>
    <row r="3404" spans="1:18" x14ac:dyDescent="0.3">
      <c r="A3404">
        <v>1516257</v>
      </c>
      <c r="B3404" t="s">
        <v>18</v>
      </c>
      <c r="C3404" t="s">
        <v>68</v>
      </c>
      <c r="D3404" t="s">
        <v>219</v>
      </c>
      <c r="E3404" t="s">
        <v>2748</v>
      </c>
      <c r="F3404" t="s">
        <v>22</v>
      </c>
      <c r="G3404" t="s">
        <v>23</v>
      </c>
      <c r="H3404" t="s">
        <v>37</v>
      </c>
      <c r="I3404" t="s">
        <v>25</v>
      </c>
      <c r="J3404" t="s">
        <v>2749</v>
      </c>
      <c r="K3404">
        <v>11</v>
      </c>
      <c r="L3404">
        <v>4</v>
      </c>
      <c r="M3404">
        <v>2025</v>
      </c>
      <c r="N3404" t="s">
        <v>27</v>
      </c>
      <c r="O3404">
        <v>50</v>
      </c>
      <c r="Q3404">
        <v>50</v>
      </c>
      <c r="R3404" s="3" t="str">
        <f>HYPERLINK("https://panda.att.com.mx/ODKServer/view/binaryData?blobKey=FSSuministroFluidosv3%5B%40version%3Dnull+and+%40uiVersion%3Dnull%5D%2Fdata%5B%40key%3Duuid%3Af3ed6511-0653-435d-90d0-6c5e09c759e1%5D%2FgroupInfoFuel%5B%40ordinal%3D1%5D%2FpicFuelRecibeInterno","Descargar")</f>
        <v>Descargar</v>
      </c>
    </row>
    <row r="3405" spans="1:18" x14ac:dyDescent="0.3">
      <c r="A3405">
        <v>1516255</v>
      </c>
      <c r="B3405" t="s">
        <v>18</v>
      </c>
      <c r="C3405" t="s">
        <v>59</v>
      </c>
      <c r="D3405" t="s">
        <v>60</v>
      </c>
      <c r="E3405" t="s">
        <v>1014</v>
      </c>
      <c r="F3405" t="s">
        <v>22</v>
      </c>
      <c r="G3405" t="s">
        <v>23</v>
      </c>
      <c r="H3405" t="s">
        <v>37</v>
      </c>
      <c r="I3405" t="s">
        <v>25</v>
      </c>
      <c r="J3405" t="s">
        <v>2750</v>
      </c>
      <c r="K3405">
        <v>10</v>
      </c>
      <c r="L3405">
        <v>4</v>
      </c>
      <c r="M3405">
        <v>2025</v>
      </c>
      <c r="N3405" t="s">
        <v>27</v>
      </c>
      <c r="O3405">
        <v>200</v>
      </c>
      <c r="P3405">
        <v>200</v>
      </c>
      <c r="R3405" s="3" t="str">
        <f>HYPERLINK("https://panda.att.com.mx/ODKServer/view/binaryData?blobKey=FSSuministroFluidosv3%5B%40version%3Dnull+and+%40uiVersion%3Dnull%5D%2Fdata%5B%40key%3Duuid%3Ace35b00a-fd4d-4585-bea8-bc5cbd18f8ba%5D%2FgroupInfoFuel%5B%40ordinal%3D1%5D%2FpicFuelRecibeInterno","Descargar")</f>
        <v>Descargar</v>
      </c>
    </row>
    <row r="3406" spans="1:18" x14ac:dyDescent="0.3">
      <c r="A3406">
        <v>1516253</v>
      </c>
      <c r="B3406" t="s">
        <v>18</v>
      </c>
      <c r="C3406" t="s">
        <v>59</v>
      </c>
      <c r="D3406" t="s">
        <v>60</v>
      </c>
      <c r="E3406" t="s">
        <v>2207</v>
      </c>
      <c r="F3406" t="s">
        <v>22</v>
      </c>
      <c r="G3406" t="s">
        <v>23</v>
      </c>
      <c r="H3406" t="s">
        <v>37</v>
      </c>
      <c r="I3406" t="s">
        <v>25</v>
      </c>
      <c r="J3406" t="s">
        <v>2751</v>
      </c>
      <c r="K3406">
        <v>8</v>
      </c>
      <c r="L3406">
        <v>4</v>
      </c>
      <c r="M3406">
        <v>2025</v>
      </c>
      <c r="N3406" t="s">
        <v>27</v>
      </c>
      <c r="O3406">
        <v>180</v>
      </c>
      <c r="P3406">
        <v>180</v>
      </c>
      <c r="R3406" s="3" t="str">
        <f>HYPERLINK("https://panda.att.com.mx/ODKServer/view/binaryData?blobKey=FSSuministroFluidosv3%5B%40version%3Dnull+and+%40uiVersion%3Dnull%5D%2Fdata%5B%40key%3Duuid%3Aadcf5638-0a0e-42cb-9b93-e815112d2d3f%5D%2FgroupInfoFuel%5B%40ordinal%3D1%5D%2FpicFuelRecibeInterno","Descargar")</f>
        <v>Descargar</v>
      </c>
    </row>
    <row r="3407" spans="1:18" x14ac:dyDescent="0.3">
      <c r="A3407">
        <v>1516250</v>
      </c>
      <c r="B3407" t="s">
        <v>18</v>
      </c>
      <c r="C3407" t="s">
        <v>19</v>
      </c>
      <c r="D3407" t="s">
        <v>45</v>
      </c>
      <c r="E3407" t="s">
        <v>752</v>
      </c>
      <c r="F3407" t="s">
        <v>22</v>
      </c>
      <c r="G3407" t="s">
        <v>23</v>
      </c>
      <c r="H3407" t="s">
        <v>24</v>
      </c>
      <c r="I3407" t="s">
        <v>25</v>
      </c>
      <c r="J3407" t="s">
        <v>2752</v>
      </c>
      <c r="K3407">
        <v>9</v>
      </c>
      <c r="L3407">
        <v>4</v>
      </c>
      <c r="M3407">
        <v>2025</v>
      </c>
      <c r="N3407" t="s">
        <v>27</v>
      </c>
      <c r="O3407">
        <v>300</v>
      </c>
      <c r="P3407">
        <v>300</v>
      </c>
      <c r="R3407" s="3" t="str">
        <f>HYPERLINK("https://panda.att.com.mx/ODKServer/view/binaryData?blobKey=FSSuministroFluidosv3%5B%40version%3Dnull+and+%40uiVersion%3Dnull%5D%2Fdata%5B%40key%3Duuid%3Aabc354ed-8774-4342-931d-b11b4d32e3d4%5D%2FgroupInfoFuel%5B%40ordinal%3D1%5D%2FpicFuelRecibeInterno","Descargar")</f>
        <v>Descargar</v>
      </c>
    </row>
    <row r="3408" spans="1:18" x14ac:dyDescent="0.3">
      <c r="A3408">
        <v>1516193</v>
      </c>
      <c r="B3408" t="s">
        <v>18</v>
      </c>
      <c r="C3408" t="s">
        <v>34</v>
      </c>
      <c r="D3408" t="s">
        <v>73</v>
      </c>
      <c r="E3408" t="s">
        <v>74</v>
      </c>
      <c r="F3408" t="s">
        <v>22</v>
      </c>
      <c r="G3408" t="s">
        <v>23</v>
      </c>
      <c r="H3408" t="s">
        <v>37</v>
      </c>
      <c r="I3408" t="s">
        <v>25</v>
      </c>
      <c r="J3408" t="s">
        <v>2753</v>
      </c>
      <c r="K3408">
        <v>11</v>
      </c>
      <c r="L3408">
        <v>4</v>
      </c>
      <c r="M3408">
        <v>2025</v>
      </c>
      <c r="N3408" t="s">
        <v>27</v>
      </c>
      <c r="O3408">
        <v>300</v>
      </c>
      <c r="P3408">
        <v>300</v>
      </c>
      <c r="R3408" s="3" t="str">
        <f>HYPERLINK("https://panda.att.com.mx/ODKServer/view/binaryData?blobKey=FSSuministroFluidosv3%5B%40version%3Dnull+and+%40uiVersion%3Dnull%5D%2Fdata%5B%40key%3Duuid%3Af5f4a5f7-0616-4dfe-b974-33025b106828%5D%2FgroupInfoFuel%5B%40ordinal%3D1%5D%2FpicFuelRecibeInterno","Descargar")</f>
        <v>Descargar</v>
      </c>
    </row>
    <row r="3409" spans="1:18" x14ac:dyDescent="0.3">
      <c r="A3409">
        <v>1516192</v>
      </c>
      <c r="B3409" t="s">
        <v>18</v>
      </c>
      <c r="C3409" t="s">
        <v>34</v>
      </c>
      <c r="D3409" t="s">
        <v>53</v>
      </c>
      <c r="E3409" t="s">
        <v>2115</v>
      </c>
      <c r="F3409" t="s">
        <v>22</v>
      </c>
      <c r="G3409" t="s">
        <v>23</v>
      </c>
      <c r="H3409" t="s">
        <v>37</v>
      </c>
      <c r="I3409" t="s">
        <v>25</v>
      </c>
      <c r="J3409" t="s">
        <v>2754</v>
      </c>
      <c r="K3409">
        <v>11</v>
      </c>
      <c r="L3409">
        <v>4</v>
      </c>
      <c r="M3409">
        <v>2025</v>
      </c>
      <c r="N3409" t="s">
        <v>27</v>
      </c>
      <c r="O3409">
        <v>400</v>
      </c>
      <c r="Q3409">
        <v>400</v>
      </c>
      <c r="R3409" s="3" t="str">
        <f>HYPERLINK("https://panda.att.com.mx/ODKServer/view/binaryData?blobKey=FSSuministroFluidosv3%5B%40version%3Dnull+and+%40uiVersion%3Dnull%5D%2Fdata%5B%40key%3Duuid%3Acad536b1-0806-4159-ae0e-bdc2519574bd%5D%2FgroupInfoFuel%5B%40ordinal%3D1%5D%2FpicFuelRecibeInterno","Descargar")</f>
        <v>Descargar</v>
      </c>
    </row>
    <row r="3410" spans="1:18" x14ac:dyDescent="0.3">
      <c r="A3410">
        <v>1516083</v>
      </c>
      <c r="B3410" t="s">
        <v>18</v>
      </c>
      <c r="C3410" t="s">
        <v>19</v>
      </c>
      <c r="D3410" t="s">
        <v>20</v>
      </c>
      <c r="E3410" t="s">
        <v>378</v>
      </c>
      <c r="F3410" t="s">
        <v>22</v>
      </c>
      <c r="G3410" t="s">
        <v>23</v>
      </c>
      <c r="H3410" t="s">
        <v>24</v>
      </c>
      <c r="I3410" t="s">
        <v>25</v>
      </c>
      <c r="J3410" t="s">
        <v>2755</v>
      </c>
      <c r="K3410">
        <v>10</v>
      </c>
      <c r="L3410">
        <v>4</v>
      </c>
      <c r="M3410">
        <v>2025</v>
      </c>
      <c r="N3410" t="s">
        <v>27</v>
      </c>
      <c r="O3410">
        <v>200</v>
      </c>
      <c r="P3410">
        <v>200</v>
      </c>
      <c r="R3410" s="3" t="str">
        <f>HYPERLINK("https://panda.att.com.mx/ODKServer/view/binaryData?blobKey=FSSuministroFluidosv3%5B%40version%3Dnull+and+%40uiVersion%3Dnull%5D%2Fdata%5B%40key%3Duuid%3A58c536c4-42e9-43ad-9d93-30e5ae9a7fc2%5D%2FgroupInfoFuel%5B%40ordinal%3D1%5D%2FpicFuelRecibeInterno","Descargar")</f>
        <v>Descargar</v>
      </c>
    </row>
    <row r="3411" spans="1:18" x14ac:dyDescent="0.3">
      <c r="A3411">
        <v>1516040</v>
      </c>
      <c r="B3411" t="s">
        <v>18</v>
      </c>
      <c r="C3411" t="s">
        <v>55</v>
      </c>
      <c r="D3411" t="s">
        <v>56</v>
      </c>
      <c r="E3411" t="s">
        <v>1555</v>
      </c>
      <c r="F3411" t="s">
        <v>22</v>
      </c>
      <c r="G3411" t="s">
        <v>23</v>
      </c>
      <c r="H3411" t="s">
        <v>1763</v>
      </c>
      <c r="I3411" t="s">
        <v>25</v>
      </c>
      <c r="J3411" t="s">
        <v>2756</v>
      </c>
      <c r="K3411">
        <v>1</v>
      </c>
      <c r="L3411">
        <v>4</v>
      </c>
      <c r="M3411">
        <v>2025</v>
      </c>
      <c r="N3411" t="s">
        <v>27</v>
      </c>
      <c r="O3411">
        <v>300</v>
      </c>
      <c r="P3411">
        <v>300</v>
      </c>
      <c r="R3411" s="3" t="str">
        <f>HYPERLINK("https://panda.att.com.mx/ODKServer/view/binaryData?blobKey=FSSuministroFluidosv3%5B%40version%3Dnull+and+%40uiVersion%3Dnull%5D%2Fdata%5B%40key%3Duuid%3A56a39baf-d9d1-4818-8a76-411648e5bf6f%5D%2FgroupInfoFuel%5B%40ordinal%3D1%5D%2FpicFuelRecibeInterno","Descargar")</f>
        <v>Descargar</v>
      </c>
    </row>
    <row r="3412" spans="1:18" x14ac:dyDescent="0.3">
      <c r="A3412">
        <v>1515948</v>
      </c>
      <c r="B3412" t="s">
        <v>18</v>
      </c>
      <c r="C3412" t="s">
        <v>28</v>
      </c>
      <c r="D3412" t="s">
        <v>66</v>
      </c>
      <c r="E3412" t="s">
        <v>1884</v>
      </c>
      <c r="F3412" t="s">
        <v>22</v>
      </c>
      <c r="G3412" t="s">
        <v>23</v>
      </c>
      <c r="H3412" t="s">
        <v>24</v>
      </c>
      <c r="I3412" t="s">
        <v>25</v>
      </c>
      <c r="J3412" t="s">
        <v>2757</v>
      </c>
      <c r="K3412">
        <v>11</v>
      </c>
      <c r="L3412">
        <v>4</v>
      </c>
      <c r="M3412">
        <v>2025</v>
      </c>
      <c r="N3412" t="s">
        <v>27</v>
      </c>
      <c r="O3412">
        <v>300</v>
      </c>
      <c r="P3412">
        <v>300</v>
      </c>
      <c r="R3412" s="3" t="str">
        <f>HYPERLINK("https://panda.att.com.mx/ODKServer/view/binaryData?blobKey=FSSuministroFluidosv3%5B%40version%3Dnull+and+%40uiVersion%3Dnull%5D%2Fdata%5B%40key%3Duuid%3A4bb04268-778f-43a6-91b2-657bd65180c8%5D%2FgroupInfoFuel%5B%40ordinal%3D1%5D%2FpicFuelRecibeInterno","Descargar")</f>
        <v>Descargar</v>
      </c>
    </row>
    <row r="3413" spans="1:18" x14ac:dyDescent="0.3">
      <c r="A3413">
        <v>1515899</v>
      </c>
      <c r="B3413" t="s">
        <v>18</v>
      </c>
      <c r="C3413" t="s">
        <v>55</v>
      </c>
      <c r="D3413" t="s">
        <v>128</v>
      </c>
      <c r="E3413" t="s">
        <v>2758</v>
      </c>
      <c r="F3413" t="s">
        <v>22</v>
      </c>
      <c r="G3413" t="s">
        <v>47</v>
      </c>
      <c r="H3413" t="s">
        <v>1763</v>
      </c>
      <c r="I3413" t="s">
        <v>25</v>
      </c>
      <c r="J3413" t="s">
        <v>2759</v>
      </c>
      <c r="K3413">
        <v>11</v>
      </c>
      <c r="L3413">
        <v>4</v>
      </c>
      <c r="M3413">
        <v>2025</v>
      </c>
      <c r="N3413" t="s">
        <v>27</v>
      </c>
      <c r="O3413">
        <v>300</v>
      </c>
      <c r="P3413">
        <v>300</v>
      </c>
      <c r="R3413" s="3" t="str">
        <f>HYPERLINK("https://panda.att.com.mx/ODKServer/view/binaryData?blobKey=FSSuministroFluidosv3%5B%40version%3Dnull+and+%40uiVersion%3Dnull%5D%2Fdata%5B%40key%3Duuid%3Aef921200-7e09-49d4-ab40-18cd780a7c5b%5D%2FgroupInfoFuel%5B%40ordinal%3D1%5D%2FpicFuelRecibeInterno","Descargar")</f>
        <v>Descargar</v>
      </c>
    </row>
    <row r="3414" spans="1:18" x14ac:dyDescent="0.3">
      <c r="A3414">
        <v>1515657</v>
      </c>
      <c r="B3414" t="s">
        <v>18</v>
      </c>
      <c r="C3414" t="s">
        <v>34</v>
      </c>
      <c r="D3414" t="s">
        <v>53</v>
      </c>
      <c r="E3414" t="s">
        <v>2760</v>
      </c>
      <c r="F3414" t="s">
        <v>22</v>
      </c>
      <c r="G3414" t="s">
        <v>23</v>
      </c>
      <c r="H3414" t="s">
        <v>37</v>
      </c>
      <c r="I3414" t="s">
        <v>25</v>
      </c>
      <c r="J3414" t="s">
        <v>2761</v>
      </c>
      <c r="K3414">
        <v>10</v>
      </c>
      <c r="L3414">
        <v>4</v>
      </c>
      <c r="M3414">
        <v>2025</v>
      </c>
      <c r="N3414" t="s">
        <v>27</v>
      </c>
      <c r="O3414">
        <v>250</v>
      </c>
      <c r="P3414">
        <v>250</v>
      </c>
      <c r="R3414" s="3" t="str">
        <f>HYPERLINK("https://panda.att.com.mx/ODKServer/view/binaryData?blobKey=FSSuministroFluidosv3%5B%40version%3Dnull+and+%40uiVersion%3Dnull%5D%2Fdata%5B%40key%3Duuid%3A383d4cd9-0f3e-4db8-99db-d8366f074379%5D%2FgroupInfoFuel%5B%40ordinal%3D1%5D%2FpicFuelRecibeInterno","Descargar")</f>
        <v>Descargar</v>
      </c>
    </row>
    <row r="3415" spans="1:18" x14ac:dyDescent="0.3">
      <c r="A3415">
        <v>1515656</v>
      </c>
      <c r="B3415" t="s">
        <v>18</v>
      </c>
      <c r="C3415" t="s">
        <v>68</v>
      </c>
      <c r="D3415" t="s">
        <v>518</v>
      </c>
      <c r="E3415" t="s">
        <v>1557</v>
      </c>
      <c r="F3415" t="s">
        <v>22</v>
      </c>
      <c r="G3415" t="s">
        <v>23</v>
      </c>
      <c r="H3415" t="s">
        <v>37</v>
      </c>
      <c r="I3415" t="s">
        <v>25</v>
      </c>
      <c r="J3415" t="s">
        <v>2762</v>
      </c>
      <c r="K3415">
        <v>10</v>
      </c>
      <c r="L3415">
        <v>4</v>
      </c>
      <c r="M3415">
        <v>2025</v>
      </c>
      <c r="N3415" t="s">
        <v>27</v>
      </c>
      <c r="O3415">
        <v>150</v>
      </c>
      <c r="P3415">
        <v>150</v>
      </c>
      <c r="R3415" s="3" t="str">
        <f>HYPERLINK("https://panda.att.com.mx/ODKServer/view/binaryData?blobKey=FSSuministroFluidosv3%5B%40version%3Dnull+and+%40uiVersion%3Dnull%5D%2Fdata%5B%40key%3Duuid%3A48491d3c-9bf9-40d4-8c9d-1e2f4c2663bf%5D%2FgroupInfoFuel%5B%40ordinal%3D1%5D%2FpicFuelRecibeInterno","Descargar")</f>
        <v>Descargar</v>
      </c>
    </row>
    <row r="3416" spans="1:18" x14ac:dyDescent="0.3">
      <c r="A3416">
        <v>1515655</v>
      </c>
      <c r="B3416" t="s">
        <v>18</v>
      </c>
      <c r="C3416" t="s">
        <v>19</v>
      </c>
      <c r="D3416" t="s">
        <v>20</v>
      </c>
      <c r="E3416" t="s">
        <v>275</v>
      </c>
      <c r="F3416" t="s">
        <v>22</v>
      </c>
      <c r="G3416" t="s">
        <v>23</v>
      </c>
      <c r="H3416" t="s">
        <v>24</v>
      </c>
      <c r="I3416" t="s">
        <v>25</v>
      </c>
      <c r="J3416" t="s">
        <v>2763</v>
      </c>
      <c r="K3416">
        <v>10</v>
      </c>
      <c r="L3416">
        <v>4</v>
      </c>
      <c r="M3416">
        <v>2025</v>
      </c>
      <c r="N3416" t="s">
        <v>27</v>
      </c>
      <c r="O3416">
        <v>200</v>
      </c>
      <c r="P3416">
        <v>200</v>
      </c>
      <c r="R3416" s="3" t="str">
        <f>HYPERLINK("https://panda.att.com.mx/ODKServer/view/binaryData?blobKey=FSSuministroFluidosv3%5B%40version%3Dnull+and+%40uiVersion%3Dnull%5D%2Fdata%5B%40key%3Duuid%3A6f9aa63f-7039-4546-93b6-ecf8e056d30c%5D%2FgroupInfoFuel%5B%40ordinal%3D1%5D%2FpicFuelRecibeInterno","Descargar")</f>
        <v>Descargar</v>
      </c>
    </row>
    <row r="3417" spans="1:18" x14ac:dyDescent="0.3">
      <c r="A3417">
        <v>1515486</v>
      </c>
      <c r="B3417" t="s">
        <v>18</v>
      </c>
      <c r="C3417" t="s">
        <v>68</v>
      </c>
      <c r="D3417" t="s">
        <v>518</v>
      </c>
      <c r="E3417" t="s">
        <v>2764</v>
      </c>
      <c r="F3417" t="s">
        <v>22</v>
      </c>
      <c r="G3417" t="s">
        <v>23</v>
      </c>
      <c r="H3417" t="s">
        <v>37</v>
      </c>
      <c r="I3417" t="s">
        <v>25</v>
      </c>
      <c r="J3417" t="s">
        <v>2765</v>
      </c>
      <c r="K3417">
        <v>10</v>
      </c>
      <c r="L3417">
        <v>4</v>
      </c>
      <c r="M3417">
        <v>2025</v>
      </c>
      <c r="N3417" t="s">
        <v>27</v>
      </c>
      <c r="O3417">
        <v>150</v>
      </c>
      <c r="P3417">
        <v>150</v>
      </c>
      <c r="R3417" s="3" t="str">
        <f>HYPERLINK("https://panda.att.com.mx/ODKServer/view/binaryData?blobKey=FSSuministroFluidosv3%5B%40version%3Dnull+and+%40uiVersion%3Dnull%5D%2Fdata%5B%40key%3Duuid%3Aebd47de8-7838-4a8a-9c56-701b641bc472%5D%2FgroupInfoFuel%5B%40ordinal%3D1%5D%2FpicFuelRecibeInterno","Descargar")</f>
        <v>Descargar</v>
      </c>
    </row>
    <row r="3418" spans="1:18" x14ac:dyDescent="0.3">
      <c r="A3418">
        <v>1515450</v>
      </c>
      <c r="B3418" t="s">
        <v>18</v>
      </c>
      <c r="C3418" t="s">
        <v>55</v>
      </c>
      <c r="D3418" t="s">
        <v>56</v>
      </c>
      <c r="E3418" t="s">
        <v>320</v>
      </c>
      <c r="F3418" t="s">
        <v>22</v>
      </c>
      <c r="G3418" t="s">
        <v>23</v>
      </c>
      <c r="H3418" t="s">
        <v>1763</v>
      </c>
      <c r="I3418" t="s">
        <v>25</v>
      </c>
      <c r="J3418" s="2">
        <v>45743.710717592592</v>
      </c>
      <c r="K3418">
        <v>27</v>
      </c>
      <c r="L3418">
        <v>3</v>
      </c>
      <c r="M3418">
        <v>2025</v>
      </c>
      <c r="N3418" t="s">
        <v>27</v>
      </c>
      <c r="O3418">
        <v>300</v>
      </c>
      <c r="P3418">
        <v>300</v>
      </c>
      <c r="R3418" s="3" t="str">
        <f>HYPERLINK("https://panda.att.com.mx/ODKServer/view/binaryData?blobKey=FSSuministroFluidosv3%5B%40version%3Dnull+and+%40uiVersion%3Dnull%5D%2Fdata%5B%40key%3Duuid%3A97683d80-51bf-4a6a-ab19-1a8fe29394f8%5D%2FgroupInfoFuel%5B%40ordinal%3D1%5D%2FpicFuelRecibeInterno","Descargar")</f>
        <v>Descargar</v>
      </c>
    </row>
    <row r="3419" spans="1:18" x14ac:dyDescent="0.3">
      <c r="A3419">
        <v>1515407</v>
      </c>
      <c r="B3419" t="s">
        <v>18</v>
      </c>
      <c r="C3419" t="s">
        <v>28</v>
      </c>
      <c r="D3419" t="s">
        <v>315</v>
      </c>
      <c r="E3419" t="s">
        <v>703</v>
      </c>
      <c r="F3419" t="s">
        <v>22</v>
      </c>
      <c r="G3419" t="s">
        <v>23</v>
      </c>
      <c r="H3419" t="s">
        <v>24</v>
      </c>
      <c r="I3419" t="s">
        <v>25</v>
      </c>
      <c r="J3419" t="s">
        <v>2766</v>
      </c>
      <c r="K3419">
        <v>10</v>
      </c>
      <c r="L3419">
        <v>4</v>
      </c>
      <c r="M3419">
        <v>2025</v>
      </c>
      <c r="N3419" t="s">
        <v>27</v>
      </c>
      <c r="O3419">
        <v>300</v>
      </c>
      <c r="P3419">
        <v>300</v>
      </c>
      <c r="R3419" s="3" t="str">
        <f>HYPERLINK("https://panda.att.com.mx/ODKServer/view/binaryData?blobKey=FSSuministroFluidosv3%5B%40version%3Dnull+and+%40uiVersion%3Dnull%5D%2Fdata%5B%40key%3Duuid%3A28624efb-8fc7-4726-bbfa-79916451fcdc%5D%2FgroupInfoFuel%5B%40ordinal%3D1%5D%2FpicFuelRecibeInterno","Descargar")</f>
        <v>Descargar</v>
      </c>
    </row>
    <row r="3420" spans="1:18" x14ac:dyDescent="0.3">
      <c r="A3420">
        <v>1515373</v>
      </c>
      <c r="B3420" t="s">
        <v>18</v>
      </c>
      <c r="C3420" t="s">
        <v>34</v>
      </c>
      <c r="D3420" t="s">
        <v>53</v>
      </c>
      <c r="E3420" t="s">
        <v>1743</v>
      </c>
      <c r="F3420" t="s">
        <v>22</v>
      </c>
      <c r="G3420" t="s">
        <v>23</v>
      </c>
      <c r="H3420" t="s">
        <v>37</v>
      </c>
      <c r="I3420" t="s">
        <v>25</v>
      </c>
      <c r="J3420" t="s">
        <v>2767</v>
      </c>
      <c r="K3420">
        <v>10</v>
      </c>
      <c r="L3420">
        <v>4</v>
      </c>
      <c r="M3420">
        <v>2025</v>
      </c>
      <c r="N3420" t="s">
        <v>27</v>
      </c>
      <c r="O3420">
        <v>600</v>
      </c>
      <c r="Q3420">
        <v>600</v>
      </c>
      <c r="R3420" s="3" t="str">
        <f>HYPERLINK("https://panda.att.com.mx/ODKServer/view/binaryData?blobKey=FSSuministroFluidosv3%5B%40version%3Dnull+and+%40uiVersion%3Dnull%5D%2Fdata%5B%40key%3Duuid%3A9991688a-0abc-4b7c-a612-4c4ecfc30a34%5D%2FgroupInfoFuel%5B%40ordinal%3D1%5D%2FpicFuelRecibeInterno","Descargar")</f>
        <v>Descargar</v>
      </c>
    </row>
    <row r="3421" spans="1:18" x14ac:dyDescent="0.3">
      <c r="A3421">
        <v>1515315</v>
      </c>
      <c r="B3421" t="s">
        <v>18</v>
      </c>
      <c r="C3421" t="s">
        <v>59</v>
      </c>
      <c r="D3421" t="s">
        <v>60</v>
      </c>
      <c r="E3421" t="s">
        <v>2768</v>
      </c>
      <c r="F3421" t="s">
        <v>22</v>
      </c>
      <c r="G3421" t="s">
        <v>23</v>
      </c>
      <c r="H3421" t="s">
        <v>1816</v>
      </c>
      <c r="I3421" t="s">
        <v>25</v>
      </c>
      <c r="J3421" t="s">
        <v>2769</v>
      </c>
      <c r="K3421">
        <v>8</v>
      </c>
      <c r="L3421">
        <v>4</v>
      </c>
      <c r="M3421">
        <v>2025</v>
      </c>
      <c r="N3421" t="s">
        <v>27</v>
      </c>
      <c r="O3421">
        <v>253</v>
      </c>
      <c r="Q3421">
        <v>253</v>
      </c>
      <c r="R3421" s="3" t="str">
        <f>HYPERLINK("https://panda.att.com.mx/ODKServer/view/binaryData?blobKey=FSSuministroFluidosv3%5B%40version%3Dnull+and+%40uiVersion%3Dnull%5D%2Fdata%5B%40key%3Duuid%3Afab9246a-049d-47c8-a041-5f7a1e37f78d%5D%2FgroupInfoFuel%5B%40ordinal%3D1%5D%2FpicFuelRecibeInterno","Descargar")</f>
        <v>Descargar</v>
      </c>
    </row>
    <row r="3422" spans="1:18" x14ac:dyDescent="0.3">
      <c r="A3422">
        <v>1515242</v>
      </c>
      <c r="B3422" t="s">
        <v>18</v>
      </c>
      <c r="C3422" t="s">
        <v>55</v>
      </c>
      <c r="D3422" t="s">
        <v>56</v>
      </c>
      <c r="E3422" t="s">
        <v>2498</v>
      </c>
      <c r="F3422" t="s">
        <v>22</v>
      </c>
      <c r="G3422" t="s">
        <v>23</v>
      </c>
      <c r="H3422" t="s">
        <v>1763</v>
      </c>
      <c r="I3422" t="s">
        <v>25</v>
      </c>
      <c r="J3422" t="s">
        <v>2770</v>
      </c>
      <c r="K3422">
        <v>3</v>
      </c>
      <c r="L3422">
        <v>4</v>
      </c>
      <c r="M3422">
        <v>2025</v>
      </c>
      <c r="N3422" t="s">
        <v>27</v>
      </c>
      <c r="O3422">
        <v>90</v>
      </c>
      <c r="P3422">
        <v>90</v>
      </c>
      <c r="R3422" s="3" t="str">
        <f>HYPERLINK("https://panda.att.com.mx/ODKServer/view/binaryData?blobKey=FSSuministroFluidosv3%5B%40version%3Dnull+and+%40uiVersion%3Dnull%5D%2Fdata%5B%40key%3Duuid%3A27729fcf-044f-4962-ada9-eaa57ae61fcf%5D%2FgroupInfoFuel%5B%40ordinal%3D1%5D%2FpicFuelRecibeInterno","Descargar")</f>
        <v>Descargar</v>
      </c>
    </row>
    <row r="3423" spans="1:18" x14ac:dyDescent="0.3">
      <c r="A3423">
        <v>1515236</v>
      </c>
      <c r="B3423" t="s">
        <v>18</v>
      </c>
      <c r="C3423" t="s">
        <v>55</v>
      </c>
      <c r="D3423" t="s">
        <v>56</v>
      </c>
      <c r="E3423" t="s">
        <v>2188</v>
      </c>
      <c r="F3423" t="s">
        <v>22</v>
      </c>
      <c r="G3423" t="s">
        <v>23</v>
      </c>
      <c r="H3423" t="s">
        <v>1763</v>
      </c>
      <c r="I3423" t="s">
        <v>25</v>
      </c>
      <c r="J3423" t="s">
        <v>2771</v>
      </c>
      <c r="K3423">
        <v>3</v>
      </c>
      <c r="L3423">
        <v>4</v>
      </c>
      <c r="M3423">
        <v>2025</v>
      </c>
      <c r="N3423" t="s">
        <v>27</v>
      </c>
      <c r="O3423">
        <v>90</v>
      </c>
      <c r="P3423">
        <v>90</v>
      </c>
      <c r="R3423" s="3" t="str">
        <f>HYPERLINK("https://panda.att.com.mx/ODKServer/view/binaryData?blobKey=FSSuministroFluidosv3%5B%40version%3Dnull+and+%40uiVersion%3Dnull%5D%2Fdata%5B%40key%3Duuid%3A27b806c4-c4b5-457e-9007-9861fbb3e253%5D%2FgroupInfoFuel%5B%40ordinal%3D1%5D%2FpicFuelRecibeInterno","Descargar")</f>
        <v>Descargar</v>
      </c>
    </row>
    <row r="3424" spans="1:18" x14ac:dyDescent="0.3">
      <c r="A3424">
        <v>1515232</v>
      </c>
      <c r="B3424" t="s">
        <v>18</v>
      </c>
      <c r="C3424" t="s">
        <v>55</v>
      </c>
      <c r="D3424" t="s">
        <v>56</v>
      </c>
      <c r="E3424" t="s">
        <v>2188</v>
      </c>
      <c r="F3424" t="s">
        <v>22</v>
      </c>
      <c r="G3424" t="s">
        <v>23</v>
      </c>
      <c r="H3424" t="s">
        <v>1763</v>
      </c>
      <c r="I3424" t="s">
        <v>25</v>
      </c>
      <c r="J3424" s="2">
        <v>45747.534108796302</v>
      </c>
      <c r="K3424">
        <v>31</v>
      </c>
      <c r="L3424">
        <v>3</v>
      </c>
      <c r="M3424">
        <v>2025</v>
      </c>
      <c r="N3424" t="s">
        <v>27</v>
      </c>
      <c r="O3424">
        <v>100</v>
      </c>
      <c r="P3424">
        <v>100</v>
      </c>
      <c r="R3424" s="3" t="str">
        <f>HYPERLINK("https://panda.att.com.mx/ODKServer/view/binaryData?blobKey=FSSuministroFluidosv3%5B%40version%3Dnull+and+%40uiVersion%3Dnull%5D%2Fdata%5B%40key%3Duuid%3Af26c604b-5009-4904-8cc6-3eb1b58d9676%5D%2FgroupInfoFuel%5B%40ordinal%3D1%5D%2FpicFuelRecibeInterno","Descargar")</f>
        <v>Descargar</v>
      </c>
    </row>
    <row r="3425" spans="1:18" x14ac:dyDescent="0.3">
      <c r="A3425">
        <v>1515166</v>
      </c>
      <c r="B3425" t="s">
        <v>18</v>
      </c>
      <c r="C3425" t="s">
        <v>19</v>
      </c>
      <c r="D3425" t="s">
        <v>347</v>
      </c>
      <c r="E3425" t="s">
        <v>369</v>
      </c>
      <c r="F3425" t="s">
        <v>22</v>
      </c>
      <c r="G3425" t="s">
        <v>23</v>
      </c>
      <c r="H3425" t="s">
        <v>24</v>
      </c>
      <c r="I3425" t="s">
        <v>25</v>
      </c>
      <c r="J3425" t="s">
        <v>2772</v>
      </c>
      <c r="K3425">
        <v>8</v>
      </c>
      <c r="L3425">
        <v>4</v>
      </c>
      <c r="M3425">
        <v>2025</v>
      </c>
      <c r="N3425" t="s">
        <v>27</v>
      </c>
      <c r="O3425">
        <v>200</v>
      </c>
      <c r="Q3425">
        <v>200</v>
      </c>
      <c r="R3425" s="3" t="str">
        <f>HYPERLINK("https://panda.att.com.mx/ODKServer/view/binaryData?blobKey=FSSuministroFluidosv3%5B%40version%3Dnull+and+%40uiVersion%3Dnull%5D%2Fdata%5B%40key%3Duuid%3A9ff644b3-44d4-4d6d-9e40-a5812e512750%5D%2FgroupInfoFuel%5B%40ordinal%3D1%5D%2FpicFuelRecibeInterno","Descargar")</f>
        <v>Descargar</v>
      </c>
    </row>
    <row r="3426" spans="1:18" x14ac:dyDescent="0.3">
      <c r="A3426">
        <v>1515065</v>
      </c>
      <c r="B3426" t="s">
        <v>18</v>
      </c>
      <c r="C3426" t="s">
        <v>59</v>
      </c>
      <c r="D3426" t="s">
        <v>60</v>
      </c>
      <c r="E3426" t="s">
        <v>2773</v>
      </c>
      <c r="F3426" t="s">
        <v>22</v>
      </c>
      <c r="G3426" t="s">
        <v>23</v>
      </c>
      <c r="H3426" t="s">
        <v>1816</v>
      </c>
      <c r="I3426" t="s">
        <v>25</v>
      </c>
      <c r="J3426" t="s">
        <v>2774</v>
      </c>
      <c r="K3426">
        <v>9</v>
      </c>
      <c r="L3426">
        <v>4</v>
      </c>
      <c r="M3426">
        <v>2025</v>
      </c>
      <c r="N3426" t="s">
        <v>27</v>
      </c>
      <c r="O3426">
        <v>109</v>
      </c>
      <c r="P3426">
        <v>109</v>
      </c>
      <c r="R3426" s="3" t="str">
        <f>HYPERLINK("https://panda.att.com.mx/ODKServer/view/binaryData?blobKey=FSSuministroFluidosv3%5B%40version%3Dnull+and+%40uiVersion%3Dnull%5D%2Fdata%5B%40key%3Duuid%3Ac3d0e841-6caa-4174-8c2e-571d5208d2b3%5D%2FgroupInfoFuel%5B%40ordinal%3D1%5D%2FpicFuelRecibeInterno","Descargar")</f>
        <v>Descargar</v>
      </c>
    </row>
    <row r="3427" spans="1:18" x14ac:dyDescent="0.3">
      <c r="A3427">
        <v>1516905</v>
      </c>
      <c r="B3427" t="s">
        <v>18</v>
      </c>
      <c r="C3427" t="s">
        <v>100</v>
      </c>
      <c r="D3427" t="s">
        <v>716</v>
      </c>
      <c r="E3427" t="s">
        <v>717</v>
      </c>
      <c r="F3427" t="s">
        <v>22</v>
      </c>
      <c r="G3427" t="s">
        <v>83</v>
      </c>
      <c r="H3427" t="s">
        <v>1781</v>
      </c>
      <c r="I3427" t="s">
        <v>25</v>
      </c>
      <c r="J3427" t="s">
        <v>2775</v>
      </c>
      <c r="K3427">
        <v>7</v>
      </c>
      <c r="L3427">
        <v>4</v>
      </c>
      <c r="M3427">
        <v>2025</v>
      </c>
      <c r="N3427" t="s">
        <v>27</v>
      </c>
      <c r="O3427">
        <v>150</v>
      </c>
      <c r="P3427">
        <v>150</v>
      </c>
      <c r="R3427" s="3" t="str">
        <f>HYPERLINK("https://panda.att.com.mx/ODKServer/view/binaryData?blobKey=FSSuministroFluidosv3%5B%40version%3Dnull+and+%40uiVersion%3Dnull%5D%2Fdata%5B%40key%3Duuid%3A55e94ef4-f4db-4f9f-a9f7-6fcb78ff6d6c%5D%2FgroupInfoFuel%5B%40ordinal%3D1%5D%2FpicFuelRecibeInterno","Descargar")</f>
        <v>Descargar</v>
      </c>
    </row>
    <row r="3428" spans="1:18" x14ac:dyDescent="0.3">
      <c r="A3428">
        <v>1516904</v>
      </c>
      <c r="B3428" t="s">
        <v>18</v>
      </c>
      <c r="C3428" t="s">
        <v>100</v>
      </c>
      <c r="D3428" t="s">
        <v>716</v>
      </c>
      <c r="E3428" t="s">
        <v>717</v>
      </c>
      <c r="F3428" t="s">
        <v>22</v>
      </c>
      <c r="G3428" t="s">
        <v>83</v>
      </c>
      <c r="H3428" t="s">
        <v>1781</v>
      </c>
      <c r="I3428" t="s">
        <v>25</v>
      </c>
      <c r="J3428" t="s">
        <v>2776</v>
      </c>
      <c r="K3428">
        <v>5</v>
      </c>
      <c r="L3428">
        <v>4</v>
      </c>
      <c r="M3428">
        <v>2025</v>
      </c>
      <c r="N3428" t="s">
        <v>27</v>
      </c>
      <c r="O3428">
        <v>150</v>
      </c>
      <c r="P3428">
        <v>150</v>
      </c>
      <c r="R3428" s="3" t="str">
        <f>HYPERLINK("https://panda.att.com.mx/ODKServer/view/binaryData?blobKey=FSSuministroFluidosv3%5B%40version%3Dnull+and+%40uiVersion%3Dnull%5D%2Fdata%5B%40key%3Duuid%3A891f10b7-81ff-449b-8a85-14063d1b385a%5D%2FgroupInfoFuel%5B%40ordinal%3D1%5D%2FpicFuelRecibeInterno","Descargar")</f>
        <v>Descargar</v>
      </c>
    </row>
    <row r="3429" spans="1:18" x14ac:dyDescent="0.3">
      <c r="A3429">
        <v>1516903</v>
      </c>
      <c r="B3429" t="s">
        <v>18</v>
      </c>
      <c r="C3429" t="s">
        <v>100</v>
      </c>
      <c r="D3429" t="s">
        <v>716</v>
      </c>
      <c r="E3429" t="s">
        <v>717</v>
      </c>
      <c r="F3429" t="s">
        <v>22</v>
      </c>
      <c r="G3429" t="s">
        <v>83</v>
      </c>
      <c r="H3429" t="s">
        <v>1781</v>
      </c>
      <c r="I3429" t="s">
        <v>25</v>
      </c>
      <c r="J3429" t="s">
        <v>2777</v>
      </c>
      <c r="K3429">
        <v>3</v>
      </c>
      <c r="L3429">
        <v>4</v>
      </c>
      <c r="M3429">
        <v>2025</v>
      </c>
      <c r="N3429" t="s">
        <v>27</v>
      </c>
      <c r="O3429">
        <v>150</v>
      </c>
      <c r="P3429">
        <v>150</v>
      </c>
      <c r="R3429" s="3" t="str">
        <f>HYPERLINK("https://panda.att.com.mx/ODKServer/view/binaryData?blobKey=FSSuministroFluidosv3%5B%40version%3Dnull+and+%40uiVersion%3Dnull%5D%2Fdata%5B%40key%3Duuid%3A22b42023-70ce-4167-9649-a8df12116a59%5D%2FgroupInfoFuel%5B%40ordinal%3D1%5D%2FpicFuelRecibeInterno","Descargar")</f>
        <v>Descargar</v>
      </c>
    </row>
    <row r="3430" spans="1:18" x14ac:dyDescent="0.3">
      <c r="A3430">
        <v>1516902</v>
      </c>
      <c r="B3430" t="s">
        <v>18</v>
      </c>
      <c r="C3430" t="s">
        <v>100</v>
      </c>
      <c r="D3430" t="s">
        <v>716</v>
      </c>
      <c r="E3430" t="s">
        <v>989</v>
      </c>
      <c r="F3430" t="s">
        <v>22</v>
      </c>
      <c r="G3430" t="s">
        <v>23</v>
      </c>
      <c r="H3430" t="s">
        <v>1781</v>
      </c>
      <c r="I3430" t="s">
        <v>25</v>
      </c>
      <c r="J3430" t="s">
        <v>2778</v>
      </c>
      <c r="K3430">
        <v>3</v>
      </c>
      <c r="L3430">
        <v>4</v>
      </c>
      <c r="M3430">
        <v>2025</v>
      </c>
      <c r="N3430" t="s">
        <v>27</v>
      </c>
      <c r="O3430">
        <v>200</v>
      </c>
      <c r="P3430">
        <v>200</v>
      </c>
      <c r="R3430" s="3" t="str">
        <f>HYPERLINK("https://panda.att.com.mx/ODKServer/view/binaryData?blobKey=FSSuministroFluidosv3%5B%40version%3Dnull+and+%40uiVersion%3Dnull%5D%2Fdata%5B%40key%3Duuid%3A087a99db-b0bc-4361-8437-660b26914b45%5D%2FgroupInfoFuel%5B%40ordinal%3D1%5D%2FpicFuelRecibeInterno","Descargar")</f>
        <v>Descargar</v>
      </c>
    </row>
    <row r="3431" spans="1:18" x14ac:dyDescent="0.3">
      <c r="A3431">
        <v>1516901</v>
      </c>
      <c r="B3431" t="s">
        <v>18</v>
      </c>
      <c r="C3431" t="s">
        <v>100</v>
      </c>
      <c r="D3431" t="s">
        <v>716</v>
      </c>
      <c r="E3431" t="s">
        <v>1238</v>
      </c>
      <c r="F3431" t="s">
        <v>22</v>
      </c>
      <c r="G3431" t="s">
        <v>23</v>
      </c>
      <c r="H3431" t="s">
        <v>1781</v>
      </c>
      <c r="I3431" t="s">
        <v>25</v>
      </c>
      <c r="J3431" t="s">
        <v>2779</v>
      </c>
      <c r="K3431">
        <v>3</v>
      </c>
      <c r="L3431">
        <v>4</v>
      </c>
      <c r="M3431">
        <v>2025</v>
      </c>
      <c r="N3431" t="s">
        <v>27</v>
      </c>
      <c r="O3431">
        <v>200</v>
      </c>
      <c r="P3431">
        <v>200</v>
      </c>
      <c r="R3431" s="3" t="str">
        <f>HYPERLINK("https://panda.att.com.mx/ODKServer/view/binaryData?blobKey=FSSuministroFluidosv3%5B%40version%3Dnull+and+%40uiVersion%3Dnull%5D%2Fdata%5B%40key%3Duuid%3A002dceec-aeba-441f-bf57-15b2ffc90cd5%5D%2FgroupInfoFuel%5B%40ordinal%3D1%5D%2FpicFuelRecibeInterno","Descargar")</f>
        <v>Descargar</v>
      </c>
    </row>
    <row r="3432" spans="1:18" x14ac:dyDescent="0.3">
      <c r="A3432">
        <v>1516884</v>
      </c>
      <c r="B3432" t="s">
        <v>18</v>
      </c>
      <c r="C3432" t="s">
        <v>100</v>
      </c>
      <c r="D3432" t="s">
        <v>716</v>
      </c>
      <c r="E3432" t="s">
        <v>717</v>
      </c>
      <c r="F3432" t="s">
        <v>22</v>
      </c>
      <c r="G3432" t="s">
        <v>83</v>
      </c>
      <c r="H3432" t="s">
        <v>1781</v>
      </c>
      <c r="I3432" t="s">
        <v>25</v>
      </c>
      <c r="J3432" t="s">
        <v>2780</v>
      </c>
      <c r="K3432">
        <v>1</v>
      </c>
      <c r="L3432">
        <v>4</v>
      </c>
      <c r="M3432">
        <v>2025</v>
      </c>
      <c r="N3432" t="s">
        <v>27</v>
      </c>
      <c r="O3432">
        <v>150</v>
      </c>
      <c r="P3432">
        <v>150</v>
      </c>
      <c r="R3432" s="3" t="str">
        <f>HYPERLINK("https://panda.att.com.mx/ODKServer/view/binaryData?blobKey=FSSuministroFluidosv3%5B%40version%3Dnull+and+%40uiVersion%3Dnull%5D%2Fdata%5B%40key%3Duuid%3Aef5038e3-09f9-4c1d-8e61-6f3a8306de57%5D%2FgroupInfoFuel%5B%40ordinal%3D1%5D%2FpicFuelRecibeInterno","Descargar")</f>
        <v>Descargar</v>
      </c>
    </row>
    <row r="3433" spans="1:18" x14ac:dyDescent="0.3">
      <c r="A3433">
        <v>1516883</v>
      </c>
      <c r="B3433" t="s">
        <v>18</v>
      </c>
      <c r="C3433" t="s">
        <v>150</v>
      </c>
      <c r="D3433" t="s">
        <v>151</v>
      </c>
      <c r="E3433" t="s">
        <v>2781</v>
      </c>
      <c r="G3433" t="s">
        <v>23</v>
      </c>
      <c r="H3433" t="s">
        <v>1781</v>
      </c>
      <c r="I3433" t="s">
        <v>25</v>
      </c>
      <c r="J3433" t="s">
        <v>2782</v>
      </c>
      <c r="K3433">
        <v>7</v>
      </c>
      <c r="L3433">
        <v>4</v>
      </c>
      <c r="M3433">
        <v>2025</v>
      </c>
      <c r="N3433" t="s">
        <v>27</v>
      </c>
      <c r="O3433">
        <v>100</v>
      </c>
      <c r="P3433">
        <v>100</v>
      </c>
      <c r="R3433" s="3" t="str">
        <f>HYPERLINK("https://panda.att.com.mx/ODKServer/view/binaryData?blobKey=FSSuministroFluidosv3%5B%40version%3Dnull+and+%40uiVersion%3Dnull%5D%2Fdata%5B%40key%3Duuid%3Aef761789-9165-4155-9728-2fd1c94d9a2b%5D%2FgroupInfoFuel%5B%40ordinal%3D1%5D%2FpicFuelRecibeInterno","Descargar")</f>
        <v>Descargar</v>
      </c>
    </row>
    <row r="3434" spans="1:18" x14ac:dyDescent="0.3">
      <c r="A3434">
        <v>1516882</v>
      </c>
      <c r="B3434" t="s">
        <v>18</v>
      </c>
      <c r="C3434" t="s">
        <v>150</v>
      </c>
      <c r="D3434" t="s">
        <v>151</v>
      </c>
      <c r="E3434" t="s">
        <v>2781</v>
      </c>
      <c r="G3434" t="s">
        <v>23</v>
      </c>
      <c r="H3434" t="s">
        <v>1781</v>
      </c>
      <c r="I3434" t="s">
        <v>25</v>
      </c>
      <c r="J3434" t="s">
        <v>2783</v>
      </c>
      <c r="K3434">
        <v>7</v>
      </c>
      <c r="L3434">
        <v>4</v>
      </c>
      <c r="M3434">
        <v>2025</v>
      </c>
      <c r="N3434" t="s">
        <v>27</v>
      </c>
      <c r="O3434">
        <v>100</v>
      </c>
      <c r="P3434">
        <v>100</v>
      </c>
      <c r="R3434" s="3" t="str">
        <f>HYPERLINK("https://panda.att.com.mx/ODKServer/view/binaryData?blobKey=FSSuministroFluidosv3%5B%40version%3Dnull+and+%40uiVersion%3Dnull%5D%2Fdata%5B%40key%3Duuid%3A37f2d34c-8946-4e1e-b357-36c0e436c596%5D%2FgroupInfoFuel%5B%40ordinal%3D1%5D%2FpicFuelRecibeInterno","Descargar")</f>
        <v>Descargar</v>
      </c>
    </row>
    <row r="3435" spans="1:18" x14ac:dyDescent="0.3">
      <c r="A3435">
        <v>1516881</v>
      </c>
      <c r="B3435" t="s">
        <v>18</v>
      </c>
      <c r="C3435" t="s">
        <v>150</v>
      </c>
      <c r="D3435" t="s">
        <v>151</v>
      </c>
      <c r="E3435" t="s">
        <v>236</v>
      </c>
      <c r="F3435" t="s">
        <v>22</v>
      </c>
      <c r="G3435" t="s">
        <v>23</v>
      </c>
      <c r="H3435" t="s">
        <v>1781</v>
      </c>
      <c r="I3435" t="s">
        <v>25</v>
      </c>
      <c r="J3435" t="s">
        <v>2784</v>
      </c>
      <c r="K3435">
        <v>1</v>
      </c>
      <c r="L3435">
        <v>4</v>
      </c>
      <c r="M3435">
        <v>2025</v>
      </c>
      <c r="N3435" t="s">
        <v>27</v>
      </c>
      <c r="O3435">
        <v>200</v>
      </c>
      <c r="P3435">
        <v>200</v>
      </c>
      <c r="R3435" s="3" t="str">
        <f>HYPERLINK("https://panda.att.com.mx/ODKServer/view/binaryData?blobKey=FSSuministroFluidosv3%5B%40version%3Dnull+and+%40uiVersion%3Dnull%5D%2Fdata%5B%40key%3Duuid%3Ab684f670-39f9-4ded-9f44-7647ec67509d%5D%2FgroupInfoFuel%5B%40ordinal%3D1%5D%2FpicFuelRecibeInterno","Descargar")</f>
        <v>Descargar</v>
      </c>
    </row>
    <row r="3436" spans="1:18" x14ac:dyDescent="0.3">
      <c r="A3436">
        <v>1516880</v>
      </c>
      <c r="B3436" t="s">
        <v>18</v>
      </c>
      <c r="C3436" t="s">
        <v>100</v>
      </c>
      <c r="D3436" t="s">
        <v>716</v>
      </c>
      <c r="E3436" t="s">
        <v>717</v>
      </c>
      <c r="F3436" t="s">
        <v>22</v>
      </c>
      <c r="G3436" t="s">
        <v>83</v>
      </c>
      <c r="H3436" t="s">
        <v>1781</v>
      </c>
      <c r="I3436" t="s">
        <v>25</v>
      </c>
      <c r="J3436" s="2">
        <v>45746.593263888892</v>
      </c>
      <c r="K3436">
        <v>30</v>
      </c>
      <c r="L3436">
        <v>3</v>
      </c>
      <c r="M3436">
        <v>2025</v>
      </c>
      <c r="N3436" t="s">
        <v>27</v>
      </c>
      <c r="O3436">
        <v>100</v>
      </c>
      <c r="P3436">
        <v>100</v>
      </c>
      <c r="R3436" s="3" t="str">
        <f>HYPERLINK("https://panda.att.com.mx/ODKServer/view/binaryData?blobKey=FSSuministroFluidosv3%5B%40version%3Dnull+and+%40uiVersion%3Dnull%5D%2Fdata%5B%40key%3Duuid%3A16d06281-358a-4684-b3d9-45ab6f2231c0%5D%2FgroupInfoFuel%5B%40ordinal%3D1%5D%2FpicFuelRecibeInterno","Descargar")</f>
        <v>Descargar</v>
      </c>
    </row>
    <row r="3437" spans="1:18" x14ac:dyDescent="0.3">
      <c r="A3437">
        <v>1516879</v>
      </c>
      <c r="B3437" t="s">
        <v>18</v>
      </c>
      <c r="C3437" t="s">
        <v>150</v>
      </c>
      <c r="D3437" t="s">
        <v>151</v>
      </c>
      <c r="E3437" t="s">
        <v>2781</v>
      </c>
      <c r="G3437" t="s">
        <v>23</v>
      </c>
      <c r="H3437" t="s">
        <v>1781</v>
      </c>
      <c r="I3437" t="s">
        <v>25</v>
      </c>
      <c r="J3437" t="s">
        <v>2785</v>
      </c>
      <c r="K3437">
        <v>7</v>
      </c>
      <c r="L3437">
        <v>4</v>
      </c>
      <c r="M3437">
        <v>2025</v>
      </c>
      <c r="N3437" t="s">
        <v>27</v>
      </c>
      <c r="O3437">
        <v>80</v>
      </c>
      <c r="P3437">
        <v>80</v>
      </c>
      <c r="R3437" s="3" t="str">
        <f>HYPERLINK("https://panda.att.com.mx/ODKServer/view/binaryData?blobKey=FSSuministroFluidosv3%5B%40version%3Dnull+and+%40uiVersion%3Dnull%5D%2Fdata%5B%40key%3Duuid%3A5d05ba50-134f-4190-878e-052b87f0b904%5D%2FgroupInfoFuel%5B%40ordinal%3D1%5D%2FpicFuelRecibeInterno","Descargar")</f>
        <v>Descargar</v>
      </c>
    </row>
    <row r="3438" spans="1:18" x14ac:dyDescent="0.3">
      <c r="A3438">
        <v>1516878</v>
      </c>
      <c r="B3438" t="s">
        <v>18</v>
      </c>
      <c r="C3438" t="s">
        <v>100</v>
      </c>
      <c r="D3438" t="s">
        <v>716</v>
      </c>
      <c r="E3438" t="s">
        <v>1350</v>
      </c>
      <c r="F3438" t="s">
        <v>22</v>
      </c>
      <c r="G3438" t="s">
        <v>23</v>
      </c>
      <c r="H3438" t="s">
        <v>1781</v>
      </c>
      <c r="I3438" t="s">
        <v>25</v>
      </c>
      <c r="J3438" s="2">
        <v>45746.551828703698</v>
      </c>
      <c r="K3438">
        <v>30</v>
      </c>
      <c r="L3438">
        <v>3</v>
      </c>
      <c r="M3438">
        <v>2025</v>
      </c>
      <c r="N3438" t="s">
        <v>27</v>
      </c>
      <c r="O3438">
        <v>25</v>
      </c>
      <c r="P3438">
        <v>25</v>
      </c>
      <c r="R3438" s="3" t="str">
        <f>HYPERLINK("https://panda.att.com.mx/ODKServer/view/binaryData?blobKey=FSSuministroFluidosv3%5B%40version%3Dnull+and+%40uiVersion%3Dnull%5D%2Fdata%5B%40key%3Duuid%3Ad71cec81-c3c1-40f5-8422-681d92603c24%5D%2FgroupInfoFuel%5B%40ordinal%3D1%5D%2FpicFuelRecibeInterno","Descargar")</f>
        <v>Descargar</v>
      </c>
    </row>
    <row r="3439" spans="1:18" x14ac:dyDescent="0.3">
      <c r="A3439">
        <v>1516877</v>
      </c>
      <c r="B3439" t="s">
        <v>18</v>
      </c>
      <c r="C3439" t="s">
        <v>150</v>
      </c>
      <c r="D3439" t="s">
        <v>151</v>
      </c>
      <c r="E3439" t="s">
        <v>2781</v>
      </c>
      <c r="G3439" t="s">
        <v>23</v>
      </c>
      <c r="H3439" t="s">
        <v>1781</v>
      </c>
      <c r="I3439" t="s">
        <v>25</v>
      </c>
      <c r="J3439" t="s">
        <v>2786</v>
      </c>
      <c r="K3439">
        <v>7</v>
      </c>
      <c r="L3439">
        <v>4</v>
      </c>
      <c r="M3439">
        <v>2025</v>
      </c>
      <c r="N3439" t="s">
        <v>27</v>
      </c>
      <c r="O3439">
        <v>70</v>
      </c>
      <c r="P3439">
        <v>70</v>
      </c>
      <c r="R3439" s="3" t="str">
        <f>HYPERLINK("https://panda.att.com.mx/ODKServer/view/binaryData?blobKey=FSSuministroFluidosv3%5B%40version%3Dnull+and+%40uiVersion%3Dnull%5D%2Fdata%5B%40key%3Duuid%3A3090d395-f2fd-4b1c-b0ed-31b698f29731%5D%2FgroupInfoFuel%5B%40ordinal%3D1%5D%2FpicFuelRecibeInterno","Descargar")</f>
        <v>Descargar</v>
      </c>
    </row>
    <row r="3440" spans="1:18" x14ac:dyDescent="0.3">
      <c r="A3440">
        <v>1516847</v>
      </c>
      <c r="B3440" t="s">
        <v>18</v>
      </c>
      <c r="C3440" t="s">
        <v>150</v>
      </c>
      <c r="D3440" t="s">
        <v>151</v>
      </c>
      <c r="E3440" t="s">
        <v>2781</v>
      </c>
      <c r="G3440" t="s">
        <v>23</v>
      </c>
      <c r="H3440" t="s">
        <v>1781</v>
      </c>
      <c r="I3440" t="s">
        <v>25</v>
      </c>
      <c r="J3440" t="s">
        <v>2787</v>
      </c>
      <c r="K3440">
        <v>7</v>
      </c>
      <c r="L3440">
        <v>4</v>
      </c>
      <c r="M3440">
        <v>2025</v>
      </c>
      <c r="N3440" t="s">
        <v>27</v>
      </c>
      <c r="O3440">
        <v>100</v>
      </c>
      <c r="P3440">
        <v>100</v>
      </c>
      <c r="R3440" s="3" t="str">
        <f>HYPERLINK("https://panda.att.com.mx/ODKServer/view/binaryData?blobKey=FSSuministroFluidosv3%5B%40version%3Dnull+and+%40uiVersion%3Dnull%5D%2Fdata%5B%40key%3Duuid%3A1273dce8-5cf3-4569-b31a-00a855ebf11f%5D%2FgroupInfoFuel%5B%40ordinal%3D1%5D%2FpicFuelRecibeInterno","Descargar")</f>
        <v>Descargar</v>
      </c>
    </row>
    <row r="3441" spans="1:18" x14ac:dyDescent="0.3">
      <c r="A3441">
        <v>1516846</v>
      </c>
      <c r="B3441" t="s">
        <v>18</v>
      </c>
      <c r="C3441" t="s">
        <v>150</v>
      </c>
      <c r="D3441" t="s">
        <v>151</v>
      </c>
      <c r="E3441" t="s">
        <v>2781</v>
      </c>
      <c r="G3441" t="s">
        <v>23</v>
      </c>
      <c r="H3441" t="s">
        <v>1781</v>
      </c>
      <c r="I3441" t="s">
        <v>25</v>
      </c>
      <c r="J3441" t="s">
        <v>2788</v>
      </c>
      <c r="K3441">
        <v>7</v>
      </c>
      <c r="L3441">
        <v>4</v>
      </c>
      <c r="M3441">
        <v>2025</v>
      </c>
      <c r="N3441" t="s">
        <v>27</v>
      </c>
      <c r="O3441">
        <v>40</v>
      </c>
      <c r="P3441">
        <v>40</v>
      </c>
      <c r="R3441" s="3" t="str">
        <f>HYPERLINK("https://panda.att.com.mx/ODKServer/view/binaryData?blobKey=FSSuministroFluidosv3%5B%40version%3Dnull+and+%40uiVersion%3Dnull%5D%2Fdata%5B%40key%3Duuid%3A3cdb6a76-ded9-4c33-9f09-58882935cb42%5D%2FgroupInfoFuel%5B%40ordinal%3D1%5D%2FpicFuelRecibeInterno","Descargar")</f>
        <v>Descargar</v>
      </c>
    </row>
    <row r="3442" spans="1:18" x14ac:dyDescent="0.3">
      <c r="A3442">
        <v>1516845</v>
      </c>
      <c r="B3442" t="s">
        <v>18</v>
      </c>
      <c r="C3442" t="s">
        <v>100</v>
      </c>
      <c r="D3442" t="s">
        <v>716</v>
      </c>
      <c r="E3442" t="s">
        <v>717</v>
      </c>
      <c r="F3442" t="s">
        <v>22</v>
      </c>
      <c r="G3442" t="s">
        <v>83</v>
      </c>
      <c r="H3442" t="s">
        <v>1781</v>
      </c>
      <c r="I3442" t="s">
        <v>25</v>
      </c>
      <c r="J3442" s="2">
        <v>45744.700011574067</v>
      </c>
      <c r="K3442">
        <v>28</v>
      </c>
      <c r="L3442">
        <v>3</v>
      </c>
      <c r="M3442">
        <v>2025</v>
      </c>
      <c r="N3442" t="s">
        <v>27</v>
      </c>
      <c r="O3442">
        <v>129</v>
      </c>
      <c r="P3442">
        <v>129</v>
      </c>
      <c r="R3442" s="3" t="str">
        <f>HYPERLINK("https://panda.att.com.mx/ODKServer/view/binaryData?blobKey=FSSuministroFluidosv3%5B%40version%3Dnull+and+%40uiVersion%3Dnull%5D%2Fdata%5B%40key%3Duuid%3A9283479b-4d9f-4e82-8413-2ef5d3551cf3%5D%2FgroupInfoFuel%5B%40ordinal%3D1%5D%2FpicFuelRecibeInterno","Descargar")</f>
        <v>Descargar</v>
      </c>
    </row>
    <row r="3443" spans="1:18" x14ac:dyDescent="0.3">
      <c r="A3443">
        <v>1516844</v>
      </c>
      <c r="B3443" t="s">
        <v>18</v>
      </c>
      <c r="C3443" t="s">
        <v>150</v>
      </c>
      <c r="D3443" t="s">
        <v>151</v>
      </c>
      <c r="E3443" t="s">
        <v>2781</v>
      </c>
      <c r="G3443" t="s">
        <v>23</v>
      </c>
      <c r="H3443" t="s">
        <v>1781</v>
      </c>
      <c r="I3443" t="s">
        <v>25</v>
      </c>
      <c r="J3443" t="s">
        <v>2789</v>
      </c>
      <c r="K3443">
        <v>7</v>
      </c>
      <c r="L3443">
        <v>4</v>
      </c>
      <c r="M3443">
        <v>2025</v>
      </c>
      <c r="N3443" t="s">
        <v>27</v>
      </c>
      <c r="O3443">
        <v>80</v>
      </c>
      <c r="P3443">
        <v>80</v>
      </c>
      <c r="R3443" s="3" t="str">
        <f>HYPERLINK("https://panda.att.com.mx/ODKServer/view/binaryData?blobKey=FSSuministroFluidosv3%5B%40version%3Dnull+and+%40uiVersion%3Dnull%5D%2Fdata%5B%40key%3Duuid%3A1d6b4954-889f-4f4c-8cd2-45ba244dc679%5D%2FgroupInfoFuel%5B%40ordinal%3D1%5D%2FpicFuelRecibeInterno","Descargar")</f>
        <v>Descargar</v>
      </c>
    </row>
    <row r="3444" spans="1:18" x14ac:dyDescent="0.3">
      <c r="A3444">
        <v>1516843</v>
      </c>
      <c r="B3444" t="s">
        <v>18</v>
      </c>
      <c r="C3444" t="s">
        <v>100</v>
      </c>
      <c r="D3444" t="s">
        <v>716</v>
      </c>
      <c r="E3444" t="s">
        <v>717</v>
      </c>
      <c r="F3444" t="s">
        <v>22</v>
      </c>
      <c r="G3444" t="s">
        <v>83</v>
      </c>
      <c r="H3444" t="s">
        <v>1781</v>
      </c>
      <c r="I3444" t="s">
        <v>25</v>
      </c>
      <c r="J3444" s="2">
        <v>45742.656643518523</v>
      </c>
      <c r="K3444">
        <v>26</v>
      </c>
      <c r="L3444">
        <v>3</v>
      </c>
      <c r="M3444">
        <v>2025</v>
      </c>
      <c r="N3444" t="s">
        <v>27</v>
      </c>
      <c r="O3444">
        <v>126</v>
      </c>
      <c r="P3444">
        <v>126</v>
      </c>
      <c r="R3444" s="3" t="str">
        <f>HYPERLINK("https://panda.att.com.mx/ODKServer/view/binaryData?blobKey=FSSuministroFluidosv3%5B%40version%3Dnull+and+%40uiVersion%3Dnull%5D%2Fdata%5B%40key%3Duuid%3A570bf063-a811-485f-9574-b05196f29c55%5D%2FgroupInfoFuel%5B%40ordinal%3D1%5D%2FpicFuelRecibeInterno","Descargar")</f>
        <v>Descargar</v>
      </c>
    </row>
    <row r="3445" spans="1:18" x14ac:dyDescent="0.3">
      <c r="A3445">
        <v>1516842</v>
      </c>
      <c r="B3445" t="s">
        <v>18</v>
      </c>
      <c r="C3445" t="s">
        <v>150</v>
      </c>
      <c r="D3445" t="s">
        <v>151</v>
      </c>
      <c r="E3445" t="s">
        <v>2781</v>
      </c>
      <c r="G3445" t="s">
        <v>23</v>
      </c>
      <c r="H3445" t="s">
        <v>1781</v>
      </c>
      <c r="I3445" t="s">
        <v>25</v>
      </c>
      <c r="J3445" t="s">
        <v>2790</v>
      </c>
      <c r="K3445">
        <v>7</v>
      </c>
      <c r="L3445">
        <v>4</v>
      </c>
      <c r="M3445">
        <v>2025</v>
      </c>
      <c r="N3445" t="s">
        <v>27</v>
      </c>
      <c r="O3445">
        <v>80</v>
      </c>
      <c r="P3445">
        <v>80</v>
      </c>
      <c r="R3445" s="3" t="str">
        <f>HYPERLINK("https://panda.att.com.mx/ODKServer/view/binaryData?blobKey=FSSuministroFluidosv3%5B%40version%3Dnull+and+%40uiVersion%3Dnull%5D%2Fdata%5B%40key%3Duuid%3A2ea0f4a9-f47b-4f4f-9da1-838ee5d7e807%5D%2FgroupInfoFuel%5B%40ordinal%3D1%5D%2FpicFuelRecibeInterno","Descargar")</f>
        <v>Descargar</v>
      </c>
    </row>
    <row r="3446" spans="1:18" x14ac:dyDescent="0.3">
      <c r="A3446">
        <v>1516584</v>
      </c>
      <c r="B3446" t="s">
        <v>18</v>
      </c>
      <c r="C3446" t="s">
        <v>55</v>
      </c>
      <c r="D3446" t="s">
        <v>56</v>
      </c>
      <c r="E3446" t="s">
        <v>2791</v>
      </c>
      <c r="F3446" t="s">
        <v>22</v>
      </c>
      <c r="G3446" t="s">
        <v>23</v>
      </c>
      <c r="H3446" t="s">
        <v>1763</v>
      </c>
      <c r="I3446" t="s">
        <v>25</v>
      </c>
      <c r="J3446" s="2">
        <v>45744.401863425926</v>
      </c>
      <c r="K3446">
        <v>28</v>
      </c>
      <c r="L3446">
        <v>3</v>
      </c>
      <c r="M3446">
        <v>2025</v>
      </c>
      <c r="N3446" t="s">
        <v>27</v>
      </c>
      <c r="O3446">
        <v>100</v>
      </c>
      <c r="P3446">
        <v>100</v>
      </c>
      <c r="R3446" s="3" t="str">
        <f>HYPERLINK("https://panda.att.com.mx/ODKServer/view/binaryData?blobKey=FSSuministroFluidosv3%5B%40version%3Dnull+and+%40uiVersion%3Dnull%5D%2Fdata%5B%40key%3Duuid%3A9362bcc0-d0a4-4fc1-a322-9aba307fe415%5D%2FgroupInfoFuel%5B%40ordinal%3D1%5D%2FpicFuelRecibeInterno","Descargar")</f>
        <v>Descargar</v>
      </c>
    </row>
    <row r="3447" spans="1:18" x14ac:dyDescent="0.3">
      <c r="A3447">
        <v>1516327</v>
      </c>
      <c r="B3447" t="s">
        <v>18</v>
      </c>
      <c r="C3447" t="s">
        <v>19</v>
      </c>
      <c r="D3447" t="s">
        <v>45</v>
      </c>
      <c r="E3447" t="s">
        <v>2792</v>
      </c>
      <c r="F3447" t="s">
        <v>22</v>
      </c>
      <c r="G3447" t="s">
        <v>23</v>
      </c>
      <c r="H3447" t="s">
        <v>24</v>
      </c>
      <c r="I3447" t="s">
        <v>25</v>
      </c>
      <c r="J3447" t="s">
        <v>2793</v>
      </c>
      <c r="K3447">
        <v>11</v>
      </c>
      <c r="L3447">
        <v>4</v>
      </c>
      <c r="M3447">
        <v>2025</v>
      </c>
      <c r="N3447" t="s">
        <v>27</v>
      </c>
      <c r="O3447">
        <v>200</v>
      </c>
      <c r="P3447">
        <v>200</v>
      </c>
      <c r="R3447" s="3" t="str">
        <f>HYPERLINK("https://panda.att.com.mx/ODKServer/view/binaryData?blobKey=FSSuministroFluidosv3%5B%40version%3Dnull+and+%40uiVersion%3Dnull%5D%2Fdata%5B%40key%3Duuid%3Ae60f11e1-b9e4-4025-a10a-284efe1f95d4%5D%2FgroupInfoFuel%5B%40ordinal%3D1%5D%2FpicFuelRecibeInterno","Descargar")</f>
        <v>Descargar</v>
      </c>
    </row>
    <row r="3448" spans="1:18" x14ac:dyDescent="0.3">
      <c r="A3448">
        <v>1516319</v>
      </c>
      <c r="B3448" t="s">
        <v>18</v>
      </c>
      <c r="C3448" t="s">
        <v>34</v>
      </c>
      <c r="D3448" t="s">
        <v>53</v>
      </c>
      <c r="E3448" t="s">
        <v>2794</v>
      </c>
      <c r="F3448" t="s">
        <v>22</v>
      </c>
      <c r="G3448" t="s">
        <v>23</v>
      </c>
      <c r="H3448" t="s">
        <v>390</v>
      </c>
      <c r="I3448" t="s">
        <v>25</v>
      </c>
      <c r="J3448" t="s">
        <v>2795</v>
      </c>
      <c r="K3448">
        <v>9</v>
      </c>
      <c r="L3448">
        <v>4</v>
      </c>
      <c r="M3448">
        <v>2025</v>
      </c>
      <c r="N3448" t="s">
        <v>27</v>
      </c>
      <c r="O3448">
        <v>300</v>
      </c>
      <c r="Q3448">
        <v>300</v>
      </c>
      <c r="R3448" s="3" t="str">
        <f>HYPERLINK("https://panda.att.com.mx/ODKServer/view/binaryData?blobKey=FSSuministroFluidosv3%5B%40version%3Dnull+and+%40uiVersion%3Dnull%5D%2Fdata%5B%40key%3Duuid%3A1ce68726-a8f7-4ca4-9a0a-ce8e15dc86ea%5D%2FgroupInfoFuel%5B%40ordinal%3D1%5D%2FpicFuelRecibeInterno","Descargar")</f>
        <v>Descargar</v>
      </c>
    </row>
    <row r="3449" spans="1:18" x14ac:dyDescent="0.3">
      <c r="A3449">
        <v>1516293</v>
      </c>
      <c r="B3449" t="s">
        <v>18</v>
      </c>
      <c r="C3449" t="s">
        <v>183</v>
      </c>
      <c r="D3449" t="s">
        <v>1660</v>
      </c>
      <c r="E3449" t="s">
        <v>1661</v>
      </c>
      <c r="F3449" t="s">
        <v>22</v>
      </c>
      <c r="G3449" t="s">
        <v>23</v>
      </c>
      <c r="H3449" t="s">
        <v>37</v>
      </c>
      <c r="I3449" t="s">
        <v>25</v>
      </c>
      <c r="J3449" t="s">
        <v>2796</v>
      </c>
      <c r="K3449">
        <v>9</v>
      </c>
      <c r="L3449">
        <v>4</v>
      </c>
      <c r="M3449">
        <v>2025</v>
      </c>
      <c r="N3449" t="s">
        <v>27</v>
      </c>
      <c r="O3449">
        <v>400</v>
      </c>
      <c r="P3449">
        <v>400</v>
      </c>
      <c r="R3449" s="3" t="str">
        <f>HYPERLINK("https://panda.att.com.mx/ODKServer/view/binaryData?blobKey=FSSuministroFluidosv3%5B%40version%3Dnull+and+%40uiVersion%3Dnull%5D%2Fdata%5B%40key%3Duuid%3Ae703ec5e-9f6a-46dc-8c67-95c4d18f6267%5D%2FgroupInfoFuel%5B%40ordinal%3D1%5D%2FpicFuelRecibeInterno","Descargar")</f>
        <v>Descargar</v>
      </c>
    </row>
    <row r="3450" spans="1:18" x14ac:dyDescent="0.3">
      <c r="A3450">
        <v>1516290</v>
      </c>
      <c r="B3450" t="s">
        <v>18</v>
      </c>
      <c r="C3450" t="s">
        <v>19</v>
      </c>
      <c r="D3450" t="s">
        <v>156</v>
      </c>
      <c r="E3450" t="s">
        <v>2797</v>
      </c>
      <c r="F3450" t="s">
        <v>22</v>
      </c>
      <c r="G3450" t="s">
        <v>23</v>
      </c>
      <c r="H3450" t="s">
        <v>24</v>
      </c>
      <c r="I3450" t="s">
        <v>25</v>
      </c>
      <c r="J3450" t="s">
        <v>2798</v>
      </c>
      <c r="K3450">
        <v>9</v>
      </c>
      <c r="L3450">
        <v>4</v>
      </c>
      <c r="M3450">
        <v>2025</v>
      </c>
      <c r="N3450" t="s">
        <v>44</v>
      </c>
      <c r="O3450">
        <v>18</v>
      </c>
      <c r="P3450">
        <v>18</v>
      </c>
      <c r="R3450" s="3" t="str">
        <f>HYPERLINK("https://panda.att.com.mx/ODKServer/view/binaryData?blobKey=FSSuministroFluidosv3%5B%40version%3Dnull+and+%40uiVersion%3Dnull%5D%2Fdata%5B%40key%3Duuid%3Abeddf6b5-9297-4a73-961d-693a3f9d679a%5D%2FgroupInfoFuel%5B%40ordinal%3D1%5D%2FpicFuelRecibeInterno","Descargar")</f>
        <v>Descargar</v>
      </c>
    </row>
    <row r="3451" spans="1:18" x14ac:dyDescent="0.3">
      <c r="A3451">
        <v>1516270</v>
      </c>
      <c r="B3451" t="s">
        <v>18</v>
      </c>
      <c r="C3451" t="s">
        <v>68</v>
      </c>
      <c r="D3451" t="s">
        <v>219</v>
      </c>
      <c r="E3451" t="s">
        <v>543</v>
      </c>
      <c r="F3451" t="s">
        <v>22</v>
      </c>
      <c r="G3451" t="s">
        <v>23</v>
      </c>
      <c r="H3451" t="s">
        <v>37</v>
      </c>
      <c r="I3451" t="s">
        <v>25</v>
      </c>
      <c r="J3451" t="s">
        <v>2799</v>
      </c>
      <c r="K3451">
        <v>11</v>
      </c>
      <c r="L3451">
        <v>4</v>
      </c>
      <c r="M3451">
        <v>2025</v>
      </c>
      <c r="N3451" t="s">
        <v>27</v>
      </c>
      <c r="O3451">
        <v>200</v>
      </c>
      <c r="P3451">
        <v>200</v>
      </c>
      <c r="R3451" s="3" t="str">
        <f>HYPERLINK("https://panda.att.com.mx/ODKServer/view/binaryData?blobKey=FSSuministroFluidosv3%5B%40version%3Dnull+and+%40uiVersion%3Dnull%5D%2Fdata%5B%40key%3Duuid%3Afc695a67-ba3c-4c03-a430-c1bac3cc8f42%5D%2FgroupInfoFuel%5B%40ordinal%3D1%5D%2FpicFuelRecibeInterno","Descargar")</f>
        <v>Descargar</v>
      </c>
    </row>
    <row r="3452" spans="1:18" x14ac:dyDescent="0.3">
      <c r="A3452">
        <v>1514776</v>
      </c>
      <c r="B3452" t="s">
        <v>18</v>
      </c>
      <c r="C3452" t="s">
        <v>59</v>
      </c>
      <c r="D3452" t="s">
        <v>60</v>
      </c>
      <c r="E3452" t="s">
        <v>2738</v>
      </c>
      <c r="F3452" t="s">
        <v>22</v>
      </c>
      <c r="G3452" t="s">
        <v>23</v>
      </c>
      <c r="H3452" t="s">
        <v>37</v>
      </c>
      <c r="I3452" t="s">
        <v>25</v>
      </c>
      <c r="J3452" t="s">
        <v>2800</v>
      </c>
      <c r="K3452">
        <v>6</v>
      </c>
      <c r="L3452">
        <v>4</v>
      </c>
      <c r="M3452">
        <v>2025</v>
      </c>
      <c r="N3452" t="s">
        <v>27</v>
      </c>
      <c r="O3452">
        <v>130</v>
      </c>
      <c r="P3452">
        <v>130</v>
      </c>
      <c r="R3452" s="3" t="str">
        <f>HYPERLINK("https://panda.att.com.mx/ODKServer/view/binaryData?blobKey=FSSuministroFluidosv3%5B%40version%3Dnull+and+%40uiVersion%3Dnull%5D%2Fdata%5B%40key%3Duuid%3A9c69636e-7c9e-4db3-a2fa-7d61946540a1%5D%2FgroupInfoFuel%5B%40ordinal%3D1%5D%2FpicFuelRecibeInterno","Descargar")</f>
        <v>Descargar</v>
      </c>
    </row>
    <row r="3453" spans="1:18" x14ac:dyDescent="0.3">
      <c r="A3453">
        <v>1514760</v>
      </c>
      <c r="B3453" t="s">
        <v>18</v>
      </c>
      <c r="C3453" t="s">
        <v>59</v>
      </c>
      <c r="D3453" t="s">
        <v>60</v>
      </c>
      <c r="E3453" t="s">
        <v>2738</v>
      </c>
      <c r="F3453" t="s">
        <v>22</v>
      </c>
      <c r="G3453" t="s">
        <v>23</v>
      </c>
      <c r="H3453" t="s">
        <v>37</v>
      </c>
      <c r="I3453" t="s">
        <v>25</v>
      </c>
      <c r="J3453" t="s">
        <v>2801</v>
      </c>
      <c r="K3453">
        <v>5</v>
      </c>
      <c r="L3453">
        <v>4</v>
      </c>
      <c r="M3453">
        <v>2025</v>
      </c>
      <c r="N3453" t="s">
        <v>27</v>
      </c>
      <c r="O3453">
        <v>130</v>
      </c>
      <c r="P3453">
        <v>130</v>
      </c>
      <c r="R3453" s="3" t="str">
        <f>HYPERLINK("https://panda.att.com.mx/ODKServer/view/binaryData?blobKey=FSSuministroFluidosv3%5B%40version%3Dnull+and+%40uiVersion%3Dnull%5D%2Fdata%5B%40key%3Duuid%3A7cd71c97-4fa8-4a9b-b7d9-3c38b324d605%5D%2FgroupInfoFuel%5B%40ordinal%3D1%5D%2FpicFuelRecibeInterno","Descargar")</f>
        <v>Descargar</v>
      </c>
    </row>
    <row r="3454" spans="1:18" x14ac:dyDescent="0.3">
      <c r="A3454">
        <v>1514753</v>
      </c>
      <c r="B3454" t="s">
        <v>18</v>
      </c>
      <c r="C3454" t="s">
        <v>34</v>
      </c>
      <c r="D3454" t="s">
        <v>53</v>
      </c>
      <c r="E3454" t="s">
        <v>459</v>
      </c>
      <c r="F3454" t="s">
        <v>22</v>
      </c>
      <c r="G3454" t="s">
        <v>83</v>
      </c>
      <c r="H3454" t="s">
        <v>390</v>
      </c>
      <c r="I3454" t="s">
        <v>25</v>
      </c>
      <c r="J3454" t="s">
        <v>2802</v>
      </c>
      <c r="K3454">
        <v>4</v>
      </c>
      <c r="L3454">
        <v>4</v>
      </c>
      <c r="M3454">
        <v>2025</v>
      </c>
      <c r="N3454" t="s">
        <v>27</v>
      </c>
      <c r="O3454">
        <v>450</v>
      </c>
      <c r="P3454">
        <v>450</v>
      </c>
      <c r="R3454" s="3" t="str">
        <f>HYPERLINK("https://panda.att.com.mx/ODKServer/view/binaryData?blobKey=FSSuministroFluidosv3%5B%40version%3Dnull+and+%40uiVersion%3Dnull%5D%2Fdata%5B%40key%3Duuid%3A468ab01b-29e9-43f1-ac05-35f5f65be2f1%5D%2FgroupInfoFuel%5B%40ordinal%3D1%5D%2FpicFuelRecibeInterno","Descargar")</f>
        <v>Descargar</v>
      </c>
    </row>
    <row r="3455" spans="1:18" x14ac:dyDescent="0.3">
      <c r="A3455">
        <v>1514752</v>
      </c>
      <c r="B3455" t="s">
        <v>18</v>
      </c>
      <c r="C3455" t="s">
        <v>34</v>
      </c>
      <c r="D3455" t="s">
        <v>53</v>
      </c>
      <c r="E3455" t="s">
        <v>457</v>
      </c>
      <c r="F3455" t="s">
        <v>22</v>
      </c>
      <c r="G3455" t="s">
        <v>83</v>
      </c>
      <c r="H3455" t="s">
        <v>390</v>
      </c>
      <c r="I3455" t="s">
        <v>25</v>
      </c>
      <c r="J3455" t="s">
        <v>2803</v>
      </c>
      <c r="K3455">
        <v>2</v>
      </c>
      <c r="L3455">
        <v>4</v>
      </c>
      <c r="M3455">
        <v>2025</v>
      </c>
      <c r="N3455" t="s">
        <v>27</v>
      </c>
      <c r="O3455">
        <v>650</v>
      </c>
      <c r="Q3455">
        <v>650</v>
      </c>
      <c r="R3455" s="3" t="str">
        <f>HYPERLINK("https://panda.att.com.mx/ODKServer/view/binaryData?blobKey=FSSuministroFluidosv3%5B%40version%3Dnull+and+%40uiVersion%3Dnull%5D%2Fdata%5B%40key%3Duuid%3Abb4e0017-b56c-4552-810b-1927a2c10d0a%5D%2FgroupInfoFuel%5B%40ordinal%3D1%5D%2FpicFuelRecibeInterno","Descargar")</f>
        <v>Descargar</v>
      </c>
    </row>
    <row r="3456" spans="1:18" x14ac:dyDescent="0.3">
      <c r="A3456">
        <v>1514737</v>
      </c>
      <c r="B3456" t="s">
        <v>18</v>
      </c>
      <c r="C3456" t="s">
        <v>59</v>
      </c>
      <c r="D3456" t="s">
        <v>60</v>
      </c>
      <c r="E3456" t="s">
        <v>2738</v>
      </c>
      <c r="F3456" t="s">
        <v>22</v>
      </c>
      <c r="G3456" t="s">
        <v>23</v>
      </c>
      <c r="H3456" t="s">
        <v>37</v>
      </c>
      <c r="I3456" t="s">
        <v>25</v>
      </c>
      <c r="J3456" t="s">
        <v>2804</v>
      </c>
      <c r="K3456">
        <v>3</v>
      </c>
      <c r="L3456">
        <v>4</v>
      </c>
      <c r="M3456">
        <v>2025</v>
      </c>
      <c r="N3456" t="s">
        <v>27</v>
      </c>
      <c r="O3456">
        <v>130</v>
      </c>
      <c r="P3456">
        <v>130</v>
      </c>
      <c r="R3456" s="3" t="str">
        <f>HYPERLINK("https://panda.att.com.mx/ODKServer/view/binaryData?blobKey=FSSuministroFluidosv3%5B%40version%3Dnull+and+%40uiVersion%3Dnull%5D%2Fdata%5B%40key%3Duuid%3Ae0670423-4acd-44df-b981-03d9bc254f13%5D%2FgroupInfoFuel%5B%40ordinal%3D1%5D%2FpicFuelRecibeInterno","Descargar")</f>
        <v>Descargar</v>
      </c>
    </row>
    <row r="3457" spans="1:18" x14ac:dyDescent="0.3">
      <c r="A3457">
        <v>1514719</v>
      </c>
      <c r="B3457" t="s">
        <v>18</v>
      </c>
      <c r="C3457" t="s">
        <v>183</v>
      </c>
      <c r="D3457" t="s">
        <v>1603</v>
      </c>
      <c r="E3457" t="s">
        <v>1604</v>
      </c>
      <c r="F3457" t="s">
        <v>22</v>
      </c>
      <c r="G3457" t="s">
        <v>23</v>
      </c>
      <c r="H3457" t="s">
        <v>37</v>
      </c>
      <c r="I3457" t="s">
        <v>25</v>
      </c>
      <c r="J3457" s="2">
        <v>45713.387314814812</v>
      </c>
      <c r="K3457">
        <v>25</v>
      </c>
      <c r="L3457">
        <v>2</v>
      </c>
      <c r="M3457">
        <v>2025</v>
      </c>
      <c r="N3457" t="s">
        <v>27</v>
      </c>
      <c r="O3457">
        <v>100</v>
      </c>
      <c r="P3457">
        <v>100</v>
      </c>
      <c r="R3457" s="3" t="str">
        <f>HYPERLINK("https://panda.att.com.mx/ODKServer/view/binaryData?blobKey=FSSuministroFluidosv3%5B%40version%3Dnull+and+%40uiVersion%3Dnull%5D%2Fdata%5B%40key%3Duuid%3A5532bde9-b014-4f7f-a876-f01f606fb56c%5D%2FgroupInfoFuel%5B%40ordinal%3D1%5D%2FpicFuelRecibeInterno","Descargar")</f>
        <v>Descargar</v>
      </c>
    </row>
    <row r="3458" spans="1:18" x14ac:dyDescent="0.3">
      <c r="A3458">
        <v>1514718</v>
      </c>
      <c r="B3458" t="s">
        <v>18</v>
      </c>
      <c r="C3458" t="s">
        <v>59</v>
      </c>
      <c r="D3458" t="s">
        <v>307</v>
      </c>
      <c r="E3458" t="s">
        <v>2140</v>
      </c>
      <c r="F3458" t="s">
        <v>22</v>
      </c>
      <c r="G3458" t="s">
        <v>23</v>
      </c>
      <c r="H3458" t="s">
        <v>37</v>
      </c>
      <c r="I3458" t="s">
        <v>25</v>
      </c>
      <c r="J3458" s="2">
        <v>45715.421203703707</v>
      </c>
      <c r="K3458">
        <v>27</v>
      </c>
      <c r="L3458">
        <v>2</v>
      </c>
      <c r="M3458">
        <v>2025</v>
      </c>
      <c r="N3458" t="s">
        <v>27</v>
      </c>
      <c r="O3458">
        <v>150</v>
      </c>
      <c r="P3458">
        <v>150</v>
      </c>
      <c r="R3458" s="3" t="str">
        <f>HYPERLINK("https://panda.att.com.mx/ODKServer/view/binaryData?blobKey=FSSuministroFluidosv3%5B%40version%3Dnull+and+%40uiVersion%3Dnull%5D%2Fdata%5B%40key%3Duuid%3A9db47040-4644-44ec-b400-fe145d43befd%5D%2FgroupInfoFuel%5B%40ordinal%3D1%5D%2FpicFuelRecibeInterno","Descargar")</f>
        <v>Descargar</v>
      </c>
    </row>
    <row r="3459" spans="1:18" x14ac:dyDescent="0.3">
      <c r="A3459">
        <v>1514707</v>
      </c>
      <c r="B3459" t="s">
        <v>18</v>
      </c>
      <c r="C3459" t="s">
        <v>19</v>
      </c>
      <c r="D3459" t="s">
        <v>170</v>
      </c>
      <c r="E3459" t="s">
        <v>2805</v>
      </c>
      <c r="F3459" t="s">
        <v>22</v>
      </c>
      <c r="G3459" t="s">
        <v>23</v>
      </c>
      <c r="H3459" t="s">
        <v>24</v>
      </c>
      <c r="I3459" t="s">
        <v>25</v>
      </c>
      <c r="J3459" t="s">
        <v>2806</v>
      </c>
      <c r="K3459">
        <v>3</v>
      </c>
      <c r="L3459">
        <v>4</v>
      </c>
      <c r="M3459">
        <v>2025</v>
      </c>
      <c r="N3459" t="s">
        <v>27</v>
      </c>
      <c r="O3459">
        <v>450</v>
      </c>
      <c r="P3459">
        <v>450</v>
      </c>
      <c r="R3459" s="3" t="str">
        <f>HYPERLINK("https://panda.att.com.mx/ODKServer/view/binaryData?blobKey=FSSuministroFluidosv3%5B%40version%3Dnull+and+%40uiVersion%3Dnull%5D%2Fdata%5B%40key%3Duuid%3Af775d6d2-9edd-4b04-b378-0358c582f38d%5D%2FgroupInfoFuel%5B%40ordinal%3D1%5D%2FpicFuelRecibeInterno","Descargar")</f>
        <v>Descargar</v>
      </c>
    </row>
    <row r="3460" spans="1:18" x14ac:dyDescent="0.3">
      <c r="A3460">
        <v>1514672</v>
      </c>
      <c r="B3460" t="s">
        <v>18</v>
      </c>
      <c r="C3460" t="s">
        <v>59</v>
      </c>
      <c r="D3460" t="s">
        <v>60</v>
      </c>
      <c r="E3460" t="s">
        <v>2807</v>
      </c>
      <c r="F3460" t="s">
        <v>22</v>
      </c>
      <c r="G3460" t="s">
        <v>23</v>
      </c>
      <c r="H3460" t="s">
        <v>1816</v>
      </c>
      <c r="I3460" t="s">
        <v>25</v>
      </c>
      <c r="J3460" t="s">
        <v>2808</v>
      </c>
      <c r="K3460">
        <v>9</v>
      </c>
      <c r="L3460">
        <v>4</v>
      </c>
      <c r="M3460">
        <v>2025</v>
      </c>
      <c r="N3460" t="s">
        <v>27</v>
      </c>
      <c r="O3460">
        <v>94</v>
      </c>
      <c r="P3460">
        <v>94</v>
      </c>
      <c r="R3460" s="3" t="str">
        <f>HYPERLINK("https://panda.att.com.mx/ODKServer/view/binaryData?blobKey=FSSuministroFluidosv3%5B%40version%3Dnull+and+%40uiVersion%3Dnull%5D%2Fdata%5B%40key%3Duuid%3A57c42791-5a9b-466c-a4c2-7d26e17e2c6d%5D%2FgroupInfoFuel%5B%40ordinal%3D1%5D%2FpicFuelRecibeInterno","Descargar")</f>
        <v>Descargar</v>
      </c>
    </row>
    <row r="3461" spans="1:18" x14ac:dyDescent="0.3">
      <c r="A3461">
        <v>1514573</v>
      </c>
      <c r="B3461" t="s">
        <v>18</v>
      </c>
      <c r="C3461" t="s">
        <v>68</v>
      </c>
      <c r="D3461" t="s">
        <v>258</v>
      </c>
      <c r="E3461" t="s">
        <v>1764</v>
      </c>
      <c r="F3461" t="s">
        <v>22</v>
      </c>
      <c r="G3461" t="s">
        <v>23</v>
      </c>
      <c r="H3461" t="s">
        <v>37</v>
      </c>
      <c r="I3461" t="s">
        <v>25</v>
      </c>
      <c r="J3461" t="s">
        <v>2809</v>
      </c>
      <c r="K3461">
        <v>9</v>
      </c>
      <c r="L3461">
        <v>4</v>
      </c>
      <c r="M3461">
        <v>2025</v>
      </c>
      <c r="N3461" t="s">
        <v>27</v>
      </c>
      <c r="O3461">
        <v>110</v>
      </c>
      <c r="P3461">
        <v>110</v>
      </c>
      <c r="R3461" s="3" t="str">
        <f>HYPERLINK("https://panda.att.com.mx/ODKServer/view/binaryData?blobKey=FSSuministroFluidosv3%5B%40version%3Dnull+and+%40uiVersion%3Dnull%5D%2Fdata%5B%40key%3Duuid%3Ad3aeb756-fce2-4ed4-a4e5-8d9cf2dd6543%5D%2FgroupInfoFuel%5B%40ordinal%3D1%5D%2FpicFuelRecibeInterno","Descargar")</f>
        <v>Descargar</v>
      </c>
    </row>
    <row r="3462" spans="1:18" x14ac:dyDescent="0.3">
      <c r="A3462">
        <v>1514521</v>
      </c>
      <c r="B3462" t="s">
        <v>18</v>
      </c>
      <c r="C3462" t="s">
        <v>34</v>
      </c>
      <c r="D3462" t="s">
        <v>53</v>
      </c>
      <c r="E3462" t="s">
        <v>2810</v>
      </c>
      <c r="F3462" t="s">
        <v>22</v>
      </c>
      <c r="G3462" t="s">
        <v>23</v>
      </c>
      <c r="H3462" t="s">
        <v>37</v>
      </c>
      <c r="I3462" t="s">
        <v>25</v>
      </c>
      <c r="J3462" t="s">
        <v>2811</v>
      </c>
      <c r="K3462">
        <v>8</v>
      </c>
      <c r="L3462">
        <v>4</v>
      </c>
      <c r="M3462">
        <v>2025</v>
      </c>
      <c r="N3462" t="s">
        <v>27</v>
      </c>
      <c r="O3462">
        <v>50</v>
      </c>
      <c r="P3462">
        <v>50</v>
      </c>
      <c r="R3462" s="3" t="str">
        <f>HYPERLINK("https://panda.att.com.mx/ODKServer/view/binaryData?blobKey=FSSuministroFluidosv3%5B%40version%3Dnull+and+%40uiVersion%3Dnull%5D%2Fdata%5B%40key%3Duuid%3A1e286dc1-d932-4251-84e8-ed6a855d112d%5D%2FgroupInfoFuel%5B%40ordinal%3D1%5D%2FpicFuelRecibeInterno","Descargar")</f>
        <v>Descargar</v>
      </c>
    </row>
    <row r="3463" spans="1:18" x14ac:dyDescent="0.3">
      <c r="A3463">
        <v>1514468</v>
      </c>
      <c r="B3463" t="s">
        <v>18</v>
      </c>
      <c r="C3463" t="s">
        <v>59</v>
      </c>
      <c r="D3463" t="s">
        <v>60</v>
      </c>
      <c r="E3463" t="s">
        <v>2812</v>
      </c>
      <c r="F3463" t="s">
        <v>33</v>
      </c>
      <c r="G3463" t="s">
        <v>23</v>
      </c>
      <c r="H3463" t="s">
        <v>1816</v>
      </c>
      <c r="I3463" t="s">
        <v>25</v>
      </c>
      <c r="J3463" t="s">
        <v>2813</v>
      </c>
      <c r="K3463">
        <v>9</v>
      </c>
      <c r="L3463">
        <v>4</v>
      </c>
      <c r="M3463">
        <v>2025</v>
      </c>
      <c r="N3463" t="s">
        <v>27</v>
      </c>
      <c r="O3463">
        <v>97.3</v>
      </c>
      <c r="P3463">
        <v>97.3</v>
      </c>
      <c r="R3463" s="3" t="str">
        <f>HYPERLINK("https://panda.att.com.mx/ODKServer/view/binaryData?blobKey=FSSuministroFluidosv3%5B%40version%3Dnull+and+%40uiVersion%3Dnull%5D%2Fdata%5B%40key%3Duuid%3A77ab73f5-7267-40b1-99c4-78537cf35174%5D%2FgroupInfoFuel%5B%40ordinal%3D1%5D%2FpicFuelRecibeInterno","Descargar")</f>
        <v>Descargar</v>
      </c>
    </row>
    <row r="3464" spans="1:18" x14ac:dyDescent="0.3">
      <c r="A3464">
        <v>1514430</v>
      </c>
      <c r="B3464" t="s">
        <v>18</v>
      </c>
      <c r="C3464" t="s">
        <v>59</v>
      </c>
      <c r="D3464" t="s">
        <v>574</v>
      </c>
      <c r="E3464" t="s">
        <v>1521</v>
      </c>
      <c r="F3464" t="s">
        <v>22</v>
      </c>
      <c r="G3464" t="s">
        <v>23</v>
      </c>
      <c r="H3464" t="s">
        <v>37</v>
      </c>
      <c r="I3464" t="s">
        <v>25</v>
      </c>
      <c r="J3464" t="s">
        <v>2814</v>
      </c>
      <c r="K3464">
        <v>9</v>
      </c>
      <c r="L3464">
        <v>4</v>
      </c>
      <c r="M3464">
        <v>2025</v>
      </c>
      <c r="N3464" t="s">
        <v>27</v>
      </c>
      <c r="O3464">
        <v>500</v>
      </c>
      <c r="P3464">
        <v>500</v>
      </c>
      <c r="R3464" s="3" t="str">
        <f>HYPERLINK("https://panda.att.com.mx/ODKServer/view/binaryData?blobKey=FSSuministroFluidosv3%5B%40version%3Dnull+and+%40uiVersion%3Dnull%5D%2Fdata%5B%40key%3Duuid%3A76de3dfc-ee5a-4e3d-beef-36a86c6e4975%5D%2FgroupInfoFuel%5B%40ordinal%3D1%5D%2FpicFuelRecibeInterno","Descargar")</f>
        <v>Descargar</v>
      </c>
    </row>
    <row r="3465" spans="1:18" x14ac:dyDescent="0.3">
      <c r="A3465">
        <v>1514393</v>
      </c>
      <c r="B3465" t="s">
        <v>18</v>
      </c>
      <c r="C3465" t="s">
        <v>28</v>
      </c>
      <c r="D3465" t="s">
        <v>118</v>
      </c>
      <c r="E3465" t="s">
        <v>2815</v>
      </c>
      <c r="F3465" t="s">
        <v>22</v>
      </c>
      <c r="G3465" t="s">
        <v>23</v>
      </c>
      <c r="H3465" t="s">
        <v>24</v>
      </c>
      <c r="I3465" t="s">
        <v>25</v>
      </c>
      <c r="J3465" t="s">
        <v>2816</v>
      </c>
      <c r="K3465">
        <v>9</v>
      </c>
      <c r="L3465">
        <v>4</v>
      </c>
      <c r="M3465">
        <v>2025</v>
      </c>
      <c r="N3465" t="s">
        <v>44</v>
      </c>
      <c r="O3465">
        <v>40</v>
      </c>
      <c r="P3465">
        <v>40</v>
      </c>
      <c r="R3465" s="3" t="str">
        <f>HYPERLINK("https://panda.att.com.mx/ODKServer/view/binaryData?blobKey=FSSuministroFluidosv3%5B%40version%3Dnull+and+%40uiVersion%3Dnull%5D%2Fdata%5B%40key%3Duuid%3Ac5419f0d-5539-4acf-9d67-fdd13380cd12%5D%2FgroupInfoFuel%5B%40ordinal%3D1%5D%2FpicFuelRecibeInterno","Descargar")</f>
        <v>Descargar</v>
      </c>
    </row>
    <row r="3466" spans="1:18" x14ac:dyDescent="0.3">
      <c r="A3466">
        <v>1514251</v>
      </c>
      <c r="B3466" t="s">
        <v>18</v>
      </c>
      <c r="C3466" t="s">
        <v>68</v>
      </c>
      <c r="D3466" t="s">
        <v>461</v>
      </c>
      <c r="E3466" t="s">
        <v>2817</v>
      </c>
      <c r="F3466" t="s">
        <v>22</v>
      </c>
      <c r="G3466" t="s">
        <v>23</v>
      </c>
      <c r="H3466" t="s">
        <v>37</v>
      </c>
      <c r="I3466" t="s">
        <v>25</v>
      </c>
      <c r="J3466" t="s">
        <v>2818</v>
      </c>
      <c r="K3466">
        <v>8</v>
      </c>
      <c r="L3466">
        <v>4</v>
      </c>
      <c r="M3466">
        <v>2025</v>
      </c>
      <c r="N3466" t="s">
        <v>27</v>
      </c>
      <c r="O3466">
        <v>120</v>
      </c>
      <c r="P3466">
        <v>120</v>
      </c>
      <c r="R3466" s="3" t="str">
        <f>HYPERLINK("https://panda.att.com.mx/ODKServer/view/binaryData?blobKey=FSSuministroFluidosv3%5B%40version%3Dnull+and+%40uiVersion%3Dnull%5D%2Fdata%5B%40key%3Duuid%3Ad6f3ee11-a8f8-4d21-82d9-8f6e81a3d6a4%5D%2FgroupInfoFuel%5B%40ordinal%3D1%5D%2FpicFuelRecibeInterno","Descargar")</f>
        <v>Descargar</v>
      </c>
    </row>
    <row r="3467" spans="1:18" x14ac:dyDescent="0.3">
      <c r="A3467">
        <v>1514250</v>
      </c>
      <c r="B3467" t="s">
        <v>18</v>
      </c>
      <c r="C3467" t="s">
        <v>55</v>
      </c>
      <c r="D3467" t="s">
        <v>128</v>
      </c>
      <c r="E3467" t="s">
        <v>2758</v>
      </c>
      <c r="F3467" t="s">
        <v>22</v>
      </c>
      <c r="G3467" t="s">
        <v>47</v>
      </c>
      <c r="H3467" t="s">
        <v>1763</v>
      </c>
      <c r="I3467" t="s">
        <v>25</v>
      </c>
      <c r="J3467" t="s">
        <v>2819</v>
      </c>
      <c r="K3467">
        <v>9</v>
      </c>
      <c r="L3467">
        <v>4</v>
      </c>
      <c r="M3467">
        <v>2025</v>
      </c>
      <c r="N3467" t="s">
        <v>27</v>
      </c>
      <c r="O3467">
        <v>200</v>
      </c>
      <c r="P3467">
        <v>200</v>
      </c>
      <c r="R3467" s="3" t="str">
        <f>HYPERLINK("https://panda.att.com.mx/ODKServer/view/binaryData?blobKey=FSSuministroFluidosv3%5B%40version%3Dnull+and+%40uiVersion%3Dnull%5D%2Fdata%5B%40key%3Duuid%3A82e45a5a-1d2b-4508-b0ca-6aa342fa7940%5D%2FgroupInfoFuel%5B%40ordinal%3D1%5D%2FpicFuelRecibeInterno","Descargar")</f>
        <v>Descargar</v>
      </c>
    </row>
    <row r="3468" spans="1:18" x14ac:dyDescent="0.3">
      <c r="A3468">
        <v>1514192</v>
      </c>
      <c r="B3468" t="s">
        <v>18</v>
      </c>
      <c r="C3468" t="s">
        <v>28</v>
      </c>
      <c r="D3468" t="s">
        <v>66</v>
      </c>
      <c r="E3468" t="s">
        <v>1141</v>
      </c>
      <c r="F3468" t="s">
        <v>22</v>
      </c>
      <c r="G3468" t="s">
        <v>23</v>
      </c>
      <c r="H3468" t="s">
        <v>24</v>
      </c>
      <c r="I3468" t="s">
        <v>25</v>
      </c>
      <c r="J3468" s="2">
        <v>45744.975243055553</v>
      </c>
      <c r="K3468">
        <v>28</v>
      </c>
      <c r="L3468">
        <v>3</v>
      </c>
      <c r="M3468">
        <v>2025</v>
      </c>
      <c r="N3468" t="s">
        <v>27</v>
      </c>
      <c r="O3468">
        <v>250</v>
      </c>
      <c r="P3468">
        <v>250</v>
      </c>
      <c r="R3468" s="3" t="str">
        <f>HYPERLINK("https://panda.att.com.mx/ODKServer/view/binaryData?blobKey=FSSuministroFluidosv3%5B%40version%3Dnull+and+%40uiVersion%3Dnull%5D%2Fdata%5B%40key%3Duuid%3A69b11a40-fd2b-4376-af71-2016758faea4%5D%2FgroupInfoFuel%5B%40ordinal%3D1%5D%2FpicFuelRecibeInterno","Descargar")</f>
        <v>Descargar</v>
      </c>
    </row>
    <row r="3469" spans="1:18" x14ac:dyDescent="0.3">
      <c r="A3469">
        <v>1514174</v>
      </c>
      <c r="B3469" t="s">
        <v>18</v>
      </c>
      <c r="C3469" t="s">
        <v>68</v>
      </c>
      <c r="D3469" t="s">
        <v>258</v>
      </c>
      <c r="E3469" t="s">
        <v>259</v>
      </c>
      <c r="F3469" t="s">
        <v>22</v>
      </c>
      <c r="G3469" t="s">
        <v>23</v>
      </c>
      <c r="H3469" t="s">
        <v>37</v>
      </c>
      <c r="I3469" t="s">
        <v>25</v>
      </c>
      <c r="J3469" t="s">
        <v>2820</v>
      </c>
      <c r="K3469">
        <v>9</v>
      </c>
      <c r="L3469">
        <v>4</v>
      </c>
      <c r="M3469">
        <v>2025</v>
      </c>
      <c r="N3469" t="s">
        <v>27</v>
      </c>
      <c r="O3469">
        <v>80</v>
      </c>
      <c r="P3469">
        <v>80</v>
      </c>
      <c r="R3469" s="3" t="str">
        <f>HYPERLINK("https://panda.att.com.mx/ODKServer/view/binaryData?blobKey=FSSuministroFluidosv3%5B%40version%3Dnull+and+%40uiVersion%3Dnull%5D%2Fdata%5B%40key%3Duuid%3Aae20d333-2bb7-49cb-9bc5-f676cc89e16d%5D%2FgroupInfoFuel%5B%40ordinal%3D1%5D%2FpicFuelRecibeInterno","Descargar")</f>
        <v>Descargar</v>
      </c>
    </row>
    <row r="3470" spans="1:18" x14ac:dyDescent="0.3">
      <c r="A3470">
        <v>1514162</v>
      </c>
      <c r="B3470" t="s">
        <v>18</v>
      </c>
      <c r="C3470" t="s">
        <v>59</v>
      </c>
      <c r="D3470" t="s">
        <v>574</v>
      </c>
      <c r="E3470" t="s">
        <v>1521</v>
      </c>
      <c r="F3470" t="s">
        <v>22</v>
      </c>
      <c r="G3470" t="s">
        <v>23</v>
      </c>
      <c r="H3470" t="s">
        <v>37</v>
      </c>
      <c r="I3470" t="s">
        <v>25</v>
      </c>
      <c r="J3470" s="2">
        <v>45729.608344907407</v>
      </c>
      <c r="K3470">
        <v>13</v>
      </c>
      <c r="L3470">
        <v>3</v>
      </c>
      <c r="M3470">
        <v>2025</v>
      </c>
      <c r="N3470" t="s">
        <v>27</v>
      </c>
      <c r="O3470">
        <v>500</v>
      </c>
      <c r="P3470">
        <v>500</v>
      </c>
      <c r="R3470" s="3" t="str">
        <f>HYPERLINK("https://panda.att.com.mx/ODKServer/view/binaryData?blobKey=FSSuministroFluidosv3%5B%40version%3Dnull+and+%40uiVersion%3Dnull%5D%2Fdata%5B%40key%3Duuid%3A9ffe04d7-0c55-4ed6-807b-0dc5d50db13b%5D%2FgroupInfoFuel%5B%40ordinal%3D1%5D%2FpicFuelRecibeInterno","Descargar")</f>
        <v>Descargar</v>
      </c>
    </row>
    <row r="3471" spans="1:18" x14ac:dyDescent="0.3">
      <c r="A3471">
        <v>1514156</v>
      </c>
      <c r="B3471" t="s">
        <v>18</v>
      </c>
      <c r="C3471" t="s">
        <v>59</v>
      </c>
      <c r="D3471" t="s">
        <v>574</v>
      </c>
      <c r="E3471" t="s">
        <v>2057</v>
      </c>
      <c r="F3471" t="s">
        <v>22</v>
      </c>
      <c r="G3471" t="s">
        <v>23</v>
      </c>
      <c r="H3471" t="s">
        <v>37</v>
      </c>
      <c r="I3471" t="s">
        <v>25</v>
      </c>
      <c r="J3471" s="2">
        <v>45729.741736111107</v>
      </c>
      <c r="K3471">
        <v>13</v>
      </c>
      <c r="L3471">
        <v>3</v>
      </c>
      <c r="M3471">
        <v>2025</v>
      </c>
      <c r="N3471" t="s">
        <v>27</v>
      </c>
      <c r="O3471">
        <v>300</v>
      </c>
      <c r="P3471">
        <v>300</v>
      </c>
      <c r="R3471" s="3" t="str">
        <f>HYPERLINK("https://panda.att.com.mx/ODKServer/view/binaryData?blobKey=FSSuministroFluidosv3%5B%40version%3Dnull+and+%40uiVersion%3Dnull%5D%2Fdata%5B%40key%3Duuid%3Aa5f6f465-dbd1-4827-a60e-edc45f2f6961%5D%2FgroupInfoFuel%5B%40ordinal%3D1%5D%2FpicFuelRecibeInterno","Descargar")</f>
        <v>Descargar</v>
      </c>
    </row>
    <row r="3472" spans="1:18" x14ac:dyDescent="0.3">
      <c r="A3472">
        <v>1514066</v>
      </c>
      <c r="B3472" t="s">
        <v>18</v>
      </c>
      <c r="C3472" t="s">
        <v>55</v>
      </c>
      <c r="D3472" t="s">
        <v>210</v>
      </c>
      <c r="E3472" t="s">
        <v>1096</v>
      </c>
      <c r="G3472" t="s">
        <v>23</v>
      </c>
      <c r="H3472" t="s">
        <v>1763</v>
      </c>
      <c r="I3472" t="s">
        <v>25</v>
      </c>
      <c r="J3472" t="s">
        <v>2821</v>
      </c>
      <c r="K3472">
        <v>7</v>
      </c>
      <c r="L3472">
        <v>4</v>
      </c>
      <c r="M3472">
        <v>2025</v>
      </c>
      <c r="N3472" t="s">
        <v>27</v>
      </c>
      <c r="O3472">
        <v>50</v>
      </c>
      <c r="P3472">
        <v>50</v>
      </c>
      <c r="R3472" s="3" t="str">
        <f>HYPERLINK("https://panda.att.com.mx/ODKServer/view/binaryData?blobKey=FSSuministroFluidosv3%5B%40version%3Dnull+and+%40uiVersion%3Dnull%5D%2Fdata%5B%40key%3Duuid%3Af0e701af-9624-4bfc-bf60-301a310eca18%5D%2FgroupInfoFuel%5B%40ordinal%3D1%5D%2FpicFuelRecibeInterno","Descargar")</f>
        <v>Descargar</v>
      </c>
    </row>
    <row r="3473" spans="1:18" x14ac:dyDescent="0.3">
      <c r="A3473">
        <v>1514065</v>
      </c>
      <c r="B3473" t="s">
        <v>18</v>
      </c>
      <c r="C3473" t="s">
        <v>55</v>
      </c>
      <c r="D3473" t="s">
        <v>1870</v>
      </c>
      <c r="E3473" t="s">
        <v>2822</v>
      </c>
      <c r="F3473" t="s">
        <v>22</v>
      </c>
      <c r="G3473" t="s">
        <v>23</v>
      </c>
      <c r="H3473" t="s">
        <v>1763</v>
      </c>
      <c r="I3473" t="s">
        <v>25</v>
      </c>
      <c r="J3473" t="s">
        <v>2823</v>
      </c>
      <c r="K3473">
        <v>7</v>
      </c>
      <c r="L3473">
        <v>4</v>
      </c>
      <c r="M3473">
        <v>2025</v>
      </c>
      <c r="N3473" t="s">
        <v>27</v>
      </c>
      <c r="O3473">
        <v>100</v>
      </c>
      <c r="P3473">
        <v>100</v>
      </c>
      <c r="R3473" s="3" t="str">
        <f>HYPERLINK("https://panda.att.com.mx/ODKServer/view/binaryData?blobKey=FSSuministroFluidosv3%5B%40version%3Dnull+and+%40uiVersion%3Dnull%5D%2Fdata%5B%40key%3Duuid%3A330967ab-a247-413d-92db-07bbfb957cec%5D%2FgroupInfoFuel%5B%40ordinal%3D1%5D%2FpicFuelRecibeInterno","Descargar")</f>
        <v>Descargar</v>
      </c>
    </row>
    <row r="3474" spans="1:18" x14ac:dyDescent="0.3">
      <c r="A3474">
        <v>1514064</v>
      </c>
      <c r="B3474" t="s">
        <v>18</v>
      </c>
      <c r="C3474" t="s">
        <v>55</v>
      </c>
      <c r="D3474" t="s">
        <v>210</v>
      </c>
      <c r="E3474" t="s">
        <v>1913</v>
      </c>
      <c r="F3474" t="s">
        <v>22</v>
      </c>
      <c r="G3474" t="s">
        <v>23</v>
      </c>
      <c r="H3474" t="s">
        <v>1763</v>
      </c>
      <c r="I3474" t="s">
        <v>25</v>
      </c>
      <c r="J3474" t="s">
        <v>2824</v>
      </c>
      <c r="K3474">
        <v>3</v>
      </c>
      <c r="L3474">
        <v>4</v>
      </c>
      <c r="M3474">
        <v>2025</v>
      </c>
      <c r="N3474" t="s">
        <v>27</v>
      </c>
      <c r="O3474">
        <v>230</v>
      </c>
      <c r="P3474">
        <v>230</v>
      </c>
      <c r="R3474" s="3" t="str">
        <f>HYPERLINK("https://panda.att.com.mx/ODKServer/view/binaryData?blobKey=FSSuministroFluidosv3%5B%40version%3Dnull+and+%40uiVersion%3Dnull%5D%2Fdata%5B%40key%3Duuid%3A2c00af9a-8ac0-4ff6-8249-112b28d04fa6%5D%2FgroupInfoFuel%5B%40ordinal%3D1%5D%2FpicFuelRecibeInterno","Descargar")</f>
        <v>Descargar</v>
      </c>
    </row>
    <row r="3475" spans="1:18" x14ac:dyDescent="0.3">
      <c r="A3475">
        <v>1514022</v>
      </c>
      <c r="B3475" t="s">
        <v>18</v>
      </c>
      <c r="C3475" t="s">
        <v>28</v>
      </c>
      <c r="D3475" t="s">
        <v>111</v>
      </c>
      <c r="E3475" t="s">
        <v>2574</v>
      </c>
      <c r="F3475" t="s">
        <v>22</v>
      </c>
      <c r="G3475" t="s">
        <v>23</v>
      </c>
      <c r="H3475" t="s">
        <v>24</v>
      </c>
      <c r="I3475" t="s">
        <v>25</v>
      </c>
      <c r="J3475" t="s">
        <v>2825</v>
      </c>
      <c r="K3475">
        <v>7</v>
      </c>
      <c r="L3475">
        <v>4</v>
      </c>
      <c r="M3475">
        <v>2025</v>
      </c>
      <c r="N3475" t="s">
        <v>44</v>
      </c>
      <c r="O3475">
        <v>50</v>
      </c>
      <c r="Q3475">
        <v>50</v>
      </c>
      <c r="R3475" s="3" t="str">
        <f>HYPERLINK("https://panda.att.com.mx/ODKServer/view/binaryData?blobKey=FSSuministroFluidosv3%5B%40version%3Dnull+and+%40uiVersion%3Dnull%5D%2Fdata%5B%40key%3Duuid%3A93baea84-ee09-450c-a59b-f00d3cf336e5%5D%2FgroupInfoFuel%5B%40ordinal%3D1%5D%2FpicFuelRecibeInterno","Descargar")</f>
        <v>Descargar</v>
      </c>
    </row>
    <row r="3476" spans="1:18" x14ac:dyDescent="0.3">
      <c r="A3476">
        <v>1514019</v>
      </c>
      <c r="B3476" t="s">
        <v>18</v>
      </c>
      <c r="C3476" t="s">
        <v>34</v>
      </c>
      <c r="D3476" t="s">
        <v>292</v>
      </c>
      <c r="E3476" t="s">
        <v>2826</v>
      </c>
      <c r="F3476" t="s">
        <v>22</v>
      </c>
      <c r="G3476" t="s">
        <v>23</v>
      </c>
      <c r="H3476" t="s">
        <v>37</v>
      </c>
      <c r="I3476" t="s">
        <v>25</v>
      </c>
      <c r="J3476" t="s">
        <v>2827</v>
      </c>
      <c r="K3476">
        <v>8</v>
      </c>
      <c r="L3476">
        <v>4</v>
      </c>
      <c r="M3476">
        <v>2025</v>
      </c>
      <c r="N3476" t="s">
        <v>27</v>
      </c>
      <c r="O3476">
        <v>200</v>
      </c>
      <c r="P3476">
        <v>200</v>
      </c>
      <c r="R3476" s="3" t="str">
        <f>HYPERLINK("https://panda.att.com.mx/ODKServer/view/binaryData?blobKey=FSSuministroFluidosv3%5B%40version%3Dnull+and+%40uiVersion%3Dnull%5D%2Fdata%5B%40key%3Duuid%3A169436f1-79c2-428e-994a-c0a915328d83%5D%2FgroupInfoFuel%5B%40ordinal%3D1%5D%2FpicFuelRecibeInterno","Descargar")</f>
        <v>Descargar</v>
      </c>
    </row>
    <row r="3477" spans="1:18" x14ac:dyDescent="0.3">
      <c r="A3477">
        <v>1513992</v>
      </c>
      <c r="B3477" t="s">
        <v>18</v>
      </c>
      <c r="C3477" t="s">
        <v>59</v>
      </c>
      <c r="D3477" t="s">
        <v>60</v>
      </c>
      <c r="E3477" t="s">
        <v>2828</v>
      </c>
      <c r="F3477" t="s">
        <v>22</v>
      </c>
      <c r="G3477" t="s">
        <v>23</v>
      </c>
      <c r="H3477" t="s">
        <v>37</v>
      </c>
      <c r="I3477" t="s">
        <v>25</v>
      </c>
      <c r="J3477" t="s">
        <v>2829</v>
      </c>
      <c r="K3477">
        <v>8</v>
      </c>
      <c r="L3477">
        <v>4</v>
      </c>
      <c r="M3477">
        <v>2025</v>
      </c>
      <c r="N3477" t="s">
        <v>27</v>
      </c>
      <c r="O3477">
        <v>116.36</v>
      </c>
      <c r="P3477">
        <v>116.36</v>
      </c>
      <c r="R3477" s="3" t="str">
        <f>HYPERLINK("https://panda.att.com.mx/ODKServer/view/binaryData?blobKey=FSSuministroFluidosv3%5B%40version%3Dnull+and+%40uiVersion%3Dnull%5D%2Fdata%5B%40key%3Duuid%3A50ff679e-fe56-4b74-b34d-5730239fdf05%5D%2FgroupInfoFuel%5B%40ordinal%3D1%5D%2FpicFuelRecibeInterno","Descargar")</f>
        <v>Descargar</v>
      </c>
    </row>
    <row r="3478" spans="1:18" x14ac:dyDescent="0.3">
      <c r="A3478">
        <v>1513881</v>
      </c>
      <c r="B3478" t="s">
        <v>18</v>
      </c>
      <c r="C3478" t="s">
        <v>28</v>
      </c>
      <c r="D3478" t="s">
        <v>467</v>
      </c>
      <c r="E3478" t="s">
        <v>2830</v>
      </c>
      <c r="F3478" t="s">
        <v>22</v>
      </c>
      <c r="G3478" t="s">
        <v>23</v>
      </c>
      <c r="H3478" t="s">
        <v>24</v>
      </c>
      <c r="I3478" t="s">
        <v>25</v>
      </c>
      <c r="J3478" t="s">
        <v>2831</v>
      </c>
      <c r="K3478">
        <v>8</v>
      </c>
      <c r="L3478">
        <v>4</v>
      </c>
      <c r="M3478">
        <v>2025</v>
      </c>
      <c r="N3478" t="s">
        <v>44</v>
      </c>
      <c r="O3478">
        <v>60</v>
      </c>
      <c r="P3478">
        <v>60</v>
      </c>
      <c r="R3478" s="3" t="str">
        <f>HYPERLINK("https://panda.att.com.mx/ODKServer/view/binaryData?blobKey=FSSuministroFluidosv3%5B%40version%3Dnull+and+%40uiVersion%3Dnull%5D%2Fdata%5B%40key%3Duuid%3A97560195-c62f-4a30-b05d-159b9c82cd55%5D%2FgroupInfoFuel%5B%40ordinal%3D1%5D%2FpicFuelRecibeInterno","Descargar")</f>
        <v>Descargar</v>
      </c>
    </row>
    <row r="3479" spans="1:18" x14ac:dyDescent="0.3">
      <c r="A3479">
        <v>1513841</v>
      </c>
      <c r="B3479" t="s">
        <v>18</v>
      </c>
      <c r="C3479" t="s">
        <v>28</v>
      </c>
      <c r="D3479" t="s">
        <v>315</v>
      </c>
      <c r="E3479" t="s">
        <v>2832</v>
      </c>
      <c r="F3479" t="s">
        <v>22</v>
      </c>
      <c r="G3479" t="s">
        <v>23</v>
      </c>
      <c r="H3479" t="s">
        <v>24</v>
      </c>
      <c r="I3479" t="s">
        <v>25</v>
      </c>
      <c r="J3479" t="s">
        <v>2833</v>
      </c>
      <c r="K3479">
        <v>8</v>
      </c>
      <c r="L3479">
        <v>4</v>
      </c>
      <c r="M3479">
        <v>2025</v>
      </c>
      <c r="N3479" t="s">
        <v>44</v>
      </c>
      <c r="O3479">
        <v>30</v>
      </c>
      <c r="P3479">
        <v>30</v>
      </c>
      <c r="R3479" s="3" t="str">
        <f>HYPERLINK("https://panda.att.com.mx/ODKServer/view/binaryData?blobKey=FSSuministroFluidosv3%5B%40version%3Dnull+and+%40uiVersion%3Dnull%5D%2Fdata%5B%40key%3Duuid%3A5c5714f7-4a10-4f37-acef-a12cda33ef9f%5D%2FgroupInfoFuel%5B%40ordinal%3D1%5D%2FpicFuelRecibeInterno","Descargar")</f>
        <v>Descargar</v>
      </c>
    </row>
    <row r="3480" spans="1:18" x14ac:dyDescent="0.3">
      <c r="A3480">
        <v>1513835</v>
      </c>
      <c r="B3480" t="s">
        <v>18</v>
      </c>
      <c r="C3480" t="s">
        <v>34</v>
      </c>
      <c r="D3480" t="s">
        <v>53</v>
      </c>
      <c r="E3480" t="s">
        <v>2834</v>
      </c>
      <c r="F3480" t="s">
        <v>22</v>
      </c>
      <c r="G3480" t="s">
        <v>23</v>
      </c>
      <c r="H3480" t="s">
        <v>37</v>
      </c>
      <c r="I3480" t="s">
        <v>25</v>
      </c>
      <c r="J3480" t="s">
        <v>2835</v>
      </c>
      <c r="K3480">
        <v>7</v>
      </c>
      <c r="L3480">
        <v>4</v>
      </c>
      <c r="M3480">
        <v>2025</v>
      </c>
      <c r="N3480" t="s">
        <v>27</v>
      </c>
      <c r="O3480">
        <v>250</v>
      </c>
      <c r="P3480">
        <v>250</v>
      </c>
      <c r="R3480" s="3" t="str">
        <f>HYPERLINK("https://panda.att.com.mx/ODKServer/view/binaryData?blobKey=FSSuministroFluidosv3%5B%40version%3Dnull+and+%40uiVersion%3Dnull%5D%2Fdata%5B%40key%3Duuid%3Ab8dea16c-fa19-43f0-a8d7-b30c52b962b5%5D%2FgroupInfoFuel%5B%40ordinal%3D1%5D%2FpicFuelRecibeInterno","Descargar")</f>
        <v>Descargar</v>
      </c>
    </row>
    <row r="3481" spans="1:18" x14ac:dyDescent="0.3">
      <c r="A3481">
        <v>1513791</v>
      </c>
      <c r="B3481" t="s">
        <v>18</v>
      </c>
      <c r="C3481" t="s">
        <v>19</v>
      </c>
      <c r="D3481" t="s">
        <v>42</v>
      </c>
      <c r="E3481" t="s">
        <v>2133</v>
      </c>
      <c r="F3481" t="s">
        <v>22</v>
      </c>
      <c r="G3481" t="s">
        <v>23</v>
      </c>
      <c r="H3481" t="s">
        <v>24</v>
      </c>
      <c r="I3481" t="s">
        <v>25</v>
      </c>
      <c r="J3481" t="s">
        <v>2836</v>
      </c>
      <c r="K3481">
        <v>8</v>
      </c>
      <c r="L3481">
        <v>4</v>
      </c>
      <c r="M3481">
        <v>2025</v>
      </c>
      <c r="N3481" t="s">
        <v>44</v>
      </c>
      <c r="O3481">
        <v>35</v>
      </c>
      <c r="P3481">
        <v>35</v>
      </c>
      <c r="R3481" s="3" t="str">
        <f>HYPERLINK("https://panda.att.com.mx/ODKServer/view/binaryData?blobKey=FSSuministroFluidosv3%5B%40version%3Dnull+and+%40uiVersion%3Dnull%5D%2Fdata%5B%40key%3Duuid%3Abb3b8f5c-c09d-478a-9193-9fd35dc3990b%5D%2FgroupInfoFuel%5B%40ordinal%3D1%5D%2FpicFuelRecibeInterno","Descargar")</f>
        <v>Descargar</v>
      </c>
    </row>
    <row r="3482" spans="1:18" x14ac:dyDescent="0.3">
      <c r="A3482">
        <v>1513759</v>
      </c>
      <c r="B3482" t="s">
        <v>18</v>
      </c>
      <c r="C3482" t="s">
        <v>34</v>
      </c>
      <c r="D3482" t="s">
        <v>53</v>
      </c>
      <c r="E3482" t="s">
        <v>54</v>
      </c>
      <c r="F3482" t="s">
        <v>22</v>
      </c>
      <c r="G3482" t="s">
        <v>23</v>
      </c>
      <c r="H3482" t="s">
        <v>37</v>
      </c>
      <c r="I3482" t="s">
        <v>25</v>
      </c>
      <c r="J3482" t="s">
        <v>2837</v>
      </c>
      <c r="K3482">
        <v>7</v>
      </c>
      <c r="L3482">
        <v>4</v>
      </c>
      <c r="M3482">
        <v>2025</v>
      </c>
      <c r="N3482" t="s">
        <v>27</v>
      </c>
      <c r="O3482">
        <v>200</v>
      </c>
      <c r="Q3482">
        <v>200</v>
      </c>
      <c r="R3482" s="3" t="str">
        <f>HYPERLINK("https://panda.att.com.mx/ODKServer/view/binaryData?blobKey=FSSuministroFluidosv3%5B%40version%3Dnull+and+%40uiVersion%3Dnull%5D%2Fdata%5B%40key%3Duuid%3A4bb085f6-ef53-4b19-81c3-4285e16491ab%5D%2FgroupInfoFuel%5B%40ordinal%3D1%5D%2FpicFuelRecibeInterno","Descargar")</f>
        <v>Descargar</v>
      </c>
    </row>
    <row r="3483" spans="1:18" x14ac:dyDescent="0.3">
      <c r="A3483">
        <v>1513723</v>
      </c>
      <c r="B3483" t="s">
        <v>18</v>
      </c>
      <c r="C3483" t="s">
        <v>34</v>
      </c>
      <c r="D3483" t="s">
        <v>53</v>
      </c>
      <c r="E3483" t="s">
        <v>1799</v>
      </c>
      <c r="F3483" t="s">
        <v>22</v>
      </c>
      <c r="G3483" t="s">
        <v>23</v>
      </c>
      <c r="H3483" t="s">
        <v>37</v>
      </c>
      <c r="I3483" t="s">
        <v>25</v>
      </c>
      <c r="J3483" t="s">
        <v>2838</v>
      </c>
      <c r="K3483">
        <v>8</v>
      </c>
      <c r="L3483">
        <v>4</v>
      </c>
      <c r="M3483">
        <v>2025</v>
      </c>
      <c r="N3483" t="s">
        <v>27</v>
      </c>
      <c r="O3483">
        <v>50</v>
      </c>
      <c r="P3483">
        <v>50</v>
      </c>
      <c r="R3483" s="3" t="str">
        <f>HYPERLINK("https://panda.att.com.mx/ODKServer/view/binaryData?blobKey=FSSuministroFluidosv3%5B%40version%3Dnull+and+%40uiVersion%3Dnull%5D%2Fdata%5B%40key%3Duuid%3A159e8727-19fb-4613-9634-c6d4c486ff4a%5D%2FgroupInfoFuel%5B%40ordinal%3D1%5D%2FpicFuelRecibeInterno","Descargar")</f>
        <v>Descargar</v>
      </c>
    </row>
    <row r="3484" spans="1:18" x14ac:dyDescent="0.3">
      <c r="A3484">
        <v>1513625</v>
      </c>
      <c r="B3484" t="s">
        <v>18</v>
      </c>
      <c r="C3484" t="s">
        <v>59</v>
      </c>
      <c r="D3484" t="s">
        <v>60</v>
      </c>
      <c r="E3484" t="s">
        <v>342</v>
      </c>
      <c r="F3484" t="s">
        <v>22</v>
      </c>
      <c r="G3484" t="s">
        <v>23</v>
      </c>
      <c r="H3484" t="s">
        <v>1816</v>
      </c>
      <c r="I3484" t="s">
        <v>25</v>
      </c>
      <c r="J3484" s="2">
        <v>45724.596377314818</v>
      </c>
      <c r="K3484">
        <v>8</v>
      </c>
      <c r="L3484">
        <v>3</v>
      </c>
      <c r="M3484">
        <v>2025</v>
      </c>
      <c r="N3484" t="s">
        <v>27</v>
      </c>
      <c r="O3484">
        <v>73.5</v>
      </c>
      <c r="P3484">
        <v>73.5</v>
      </c>
      <c r="R3484" s="3" t="str">
        <f>HYPERLINK("https://panda.att.com.mx/ODKServer/view/binaryData?blobKey=FSSuministroFluidosv3%5B%40version%3Dnull+and+%40uiVersion%3Dnull%5D%2Fdata%5B%40key%3Duuid%3A5e7c9882-3c22-459a-9378-f3914317e13e%5D%2FgroupInfoFuel%5B%40ordinal%3D1%5D%2FpicFuelRecibeInterno","Descargar")</f>
        <v>Descargar</v>
      </c>
    </row>
    <row r="3485" spans="1:18" x14ac:dyDescent="0.3">
      <c r="A3485">
        <v>1513615</v>
      </c>
      <c r="B3485" t="s">
        <v>18</v>
      </c>
      <c r="C3485" t="s">
        <v>59</v>
      </c>
      <c r="D3485" t="s">
        <v>60</v>
      </c>
      <c r="E3485" t="s">
        <v>2839</v>
      </c>
      <c r="F3485" t="s">
        <v>22</v>
      </c>
      <c r="G3485" t="s">
        <v>23</v>
      </c>
      <c r="H3485" t="s">
        <v>1816</v>
      </c>
      <c r="I3485" t="s">
        <v>25</v>
      </c>
      <c r="J3485" t="s">
        <v>2840</v>
      </c>
      <c r="K3485">
        <v>7</v>
      </c>
      <c r="L3485">
        <v>4</v>
      </c>
      <c r="M3485">
        <v>2025</v>
      </c>
      <c r="N3485" t="s">
        <v>27</v>
      </c>
      <c r="O3485">
        <v>100</v>
      </c>
      <c r="P3485">
        <v>100</v>
      </c>
      <c r="R3485" s="3" t="str">
        <f>HYPERLINK("https://panda.att.com.mx/ODKServer/view/binaryData?blobKey=FSSuministroFluidosv3%5B%40version%3Dnull+and+%40uiVersion%3Dnull%5D%2Fdata%5B%40key%3Duuid%3A5112926c-3b4f-4dc6-beb0-aed88a081c39%5D%2FgroupInfoFuel%5B%40ordinal%3D1%5D%2FpicFuelRecibeInterno","Descargar")</f>
        <v>Descargar</v>
      </c>
    </row>
    <row r="3486" spans="1:18" x14ac:dyDescent="0.3">
      <c r="A3486">
        <v>1513590</v>
      </c>
      <c r="B3486" t="s">
        <v>18</v>
      </c>
      <c r="C3486" t="s">
        <v>28</v>
      </c>
      <c r="D3486" t="s">
        <v>66</v>
      </c>
      <c r="E3486" t="s">
        <v>96</v>
      </c>
      <c r="F3486" t="s">
        <v>22</v>
      </c>
      <c r="G3486" t="s">
        <v>23</v>
      </c>
      <c r="H3486" t="s">
        <v>24</v>
      </c>
      <c r="I3486" t="s">
        <v>25</v>
      </c>
      <c r="J3486" t="s">
        <v>2841</v>
      </c>
      <c r="K3486">
        <v>8</v>
      </c>
      <c r="L3486">
        <v>4</v>
      </c>
      <c r="M3486">
        <v>2025</v>
      </c>
      <c r="N3486" t="s">
        <v>27</v>
      </c>
      <c r="O3486">
        <v>400</v>
      </c>
      <c r="P3486">
        <v>400</v>
      </c>
      <c r="R3486" s="3" t="str">
        <f>HYPERLINK("https://panda.att.com.mx/ODKServer/view/binaryData?blobKey=FSSuministroFluidosv3%5B%40version%3Dnull+and+%40uiVersion%3Dnull%5D%2Fdata%5B%40key%3Duuid%3Aed335ff8-1d45-4c24-979a-32daf8ac7841%5D%2FgroupInfoFuel%5B%40ordinal%3D1%5D%2FpicFuelRecibeInterno","Descargar")</f>
        <v>Descargar</v>
      </c>
    </row>
    <row r="3487" spans="1:18" x14ac:dyDescent="0.3">
      <c r="A3487">
        <v>1513548</v>
      </c>
      <c r="B3487" t="s">
        <v>18</v>
      </c>
      <c r="C3487" t="s">
        <v>34</v>
      </c>
      <c r="D3487" t="s">
        <v>121</v>
      </c>
      <c r="E3487" t="s">
        <v>2842</v>
      </c>
      <c r="F3487" t="s">
        <v>22</v>
      </c>
      <c r="G3487" t="s">
        <v>23</v>
      </c>
      <c r="H3487" t="s">
        <v>37</v>
      </c>
      <c r="I3487" t="s">
        <v>25</v>
      </c>
      <c r="J3487" t="s">
        <v>2843</v>
      </c>
      <c r="K3487">
        <v>7</v>
      </c>
      <c r="L3487">
        <v>4</v>
      </c>
      <c r="M3487">
        <v>2025</v>
      </c>
      <c r="N3487" t="s">
        <v>27</v>
      </c>
      <c r="O3487">
        <v>400</v>
      </c>
      <c r="P3487">
        <v>400</v>
      </c>
      <c r="R3487" s="3" t="str">
        <f>HYPERLINK("https://panda.att.com.mx/ODKServer/view/binaryData?blobKey=FSSuministroFluidosv3%5B%40version%3Dnull+and+%40uiVersion%3Dnull%5D%2Fdata%5B%40key%3Duuid%3Abfa4ad02-d543-4da5-9af2-bda69abdca39%5D%2FgroupInfoFuel%5B%40ordinal%3D1%5D%2FpicFuelRecibeInterno","Descargar")</f>
        <v>Descargar</v>
      </c>
    </row>
    <row r="3488" spans="1:18" x14ac:dyDescent="0.3">
      <c r="A3488">
        <v>1513388</v>
      </c>
      <c r="B3488" t="s">
        <v>18</v>
      </c>
      <c r="C3488" t="s">
        <v>19</v>
      </c>
      <c r="D3488" t="s">
        <v>62</v>
      </c>
      <c r="E3488" t="s">
        <v>2844</v>
      </c>
      <c r="F3488" t="s">
        <v>22</v>
      </c>
      <c r="G3488" t="s">
        <v>23</v>
      </c>
      <c r="H3488" t="s">
        <v>24</v>
      </c>
      <c r="I3488" t="s">
        <v>25</v>
      </c>
      <c r="J3488" t="s">
        <v>2845</v>
      </c>
      <c r="K3488">
        <v>8</v>
      </c>
      <c r="L3488">
        <v>4</v>
      </c>
      <c r="M3488">
        <v>2025</v>
      </c>
      <c r="N3488" t="s">
        <v>44</v>
      </c>
      <c r="O3488">
        <v>40</v>
      </c>
      <c r="P3488">
        <v>40</v>
      </c>
      <c r="R3488" s="3" t="str">
        <f>HYPERLINK("https://panda.att.com.mx/ODKServer/view/binaryData?blobKey=FSSuministroFluidosv3%5B%40version%3Dnull+and+%40uiVersion%3Dnull%5D%2Fdata%5B%40key%3Duuid%3A5bc95971-5ffa-4869-a81c-75a28f267304%5D%2FgroupInfoFuel%5B%40ordinal%3D1%5D%2FpicFuelRecibeInterno","Descargar")</f>
        <v>Descargar</v>
      </c>
    </row>
    <row r="3489" spans="1:18" x14ac:dyDescent="0.3">
      <c r="A3489">
        <v>1513332</v>
      </c>
      <c r="B3489" t="s">
        <v>18</v>
      </c>
      <c r="C3489" t="s">
        <v>59</v>
      </c>
      <c r="D3489" t="s">
        <v>60</v>
      </c>
      <c r="E3489" t="s">
        <v>1850</v>
      </c>
      <c r="F3489" t="s">
        <v>22</v>
      </c>
      <c r="G3489" t="s">
        <v>23</v>
      </c>
      <c r="H3489" t="s">
        <v>37</v>
      </c>
      <c r="I3489" t="s">
        <v>25</v>
      </c>
      <c r="J3489" t="s">
        <v>2846</v>
      </c>
      <c r="K3489">
        <v>7</v>
      </c>
      <c r="L3489">
        <v>4</v>
      </c>
      <c r="M3489">
        <v>2025</v>
      </c>
      <c r="N3489" t="s">
        <v>27</v>
      </c>
      <c r="O3489">
        <v>130</v>
      </c>
      <c r="P3489">
        <v>130</v>
      </c>
      <c r="R3489" s="3" t="str">
        <f>HYPERLINK("https://panda.att.com.mx/ODKServer/view/binaryData?blobKey=FSSuministroFluidosv3%5B%40version%3Dnull+and+%40uiVersion%3Dnull%5D%2Fdata%5B%40key%3Duuid%3Abc586539-4f05-46aa-a4cb-7e45c5187fb2%5D%2FgroupInfoFuel%5B%40ordinal%3D1%5D%2FpicFuelRecibeInterno","Descargar")</f>
        <v>Descargar</v>
      </c>
    </row>
    <row r="3490" spans="1:18" x14ac:dyDescent="0.3">
      <c r="A3490">
        <v>1513284</v>
      </c>
      <c r="B3490" t="s">
        <v>18</v>
      </c>
      <c r="C3490" t="s">
        <v>19</v>
      </c>
      <c r="D3490" t="s">
        <v>45</v>
      </c>
      <c r="E3490" t="s">
        <v>1620</v>
      </c>
      <c r="F3490" t="s">
        <v>22</v>
      </c>
      <c r="G3490" t="s">
        <v>23</v>
      </c>
      <c r="H3490" t="s">
        <v>24</v>
      </c>
      <c r="I3490" t="s">
        <v>25</v>
      </c>
      <c r="J3490" t="s">
        <v>2847</v>
      </c>
      <c r="K3490">
        <v>7</v>
      </c>
      <c r="L3490">
        <v>4</v>
      </c>
      <c r="M3490">
        <v>2025</v>
      </c>
      <c r="N3490" t="s">
        <v>27</v>
      </c>
      <c r="O3490">
        <v>300</v>
      </c>
      <c r="P3490">
        <v>300</v>
      </c>
      <c r="R3490" s="3" t="str">
        <f>HYPERLINK("https://panda.att.com.mx/ODKServer/view/binaryData?blobKey=FSSuministroFluidosv3%5B%40version%3Dnull+and+%40uiVersion%3Dnull%5D%2Fdata%5B%40key%3Duuid%3A352bb518-9eda-414d-86cf-348ff015bc6d%5D%2FgroupInfoFuel%5B%40ordinal%3D1%5D%2FpicFuelRecibeInterno","Descargar")</f>
        <v>Descargar</v>
      </c>
    </row>
    <row r="3491" spans="1:18" x14ac:dyDescent="0.3">
      <c r="A3491">
        <v>1513268</v>
      </c>
      <c r="B3491" t="s">
        <v>18</v>
      </c>
      <c r="C3491" t="s">
        <v>55</v>
      </c>
      <c r="D3491" t="s">
        <v>56</v>
      </c>
      <c r="E3491" t="s">
        <v>2735</v>
      </c>
      <c r="F3491" t="s">
        <v>22</v>
      </c>
      <c r="G3491" t="s">
        <v>23</v>
      </c>
      <c r="H3491" t="s">
        <v>1763</v>
      </c>
      <c r="I3491" t="s">
        <v>25</v>
      </c>
      <c r="J3491" t="s">
        <v>2848</v>
      </c>
      <c r="K3491">
        <v>7</v>
      </c>
      <c r="L3491">
        <v>4</v>
      </c>
      <c r="M3491">
        <v>2025</v>
      </c>
      <c r="N3491" t="s">
        <v>27</v>
      </c>
      <c r="O3491">
        <v>100</v>
      </c>
      <c r="P3491">
        <v>100</v>
      </c>
      <c r="R3491" s="3" t="str">
        <f>HYPERLINK("https://panda.att.com.mx/ODKServer/view/binaryData?blobKey=FSSuministroFluidosv3%5B%40version%3Dnull+and+%40uiVersion%3Dnull%5D%2Fdata%5B%40key%3Duuid%3A9f703469-41d4-4630-919a-2d2a6b878d65%5D%2FgroupInfoFuel%5B%40ordinal%3D1%5D%2FpicFuelRecibeInterno","Descargar")</f>
        <v>Descargar</v>
      </c>
    </row>
    <row r="3492" spans="1:18" x14ac:dyDescent="0.3">
      <c r="A3492">
        <v>1513206</v>
      </c>
      <c r="B3492" t="s">
        <v>18</v>
      </c>
      <c r="C3492" t="s">
        <v>55</v>
      </c>
      <c r="D3492" t="s">
        <v>1870</v>
      </c>
      <c r="E3492" t="s">
        <v>2822</v>
      </c>
      <c r="F3492" t="s">
        <v>22</v>
      </c>
      <c r="G3492" t="s">
        <v>23</v>
      </c>
      <c r="H3492" t="s">
        <v>1763</v>
      </c>
      <c r="I3492" t="s">
        <v>25</v>
      </c>
      <c r="J3492" t="s">
        <v>2849</v>
      </c>
      <c r="K3492">
        <v>5</v>
      </c>
      <c r="L3492">
        <v>4</v>
      </c>
      <c r="M3492">
        <v>2025</v>
      </c>
      <c r="N3492" t="s">
        <v>27</v>
      </c>
      <c r="O3492">
        <v>100</v>
      </c>
      <c r="P3492">
        <v>100</v>
      </c>
      <c r="R3492" s="3" t="str">
        <f>HYPERLINK("https://panda.att.com.mx/ODKServer/view/binaryData?blobKey=FSSuministroFluidosv3%5B%40version%3Dnull+and+%40uiVersion%3Dnull%5D%2Fdata%5B%40key%3Duuid%3A6966ae6f-0ad4-432a-95a9-fcd5c5b45956%5D%2FgroupInfoFuel%5B%40ordinal%3D1%5D%2FpicFuelRecibeInterno","Descargar")</f>
        <v>Descargar</v>
      </c>
    </row>
    <row r="3493" spans="1:18" x14ac:dyDescent="0.3">
      <c r="A3493">
        <v>1513205</v>
      </c>
      <c r="B3493" t="s">
        <v>18</v>
      </c>
      <c r="C3493" t="s">
        <v>55</v>
      </c>
      <c r="D3493" t="s">
        <v>1870</v>
      </c>
      <c r="E3493" t="s">
        <v>2822</v>
      </c>
      <c r="F3493" t="s">
        <v>22</v>
      </c>
      <c r="G3493" t="s">
        <v>23</v>
      </c>
      <c r="H3493" t="s">
        <v>1763</v>
      </c>
      <c r="I3493" t="s">
        <v>25</v>
      </c>
      <c r="J3493" t="s">
        <v>2850</v>
      </c>
      <c r="K3493">
        <v>4</v>
      </c>
      <c r="L3493">
        <v>4</v>
      </c>
      <c r="M3493">
        <v>2025</v>
      </c>
      <c r="N3493" t="s">
        <v>27</v>
      </c>
      <c r="O3493">
        <v>60</v>
      </c>
      <c r="P3493">
        <v>60</v>
      </c>
      <c r="R3493" s="3" t="str">
        <f>HYPERLINK("https://panda.att.com.mx/ODKServer/view/binaryData?blobKey=FSSuministroFluidosv3%5B%40version%3Dnull+and+%40uiVersion%3Dnull%5D%2Fdata%5B%40key%3Duuid%3Af1475ac7-6ffb-475e-b31e-04a47e39fed4%5D%2FgroupInfoFuel%5B%40ordinal%3D1%5D%2FpicFuelRecibeInterno","Descargar")</f>
        <v>Descargar</v>
      </c>
    </row>
    <row r="3494" spans="1:18" x14ac:dyDescent="0.3">
      <c r="A3494">
        <v>1513166</v>
      </c>
      <c r="B3494" t="s">
        <v>18</v>
      </c>
      <c r="C3494" t="s">
        <v>19</v>
      </c>
      <c r="D3494" t="s">
        <v>20</v>
      </c>
      <c r="E3494" t="s">
        <v>166</v>
      </c>
      <c r="F3494" t="s">
        <v>22</v>
      </c>
      <c r="G3494" t="s">
        <v>23</v>
      </c>
      <c r="H3494" t="s">
        <v>24</v>
      </c>
      <c r="I3494" t="s">
        <v>25</v>
      </c>
      <c r="J3494" t="s">
        <v>2851</v>
      </c>
      <c r="K3494">
        <v>7</v>
      </c>
      <c r="L3494">
        <v>4</v>
      </c>
      <c r="M3494">
        <v>2025</v>
      </c>
      <c r="N3494" t="s">
        <v>27</v>
      </c>
      <c r="O3494">
        <v>300</v>
      </c>
      <c r="P3494">
        <v>300</v>
      </c>
      <c r="R3494" s="3" t="str">
        <f>HYPERLINK("https://panda.att.com.mx/ODKServer/view/binaryData?blobKey=FSSuministroFluidosv3%5B%40version%3Dnull+and+%40uiVersion%3Dnull%5D%2Fdata%5B%40key%3Duuid%3A949231ad-64f4-490a-9568-8566bb0b322f%5D%2FgroupInfoFuel%5B%40ordinal%3D1%5D%2FpicFuelRecibeInterno","Descargar")</f>
        <v>Descargar</v>
      </c>
    </row>
    <row r="3495" spans="1:18" x14ac:dyDescent="0.3">
      <c r="A3495">
        <v>1513165</v>
      </c>
      <c r="B3495" t="s">
        <v>18</v>
      </c>
      <c r="C3495" t="s">
        <v>19</v>
      </c>
      <c r="D3495" t="s">
        <v>20</v>
      </c>
      <c r="E3495" t="s">
        <v>21</v>
      </c>
      <c r="F3495" t="s">
        <v>22</v>
      </c>
      <c r="G3495" t="s">
        <v>23</v>
      </c>
      <c r="H3495" t="s">
        <v>24</v>
      </c>
      <c r="I3495" t="s">
        <v>25</v>
      </c>
      <c r="J3495" t="s">
        <v>2852</v>
      </c>
      <c r="K3495">
        <v>5</v>
      </c>
      <c r="L3495">
        <v>4</v>
      </c>
      <c r="M3495">
        <v>2025</v>
      </c>
      <c r="N3495" t="s">
        <v>27</v>
      </c>
      <c r="O3495">
        <v>300</v>
      </c>
      <c r="P3495">
        <v>300</v>
      </c>
      <c r="R3495" s="3" t="str">
        <f>HYPERLINK("https://panda.att.com.mx/ODKServer/view/binaryData?blobKey=FSSuministroFluidosv3%5B%40version%3Dnull+and+%40uiVersion%3Dnull%5D%2Fdata%5B%40key%3Duuid%3A6539fc85-eb2e-4658-ba47-7984020f523a%5D%2FgroupInfoFuel%5B%40ordinal%3D1%5D%2FpicFuelRecibeInterno","Descargar")</f>
        <v>Descargar</v>
      </c>
    </row>
    <row r="3496" spans="1:18" x14ac:dyDescent="0.3">
      <c r="A3496">
        <v>1513161</v>
      </c>
      <c r="B3496" t="s">
        <v>18</v>
      </c>
      <c r="C3496" t="s">
        <v>28</v>
      </c>
      <c r="D3496" t="s">
        <v>192</v>
      </c>
      <c r="E3496" t="s">
        <v>193</v>
      </c>
      <c r="F3496" t="s">
        <v>22</v>
      </c>
      <c r="G3496" t="s">
        <v>23</v>
      </c>
      <c r="H3496" t="s">
        <v>24</v>
      </c>
      <c r="I3496" t="s">
        <v>25</v>
      </c>
      <c r="J3496" t="s">
        <v>2853</v>
      </c>
      <c r="K3496">
        <v>7</v>
      </c>
      <c r="L3496">
        <v>4</v>
      </c>
      <c r="M3496">
        <v>2025</v>
      </c>
      <c r="N3496" t="s">
        <v>44</v>
      </c>
      <c r="O3496">
        <v>60</v>
      </c>
      <c r="P3496">
        <v>60</v>
      </c>
      <c r="R3496" s="3" t="str">
        <f>HYPERLINK("https://panda.att.com.mx/ODKServer/view/binaryData?blobKey=FSSuministroFluidosv3%5B%40version%3Dnull+and+%40uiVersion%3Dnull%5D%2Fdata%5B%40key%3Duuid%3Affadf0f0-8a66-428b-aedf-e43d17217070%5D%2FgroupInfoFuel%5B%40ordinal%3D1%5D%2FpicFuelRecibeInterno","Descargar")</f>
        <v>Descargar</v>
      </c>
    </row>
    <row r="3497" spans="1:18" x14ac:dyDescent="0.3">
      <c r="A3497">
        <v>1513126</v>
      </c>
      <c r="B3497" t="s">
        <v>18</v>
      </c>
      <c r="C3497" t="s">
        <v>183</v>
      </c>
      <c r="D3497" t="s">
        <v>956</v>
      </c>
      <c r="E3497" t="s">
        <v>2854</v>
      </c>
      <c r="F3497" t="s">
        <v>22</v>
      </c>
      <c r="G3497" t="s">
        <v>23</v>
      </c>
      <c r="H3497" t="s">
        <v>24</v>
      </c>
      <c r="I3497" t="s">
        <v>25</v>
      </c>
      <c r="J3497" s="2">
        <v>45719.715821759259</v>
      </c>
      <c r="K3497">
        <v>3</v>
      </c>
      <c r="L3497">
        <v>3</v>
      </c>
      <c r="M3497">
        <v>2025</v>
      </c>
      <c r="N3497" t="s">
        <v>44</v>
      </c>
      <c r="O3497">
        <v>20</v>
      </c>
      <c r="P3497">
        <v>20</v>
      </c>
      <c r="R3497" s="3" t="str">
        <f>HYPERLINK("https://panda.att.com.mx/ODKServer/view/binaryData?blobKey=FSSuministroFluidosv3%5B%40version%3Dnull+and+%40uiVersion%3Dnull%5D%2Fdata%5B%40key%3Duuid%3A8a267ae2-f0ff-4bbf-bd20-d7c6f6e2b584%5D%2FgroupInfoFuel%5B%40ordinal%3D1%5D%2FpicFuelRecibeInterno","Descargar")</f>
        <v>Descargar</v>
      </c>
    </row>
    <row r="3498" spans="1:18" x14ac:dyDescent="0.3">
      <c r="A3498">
        <v>1513087</v>
      </c>
      <c r="B3498" t="s">
        <v>18</v>
      </c>
      <c r="C3498" t="s">
        <v>28</v>
      </c>
      <c r="D3498" t="s">
        <v>66</v>
      </c>
      <c r="E3498" t="s">
        <v>1894</v>
      </c>
      <c r="F3498" t="s">
        <v>22</v>
      </c>
      <c r="G3498" t="s">
        <v>23</v>
      </c>
      <c r="H3498" t="s">
        <v>24</v>
      </c>
      <c r="I3498" t="s">
        <v>25</v>
      </c>
      <c r="J3498" t="s">
        <v>2855</v>
      </c>
      <c r="K3498">
        <v>7</v>
      </c>
      <c r="L3498">
        <v>4</v>
      </c>
      <c r="M3498">
        <v>2025</v>
      </c>
      <c r="N3498" t="s">
        <v>44</v>
      </c>
      <c r="O3498">
        <v>40</v>
      </c>
      <c r="P3498">
        <v>40</v>
      </c>
      <c r="R3498" s="3" t="str">
        <f>HYPERLINK("https://panda.att.com.mx/ODKServer/view/binaryData?blobKey=FSSuministroFluidosv3%5B%40version%3Dnull+and+%40uiVersion%3Dnull%5D%2Fdata%5B%40key%3Duuid%3A7b856ec2-2863-4431-bf16-c1393821a99f%5D%2FgroupInfoFuel%5B%40ordinal%3D1%5D%2FpicFuelRecibeInterno","Descargar")</f>
        <v>Descargar</v>
      </c>
    </row>
    <row r="3499" spans="1:18" x14ac:dyDescent="0.3">
      <c r="A3499">
        <v>1513079</v>
      </c>
      <c r="B3499" t="s">
        <v>18</v>
      </c>
      <c r="C3499" t="s">
        <v>28</v>
      </c>
      <c r="D3499" t="s">
        <v>1952</v>
      </c>
      <c r="E3499" t="s">
        <v>2856</v>
      </c>
      <c r="F3499" t="s">
        <v>22</v>
      </c>
      <c r="G3499" t="s">
        <v>23</v>
      </c>
      <c r="H3499" t="s">
        <v>24</v>
      </c>
      <c r="I3499" t="s">
        <v>25</v>
      </c>
      <c r="J3499" t="s">
        <v>2857</v>
      </c>
      <c r="K3499">
        <v>5</v>
      </c>
      <c r="L3499">
        <v>4</v>
      </c>
      <c r="M3499">
        <v>2025</v>
      </c>
      <c r="N3499" t="s">
        <v>27</v>
      </c>
      <c r="O3499">
        <v>400</v>
      </c>
      <c r="Q3499">
        <v>400</v>
      </c>
      <c r="R3499" s="3" t="str">
        <f>HYPERLINK("https://panda.att.com.mx/ODKServer/view/binaryData?blobKey=FSSuministroFluidosv3%5B%40version%3Dnull+and+%40uiVersion%3Dnull%5D%2Fdata%5B%40key%3Duuid%3A21eddce3-d238-4aee-b373-c35d0144e06f%5D%2FgroupInfoFuel%5B%40ordinal%3D1%5D%2FpicFuelRecibeInterno","Descargar")</f>
        <v>Descargar</v>
      </c>
    </row>
    <row r="3500" spans="1:18" x14ac:dyDescent="0.3">
      <c r="A3500">
        <v>1513064</v>
      </c>
      <c r="B3500" t="s">
        <v>18</v>
      </c>
      <c r="C3500" t="s">
        <v>19</v>
      </c>
      <c r="D3500" t="s">
        <v>45</v>
      </c>
      <c r="E3500" t="s">
        <v>159</v>
      </c>
      <c r="F3500" t="s">
        <v>22</v>
      </c>
      <c r="G3500" t="s">
        <v>23</v>
      </c>
      <c r="H3500" t="s">
        <v>24</v>
      </c>
      <c r="I3500" t="s">
        <v>25</v>
      </c>
      <c r="J3500" t="s">
        <v>2858</v>
      </c>
      <c r="K3500">
        <v>7</v>
      </c>
      <c r="L3500">
        <v>4</v>
      </c>
      <c r="M3500">
        <v>2025</v>
      </c>
      <c r="N3500" t="s">
        <v>27</v>
      </c>
      <c r="O3500">
        <v>400</v>
      </c>
      <c r="P3500">
        <v>400</v>
      </c>
      <c r="R3500" s="3" t="str">
        <f>HYPERLINK("https://panda.att.com.mx/ODKServer/view/binaryData?blobKey=FSSuministroFluidosv3%5B%40version%3Dnull+and+%40uiVersion%3Dnull%5D%2Fdata%5B%40key%3Duuid%3A97db439f-4bee-437c-b77b-c7542d1e9f4a%5D%2FgroupInfoFuel%5B%40ordinal%3D1%5D%2FpicFuelRecibeInterno","Descargar")</f>
        <v>Descargar</v>
      </c>
    </row>
    <row r="3501" spans="1:18" x14ac:dyDescent="0.3">
      <c r="A3501">
        <v>1512948</v>
      </c>
      <c r="B3501" t="s">
        <v>18</v>
      </c>
      <c r="C3501" t="s">
        <v>68</v>
      </c>
      <c r="D3501" t="s">
        <v>556</v>
      </c>
      <c r="E3501" t="s">
        <v>2859</v>
      </c>
      <c r="F3501" t="s">
        <v>22</v>
      </c>
      <c r="G3501" t="s">
        <v>23</v>
      </c>
      <c r="H3501" t="s">
        <v>37</v>
      </c>
      <c r="I3501" t="s">
        <v>25</v>
      </c>
      <c r="J3501" t="s">
        <v>2860</v>
      </c>
      <c r="K3501">
        <v>4</v>
      </c>
      <c r="L3501">
        <v>4</v>
      </c>
      <c r="M3501">
        <v>2025</v>
      </c>
      <c r="N3501" t="s">
        <v>27</v>
      </c>
      <c r="O3501">
        <v>300</v>
      </c>
      <c r="P3501">
        <v>300</v>
      </c>
      <c r="R3501" s="3" t="str">
        <f>HYPERLINK("https://panda.att.com.mx/ODKServer/view/binaryData?blobKey=FSSuministroFluidosv3%5B%40version%3Dnull+and+%40uiVersion%3Dnull%5D%2Fdata%5B%40key%3Duuid%3Af7543a32-a69a-43d5-99e3-cde90020d371%5D%2FgroupInfoFuel%5B%40ordinal%3D1%5D%2FpicFuelRecibeInterno","Descargar")</f>
        <v>Descargar</v>
      </c>
    </row>
    <row r="3502" spans="1:18" x14ac:dyDescent="0.3">
      <c r="A3502">
        <v>1512902</v>
      </c>
      <c r="B3502" t="s">
        <v>18</v>
      </c>
      <c r="C3502" t="s">
        <v>68</v>
      </c>
      <c r="D3502" t="s">
        <v>132</v>
      </c>
      <c r="E3502" t="s">
        <v>2861</v>
      </c>
      <c r="F3502" t="s">
        <v>22</v>
      </c>
      <c r="G3502" t="s">
        <v>23</v>
      </c>
      <c r="H3502" t="s">
        <v>37</v>
      </c>
      <c r="I3502" t="s">
        <v>25</v>
      </c>
      <c r="J3502" t="s">
        <v>2862</v>
      </c>
      <c r="K3502">
        <v>7</v>
      </c>
      <c r="L3502">
        <v>4</v>
      </c>
      <c r="M3502">
        <v>2025</v>
      </c>
      <c r="N3502" t="s">
        <v>27</v>
      </c>
      <c r="O3502">
        <v>70</v>
      </c>
      <c r="P3502">
        <v>70</v>
      </c>
      <c r="R3502" s="3" t="str">
        <f>HYPERLINK("https://panda.att.com.mx/ODKServer/view/binaryData?blobKey=FSSuministroFluidosv3%5B%40version%3Dnull+and+%40uiVersion%3Dnull%5D%2Fdata%5B%40key%3Duuid%3Ae9c3751d-8f34-41fa-aa64-a3ef9422c4c7%5D%2FgroupInfoFuel%5B%40ordinal%3D1%5D%2FpicFuelRecibeInterno","Descargar")</f>
        <v>Descargar</v>
      </c>
    </row>
    <row r="3503" spans="1:18" x14ac:dyDescent="0.3">
      <c r="A3503">
        <v>1512701</v>
      </c>
      <c r="B3503" t="s">
        <v>18</v>
      </c>
      <c r="C3503" t="s">
        <v>28</v>
      </c>
      <c r="D3503" t="s">
        <v>513</v>
      </c>
      <c r="E3503" t="s">
        <v>1817</v>
      </c>
      <c r="F3503" t="s">
        <v>22</v>
      </c>
      <c r="G3503" t="s">
        <v>23</v>
      </c>
      <c r="H3503" t="s">
        <v>24</v>
      </c>
      <c r="I3503" t="s">
        <v>25</v>
      </c>
      <c r="J3503" t="s">
        <v>2863</v>
      </c>
      <c r="K3503">
        <v>7</v>
      </c>
      <c r="L3503">
        <v>4</v>
      </c>
      <c r="M3503">
        <v>2025</v>
      </c>
      <c r="N3503" t="s">
        <v>44</v>
      </c>
      <c r="O3503">
        <v>40</v>
      </c>
      <c r="P3503">
        <v>40</v>
      </c>
      <c r="R3503" s="3" t="str">
        <f>HYPERLINK("https://panda.att.com.mx/ODKServer/view/binaryData?blobKey=FSSuministroFluidosv3%5B%40version%3Dnull+and+%40uiVersion%3Dnull%5D%2Fdata%5B%40key%3Duuid%3A6f0ba8f5-146f-446f-8c37-735aff5732e3%5D%2FgroupInfoFuel%5B%40ordinal%3D1%5D%2FpicFuelRecibeInterno","Descargar")</f>
        <v>Descargar</v>
      </c>
    </row>
    <row r="3504" spans="1:18" x14ac:dyDescent="0.3">
      <c r="A3504">
        <v>1512655</v>
      </c>
      <c r="B3504" t="s">
        <v>18</v>
      </c>
      <c r="C3504" t="s">
        <v>59</v>
      </c>
      <c r="D3504" t="s">
        <v>60</v>
      </c>
      <c r="E3504" t="s">
        <v>2207</v>
      </c>
      <c r="F3504" t="s">
        <v>22</v>
      </c>
      <c r="G3504" t="s">
        <v>23</v>
      </c>
      <c r="H3504" t="s">
        <v>37</v>
      </c>
      <c r="I3504" t="s">
        <v>25</v>
      </c>
      <c r="J3504" t="s">
        <v>2864</v>
      </c>
      <c r="K3504">
        <v>2</v>
      </c>
      <c r="L3504">
        <v>4</v>
      </c>
      <c r="M3504">
        <v>2025</v>
      </c>
      <c r="N3504" t="s">
        <v>27</v>
      </c>
      <c r="O3504">
        <v>180</v>
      </c>
      <c r="P3504">
        <v>180</v>
      </c>
      <c r="R3504" s="3" t="str">
        <f>HYPERLINK("https://panda.att.com.mx/ODKServer/view/binaryData?blobKey=FSSuministroFluidosv3%5B%40version%3Dnull+and+%40uiVersion%3Dnull%5D%2Fdata%5B%40key%3Duuid%3Ac2d19d3a-db87-40e1-86b7-243bf6c005df%5D%2FgroupInfoFuel%5B%40ordinal%3D1%5D%2FpicFuelRecibeInterno","Descargar")</f>
        <v>Descargar</v>
      </c>
    </row>
    <row r="3505" spans="1:18" x14ac:dyDescent="0.3">
      <c r="A3505">
        <v>1512654</v>
      </c>
      <c r="B3505" t="s">
        <v>18</v>
      </c>
      <c r="C3505" t="s">
        <v>59</v>
      </c>
      <c r="D3505" t="s">
        <v>60</v>
      </c>
      <c r="E3505" t="s">
        <v>2207</v>
      </c>
      <c r="F3505" t="s">
        <v>22</v>
      </c>
      <c r="G3505" t="s">
        <v>23</v>
      </c>
      <c r="H3505" t="s">
        <v>37</v>
      </c>
      <c r="I3505" t="s">
        <v>25</v>
      </c>
      <c r="J3505" t="s">
        <v>2865</v>
      </c>
      <c r="K3505">
        <v>5</v>
      </c>
      <c r="L3505">
        <v>4</v>
      </c>
      <c r="M3505">
        <v>2025</v>
      </c>
      <c r="N3505" t="s">
        <v>27</v>
      </c>
      <c r="O3505">
        <v>180</v>
      </c>
      <c r="P3505">
        <v>180</v>
      </c>
      <c r="R3505" s="3" t="str">
        <f>HYPERLINK("https://panda.att.com.mx/ODKServer/view/binaryData?blobKey=FSSuministroFluidosv3%5B%40version%3Dnull+and+%40uiVersion%3Dnull%5D%2Fdata%5B%40key%3Duuid%3Af563431e-2bca-437a-915a-156a271fab5b%5D%2FgroupInfoFuel%5B%40ordinal%3D1%5D%2FpicFuelRecibeInterno","Descargar")</f>
        <v>Descargar</v>
      </c>
    </row>
    <row r="3506" spans="1:18" x14ac:dyDescent="0.3">
      <c r="A3506">
        <v>1512635</v>
      </c>
      <c r="B3506" t="s">
        <v>18</v>
      </c>
      <c r="C3506" t="s">
        <v>28</v>
      </c>
      <c r="D3506" t="s">
        <v>118</v>
      </c>
      <c r="E3506" t="s">
        <v>120</v>
      </c>
      <c r="F3506" t="s">
        <v>22</v>
      </c>
      <c r="G3506" t="s">
        <v>23</v>
      </c>
      <c r="H3506" t="s">
        <v>24</v>
      </c>
      <c r="I3506" t="s">
        <v>25</v>
      </c>
      <c r="J3506" t="s">
        <v>2866</v>
      </c>
      <c r="K3506">
        <v>7</v>
      </c>
      <c r="L3506">
        <v>4</v>
      </c>
      <c r="M3506">
        <v>2025</v>
      </c>
      <c r="N3506" t="s">
        <v>44</v>
      </c>
      <c r="O3506">
        <v>40</v>
      </c>
      <c r="Q3506">
        <v>40</v>
      </c>
      <c r="R3506" s="3" t="str">
        <f>HYPERLINK("https://panda.att.com.mx/ODKServer/view/binaryData?blobKey=FSSuministroFluidosv3%5B%40version%3Dnull+and+%40uiVersion%3Dnull%5D%2Fdata%5B%40key%3Duuid%3Abe66eaa5-1574-4951-96a3-a9b6bf14bdba%5D%2FgroupInfoFuel%5B%40ordinal%3D1%5D%2FpicFuelRecibeInterno","Descargar")</f>
        <v>Descargar</v>
      </c>
    </row>
    <row r="3507" spans="1:18" x14ac:dyDescent="0.3">
      <c r="A3507">
        <v>1512622</v>
      </c>
      <c r="B3507" t="s">
        <v>18</v>
      </c>
      <c r="C3507" t="s">
        <v>28</v>
      </c>
      <c r="D3507" t="s">
        <v>118</v>
      </c>
      <c r="E3507" t="s">
        <v>2490</v>
      </c>
      <c r="F3507" t="s">
        <v>22</v>
      </c>
      <c r="G3507" t="s">
        <v>23</v>
      </c>
      <c r="H3507" t="s">
        <v>24</v>
      </c>
      <c r="I3507" t="s">
        <v>25</v>
      </c>
      <c r="J3507" t="s">
        <v>2867</v>
      </c>
      <c r="K3507">
        <v>5</v>
      </c>
      <c r="L3507">
        <v>4</v>
      </c>
      <c r="M3507">
        <v>2025</v>
      </c>
      <c r="N3507" t="s">
        <v>44</v>
      </c>
      <c r="O3507">
        <v>40</v>
      </c>
      <c r="P3507">
        <v>40</v>
      </c>
      <c r="R3507" s="3" t="str">
        <f>HYPERLINK("https://panda.att.com.mx/ODKServer/view/binaryData?blobKey=FSSuministroFluidosv3%5B%40version%3Dnull+and+%40uiVersion%3Dnull%5D%2Fdata%5B%40key%3Duuid%3A8932acc8-29c6-467f-89dc-cf1a4fa7dbbe%5D%2FgroupInfoFuel%5B%40ordinal%3D1%5D%2FpicFuelRecibeInterno","Descargar")</f>
        <v>Descargar</v>
      </c>
    </row>
    <row r="3508" spans="1:18" x14ac:dyDescent="0.3">
      <c r="A3508">
        <v>1512606</v>
      </c>
      <c r="B3508" t="s">
        <v>18</v>
      </c>
      <c r="C3508" t="s">
        <v>28</v>
      </c>
      <c r="D3508" t="s">
        <v>181</v>
      </c>
      <c r="E3508" t="s">
        <v>877</v>
      </c>
      <c r="F3508" t="s">
        <v>22</v>
      </c>
      <c r="G3508" t="s">
        <v>23</v>
      </c>
      <c r="H3508" t="s">
        <v>24</v>
      </c>
      <c r="I3508" t="s">
        <v>25</v>
      </c>
      <c r="J3508" t="s">
        <v>2868</v>
      </c>
      <c r="K3508">
        <v>7</v>
      </c>
      <c r="L3508">
        <v>4</v>
      </c>
      <c r="M3508">
        <v>2025</v>
      </c>
      <c r="N3508" t="s">
        <v>44</v>
      </c>
      <c r="O3508">
        <v>40</v>
      </c>
      <c r="Q3508">
        <v>40</v>
      </c>
      <c r="R3508" s="3" t="str">
        <f>HYPERLINK("https://panda.att.com.mx/ODKServer/view/binaryData?blobKey=FSSuministroFluidosv3%5B%40version%3Dnull+and+%40uiVersion%3Dnull%5D%2Fdata%5B%40key%3Duuid%3A27956005-27a9-47d7-bd68-691c72f47896%5D%2FgroupInfoFuel%5B%40ordinal%3D1%5D%2FpicFuelRecibeInterno","Descargar")</f>
        <v>Descargar</v>
      </c>
    </row>
    <row r="3509" spans="1:18" x14ac:dyDescent="0.3">
      <c r="A3509">
        <v>1512534</v>
      </c>
      <c r="B3509" t="s">
        <v>18</v>
      </c>
      <c r="C3509" t="s">
        <v>59</v>
      </c>
      <c r="D3509" t="s">
        <v>1242</v>
      </c>
      <c r="E3509" t="s">
        <v>1513</v>
      </c>
      <c r="F3509" t="s">
        <v>22</v>
      </c>
      <c r="G3509" t="s">
        <v>23</v>
      </c>
      <c r="H3509" t="s">
        <v>37</v>
      </c>
      <c r="I3509" t="s">
        <v>25</v>
      </c>
      <c r="J3509" s="2">
        <v>45742.692013888889</v>
      </c>
      <c r="K3509">
        <v>26</v>
      </c>
      <c r="L3509">
        <v>3</v>
      </c>
      <c r="M3509">
        <v>2025</v>
      </c>
      <c r="N3509" t="s">
        <v>27</v>
      </c>
      <c r="O3509">
        <v>50</v>
      </c>
      <c r="P3509">
        <v>50</v>
      </c>
      <c r="R3509" s="3" t="str">
        <f>HYPERLINK("https://panda.att.com.mx/ODKServer/view/binaryData?blobKey=FSSuministroFluidosv3%5B%40version%3Dnull+and+%40uiVersion%3Dnull%5D%2Fdata%5B%40key%3Duuid%3A0bee6d4f-48f1-45f3-acec-698dd8f4c636%5D%2FgroupInfoFuel%5B%40ordinal%3D1%5D%2FpicFuelRecibeInterno","Descargar")</f>
        <v>Descargar</v>
      </c>
    </row>
    <row r="3510" spans="1:18" x14ac:dyDescent="0.3">
      <c r="A3510">
        <v>1512450</v>
      </c>
      <c r="B3510" t="s">
        <v>18</v>
      </c>
      <c r="C3510" t="s">
        <v>34</v>
      </c>
      <c r="D3510" t="s">
        <v>51</v>
      </c>
      <c r="E3510" t="s">
        <v>2869</v>
      </c>
      <c r="F3510" t="s">
        <v>22</v>
      </c>
      <c r="G3510" t="s">
        <v>23</v>
      </c>
      <c r="H3510" t="s">
        <v>24</v>
      </c>
      <c r="I3510" t="s">
        <v>25</v>
      </c>
      <c r="J3510" t="s">
        <v>2870</v>
      </c>
      <c r="K3510">
        <v>5</v>
      </c>
      <c r="L3510">
        <v>4</v>
      </c>
      <c r="M3510">
        <v>2025</v>
      </c>
      <c r="N3510" t="s">
        <v>27</v>
      </c>
      <c r="O3510">
        <v>600</v>
      </c>
      <c r="Q3510">
        <v>600</v>
      </c>
      <c r="R3510" s="3" t="str">
        <f>HYPERLINK("https://panda.att.com.mx/ODKServer/view/binaryData?blobKey=FSSuministroFluidosv3%5B%40version%3Dnull+and+%40uiVersion%3Dnull%5D%2Fdata%5B%40key%3Duuid%3A440d78b5-7dd0-47ca-9d9e-1e30707e1ae4%5D%2FgroupInfoFuel%5B%40ordinal%3D1%5D%2FpicFuelRecibeInterno","Descargar")</f>
        <v>Descargar</v>
      </c>
    </row>
    <row r="3511" spans="1:18" x14ac:dyDescent="0.3">
      <c r="A3511">
        <v>1512448</v>
      </c>
      <c r="B3511" t="s">
        <v>18</v>
      </c>
      <c r="C3511" t="s">
        <v>34</v>
      </c>
      <c r="D3511" t="s">
        <v>51</v>
      </c>
      <c r="E3511" t="s">
        <v>1221</v>
      </c>
      <c r="F3511" t="s">
        <v>22</v>
      </c>
      <c r="G3511" t="s">
        <v>23</v>
      </c>
      <c r="H3511" t="s">
        <v>24</v>
      </c>
      <c r="I3511" t="s">
        <v>25</v>
      </c>
      <c r="J3511" t="s">
        <v>2871</v>
      </c>
      <c r="K3511">
        <v>5</v>
      </c>
      <c r="L3511">
        <v>4</v>
      </c>
      <c r="M3511">
        <v>2025</v>
      </c>
      <c r="N3511" t="s">
        <v>27</v>
      </c>
      <c r="O3511">
        <v>350</v>
      </c>
      <c r="Q3511">
        <v>350</v>
      </c>
      <c r="R3511" s="3" t="str">
        <f>HYPERLINK("https://panda.att.com.mx/ODKServer/view/binaryData?blobKey=FSSuministroFluidosv3%5B%40version%3Dnull+and+%40uiVersion%3Dnull%5D%2Fdata%5B%40key%3Duuid%3A0e059a63-9e5a-449f-b55d-c30844b37d4d%5D%2FgroupInfoFuel%5B%40ordinal%3D1%5D%2FpicFuelRecibeInterno","Descargar")</f>
        <v>Descargar</v>
      </c>
    </row>
    <row r="3512" spans="1:18" x14ac:dyDescent="0.3">
      <c r="A3512">
        <v>1512445</v>
      </c>
      <c r="B3512" t="s">
        <v>18</v>
      </c>
      <c r="C3512" t="s">
        <v>34</v>
      </c>
      <c r="D3512" t="s">
        <v>51</v>
      </c>
      <c r="E3512" t="s">
        <v>134</v>
      </c>
      <c r="F3512" t="s">
        <v>22</v>
      </c>
      <c r="G3512" t="s">
        <v>23</v>
      </c>
      <c r="H3512" t="s">
        <v>24</v>
      </c>
      <c r="I3512" t="s">
        <v>25</v>
      </c>
      <c r="J3512" t="s">
        <v>2872</v>
      </c>
      <c r="K3512">
        <v>5</v>
      </c>
      <c r="L3512">
        <v>4</v>
      </c>
      <c r="M3512">
        <v>2025</v>
      </c>
      <c r="N3512" t="s">
        <v>27</v>
      </c>
      <c r="O3512">
        <v>600</v>
      </c>
      <c r="Q3512">
        <v>600</v>
      </c>
      <c r="R3512" s="3" t="str">
        <f>HYPERLINK("https://panda.att.com.mx/ODKServer/view/binaryData?blobKey=FSSuministroFluidosv3%5B%40version%3Dnull+and+%40uiVersion%3Dnull%5D%2Fdata%5B%40key%3Duuid%3A3e63caca-f1c6-44e1-a9d9-70594f0c4b9e%5D%2FgroupInfoFuel%5B%40ordinal%3D1%5D%2FpicFuelRecibeInterno","Descargar")</f>
        <v>Descargar</v>
      </c>
    </row>
    <row r="3513" spans="1:18" x14ac:dyDescent="0.3">
      <c r="A3513">
        <v>1512443</v>
      </c>
      <c r="B3513" t="s">
        <v>18</v>
      </c>
      <c r="C3513" t="s">
        <v>34</v>
      </c>
      <c r="D3513" t="s">
        <v>51</v>
      </c>
      <c r="E3513" t="s">
        <v>2873</v>
      </c>
      <c r="F3513" t="s">
        <v>22</v>
      </c>
      <c r="G3513" t="s">
        <v>23</v>
      </c>
      <c r="H3513" t="s">
        <v>24</v>
      </c>
      <c r="I3513" t="s">
        <v>25</v>
      </c>
      <c r="J3513" t="s">
        <v>2874</v>
      </c>
      <c r="K3513">
        <v>5</v>
      </c>
      <c r="L3513">
        <v>4</v>
      </c>
      <c r="M3513">
        <v>2025</v>
      </c>
      <c r="N3513" t="s">
        <v>27</v>
      </c>
      <c r="O3513">
        <v>200</v>
      </c>
      <c r="Q3513">
        <v>200</v>
      </c>
      <c r="R3513" s="3" t="str">
        <f>HYPERLINK("https://panda.att.com.mx/ODKServer/view/binaryData?blobKey=FSSuministroFluidosv3%5B%40version%3Dnull+and+%40uiVersion%3Dnull%5D%2Fdata%5B%40key%3Duuid%3A66363365-bf13-4c65-922c-bbefa44f7eda%5D%2FgroupInfoFuel%5B%40ordinal%3D1%5D%2FpicFuelRecibeInterno","Descargar")</f>
        <v>Descargar</v>
      </c>
    </row>
    <row r="3514" spans="1:18" x14ac:dyDescent="0.3">
      <c r="A3514">
        <v>1512413</v>
      </c>
      <c r="B3514" t="s">
        <v>18</v>
      </c>
      <c r="C3514" t="s">
        <v>183</v>
      </c>
      <c r="D3514" t="s">
        <v>2875</v>
      </c>
      <c r="E3514" t="s">
        <v>2876</v>
      </c>
      <c r="F3514" t="s">
        <v>22</v>
      </c>
      <c r="G3514" t="s">
        <v>23</v>
      </c>
      <c r="H3514" t="s">
        <v>1763</v>
      </c>
      <c r="I3514" t="s">
        <v>25</v>
      </c>
      <c r="J3514" t="s">
        <v>2877</v>
      </c>
      <c r="K3514">
        <v>5</v>
      </c>
      <c r="L3514">
        <v>4</v>
      </c>
      <c r="M3514">
        <v>2025</v>
      </c>
      <c r="N3514" t="s">
        <v>44</v>
      </c>
      <c r="O3514">
        <v>40</v>
      </c>
      <c r="P3514">
        <v>40</v>
      </c>
      <c r="R3514" s="3" t="str">
        <f>HYPERLINK("https://panda.att.com.mx/ODKServer/view/binaryData?blobKey=FSSuministroFluidosv3%5B%40version%3Dnull+and+%40uiVersion%3Dnull%5D%2Fdata%5B%40key%3Duuid%3Aa4080d97-cd87-4bce-a47b-be87e18a9a37%5D%2FgroupInfoFuel%5B%40ordinal%3D1%5D%2FpicFuelRecibeInterno","Descargar")</f>
        <v>Descargar</v>
      </c>
    </row>
    <row r="3515" spans="1:18" x14ac:dyDescent="0.3">
      <c r="A3515">
        <v>1512404</v>
      </c>
      <c r="B3515" t="s">
        <v>18</v>
      </c>
      <c r="C3515" t="s">
        <v>55</v>
      </c>
      <c r="D3515" t="s">
        <v>56</v>
      </c>
      <c r="E3515" t="s">
        <v>2498</v>
      </c>
      <c r="F3515" t="s">
        <v>22</v>
      </c>
      <c r="G3515" t="s">
        <v>23</v>
      </c>
      <c r="H3515" t="s">
        <v>1763</v>
      </c>
      <c r="I3515" t="s">
        <v>25</v>
      </c>
      <c r="J3515" s="2">
        <v>45747.599351851852</v>
      </c>
      <c r="K3515">
        <v>31</v>
      </c>
      <c r="L3515">
        <v>3</v>
      </c>
      <c r="M3515">
        <v>2025</v>
      </c>
      <c r="N3515" t="s">
        <v>27</v>
      </c>
      <c r="O3515">
        <v>100</v>
      </c>
      <c r="P3515">
        <v>100</v>
      </c>
      <c r="R3515" s="3" t="str">
        <f>HYPERLINK("https://panda.att.com.mx/ODKServer/view/binaryData?blobKey=FSSuministroFluidosv3%5B%40version%3Dnull+and+%40uiVersion%3Dnull%5D%2Fdata%5B%40key%3Duuid%3Aa698464e-72e4-419f-9340-af4b591957ad%5D%2FgroupInfoFuel%5B%40ordinal%3D1%5D%2FpicFuelRecibeInterno","Descargar")</f>
        <v>Descargar</v>
      </c>
    </row>
    <row r="3516" spans="1:18" x14ac:dyDescent="0.3">
      <c r="A3516">
        <v>1512399</v>
      </c>
      <c r="B3516" t="s">
        <v>18</v>
      </c>
      <c r="C3516" t="s">
        <v>55</v>
      </c>
      <c r="D3516" t="s">
        <v>56</v>
      </c>
      <c r="E3516" t="s">
        <v>2878</v>
      </c>
      <c r="F3516" t="s">
        <v>22</v>
      </c>
      <c r="G3516" t="s">
        <v>23</v>
      </c>
      <c r="H3516" t="s">
        <v>1763</v>
      </c>
      <c r="I3516" t="s">
        <v>25</v>
      </c>
      <c r="J3516" s="2">
        <v>45743.523888888893</v>
      </c>
      <c r="K3516">
        <v>27</v>
      </c>
      <c r="L3516">
        <v>3</v>
      </c>
      <c r="M3516">
        <v>2025</v>
      </c>
      <c r="N3516" t="s">
        <v>27</v>
      </c>
      <c r="O3516">
        <v>100</v>
      </c>
      <c r="P3516">
        <v>100</v>
      </c>
      <c r="R3516" s="3" t="str">
        <f>HYPERLINK("https://panda.att.com.mx/ODKServer/view/binaryData?blobKey=FSSuministroFluidosv3%5B%40version%3Dnull+and+%40uiVersion%3Dnull%5D%2Fdata%5B%40key%3Duuid%3Ab99f8e55-29b1-46c1-b55b-a73d347998ff%5D%2FgroupInfoFuel%5B%40ordinal%3D1%5D%2FpicFuelRecibeInterno","Descargar")</f>
        <v>Descargar</v>
      </c>
    </row>
    <row r="3517" spans="1:18" x14ac:dyDescent="0.3">
      <c r="A3517">
        <v>1512366</v>
      </c>
      <c r="B3517" t="s">
        <v>18</v>
      </c>
      <c r="C3517" t="s">
        <v>167</v>
      </c>
      <c r="D3517" t="s">
        <v>268</v>
      </c>
      <c r="E3517" t="s">
        <v>442</v>
      </c>
      <c r="F3517" t="s">
        <v>33</v>
      </c>
      <c r="G3517" t="s">
        <v>23</v>
      </c>
      <c r="H3517" t="s">
        <v>58</v>
      </c>
      <c r="I3517" t="s">
        <v>25</v>
      </c>
      <c r="J3517" t="s">
        <v>2879</v>
      </c>
      <c r="K3517">
        <v>5</v>
      </c>
      <c r="L3517">
        <v>4</v>
      </c>
      <c r="M3517">
        <v>2025</v>
      </c>
      <c r="N3517" t="s">
        <v>27</v>
      </c>
      <c r="O3517">
        <v>100</v>
      </c>
      <c r="P3517">
        <v>100</v>
      </c>
      <c r="R3517" s="3" t="str">
        <f>HYPERLINK("https://panda.att.com.mx/ODKServer/view/binaryData?blobKey=FSSuministroFluidosv3%5B%40version%3Dnull+and+%40uiVersion%3Dnull%5D%2Fdata%5B%40key%3Duuid%3Af079eb29-6a7e-4a60-9bec-5e77ccaa3105%5D%2FgroupInfoFuel%5B%40ordinal%3D1%5D%2FpicFuelRecibeInterno","Descargar")</f>
        <v>Descargar</v>
      </c>
    </row>
    <row r="3518" spans="1:18" x14ac:dyDescent="0.3">
      <c r="A3518">
        <v>1512354</v>
      </c>
      <c r="B3518" t="s">
        <v>18</v>
      </c>
      <c r="C3518" t="s">
        <v>59</v>
      </c>
      <c r="D3518" t="s">
        <v>1745</v>
      </c>
      <c r="E3518" t="s">
        <v>2439</v>
      </c>
      <c r="F3518" t="s">
        <v>22</v>
      </c>
      <c r="G3518" t="s">
        <v>23</v>
      </c>
      <c r="H3518" t="s">
        <v>24</v>
      </c>
      <c r="I3518" t="s">
        <v>25</v>
      </c>
      <c r="J3518" t="s">
        <v>2880</v>
      </c>
      <c r="K3518">
        <v>5</v>
      </c>
      <c r="L3518">
        <v>4</v>
      </c>
      <c r="M3518">
        <v>2025</v>
      </c>
      <c r="N3518" t="s">
        <v>44</v>
      </c>
      <c r="O3518">
        <v>50</v>
      </c>
      <c r="P3518">
        <v>50</v>
      </c>
      <c r="R3518" s="3" t="str">
        <f>HYPERLINK("https://panda.att.com.mx/ODKServer/view/binaryData?blobKey=FSSuministroFluidosv3%5B%40version%3Dnull+and+%40uiVersion%3Dnull%5D%2Fdata%5B%40key%3Duuid%3A79faefa3-e336-407d-8a44-4b21a8aafcb7%5D%2FgroupInfoFuel%5B%40ordinal%3D1%5D%2FpicFuelRecibeInterno","Descargar")</f>
        <v>Descargar</v>
      </c>
    </row>
    <row r="3519" spans="1:18" x14ac:dyDescent="0.3">
      <c r="A3519">
        <v>1512353</v>
      </c>
      <c r="B3519" t="s">
        <v>18</v>
      </c>
      <c r="C3519" t="s">
        <v>59</v>
      </c>
      <c r="D3519" t="s">
        <v>1745</v>
      </c>
      <c r="E3519" t="s">
        <v>1969</v>
      </c>
      <c r="F3519" t="s">
        <v>22</v>
      </c>
      <c r="G3519" t="s">
        <v>23</v>
      </c>
      <c r="H3519" t="s">
        <v>24</v>
      </c>
      <c r="I3519" t="s">
        <v>25</v>
      </c>
      <c r="J3519" t="s">
        <v>2881</v>
      </c>
      <c r="K3519">
        <v>5</v>
      </c>
      <c r="L3519">
        <v>4</v>
      </c>
      <c r="M3519">
        <v>2025</v>
      </c>
      <c r="N3519" t="s">
        <v>44</v>
      </c>
      <c r="O3519">
        <v>50</v>
      </c>
      <c r="P3519">
        <v>50</v>
      </c>
      <c r="R3519" s="3" t="str">
        <f>HYPERLINK("https://panda.att.com.mx/ODKServer/view/binaryData?blobKey=FSSuministroFluidosv3%5B%40version%3Dnull+and+%40uiVersion%3Dnull%5D%2Fdata%5B%40key%3Duuid%3A236f3525-2f83-4dac-8d71-db20e8415e7e%5D%2FgroupInfoFuel%5B%40ordinal%3D1%5D%2FpicFuelRecibeInterno","Descargar")</f>
        <v>Descargar</v>
      </c>
    </row>
    <row r="3520" spans="1:18" x14ac:dyDescent="0.3">
      <c r="A3520">
        <v>1512341</v>
      </c>
      <c r="B3520" t="s">
        <v>18</v>
      </c>
      <c r="C3520" t="s">
        <v>55</v>
      </c>
      <c r="D3520" t="s">
        <v>64</v>
      </c>
      <c r="E3520" t="s">
        <v>2882</v>
      </c>
      <c r="F3520" t="s">
        <v>22</v>
      </c>
      <c r="G3520" t="s">
        <v>23</v>
      </c>
      <c r="H3520" t="s">
        <v>1763</v>
      </c>
      <c r="I3520" t="s">
        <v>25</v>
      </c>
      <c r="J3520" t="s">
        <v>2883</v>
      </c>
      <c r="K3520">
        <v>5</v>
      </c>
      <c r="L3520">
        <v>4</v>
      </c>
      <c r="M3520">
        <v>2025</v>
      </c>
      <c r="N3520" t="s">
        <v>27</v>
      </c>
      <c r="O3520">
        <v>100</v>
      </c>
      <c r="P3520">
        <v>100</v>
      </c>
      <c r="R3520" s="3" t="str">
        <f>HYPERLINK("https://panda.att.com.mx/ODKServer/view/binaryData?blobKey=FSSuministroFluidosv3%5B%40version%3Dnull+and+%40uiVersion%3Dnull%5D%2Fdata%5B%40key%3Duuid%3A8765c867-f4be-4af7-abc0-b09ef699d63f%5D%2FgroupInfoFuel%5B%40ordinal%3D1%5D%2FpicFuelRecibeInterno","Descargar")</f>
        <v>Descargar</v>
      </c>
    </row>
    <row r="3521" spans="1:18" x14ac:dyDescent="0.3">
      <c r="A3521">
        <v>1512310</v>
      </c>
      <c r="B3521" t="s">
        <v>18</v>
      </c>
      <c r="C3521" t="s">
        <v>167</v>
      </c>
      <c r="D3521" t="s">
        <v>264</v>
      </c>
      <c r="E3521" t="s">
        <v>2884</v>
      </c>
      <c r="F3521" t="s">
        <v>22</v>
      </c>
      <c r="G3521" t="s">
        <v>23</v>
      </c>
      <c r="H3521" t="s">
        <v>58</v>
      </c>
      <c r="I3521" t="s">
        <v>25</v>
      </c>
      <c r="J3521" t="s">
        <v>2885</v>
      </c>
      <c r="K3521">
        <v>5</v>
      </c>
      <c r="L3521">
        <v>4</v>
      </c>
      <c r="M3521">
        <v>2025</v>
      </c>
      <c r="N3521" t="s">
        <v>27</v>
      </c>
      <c r="O3521">
        <v>80</v>
      </c>
      <c r="P3521">
        <v>80</v>
      </c>
      <c r="R3521" s="3" t="str">
        <f>HYPERLINK("https://panda.att.com.mx/ODKServer/view/binaryData?blobKey=FSSuministroFluidosv3%5B%40version%3Dnull+and+%40uiVersion%3Dnull%5D%2Fdata%5B%40key%3Duuid%3Af1a3e70d-c3ea-40d8-a9ac-dbdd29430b2b%5D%2FgroupInfoFuel%5B%40ordinal%3D1%5D%2FpicFuelRecibeInterno","Descargar")</f>
        <v>Descargar</v>
      </c>
    </row>
    <row r="3522" spans="1:18" x14ac:dyDescent="0.3">
      <c r="A3522">
        <v>1512282</v>
      </c>
      <c r="B3522" t="s">
        <v>18</v>
      </c>
      <c r="C3522" t="s">
        <v>55</v>
      </c>
      <c r="D3522" t="s">
        <v>128</v>
      </c>
      <c r="E3522" t="s">
        <v>2758</v>
      </c>
      <c r="F3522" t="s">
        <v>22</v>
      </c>
      <c r="G3522" t="s">
        <v>47</v>
      </c>
      <c r="H3522" t="s">
        <v>1763</v>
      </c>
      <c r="I3522" t="s">
        <v>25</v>
      </c>
      <c r="J3522" t="s">
        <v>2886</v>
      </c>
      <c r="K3522">
        <v>5</v>
      </c>
      <c r="L3522">
        <v>4</v>
      </c>
      <c r="M3522">
        <v>2025</v>
      </c>
      <c r="N3522" t="s">
        <v>27</v>
      </c>
      <c r="O3522">
        <v>200</v>
      </c>
      <c r="P3522">
        <v>200</v>
      </c>
      <c r="R3522" s="3" t="str">
        <f>HYPERLINK("https://panda.att.com.mx/ODKServer/view/binaryData?blobKey=FSSuministroFluidosv3%5B%40version%3Dnull+and+%40uiVersion%3Dnull%5D%2Fdata%5B%40key%3Duuid%3A563a9afe-6379-4cfa-9c9b-7fc12bb6daa4%5D%2FgroupInfoFuel%5B%40ordinal%3D1%5D%2FpicFuelRecibeInterno","Descargar")</f>
        <v>Descargar</v>
      </c>
    </row>
    <row r="3523" spans="1:18" x14ac:dyDescent="0.3">
      <c r="A3523">
        <v>1512227</v>
      </c>
      <c r="B3523" t="s">
        <v>18</v>
      </c>
      <c r="C3523" t="s">
        <v>28</v>
      </c>
      <c r="D3523" t="s">
        <v>31</v>
      </c>
      <c r="E3523" t="s">
        <v>2053</v>
      </c>
      <c r="F3523" t="s">
        <v>22</v>
      </c>
      <c r="G3523" t="s">
        <v>23</v>
      </c>
      <c r="H3523" t="s">
        <v>24</v>
      </c>
      <c r="I3523" t="s">
        <v>25</v>
      </c>
      <c r="J3523" t="s">
        <v>2887</v>
      </c>
      <c r="K3523">
        <v>3</v>
      </c>
      <c r="L3523">
        <v>4</v>
      </c>
      <c r="M3523">
        <v>2025</v>
      </c>
      <c r="N3523" t="s">
        <v>27</v>
      </c>
      <c r="O3523">
        <v>400</v>
      </c>
      <c r="P3523">
        <v>400</v>
      </c>
      <c r="R3523" s="3" t="str">
        <f>HYPERLINK("https://panda.att.com.mx/ODKServer/view/binaryData?blobKey=FSSuministroFluidosv3%5B%40version%3Dnull+and+%40uiVersion%3Dnull%5D%2Fdata%5B%40key%3Duuid%3A95f22936-d7d4-4811-bbc7-a2a1a2419c86%5D%2FgroupInfoFuel%5B%40ordinal%3D1%5D%2FpicFuelRecibeInterno","Descargar")</f>
        <v>Descargar</v>
      </c>
    </row>
    <row r="3524" spans="1:18" x14ac:dyDescent="0.3">
      <c r="A3524">
        <v>1512204</v>
      </c>
      <c r="B3524" t="s">
        <v>18</v>
      </c>
      <c r="C3524" t="s">
        <v>55</v>
      </c>
      <c r="D3524" t="s">
        <v>56</v>
      </c>
      <c r="E3524" t="s">
        <v>2498</v>
      </c>
      <c r="F3524" t="s">
        <v>22</v>
      </c>
      <c r="G3524" t="s">
        <v>23</v>
      </c>
      <c r="H3524" t="s">
        <v>1763</v>
      </c>
      <c r="I3524" t="s">
        <v>25</v>
      </c>
      <c r="J3524" t="s">
        <v>2888</v>
      </c>
      <c r="K3524">
        <v>1</v>
      </c>
      <c r="L3524">
        <v>4</v>
      </c>
      <c r="M3524">
        <v>2025</v>
      </c>
      <c r="N3524" t="s">
        <v>27</v>
      </c>
      <c r="O3524">
        <v>100</v>
      </c>
      <c r="P3524">
        <v>100</v>
      </c>
      <c r="R3524" s="3" t="str">
        <f>HYPERLINK("https://panda.att.com.mx/ODKServer/view/binaryData?blobKey=FSSuministroFluidosv3%5B%40version%3Dnull+and+%40uiVersion%3Dnull%5D%2Fdata%5B%40key%3Duuid%3A05d3b6ff-dff4-4c9d-85dd-273a2ae3e1be%5D%2FgroupInfoFuel%5B%40ordinal%3D1%5D%2FpicFuelRecibeInterno","Descargar")</f>
        <v>Descargar</v>
      </c>
    </row>
    <row r="3525" spans="1:18" x14ac:dyDescent="0.3">
      <c r="A3525">
        <v>1512165</v>
      </c>
      <c r="B3525" t="s">
        <v>18</v>
      </c>
      <c r="C3525" t="s">
        <v>59</v>
      </c>
      <c r="D3525" t="s">
        <v>1745</v>
      </c>
      <c r="E3525" t="s">
        <v>2234</v>
      </c>
      <c r="F3525" t="s">
        <v>22</v>
      </c>
      <c r="G3525" t="s">
        <v>23</v>
      </c>
      <c r="H3525" t="s">
        <v>24</v>
      </c>
      <c r="I3525" t="s">
        <v>25</v>
      </c>
      <c r="J3525" t="s">
        <v>2889</v>
      </c>
      <c r="K3525">
        <v>4</v>
      </c>
      <c r="L3525">
        <v>4</v>
      </c>
      <c r="M3525">
        <v>2025</v>
      </c>
      <c r="N3525" t="s">
        <v>44</v>
      </c>
      <c r="O3525">
        <v>22</v>
      </c>
      <c r="P3525">
        <v>22</v>
      </c>
      <c r="R3525" s="3" t="str">
        <f>HYPERLINK("https://panda.att.com.mx/ODKServer/view/binaryData?blobKey=FSSuministroFluidosv3%5B%40version%3Dnull+and+%40uiVersion%3Dnull%5D%2Fdata%5B%40key%3Duuid%3A1c9e3be6-2507-494b-a917-eb583815661d%5D%2FgroupInfoFuel%5B%40ordinal%3D1%5D%2FpicFuelRecibeInterno","Descargar")</f>
        <v>Descargar</v>
      </c>
    </row>
    <row r="3526" spans="1:18" x14ac:dyDescent="0.3">
      <c r="A3526">
        <v>1512151</v>
      </c>
      <c r="B3526" t="s">
        <v>18</v>
      </c>
      <c r="C3526" t="s">
        <v>19</v>
      </c>
      <c r="D3526" t="s">
        <v>45</v>
      </c>
      <c r="E3526" t="s">
        <v>752</v>
      </c>
      <c r="F3526" t="s">
        <v>22</v>
      </c>
      <c r="G3526" t="s">
        <v>23</v>
      </c>
      <c r="H3526" t="s">
        <v>24</v>
      </c>
      <c r="I3526" t="s">
        <v>25</v>
      </c>
      <c r="J3526" t="s">
        <v>2890</v>
      </c>
      <c r="K3526">
        <v>2</v>
      </c>
      <c r="L3526">
        <v>4</v>
      </c>
      <c r="M3526">
        <v>2025</v>
      </c>
      <c r="N3526" t="s">
        <v>27</v>
      </c>
      <c r="O3526">
        <v>300</v>
      </c>
      <c r="P3526">
        <v>300</v>
      </c>
      <c r="R3526" s="3" t="str">
        <f>HYPERLINK("https://panda.att.com.mx/ODKServer/view/binaryData?blobKey=FSSuministroFluidosv3%5B%40version%3Dnull+and+%40uiVersion%3Dnull%5D%2Fdata%5B%40key%3Duuid%3Ad1972a09-5910-4c57-a4da-1f604b39ca09%5D%2FgroupInfoFuel%5B%40ordinal%3D1%5D%2FpicFuelRecibeInterno","Descargar")</f>
        <v>Descargar</v>
      </c>
    </row>
    <row r="3527" spans="1:18" x14ac:dyDescent="0.3">
      <c r="A3527">
        <v>1512040</v>
      </c>
      <c r="B3527" t="s">
        <v>18</v>
      </c>
      <c r="C3527" t="s">
        <v>59</v>
      </c>
      <c r="D3527" t="s">
        <v>446</v>
      </c>
      <c r="E3527" t="s">
        <v>922</v>
      </c>
      <c r="F3527" t="s">
        <v>33</v>
      </c>
      <c r="G3527" t="s">
        <v>23</v>
      </c>
      <c r="H3527" t="s">
        <v>37</v>
      </c>
      <c r="I3527" t="s">
        <v>25</v>
      </c>
      <c r="J3527" t="s">
        <v>2891</v>
      </c>
      <c r="K3527">
        <v>4</v>
      </c>
      <c r="L3527">
        <v>4</v>
      </c>
      <c r="M3527">
        <v>2025</v>
      </c>
      <c r="N3527" t="s">
        <v>27</v>
      </c>
      <c r="O3527">
        <v>500</v>
      </c>
      <c r="Q3527">
        <v>500</v>
      </c>
      <c r="R3527" s="3" t="str">
        <f>HYPERLINK("https://panda.att.com.mx/ODKServer/view/binaryData?blobKey=FSSuministroFluidosv3%5B%40version%3Dnull+and+%40uiVersion%3Dnull%5D%2Fdata%5B%40key%3Duuid%3A9e7e3204-671d-4075-8fa8-24423f5a578b%5D%2FgroupInfoFuel%5B%40ordinal%3D1%5D%2FpicFuelRecibeInterno","Descargar")</f>
        <v>Descargar</v>
      </c>
    </row>
    <row r="3528" spans="1:18" x14ac:dyDescent="0.3">
      <c r="A3528">
        <v>1511892</v>
      </c>
      <c r="B3528" t="s">
        <v>18</v>
      </c>
      <c r="C3528" t="s">
        <v>68</v>
      </c>
      <c r="D3528" t="s">
        <v>332</v>
      </c>
      <c r="E3528" t="s">
        <v>333</v>
      </c>
      <c r="F3528" t="s">
        <v>22</v>
      </c>
      <c r="G3528" t="s">
        <v>23</v>
      </c>
      <c r="H3528" t="s">
        <v>37</v>
      </c>
      <c r="I3528" t="s">
        <v>25</v>
      </c>
      <c r="J3528" s="2">
        <v>45735.679583333331</v>
      </c>
      <c r="K3528">
        <v>19</v>
      </c>
      <c r="L3528">
        <v>3</v>
      </c>
      <c r="M3528">
        <v>2025</v>
      </c>
      <c r="N3528" t="s">
        <v>27</v>
      </c>
      <c r="O3528">
        <v>200</v>
      </c>
      <c r="P3528">
        <v>200</v>
      </c>
      <c r="R3528" s="3" t="str">
        <f>HYPERLINK("https://panda.att.com.mx/ODKServer/view/binaryData?blobKey=FSSuministroFluidosv3%5B%40version%3Dnull+and+%40uiVersion%3Dnull%5D%2Fdata%5B%40key%3Duuid%3Aa2248b56-0413-4753-85c3-eac323bb01d2%5D%2FgroupInfoFuel%5B%40ordinal%3D1%5D%2FpicFuelRecibeInterno","Descargar")</f>
        <v>Descargar</v>
      </c>
    </row>
    <row r="3529" spans="1:18" x14ac:dyDescent="0.3">
      <c r="A3529">
        <v>1511702</v>
      </c>
      <c r="B3529" t="s">
        <v>18</v>
      </c>
      <c r="C3529" t="s">
        <v>55</v>
      </c>
      <c r="D3529" t="s">
        <v>288</v>
      </c>
      <c r="E3529" t="s">
        <v>440</v>
      </c>
      <c r="F3529" t="s">
        <v>22</v>
      </c>
      <c r="G3529" t="s">
        <v>47</v>
      </c>
      <c r="H3529" t="s">
        <v>1763</v>
      </c>
      <c r="I3529" t="s">
        <v>25</v>
      </c>
      <c r="J3529" t="s">
        <v>2892</v>
      </c>
      <c r="K3529">
        <v>4</v>
      </c>
      <c r="L3529">
        <v>4</v>
      </c>
      <c r="M3529">
        <v>2025</v>
      </c>
      <c r="N3529" t="s">
        <v>27</v>
      </c>
      <c r="O3529">
        <v>300</v>
      </c>
      <c r="P3529">
        <v>300</v>
      </c>
      <c r="R3529" s="3" t="str">
        <f>HYPERLINK("https://panda.att.com.mx/ODKServer/view/binaryData?blobKey=FSSuministroFluidosv3%5B%40version%3Dnull+and+%40uiVersion%3Dnull%5D%2Fdata%5B%40key%3Duuid%3Ada82d95b-8a89-4601-ba62-dc443008b780%5D%2FgroupInfoFuel%5B%40ordinal%3D1%5D%2FpicFuelRecibeInterno","Descargar")</f>
        <v>Descargar</v>
      </c>
    </row>
    <row r="3530" spans="1:18" x14ac:dyDescent="0.3">
      <c r="A3530">
        <v>1511620</v>
      </c>
      <c r="B3530" t="s">
        <v>18</v>
      </c>
      <c r="C3530" t="s">
        <v>55</v>
      </c>
      <c r="D3530" t="s">
        <v>1836</v>
      </c>
      <c r="E3530" t="s">
        <v>2893</v>
      </c>
      <c r="F3530" t="s">
        <v>22</v>
      </c>
      <c r="G3530" t="s">
        <v>23</v>
      </c>
      <c r="H3530" t="s">
        <v>1763</v>
      </c>
      <c r="I3530" t="s">
        <v>25</v>
      </c>
      <c r="J3530" t="s">
        <v>2894</v>
      </c>
      <c r="K3530">
        <v>4</v>
      </c>
      <c r="L3530">
        <v>4</v>
      </c>
      <c r="M3530">
        <v>2025</v>
      </c>
      <c r="N3530" t="s">
        <v>44</v>
      </c>
      <c r="O3530">
        <v>30</v>
      </c>
      <c r="P3530">
        <v>30</v>
      </c>
      <c r="R3530" s="3" t="str">
        <f>HYPERLINK("https://panda.att.com.mx/ODKServer/view/binaryData?blobKey=FSSuministroFluidosv3%5B%40version%3Dnull+and+%40uiVersion%3Dnull%5D%2Fdata%5B%40key%3Duuid%3A4ada8d25-1bd7-421b-91b7-a346f2e7f6ec%5D%2FgroupInfoFuel%5B%40ordinal%3D1%5D%2FpicFuelRecibeInterno","Descargar")</f>
        <v>Descargar</v>
      </c>
    </row>
    <row r="3531" spans="1:18" x14ac:dyDescent="0.3">
      <c r="A3531">
        <v>1511603</v>
      </c>
      <c r="B3531" t="s">
        <v>18</v>
      </c>
      <c r="C3531" t="s">
        <v>68</v>
      </c>
      <c r="D3531" t="s">
        <v>1420</v>
      </c>
      <c r="E3531" t="s">
        <v>2895</v>
      </c>
      <c r="F3531" t="s">
        <v>22</v>
      </c>
      <c r="G3531" t="s">
        <v>23</v>
      </c>
      <c r="H3531" t="s">
        <v>37</v>
      </c>
      <c r="I3531" t="s">
        <v>25</v>
      </c>
      <c r="J3531" t="s">
        <v>2896</v>
      </c>
      <c r="K3531">
        <v>2</v>
      </c>
      <c r="L3531">
        <v>4</v>
      </c>
      <c r="M3531">
        <v>2025</v>
      </c>
      <c r="N3531" t="s">
        <v>27</v>
      </c>
      <c r="O3531">
        <v>300</v>
      </c>
      <c r="Q3531">
        <v>300</v>
      </c>
      <c r="R3531" s="3" t="str">
        <f>HYPERLINK("https://panda.att.com.mx/ODKServer/view/binaryData?blobKey=FSSuministroFluidosv3%5B%40version%3Dnull+and+%40uiVersion%3Dnull%5D%2Fdata%5B%40key%3Duuid%3A2ddd8cbd-6ee6-4aa8-ac69-593719f0d860%5D%2FgroupInfoFuel%5B%40ordinal%3D1%5D%2FpicFuelRecibeInterno","Descargar")</f>
        <v>Descargar</v>
      </c>
    </row>
    <row r="3532" spans="1:18" x14ac:dyDescent="0.3">
      <c r="A3532">
        <v>1511494</v>
      </c>
      <c r="B3532" t="s">
        <v>18</v>
      </c>
      <c r="C3532" t="s">
        <v>34</v>
      </c>
      <c r="D3532" t="s">
        <v>53</v>
      </c>
      <c r="E3532" t="s">
        <v>2897</v>
      </c>
      <c r="F3532" t="s">
        <v>22</v>
      </c>
      <c r="G3532" t="s">
        <v>23</v>
      </c>
      <c r="H3532" t="s">
        <v>37</v>
      </c>
      <c r="I3532" t="s">
        <v>25</v>
      </c>
      <c r="J3532" t="s">
        <v>2898</v>
      </c>
      <c r="K3532">
        <v>3</v>
      </c>
      <c r="L3532">
        <v>4</v>
      </c>
      <c r="M3532">
        <v>2025</v>
      </c>
      <c r="N3532" t="s">
        <v>27</v>
      </c>
      <c r="O3532">
        <v>100</v>
      </c>
      <c r="Q3532">
        <v>100</v>
      </c>
      <c r="R3532" s="3" t="str">
        <f>HYPERLINK("https://panda.att.com.mx/ODKServer/view/binaryData?blobKey=FSSuministroFluidosv3%5B%40version%3Dnull+and+%40uiVersion%3Dnull%5D%2Fdata%5B%40key%3Duuid%3A6d06620f-ef78-45b7-856f-ca080e9e7d77%5D%2FgroupInfoFuel%5B%40ordinal%3D1%5D%2FpicFuelRecibeInterno","Descargar")</f>
        <v>Descargar</v>
      </c>
    </row>
    <row r="3533" spans="1:18" x14ac:dyDescent="0.3">
      <c r="A3533">
        <v>1511476</v>
      </c>
      <c r="B3533" t="s">
        <v>18</v>
      </c>
      <c r="C3533" t="s">
        <v>55</v>
      </c>
      <c r="D3533" t="s">
        <v>56</v>
      </c>
      <c r="E3533" t="s">
        <v>1555</v>
      </c>
      <c r="F3533" t="s">
        <v>22</v>
      </c>
      <c r="G3533" t="s">
        <v>23</v>
      </c>
      <c r="H3533" t="s">
        <v>1763</v>
      </c>
      <c r="I3533" t="s">
        <v>25</v>
      </c>
      <c r="J3533" s="2">
        <v>45730.519918981481</v>
      </c>
      <c r="K3533">
        <v>14</v>
      </c>
      <c r="L3533">
        <v>3</v>
      </c>
      <c r="M3533">
        <v>2025</v>
      </c>
      <c r="N3533" t="s">
        <v>27</v>
      </c>
      <c r="O3533">
        <v>250</v>
      </c>
      <c r="P3533">
        <v>250</v>
      </c>
      <c r="R3533" s="3" t="str">
        <f>HYPERLINK("https://panda.att.com.mx/ODKServer/view/binaryData?blobKey=FSSuministroFluidosv3%5B%40version%3Dnull+and+%40uiVersion%3Dnull%5D%2Fdata%5B%40key%3Duuid%3Ac18b0834-0fa8-4c80-bfe8-a5fac28bdea3%5D%2FgroupInfoFuel%5B%40ordinal%3D1%5D%2FpicFuelRecibeInterno","Descargar")</f>
        <v>Descargar</v>
      </c>
    </row>
    <row r="3534" spans="1:18" x14ac:dyDescent="0.3">
      <c r="A3534">
        <v>1511464</v>
      </c>
      <c r="B3534" t="s">
        <v>18</v>
      </c>
      <c r="C3534" t="s">
        <v>34</v>
      </c>
      <c r="D3534" t="s">
        <v>53</v>
      </c>
      <c r="E3534" t="s">
        <v>2899</v>
      </c>
      <c r="F3534" t="s">
        <v>22</v>
      </c>
      <c r="G3534" t="s">
        <v>23</v>
      </c>
      <c r="H3534" t="s">
        <v>37</v>
      </c>
      <c r="I3534" t="s">
        <v>25</v>
      </c>
      <c r="J3534" t="s">
        <v>2900</v>
      </c>
      <c r="K3534">
        <v>3</v>
      </c>
      <c r="L3534">
        <v>4</v>
      </c>
      <c r="M3534">
        <v>2025</v>
      </c>
      <c r="N3534" t="s">
        <v>27</v>
      </c>
      <c r="O3534">
        <v>200</v>
      </c>
      <c r="Q3534">
        <v>200</v>
      </c>
      <c r="R3534" s="3" t="str">
        <f>HYPERLINK("https://panda.att.com.mx/ODKServer/view/binaryData?blobKey=FSSuministroFluidosv3%5B%40version%3Dnull+and+%40uiVersion%3Dnull%5D%2Fdata%5B%40key%3Duuid%3A4c67fced-1c86-412a-afa2-c61b251d352a%5D%2FgroupInfoFuel%5B%40ordinal%3D1%5D%2FpicFuelRecibeInterno","Descargar")</f>
        <v>Descargar</v>
      </c>
    </row>
    <row r="3535" spans="1:18" x14ac:dyDescent="0.3">
      <c r="A3535">
        <v>1511463</v>
      </c>
      <c r="B3535" t="s">
        <v>18</v>
      </c>
      <c r="C3535" t="s">
        <v>34</v>
      </c>
      <c r="D3535" t="s">
        <v>53</v>
      </c>
      <c r="E3535" t="s">
        <v>144</v>
      </c>
      <c r="F3535" t="s">
        <v>22</v>
      </c>
      <c r="G3535" t="s">
        <v>23</v>
      </c>
      <c r="H3535" t="s">
        <v>37</v>
      </c>
      <c r="I3535" t="s">
        <v>25</v>
      </c>
      <c r="J3535" t="s">
        <v>2901</v>
      </c>
      <c r="K3535">
        <v>3</v>
      </c>
      <c r="L3535">
        <v>4</v>
      </c>
      <c r="M3535">
        <v>2025</v>
      </c>
      <c r="N3535" t="s">
        <v>27</v>
      </c>
      <c r="O3535">
        <v>350</v>
      </c>
      <c r="P3535">
        <v>350</v>
      </c>
      <c r="R3535" s="3" t="str">
        <f>HYPERLINK("https://panda.att.com.mx/ODKServer/view/binaryData?blobKey=FSSuministroFluidosv3%5B%40version%3Dnull+and+%40uiVersion%3Dnull%5D%2Fdata%5B%40key%3Duuid%3A74b2ea90-bc5a-4f8f-8c0b-7dd61e3fb0da%5D%2FgroupInfoFuel%5B%40ordinal%3D1%5D%2FpicFuelRecibeInterno","Descargar")</f>
        <v>Descargar</v>
      </c>
    </row>
    <row r="3536" spans="1:18" x14ac:dyDescent="0.3">
      <c r="A3536">
        <v>1511462</v>
      </c>
      <c r="B3536" t="s">
        <v>18</v>
      </c>
      <c r="C3536" t="s">
        <v>34</v>
      </c>
      <c r="D3536" t="s">
        <v>121</v>
      </c>
      <c r="E3536" t="s">
        <v>2902</v>
      </c>
      <c r="F3536" t="s">
        <v>22</v>
      </c>
      <c r="G3536" t="s">
        <v>23</v>
      </c>
      <c r="H3536" t="s">
        <v>37</v>
      </c>
      <c r="I3536" t="s">
        <v>25</v>
      </c>
      <c r="J3536" t="s">
        <v>2903</v>
      </c>
      <c r="K3536">
        <v>3</v>
      </c>
      <c r="L3536">
        <v>4</v>
      </c>
      <c r="M3536">
        <v>2025</v>
      </c>
      <c r="N3536" t="s">
        <v>27</v>
      </c>
      <c r="O3536">
        <v>149</v>
      </c>
      <c r="P3536">
        <v>149</v>
      </c>
      <c r="R3536" s="3" t="str">
        <f>HYPERLINK("https://panda.att.com.mx/ODKServer/view/binaryData?blobKey=FSSuministroFluidosv3%5B%40version%3Dnull+and+%40uiVersion%3Dnull%5D%2Fdata%5B%40key%3Duuid%3Aac8c2f7c-f47a-4437-9de9-6a78f6bbabd5%5D%2FgroupInfoFuel%5B%40ordinal%3D1%5D%2FpicFuelRecibeInterno","Descargar")</f>
        <v>Descargar</v>
      </c>
    </row>
    <row r="3537" spans="1:18" x14ac:dyDescent="0.3">
      <c r="A3537">
        <v>1511379</v>
      </c>
      <c r="B3537" t="s">
        <v>18</v>
      </c>
      <c r="C3537" t="s">
        <v>59</v>
      </c>
      <c r="D3537" t="s">
        <v>574</v>
      </c>
      <c r="E3537" t="s">
        <v>2904</v>
      </c>
      <c r="F3537" t="s">
        <v>22</v>
      </c>
      <c r="G3537" t="s">
        <v>23</v>
      </c>
      <c r="H3537" t="s">
        <v>37</v>
      </c>
      <c r="I3537" t="s">
        <v>25</v>
      </c>
      <c r="J3537" t="s">
        <v>2905</v>
      </c>
      <c r="K3537">
        <v>1</v>
      </c>
      <c r="L3537">
        <v>4</v>
      </c>
      <c r="M3537">
        <v>2025</v>
      </c>
      <c r="N3537" t="s">
        <v>27</v>
      </c>
      <c r="O3537">
        <v>117</v>
      </c>
      <c r="P3537">
        <v>117</v>
      </c>
      <c r="R3537" s="3" t="str">
        <f>HYPERLINK("https://panda.att.com.mx/ODKServer/view/binaryData?blobKey=FSSuministroFluidosv3%5B%40version%3Dnull+and+%40uiVersion%3Dnull%5D%2Fdata%5B%40key%3Duuid%3A06114ecf-f7e5-4860-9759-abb82023a0fb%5D%2FgroupInfoFuel%5B%40ordinal%3D1%5D%2FpicFuelRecibeInterno","Descargar")</f>
        <v>Descargar</v>
      </c>
    </row>
    <row r="3538" spans="1:18" x14ac:dyDescent="0.3">
      <c r="A3538">
        <v>1511370</v>
      </c>
      <c r="B3538" t="s">
        <v>18</v>
      </c>
      <c r="C3538" t="s">
        <v>59</v>
      </c>
      <c r="D3538" t="s">
        <v>574</v>
      </c>
      <c r="E3538" t="s">
        <v>2904</v>
      </c>
      <c r="F3538" t="s">
        <v>22</v>
      </c>
      <c r="G3538" t="s">
        <v>23</v>
      </c>
      <c r="H3538" t="s">
        <v>37</v>
      </c>
      <c r="I3538" t="s">
        <v>25</v>
      </c>
      <c r="J3538" s="2">
        <v>45745.707430555558</v>
      </c>
      <c r="K3538">
        <v>29</v>
      </c>
      <c r="L3538">
        <v>3</v>
      </c>
      <c r="M3538">
        <v>2025</v>
      </c>
      <c r="N3538" t="s">
        <v>27</v>
      </c>
      <c r="O3538">
        <v>120</v>
      </c>
      <c r="P3538">
        <v>120</v>
      </c>
      <c r="R3538" s="3" t="str">
        <f>HYPERLINK("https://panda.att.com.mx/ODKServer/view/binaryData?blobKey=FSSuministroFluidosv3%5B%40version%3Dnull+and+%40uiVersion%3Dnull%5D%2Fdata%5B%40key%3Duuid%3Af071de49-7be6-417e-9c17-b9e7db6af7b9%5D%2FgroupInfoFuel%5B%40ordinal%3D1%5D%2FpicFuelRecibeInterno","Descargar")</f>
        <v>Descargar</v>
      </c>
    </row>
    <row r="3539" spans="1:18" x14ac:dyDescent="0.3">
      <c r="A3539">
        <v>1511309</v>
      </c>
      <c r="B3539" t="s">
        <v>18</v>
      </c>
      <c r="C3539" t="s">
        <v>19</v>
      </c>
      <c r="D3539" t="s">
        <v>45</v>
      </c>
      <c r="E3539" t="s">
        <v>752</v>
      </c>
      <c r="F3539" t="s">
        <v>22</v>
      </c>
      <c r="G3539" t="s">
        <v>23</v>
      </c>
      <c r="H3539" t="s">
        <v>24</v>
      </c>
      <c r="I3539" t="s">
        <v>25</v>
      </c>
      <c r="J3539" s="2">
        <v>45745.275902777779</v>
      </c>
      <c r="K3539">
        <v>29</v>
      </c>
      <c r="L3539">
        <v>3</v>
      </c>
      <c r="M3539">
        <v>2025</v>
      </c>
      <c r="N3539" t="s">
        <v>27</v>
      </c>
      <c r="O3539">
        <v>76.52</v>
      </c>
      <c r="P3539">
        <v>76.52</v>
      </c>
      <c r="R3539" s="3" t="str">
        <f>HYPERLINK("https://panda.att.com.mx/ODKServer/view/binaryData?blobKey=FSSuministroFluidosv3%5B%40version%3Dnull+and+%40uiVersion%3Dnull%5D%2Fdata%5B%40key%3Duuid%3Ad8ad7dcd-1a37-439e-8d6e-da98f210bdd5%5D%2FgroupInfoFuel%5B%40ordinal%3D1%5D%2FpicFuelRecibeInterno","Descargar")</f>
        <v>Descargar</v>
      </c>
    </row>
    <row r="3540" spans="1:18" x14ac:dyDescent="0.3">
      <c r="A3540">
        <v>1511308</v>
      </c>
      <c r="B3540" t="s">
        <v>18</v>
      </c>
      <c r="C3540" t="s">
        <v>68</v>
      </c>
      <c r="D3540" t="s">
        <v>69</v>
      </c>
      <c r="E3540" t="s">
        <v>2906</v>
      </c>
      <c r="G3540" t="s">
        <v>23</v>
      </c>
      <c r="H3540" t="s">
        <v>37</v>
      </c>
      <c r="I3540" t="s">
        <v>25</v>
      </c>
      <c r="J3540" t="s">
        <v>2907</v>
      </c>
      <c r="K3540">
        <v>3</v>
      </c>
      <c r="L3540">
        <v>4</v>
      </c>
      <c r="M3540">
        <v>2025</v>
      </c>
      <c r="N3540" t="s">
        <v>27</v>
      </c>
      <c r="O3540">
        <v>300</v>
      </c>
      <c r="Q3540">
        <v>300</v>
      </c>
      <c r="R3540" s="3" t="str">
        <f>HYPERLINK("https://panda.att.com.mx/ODKServer/view/binaryData?blobKey=FSSuministroFluidosv3%5B%40version%3Dnull+and+%40uiVersion%3Dnull%5D%2Fdata%5B%40key%3Duuid%3A6cdf39ce-8ce0-4e8f-be15-b6bba911a862%5D%2FgroupInfoFuel%5B%40ordinal%3D1%5D%2FpicFuelRecibeInterno","Descargar")</f>
        <v>Descargar</v>
      </c>
    </row>
    <row r="3541" spans="1:18" x14ac:dyDescent="0.3">
      <c r="A3541">
        <v>1511037</v>
      </c>
      <c r="B3541" t="s">
        <v>18</v>
      </c>
      <c r="C3541" t="s">
        <v>55</v>
      </c>
      <c r="D3541" t="s">
        <v>128</v>
      </c>
      <c r="E3541" t="s">
        <v>2758</v>
      </c>
      <c r="F3541" t="s">
        <v>22</v>
      </c>
      <c r="G3541" t="s">
        <v>47</v>
      </c>
      <c r="H3541" t="s">
        <v>1763</v>
      </c>
      <c r="I3541" t="s">
        <v>25</v>
      </c>
      <c r="J3541" t="s">
        <v>2908</v>
      </c>
      <c r="K3541">
        <v>3</v>
      </c>
      <c r="L3541">
        <v>4</v>
      </c>
      <c r="M3541">
        <v>2025</v>
      </c>
      <c r="N3541" t="s">
        <v>44</v>
      </c>
      <c r="O3541">
        <v>40</v>
      </c>
      <c r="P3541">
        <v>40</v>
      </c>
      <c r="R3541" s="3" t="str">
        <f>HYPERLINK("https://panda.att.com.mx/ODKServer/view/binaryData?blobKey=FSSuministroFluidosv3%5B%40version%3Dnull+and+%40uiVersion%3Dnull%5D%2Fdata%5B%40key%3Duuid%3Ad8fabbc7-ae6f-47c7-be23-78a9418c41ab%5D%2FgroupInfoFuel%5B%40ordinal%3D1%5D%2FpicFuelRecibeInterno","Descargar")</f>
        <v>Descargar</v>
      </c>
    </row>
    <row r="3542" spans="1:18" x14ac:dyDescent="0.3">
      <c r="A3542">
        <v>1511017</v>
      </c>
      <c r="B3542" t="s">
        <v>18</v>
      </c>
      <c r="C3542" t="s">
        <v>19</v>
      </c>
      <c r="D3542" t="s">
        <v>42</v>
      </c>
      <c r="E3542" t="s">
        <v>2281</v>
      </c>
      <c r="F3542" t="s">
        <v>22</v>
      </c>
      <c r="G3542" t="s">
        <v>23</v>
      </c>
      <c r="H3542" t="s">
        <v>24</v>
      </c>
      <c r="I3542" t="s">
        <v>25</v>
      </c>
      <c r="J3542" t="s">
        <v>2909</v>
      </c>
      <c r="K3542">
        <v>3</v>
      </c>
      <c r="L3542">
        <v>4</v>
      </c>
      <c r="M3542">
        <v>2025</v>
      </c>
      <c r="N3542" t="s">
        <v>44</v>
      </c>
      <c r="O3542">
        <v>50</v>
      </c>
      <c r="P3542">
        <v>50</v>
      </c>
      <c r="R3542" s="3" t="str">
        <f>HYPERLINK("https://panda.att.com.mx/ODKServer/view/binaryData?blobKey=FSSuministroFluidosv3%5B%40version%3Dnull+and+%40uiVersion%3Dnull%5D%2Fdata%5B%40key%3Duuid%3Ab3761663-abdd-49dc-b07a-1a515fba8d7a%5D%2FgroupInfoFuel%5B%40ordinal%3D1%5D%2FpicFuelRecibeInterno","Descargar")</f>
        <v>Descargar</v>
      </c>
    </row>
    <row r="3543" spans="1:18" x14ac:dyDescent="0.3">
      <c r="A3543">
        <v>1510936</v>
      </c>
      <c r="B3543" t="s">
        <v>18</v>
      </c>
      <c r="C3543" t="s">
        <v>19</v>
      </c>
      <c r="D3543" t="s">
        <v>45</v>
      </c>
      <c r="E3543" t="s">
        <v>905</v>
      </c>
      <c r="F3543" t="s">
        <v>22</v>
      </c>
      <c r="G3543" t="s">
        <v>23</v>
      </c>
      <c r="H3543" t="s">
        <v>24</v>
      </c>
      <c r="I3543" t="s">
        <v>25</v>
      </c>
      <c r="J3543" s="2">
        <v>45745.499479166669</v>
      </c>
      <c r="K3543">
        <v>29</v>
      </c>
      <c r="L3543">
        <v>3</v>
      </c>
      <c r="M3543">
        <v>2025</v>
      </c>
      <c r="N3543" t="s">
        <v>27</v>
      </c>
      <c r="O3543">
        <v>200</v>
      </c>
      <c r="P3543">
        <v>200</v>
      </c>
      <c r="R3543" s="3" t="str">
        <f>HYPERLINK("https://panda.att.com.mx/ODKServer/view/binaryData?blobKey=FSSuministroFluidosv3%5B%40version%3Dnull+and+%40uiVersion%3Dnull%5D%2Fdata%5B%40key%3Duuid%3Aece321ce-892b-4022-a90e-563904e6584e%5D%2FgroupInfoFuel%5B%40ordinal%3D1%5D%2FpicFuelRecibeInterno","Descargar")</f>
        <v>Descargar</v>
      </c>
    </row>
    <row r="3544" spans="1:18" x14ac:dyDescent="0.3">
      <c r="A3544">
        <v>1510872</v>
      </c>
      <c r="B3544" t="s">
        <v>18</v>
      </c>
      <c r="C3544" t="s">
        <v>59</v>
      </c>
      <c r="D3544" t="s">
        <v>60</v>
      </c>
      <c r="E3544" t="s">
        <v>2738</v>
      </c>
      <c r="F3544" t="s">
        <v>22</v>
      </c>
      <c r="G3544" t="s">
        <v>23</v>
      </c>
      <c r="H3544" t="s">
        <v>37</v>
      </c>
      <c r="I3544" t="s">
        <v>25</v>
      </c>
      <c r="J3544" t="s">
        <v>2910</v>
      </c>
      <c r="K3544">
        <v>2</v>
      </c>
      <c r="L3544">
        <v>4</v>
      </c>
      <c r="M3544">
        <v>2025</v>
      </c>
      <c r="N3544" t="s">
        <v>27</v>
      </c>
      <c r="O3544">
        <v>126</v>
      </c>
      <c r="P3544">
        <v>126</v>
      </c>
      <c r="R3544" s="3" t="str">
        <f>HYPERLINK("https://panda.att.com.mx/ODKServer/view/binaryData?blobKey=FSSuministroFluidosv3%5B%40version%3Dnull+and+%40uiVersion%3Dnull%5D%2Fdata%5B%40key%3Duuid%3A90fab1f1-7c47-424f-9564-f2b444b84745%5D%2FgroupInfoFuel%5B%40ordinal%3D1%5D%2FpicFuelRecibeInterno","Descargar")</f>
        <v>Descargar</v>
      </c>
    </row>
    <row r="3545" spans="1:18" x14ac:dyDescent="0.3">
      <c r="A3545">
        <v>1510860</v>
      </c>
      <c r="B3545" t="s">
        <v>18</v>
      </c>
      <c r="C3545" t="s">
        <v>34</v>
      </c>
      <c r="D3545" t="s">
        <v>53</v>
      </c>
      <c r="E3545" t="s">
        <v>2911</v>
      </c>
      <c r="F3545" t="s">
        <v>22</v>
      </c>
      <c r="G3545" t="s">
        <v>23</v>
      </c>
      <c r="H3545" t="s">
        <v>37</v>
      </c>
      <c r="I3545" t="s">
        <v>25</v>
      </c>
      <c r="J3545" s="2">
        <v>45737.585173611107</v>
      </c>
      <c r="K3545">
        <v>21</v>
      </c>
      <c r="L3545">
        <v>3</v>
      </c>
      <c r="M3545">
        <v>2025</v>
      </c>
      <c r="N3545" t="s">
        <v>27</v>
      </c>
      <c r="O3545">
        <v>250</v>
      </c>
      <c r="Q3545">
        <v>250</v>
      </c>
      <c r="R3545" s="3" t="str">
        <f>HYPERLINK("https://panda.att.com.mx/ODKServer/view/binaryData?blobKey=FSSuministroFluidosv3%5B%40version%3Dnull+and+%40uiVersion%3Dnull%5D%2Fdata%5B%40key%3Duuid%3A09fa41dd-1ab2-415f-a0f7-d45ab8cf8738%5D%2FgroupInfoFuel%5B%40ordinal%3D1%5D%2FpicFuelRecibeInterno","Descargar")</f>
        <v>Descargar</v>
      </c>
    </row>
    <row r="3546" spans="1:18" x14ac:dyDescent="0.3">
      <c r="A3546">
        <v>1510858</v>
      </c>
      <c r="B3546" t="s">
        <v>18</v>
      </c>
      <c r="C3546" t="s">
        <v>59</v>
      </c>
      <c r="D3546" t="s">
        <v>60</v>
      </c>
      <c r="E3546" t="s">
        <v>1380</v>
      </c>
      <c r="F3546" t="s">
        <v>22</v>
      </c>
      <c r="G3546" t="s">
        <v>23</v>
      </c>
      <c r="H3546" t="s">
        <v>37</v>
      </c>
      <c r="I3546" t="s">
        <v>25</v>
      </c>
      <c r="J3546" t="s">
        <v>2912</v>
      </c>
      <c r="K3546">
        <v>2</v>
      </c>
      <c r="L3546">
        <v>4</v>
      </c>
      <c r="M3546">
        <v>2025</v>
      </c>
      <c r="N3546" t="s">
        <v>27</v>
      </c>
      <c r="O3546">
        <v>70</v>
      </c>
      <c r="P3546">
        <v>70</v>
      </c>
      <c r="R3546" s="3" t="str">
        <f>HYPERLINK("https://panda.att.com.mx/ODKServer/view/binaryData?blobKey=FSSuministroFluidosv3%5B%40version%3Dnull+and+%40uiVersion%3Dnull%5D%2Fdata%5B%40key%3Duuid%3A2beb8a7e-e9fe-45be-b42a-7fd5ee119fc5%5D%2FgroupInfoFuel%5B%40ordinal%3D1%5D%2FpicFuelRecibeInterno","Descargar")</f>
        <v>Descargar</v>
      </c>
    </row>
    <row r="3547" spans="1:18" x14ac:dyDescent="0.3">
      <c r="A3547">
        <v>1510816</v>
      </c>
      <c r="B3547" t="s">
        <v>18</v>
      </c>
      <c r="C3547" t="s">
        <v>59</v>
      </c>
      <c r="D3547" t="s">
        <v>1307</v>
      </c>
      <c r="E3547" t="s">
        <v>2913</v>
      </c>
      <c r="F3547" t="s">
        <v>22</v>
      </c>
      <c r="G3547" t="s">
        <v>23</v>
      </c>
      <c r="H3547" t="s">
        <v>37</v>
      </c>
      <c r="I3547" t="s">
        <v>25</v>
      </c>
      <c r="J3547" t="s">
        <v>2914</v>
      </c>
      <c r="K3547">
        <v>2</v>
      </c>
      <c r="L3547">
        <v>4</v>
      </c>
      <c r="M3547">
        <v>2025</v>
      </c>
      <c r="N3547" t="s">
        <v>27</v>
      </c>
      <c r="O3547">
        <v>83.34</v>
      </c>
      <c r="P3547">
        <v>83.34</v>
      </c>
      <c r="R3547" s="3" t="str">
        <f>HYPERLINK("https://panda.att.com.mx/ODKServer/view/binaryData?blobKey=FSSuministroFluidosv3%5B%40version%3Dnull+and+%40uiVersion%3Dnull%5D%2Fdata%5B%40key%3Duuid%3A25677a7c-7d69-463a-976a-24ecdf09134c%5D%2FgroupInfoFuel%5B%40ordinal%3D1%5D%2FpicFuelRecibeInterno","Descargar")</f>
        <v>Descargar</v>
      </c>
    </row>
    <row r="3548" spans="1:18" x14ac:dyDescent="0.3">
      <c r="A3548">
        <v>1510815</v>
      </c>
      <c r="B3548" t="s">
        <v>18</v>
      </c>
      <c r="C3548" t="s">
        <v>59</v>
      </c>
      <c r="D3548" t="s">
        <v>60</v>
      </c>
      <c r="E3548" t="s">
        <v>2738</v>
      </c>
      <c r="F3548" t="s">
        <v>22</v>
      </c>
      <c r="G3548" t="s">
        <v>23</v>
      </c>
      <c r="H3548" t="s">
        <v>37</v>
      </c>
      <c r="I3548" t="s">
        <v>25</v>
      </c>
      <c r="J3548" t="s">
        <v>2915</v>
      </c>
      <c r="K3548">
        <v>2</v>
      </c>
      <c r="L3548">
        <v>4</v>
      </c>
      <c r="M3548">
        <v>2025</v>
      </c>
      <c r="N3548" t="s">
        <v>27</v>
      </c>
      <c r="O3548">
        <v>130</v>
      </c>
      <c r="P3548">
        <v>130</v>
      </c>
      <c r="R3548" s="3" t="str">
        <f>HYPERLINK("https://panda.att.com.mx/ODKServer/view/binaryData?blobKey=FSSuministroFluidosv3%5B%40version%3Dnull+and+%40uiVersion%3Dnull%5D%2Fdata%5B%40key%3Duuid%3A07c7a0a2-5f30-46ed-b64d-def6b8ad0e6b%5D%2FgroupInfoFuel%5B%40ordinal%3D1%5D%2FpicFuelRecibeInterno","Descargar")</f>
        <v>Descargar</v>
      </c>
    </row>
    <row r="3549" spans="1:18" x14ac:dyDescent="0.3">
      <c r="A3549">
        <v>1510813</v>
      </c>
      <c r="B3549" t="s">
        <v>18</v>
      </c>
      <c r="C3549" t="s">
        <v>59</v>
      </c>
      <c r="D3549" t="s">
        <v>60</v>
      </c>
      <c r="E3549" t="s">
        <v>2738</v>
      </c>
      <c r="F3549" t="s">
        <v>22</v>
      </c>
      <c r="G3549" t="s">
        <v>23</v>
      </c>
      <c r="H3549" t="s">
        <v>37</v>
      </c>
      <c r="I3549" t="s">
        <v>25</v>
      </c>
      <c r="J3549" s="2">
        <v>45746.341840277782</v>
      </c>
      <c r="K3549">
        <v>30</v>
      </c>
      <c r="L3549">
        <v>3</v>
      </c>
      <c r="M3549">
        <v>2025</v>
      </c>
      <c r="N3549" t="s">
        <v>27</v>
      </c>
      <c r="O3549">
        <v>130</v>
      </c>
      <c r="P3549">
        <v>130</v>
      </c>
      <c r="R3549" s="3" t="str">
        <f>HYPERLINK("https://panda.att.com.mx/ODKServer/view/binaryData?blobKey=FSSuministroFluidosv3%5B%40version%3Dnull+and+%40uiVersion%3Dnull%5D%2Fdata%5B%40key%3Duuid%3Af8c44f44-0319-4583-b295-304fc281479a%5D%2FgroupInfoFuel%5B%40ordinal%3D1%5D%2FpicFuelRecibeInterno","Descargar")</f>
        <v>Descargar</v>
      </c>
    </row>
    <row r="3550" spans="1:18" x14ac:dyDescent="0.3">
      <c r="A3550">
        <v>1510808</v>
      </c>
      <c r="B3550" t="s">
        <v>18</v>
      </c>
      <c r="C3550" t="s">
        <v>59</v>
      </c>
      <c r="D3550" t="s">
        <v>60</v>
      </c>
      <c r="E3550" t="s">
        <v>2738</v>
      </c>
      <c r="F3550" t="s">
        <v>22</v>
      </c>
      <c r="G3550" t="s">
        <v>23</v>
      </c>
      <c r="H3550" t="s">
        <v>37</v>
      </c>
      <c r="I3550" t="s">
        <v>25</v>
      </c>
      <c r="J3550" s="2">
        <v>45744.844953703701</v>
      </c>
      <c r="K3550">
        <v>28</v>
      </c>
      <c r="L3550">
        <v>3</v>
      </c>
      <c r="M3550">
        <v>2025</v>
      </c>
      <c r="N3550" t="s">
        <v>27</v>
      </c>
      <c r="O3550">
        <v>130</v>
      </c>
      <c r="P3550">
        <v>130</v>
      </c>
      <c r="R3550" s="3" t="str">
        <f>HYPERLINK("https://panda.att.com.mx/ODKServer/view/binaryData?blobKey=FSSuministroFluidosv3%5B%40version%3Dnull+and+%40uiVersion%3Dnull%5D%2Fdata%5B%40key%3Duuid%3A732a2806-cdaa-46ea-a79e-14c0937e60f3%5D%2FgroupInfoFuel%5B%40ordinal%3D1%5D%2FpicFuelRecibeInterno","Descargar")</f>
        <v>Descargar</v>
      </c>
    </row>
    <row r="3551" spans="1:18" x14ac:dyDescent="0.3">
      <c r="A3551">
        <v>1510804</v>
      </c>
      <c r="B3551" t="s">
        <v>18</v>
      </c>
      <c r="C3551" t="s">
        <v>59</v>
      </c>
      <c r="D3551" t="s">
        <v>60</v>
      </c>
      <c r="E3551" t="s">
        <v>2738</v>
      </c>
      <c r="F3551" t="s">
        <v>22</v>
      </c>
      <c r="G3551" t="s">
        <v>23</v>
      </c>
      <c r="H3551" t="s">
        <v>37</v>
      </c>
      <c r="I3551" t="s">
        <v>25</v>
      </c>
      <c r="J3551" s="2">
        <v>45743.347488425927</v>
      </c>
      <c r="K3551">
        <v>27</v>
      </c>
      <c r="L3551">
        <v>3</v>
      </c>
      <c r="M3551">
        <v>2025</v>
      </c>
      <c r="N3551" t="s">
        <v>27</v>
      </c>
      <c r="O3551">
        <v>130</v>
      </c>
      <c r="P3551">
        <v>130</v>
      </c>
      <c r="R3551" s="3" t="str">
        <f>HYPERLINK("https://panda.att.com.mx/ODKServer/view/binaryData?blobKey=FSSuministroFluidosv3%5B%40version%3Dnull+and+%40uiVersion%3Dnull%5D%2Fdata%5B%40key%3Duuid%3Ae96a136b-f36d-4ee2-86cd-b385e20083ef%5D%2FgroupInfoFuel%5B%40ordinal%3D1%5D%2FpicFuelRecibeInterno","Descargar")</f>
        <v>Descargar</v>
      </c>
    </row>
    <row r="3552" spans="1:18" x14ac:dyDescent="0.3">
      <c r="A3552">
        <v>1510801</v>
      </c>
      <c r="B3552" t="s">
        <v>18</v>
      </c>
      <c r="C3552" t="s">
        <v>59</v>
      </c>
      <c r="D3552" t="s">
        <v>60</v>
      </c>
      <c r="E3552" t="s">
        <v>2738</v>
      </c>
      <c r="F3552" t="s">
        <v>22</v>
      </c>
      <c r="G3552" t="s">
        <v>23</v>
      </c>
      <c r="H3552" t="s">
        <v>37</v>
      </c>
      <c r="I3552" t="s">
        <v>25</v>
      </c>
      <c r="J3552" s="2">
        <v>45741.780127314807</v>
      </c>
      <c r="K3552">
        <v>25</v>
      </c>
      <c r="L3552">
        <v>3</v>
      </c>
      <c r="M3552">
        <v>2025</v>
      </c>
      <c r="N3552" t="s">
        <v>27</v>
      </c>
      <c r="O3552">
        <v>100</v>
      </c>
      <c r="P3552">
        <v>100</v>
      </c>
      <c r="R3552" s="3" t="str">
        <f>HYPERLINK("https://panda.att.com.mx/ODKServer/view/binaryData?blobKey=FSSuministroFluidosv3%5B%40version%3Dnull+and+%40uiVersion%3Dnull%5D%2Fdata%5B%40key%3Duuid%3A58d854b1-40f7-41ed-9ef3-65a593c3f116%5D%2FgroupInfoFuel%5B%40ordinal%3D1%5D%2FpicFuelRecibeInterno","Descargar")</f>
        <v>Descargar</v>
      </c>
    </row>
    <row r="3553" spans="1:18" x14ac:dyDescent="0.3">
      <c r="A3553">
        <v>1510788</v>
      </c>
      <c r="B3553" t="s">
        <v>18</v>
      </c>
      <c r="C3553" t="s">
        <v>59</v>
      </c>
      <c r="D3553" t="s">
        <v>60</v>
      </c>
      <c r="E3553" t="s">
        <v>2916</v>
      </c>
      <c r="F3553" t="s">
        <v>22</v>
      </c>
      <c r="G3553" t="s">
        <v>23</v>
      </c>
      <c r="H3553" t="s">
        <v>37</v>
      </c>
      <c r="I3553" t="s">
        <v>25</v>
      </c>
      <c r="J3553" s="2">
        <v>45738.921342592592</v>
      </c>
      <c r="K3553">
        <v>22</v>
      </c>
      <c r="L3553">
        <v>3</v>
      </c>
      <c r="M3553">
        <v>2025</v>
      </c>
      <c r="N3553" t="s">
        <v>27</v>
      </c>
      <c r="O3553">
        <v>200</v>
      </c>
      <c r="P3553">
        <v>200</v>
      </c>
      <c r="R3553" s="3" t="str">
        <f>HYPERLINK("https://panda.att.com.mx/ODKServer/view/binaryData?blobKey=FSSuministroFluidosv3%5B%40version%3Dnull+and+%40uiVersion%3Dnull%5D%2Fdata%5B%40key%3Duuid%3A909c8035-2200-4ff0-b877-8e09fdf3ad92%5D%2FgroupInfoFuel%5B%40ordinal%3D1%5D%2FpicFuelRecibeInterno","Descargar")</f>
        <v>Descargar</v>
      </c>
    </row>
    <row r="3554" spans="1:18" x14ac:dyDescent="0.3">
      <c r="A3554">
        <v>1510780</v>
      </c>
      <c r="B3554" t="s">
        <v>18</v>
      </c>
      <c r="C3554" t="s">
        <v>59</v>
      </c>
      <c r="D3554" t="s">
        <v>60</v>
      </c>
      <c r="E3554" t="s">
        <v>2738</v>
      </c>
      <c r="F3554" t="s">
        <v>22</v>
      </c>
      <c r="G3554" t="s">
        <v>23</v>
      </c>
      <c r="H3554" t="s">
        <v>37</v>
      </c>
      <c r="I3554" t="s">
        <v>25</v>
      </c>
      <c r="J3554" s="2">
        <v>45740.784803240742</v>
      </c>
      <c r="K3554">
        <v>24</v>
      </c>
      <c r="L3554">
        <v>3</v>
      </c>
      <c r="M3554">
        <v>2025</v>
      </c>
      <c r="N3554" t="s">
        <v>27</v>
      </c>
      <c r="O3554">
        <v>130</v>
      </c>
      <c r="P3554">
        <v>130</v>
      </c>
      <c r="R3554" s="3" t="str">
        <f>HYPERLINK("https://panda.att.com.mx/ODKServer/view/binaryData?blobKey=FSSuministroFluidosv3%5B%40version%3Dnull+and+%40uiVersion%3Dnull%5D%2Fdata%5B%40key%3Duuid%3Aec31aa9a-bebf-4581-95e1-9d8a3f180b04%5D%2FgroupInfoFuel%5B%40ordinal%3D1%5D%2FpicFuelRecibeInterno","Descargar")</f>
        <v>Descargar</v>
      </c>
    </row>
    <row r="3555" spans="1:18" x14ac:dyDescent="0.3">
      <c r="A3555">
        <v>1510778</v>
      </c>
      <c r="B3555" t="s">
        <v>18</v>
      </c>
      <c r="C3555" t="s">
        <v>59</v>
      </c>
      <c r="D3555" t="s">
        <v>60</v>
      </c>
      <c r="E3555" t="s">
        <v>2738</v>
      </c>
      <c r="F3555" t="s">
        <v>22</v>
      </c>
      <c r="G3555" t="s">
        <v>23</v>
      </c>
      <c r="H3555" t="s">
        <v>37</v>
      </c>
      <c r="I3555" t="s">
        <v>25</v>
      </c>
      <c r="J3555" s="2">
        <v>45738.810810185183</v>
      </c>
      <c r="K3555">
        <v>22</v>
      </c>
      <c r="L3555">
        <v>3</v>
      </c>
      <c r="M3555">
        <v>2025</v>
      </c>
      <c r="N3555" t="s">
        <v>27</v>
      </c>
      <c r="O3555">
        <v>130</v>
      </c>
      <c r="P3555">
        <v>130</v>
      </c>
      <c r="R3555" s="3" t="str">
        <f>HYPERLINK("https://panda.att.com.mx/ODKServer/view/binaryData?blobKey=FSSuministroFluidosv3%5B%40version%3Dnull+and+%40uiVersion%3Dnull%5D%2Fdata%5B%40key%3Duuid%3Afeb0316a-f8dd-46ab-bb51-aa3fc0febc13%5D%2FgroupInfoFuel%5B%40ordinal%3D1%5D%2FpicFuelRecibeInterno","Descargar")</f>
        <v>Descargar</v>
      </c>
    </row>
    <row r="3556" spans="1:18" x14ac:dyDescent="0.3">
      <c r="A3556">
        <v>1510777</v>
      </c>
      <c r="B3556" t="s">
        <v>18</v>
      </c>
      <c r="C3556" t="s">
        <v>59</v>
      </c>
      <c r="D3556" t="s">
        <v>60</v>
      </c>
      <c r="E3556" t="s">
        <v>2738</v>
      </c>
      <c r="F3556" t="s">
        <v>22</v>
      </c>
      <c r="G3556" t="s">
        <v>23</v>
      </c>
      <c r="H3556" t="s">
        <v>37</v>
      </c>
      <c r="I3556" t="s">
        <v>25</v>
      </c>
      <c r="J3556" s="2">
        <v>45737.353541666656</v>
      </c>
      <c r="K3556">
        <v>21</v>
      </c>
      <c r="L3556">
        <v>3</v>
      </c>
      <c r="M3556">
        <v>2025</v>
      </c>
      <c r="N3556" t="s">
        <v>27</v>
      </c>
      <c r="O3556">
        <v>130</v>
      </c>
      <c r="P3556">
        <v>130</v>
      </c>
      <c r="R3556" s="3" t="str">
        <f>HYPERLINK("https://panda.att.com.mx/ODKServer/view/binaryData?blobKey=FSSuministroFluidosv3%5B%40version%3Dnull+and+%40uiVersion%3Dnull%5D%2Fdata%5B%40key%3Duuid%3Aafd9612a-a669-4b13-8a9e-0175598710d3%5D%2FgroupInfoFuel%5B%40ordinal%3D1%5D%2FpicFuelRecibeInterno","Descargar")</f>
        <v>Descargar</v>
      </c>
    </row>
    <row r="3557" spans="1:18" x14ac:dyDescent="0.3">
      <c r="A3557">
        <v>1510770</v>
      </c>
      <c r="B3557" t="s">
        <v>18</v>
      </c>
      <c r="C3557" t="s">
        <v>34</v>
      </c>
      <c r="D3557" t="s">
        <v>123</v>
      </c>
      <c r="E3557" t="s">
        <v>124</v>
      </c>
      <c r="F3557" t="s">
        <v>22</v>
      </c>
      <c r="G3557" t="s">
        <v>23</v>
      </c>
      <c r="H3557" t="s">
        <v>37</v>
      </c>
      <c r="I3557" t="s">
        <v>25</v>
      </c>
      <c r="J3557" t="s">
        <v>2917</v>
      </c>
      <c r="K3557">
        <v>2</v>
      </c>
      <c r="L3557">
        <v>4</v>
      </c>
      <c r="M3557">
        <v>2025</v>
      </c>
      <c r="N3557" t="s">
        <v>27</v>
      </c>
      <c r="O3557">
        <v>200</v>
      </c>
      <c r="Q3557">
        <v>200</v>
      </c>
      <c r="R3557" s="3" t="str">
        <f>HYPERLINK("https://panda.att.com.mx/ODKServer/view/binaryData?blobKey=FSSuministroFluidosv3%5B%40version%3Dnull+and+%40uiVersion%3Dnull%5D%2Fdata%5B%40key%3Duuid%3A6870494f-196d-4f11-bf71-e40f88387c21%5D%2FgroupInfoFuel%5B%40ordinal%3D1%5D%2FpicFuelRecibeInterno","Descargar")</f>
        <v>Descargar</v>
      </c>
    </row>
    <row r="3558" spans="1:18" x14ac:dyDescent="0.3">
      <c r="A3558">
        <v>1510769</v>
      </c>
      <c r="B3558" t="s">
        <v>18</v>
      </c>
      <c r="C3558" t="s">
        <v>34</v>
      </c>
      <c r="D3558" t="s">
        <v>123</v>
      </c>
      <c r="E3558" t="s">
        <v>2918</v>
      </c>
      <c r="F3558" t="s">
        <v>22</v>
      </c>
      <c r="G3558" t="s">
        <v>23</v>
      </c>
      <c r="H3558" t="s">
        <v>37</v>
      </c>
      <c r="I3558" t="s">
        <v>25</v>
      </c>
      <c r="J3558" t="s">
        <v>2919</v>
      </c>
      <c r="K3558">
        <v>2</v>
      </c>
      <c r="L3558">
        <v>4</v>
      </c>
      <c r="M3558">
        <v>2025</v>
      </c>
      <c r="N3558" t="s">
        <v>27</v>
      </c>
      <c r="O3558">
        <v>150</v>
      </c>
      <c r="P3558">
        <v>150</v>
      </c>
      <c r="R3558" s="3" t="str">
        <f>HYPERLINK("https://panda.att.com.mx/ODKServer/view/binaryData?blobKey=FSSuministroFluidosv3%5B%40version%3Dnull+and+%40uiVersion%3Dnull%5D%2Fdata%5B%40key%3Duuid%3A16ce40dc-95b1-4878-ba6e-0e8884fa429a%5D%2FgroupInfoFuel%5B%40ordinal%3D1%5D%2FpicFuelRecibeInterno","Descargar")</f>
        <v>Descargar</v>
      </c>
    </row>
    <row r="3559" spans="1:18" x14ac:dyDescent="0.3">
      <c r="A3559">
        <v>1510765</v>
      </c>
      <c r="B3559" t="s">
        <v>18</v>
      </c>
      <c r="C3559" t="s">
        <v>34</v>
      </c>
      <c r="D3559" t="s">
        <v>121</v>
      </c>
      <c r="E3559" t="s">
        <v>912</v>
      </c>
      <c r="F3559" t="s">
        <v>22</v>
      </c>
      <c r="G3559" t="s">
        <v>23</v>
      </c>
      <c r="H3559" t="s">
        <v>37</v>
      </c>
      <c r="I3559" t="s">
        <v>25</v>
      </c>
      <c r="J3559" t="s">
        <v>2920</v>
      </c>
      <c r="K3559">
        <v>2</v>
      </c>
      <c r="L3559">
        <v>4</v>
      </c>
      <c r="M3559">
        <v>2025</v>
      </c>
      <c r="N3559" t="s">
        <v>27</v>
      </c>
      <c r="O3559">
        <v>200</v>
      </c>
      <c r="P3559">
        <v>200</v>
      </c>
      <c r="R3559" s="3" t="str">
        <f>HYPERLINK("https://panda.att.com.mx/ODKServer/view/binaryData?blobKey=FSSuministroFluidosv3%5B%40version%3Dnull+and+%40uiVersion%3Dnull%5D%2Fdata%5B%40key%3Duuid%3A7d567bca-8702-4855-9873-1cf00a613cb6%5D%2FgroupInfoFuel%5B%40ordinal%3D1%5D%2FpicFuelRecibeInterno","Descargar")</f>
        <v>Descargar</v>
      </c>
    </row>
    <row r="3560" spans="1:18" x14ac:dyDescent="0.3">
      <c r="A3560">
        <v>1510764</v>
      </c>
      <c r="B3560" t="s">
        <v>18</v>
      </c>
      <c r="C3560" t="s">
        <v>34</v>
      </c>
      <c r="D3560" t="s">
        <v>53</v>
      </c>
      <c r="E3560" t="s">
        <v>298</v>
      </c>
      <c r="F3560" t="s">
        <v>22</v>
      </c>
      <c r="G3560" t="s">
        <v>23</v>
      </c>
      <c r="H3560" t="s">
        <v>37</v>
      </c>
      <c r="I3560" t="s">
        <v>25</v>
      </c>
      <c r="J3560" t="s">
        <v>2921</v>
      </c>
      <c r="K3560">
        <v>2</v>
      </c>
      <c r="L3560">
        <v>4</v>
      </c>
      <c r="M3560">
        <v>2025</v>
      </c>
      <c r="N3560" t="s">
        <v>27</v>
      </c>
      <c r="O3560">
        <v>150</v>
      </c>
      <c r="Q3560">
        <v>150</v>
      </c>
      <c r="R3560" s="3" t="str">
        <f>HYPERLINK("https://panda.att.com.mx/ODKServer/view/binaryData?blobKey=FSSuministroFluidosv3%5B%40version%3Dnull+and+%40uiVersion%3Dnull%5D%2Fdata%5B%40key%3Duuid%3Affe4b99e-82d1-41cc-8c84-f1e779314317%5D%2FgroupInfoFuel%5B%40ordinal%3D1%5D%2FpicFuelRecibeInterno","Descargar")</f>
        <v>Descargar</v>
      </c>
    </row>
    <row r="3561" spans="1:18" x14ac:dyDescent="0.3">
      <c r="A3561">
        <v>1510763</v>
      </c>
      <c r="B3561" t="s">
        <v>18</v>
      </c>
      <c r="C3561" t="s">
        <v>34</v>
      </c>
      <c r="D3561" t="s">
        <v>53</v>
      </c>
      <c r="E3561" t="s">
        <v>299</v>
      </c>
      <c r="F3561" t="s">
        <v>22</v>
      </c>
      <c r="G3561" t="s">
        <v>23</v>
      </c>
      <c r="H3561" t="s">
        <v>24</v>
      </c>
      <c r="I3561" t="s">
        <v>25</v>
      </c>
      <c r="J3561" t="s">
        <v>2922</v>
      </c>
      <c r="K3561">
        <v>2</v>
      </c>
      <c r="L3561">
        <v>4</v>
      </c>
      <c r="M3561">
        <v>2025</v>
      </c>
      <c r="N3561" t="s">
        <v>27</v>
      </c>
      <c r="O3561">
        <v>200</v>
      </c>
      <c r="Q3561">
        <v>200</v>
      </c>
      <c r="R3561" s="3" t="str">
        <f>HYPERLINK("https://panda.att.com.mx/ODKServer/view/binaryData?blobKey=FSSuministroFluidosv3%5B%40version%3Dnull+and+%40uiVersion%3Dnull%5D%2Fdata%5B%40key%3Duuid%3Aa55e4b24-4faf-4c4a-9b7b-3fe5fa0b74a9%5D%2FgroupInfoFuel%5B%40ordinal%3D1%5D%2FpicFuelRecibeInterno","Descargar")</f>
        <v>Descargar</v>
      </c>
    </row>
    <row r="3562" spans="1:18" x14ac:dyDescent="0.3">
      <c r="A3562">
        <v>1510755</v>
      </c>
      <c r="B3562" t="s">
        <v>18</v>
      </c>
      <c r="C3562" t="s">
        <v>55</v>
      </c>
      <c r="D3562" t="s">
        <v>56</v>
      </c>
      <c r="E3562" t="s">
        <v>320</v>
      </c>
      <c r="F3562" t="s">
        <v>22</v>
      </c>
      <c r="G3562" t="s">
        <v>23</v>
      </c>
      <c r="H3562" t="s">
        <v>1763</v>
      </c>
      <c r="I3562" t="s">
        <v>25</v>
      </c>
      <c r="J3562" s="2">
        <v>45737.741712962961</v>
      </c>
      <c r="K3562">
        <v>21</v>
      </c>
      <c r="L3562">
        <v>3</v>
      </c>
      <c r="M3562">
        <v>2025</v>
      </c>
      <c r="N3562" t="s">
        <v>27</v>
      </c>
      <c r="O3562">
        <v>300</v>
      </c>
      <c r="P3562">
        <v>300</v>
      </c>
      <c r="R3562" s="3" t="str">
        <f>HYPERLINK("https://panda.att.com.mx/ODKServer/view/binaryData?blobKey=FSSuministroFluidosv3%5B%40version%3Dnull+and+%40uiVersion%3Dnull%5D%2Fdata%5B%40key%3Duuid%3A3fd7f28e-36f1-43c7-9fd3-4824fcbb6c63%5D%2FgroupInfoFuel%5B%40ordinal%3D1%5D%2FpicFuelRecibeInterno","Descargar")</f>
        <v>Descargar</v>
      </c>
    </row>
    <row r="3563" spans="1:18" x14ac:dyDescent="0.3">
      <c r="A3563">
        <v>1510754</v>
      </c>
      <c r="B3563" t="s">
        <v>18</v>
      </c>
      <c r="C3563" t="s">
        <v>55</v>
      </c>
      <c r="D3563" t="s">
        <v>56</v>
      </c>
      <c r="E3563" t="s">
        <v>2188</v>
      </c>
      <c r="F3563" t="s">
        <v>22</v>
      </c>
      <c r="G3563" t="s">
        <v>23</v>
      </c>
      <c r="H3563" t="s">
        <v>1763</v>
      </c>
      <c r="I3563" t="s">
        <v>25</v>
      </c>
      <c r="J3563" s="2">
        <v>45745.464953703697</v>
      </c>
      <c r="K3563">
        <v>29</v>
      </c>
      <c r="L3563">
        <v>3</v>
      </c>
      <c r="M3563">
        <v>2025</v>
      </c>
      <c r="N3563" t="s">
        <v>27</v>
      </c>
      <c r="O3563">
        <v>100</v>
      </c>
      <c r="P3563">
        <v>100</v>
      </c>
      <c r="R3563" s="3" t="str">
        <f>HYPERLINK("https://panda.att.com.mx/ODKServer/view/binaryData?blobKey=FSSuministroFluidosv3%5B%40version%3Dnull+and+%40uiVersion%3Dnull%5D%2Fdata%5B%40key%3Duuid%3Ad4d27999-be89-4f13-9cfd-3b17e8c7ffd7%5D%2FgroupInfoFuel%5B%40ordinal%3D1%5D%2FpicFuelRecibeInterno","Descargar")</f>
        <v>Descargar</v>
      </c>
    </row>
    <row r="3564" spans="1:18" x14ac:dyDescent="0.3">
      <c r="A3564">
        <v>1510753</v>
      </c>
      <c r="B3564" t="s">
        <v>18</v>
      </c>
      <c r="C3564" t="s">
        <v>55</v>
      </c>
      <c r="D3564" t="s">
        <v>56</v>
      </c>
      <c r="E3564" t="s">
        <v>2498</v>
      </c>
      <c r="F3564" t="s">
        <v>22</v>
      </c>
      <c r="G3564" t="s">
        <v>23</v>
      </c>
      <c r="H3564" t="s">
        <v>1763</v>
      </c>
      <c r="I3564" t="s">
        <v>25</v>
      </c>
      <c r="J3564" s="2">
        <v>45745.526006944441</v>
      </c>
      <c r="K3564">
        <v>29</v>
      </c>
      <c r="L3564">
        <v>3</v>
      </c>
      <c r="M3564">
        <v>2025</v>
      </c>
      <c r="N3564" t="s">
        <v>27</v>
      </c>
      <c r="O3564">
        <v>100</v>
      </c>
      <c r="P3564">
        <v>100</v>
      </c>
      <c r="R3564" s="3" t="str">
        <f>HYPERLINK("https://panda.att.com.mx/ODKServer/view/binaryData?blobKey=FSSuministroFluidosv3%5B%40version%3Dnull+and+%40uiVersion%3Dnull%5D%2Fdata%5B%40key%3Duuid%3A1a16c059-5f6c-4bc8-b6a8-368e48e528e1%5D%2FgroupInfoFuel%5B%40ordinal%3D1%5D%2FpicFuelRecibeInterno","Descargar")</f>
        <v>Descargar</v>
      </c>
    </row>
    <row r="3565" spans="1:18" x14ac:dyDescent="0.3">
      <c r="A3565">
        <v>1510752</v>
      </c>
      <c r="B3565" t="s">
        <v>18</v>
      </c>
      <c r="C3565" t="s">
        <v>55</v>
      </c>
      <c r="D3565" t="s">
        <v>56</v>
      </c>
      <c r="E3565" t="s">
        <v>2498</v>
      </c>
      <c r="F3565" t="s">
        <v>22</v>
      </c>
      <c r="G3565" t="s">
        <v>23</v>
      </c>
      <c r="H3565" t="s">
        <v>1763</v>
      </c>
      <c r="I3565" t="s">
        <v>25</v>
      </c>
      <c r="J3565" s="2">
        <v>45746.352847222217</v>
      </c>
      <c r="K3565">
        <v>30</v>
      </c>
      <c r="L3565">
        <v>3</v>
      </c>
      <c r="M3565">
        <v>2025</v>
      </c>
      <c r="N3565" t="s">
        <v>27</v>
      </c>
      <c r="O3565">
        <v>100</v>
      </c>
      <c r="P3565">
        <v>100</v>
      </c>
      <c r="R3565" s="3" t="str">
        <f>HYPERLINK("https://panda.att.com.mx/ODKServer/view/binaryData?blobKey=FSSuministroFluidosv3%5B%40version%3Dnull+and+%40uiVersion%3Dnull%5D%2Fdata%5B%40key%3Duuid%3A9b0d5c19-456c-447e-a695-0eb2fe1bd3f4%5D%2FgroupInfoFuel%5B%40ordinal%3D1%5D%2FpicFuelRecibeInterno","Descargar")</f>
        <v>Descargar</v>
      </c>
    </row>
    <row r="3566" spans="1:18" x14ac:dyDescent="0.3">
      <c r="A3566">
        <v>1510751</v>
      </c>
      <c r="B3566" t="s">
        <v>18</v>
      </c>
      <c r="C3566" t="s">
        <v>55</v>
      </c>
      <c r="D3566" t="s">
        <v>56</v>
      </c>
      <c r="E3566" t="s">
        <v>2188</v>
      </c>
      <c r="F3566" t="s">
        <v>22</v>
      </c>
      <c r="G3566" t="s">
        <v>23</v>
      </c>
      <c r="H3566" t="s">
        <v>1763</v>
      </c>
      <c r="I3566" t="s">
        <v>25</v>
      </c>
      <c r="J3566" s="2">
        <v>45746.510636574072</v>
      </c>
      <c r="K3566">
        <v>30</v>
      </c>
      <c r="L3566">
        <v>3</v>
      </c>
      <c r="M3566">
        <v>2025</v>
      </c>
      <c r="N3566" t="s">
        <v>27</v>
      </c>
      <c r="O3566">
        <v>100</v>
      </c>
      <c r="P3566">
        <v>100</v>
      </c>
      <c r="R3566" s="3" t="str">
        <f>HYPERLINK("https://panda.att.com.mx/ODKServer/view/binaryData?blobKey=FSSuministroFluidosv3%5B%40version%3Dnull+and+%40uiVersion%3Dnull%5D%2Fdata%5B%40key%3Duuid%3A8ddf4de5-21d8-4e82-ab84-0b492eb3bf06%5D%2FgroupInfoFuel%5B%40ordinal%3D1%5D%2FpicFuelRecibeInterno","Descargar")</f>
        <v>Descargar</v>
      </c>
    </row>
    <row r="3567" spans="1:18" x14ac:dyDescent="0.3">
      <c r="A3567">
        <v>1510750</v>
      </c>
      <c r="B3567" t="s">
        <v>18</v>
      </c>
      <c r="C3567" t="s">
        <v>55</v>
      </c>
      <c r="D3567" t="s">
        <v>56</v>
      </c>
      <c r="E3567" t="s">
        <v>320</v>
      </c>
      <c r="F3567" t="s">
        <v>22</v>
      </c>
      <c r="G3567" t="s">
        <v>23</v>
      </c>
      <c r="H3567" t="s">
        <v>1763</v>
      </c>
      <c r="I3567" t="s">
        <v>25</v>
      </c>
      <c r="J3567" s="2">
        <v>45746.578356481477</v>
      </c>
      <c r="K3567">
        <v>30</v>
      </c>
      <c r="L3567">
        <v>3</v>
      </c>
      <c r="M3567">
        <v>2025</v>
      </c>
      <c r="N3567" t="s">
        <v>27</v>
      </c>
      <c r="O3567">
        <v>300</v>
      </c>
      <c r="P3567">
        <v>300</v>
      </c>
      <c r="R3567" s="3" t="str">
        <f>HYPERLINK("https://panda.att.com.mx/ODKServer/view/binaryData?blobKey=FSSuministroFluidosv3%5B%40version%3Dnull+and+%40uiVersion%3Dnull%5D%2Fdata%5B%40key%3Duuid%3Ae05ad858-9316-4050-a75a-74d6cf2e0549%5D%2FgroupInfoFuel%5B%40ordinal%3D1%5D%2FpicFuelRecibeInterno","Descargar")</f>
        <v>Descargar</v>
      </c>
    </row>
    <row r="3568" spans="1:18" x14ac:dyDescent="0.3">
      <c r="A3568">
        <v>1510742</v>
      </c>
      <c r="B3568" t="s">
        <v>18</v>
      </c>
      <c r="C3568" t="s">
        <v>68</v>
      </c>
      <c r="D3568" t="s">
        <v>2923</v>
      </c>
      <c r="E3568" t="s">
        <v>2924</v>
      </c>
      <c r="F3568" t="s">
        <v>22</v>
      </c>
      <c r="G3568" t="s">
        <v>23</v>
      </c>
      <c r="H3568" t="s">
        <v>37</v>
      </c>
      <c r="I3568" t="s">
        <v>25</v>
      </c>
      <c r="J3568" t="s">
        <v>2925</v>
      </c>
      <c r="K3568">
        <v>2</v>
      </c>
      <c r="L3568">
        <v>4</v>
      </c>
      <c r="M3568">
        <v>2025</v>
      </c>
      <c r="N3568" t="s">
        <v>27</v>
      </c>
      <c r="O3568">
        <v>100</v>
      </c>
      <c r="P3568">
        <v>100</v>
      </c>
      <c r="R3568" s="3" t="str">
        <f>HYPERLINK("https://panda.att.com.mx/ODKServer/view/binaryData?blobKey=FSSuministroFluidosv3%5B%40version%3Dnull+and+%40uiVersion%3Dnull%5D%2Fdata%5B%40key%3Duuid%3A134e05a0-dffa-4781-a9f5-1fa6984a1492%5D%2FgroupInfoFuel%5B%40ordinal%3D1%5D%2FpicFuelRecibeInterno","Descargar")</f>
        <v>Descargar</v>
      </c>
    </row>
    <row r="3569" spans="1:18" x14ac:dyDescent="0.3">
      <c r="A3569">
        <v>1510737</v>
      </c>
      <c r="B3569" t="s">
        <v>18</v>
      </c>
      <c r="C3569" t="s">
        <v>59</v>
      </c>
      <c r="D3569" t="s">
        <v>60</v>
      </c>
      <c r="E3569" t="s">
        <v>2926</v>
      </c>
      <c r="F3569" t="s">
        <v>22</v>
      </c>
      <c r="G3569" t="s">
        <v>23</v>
      </c>
      <c r="H3569" t="s">
        <v>1816</v>
      </c>
      <c r="I3569" t="s">
        <v>25</v>
      </c>
      <c r="J3569" s="2">
        <v>45743.591886574082</v>
      </c>
      <c r="K3569">
        <v>27</v>
      </c>
      <c r="L3569">
        <v>3</v>
      </c>
      <c r="M3569">
        <v>2025</v>
      </c>
      <c r="N3569" t="s">
        <v>27</v>
      </c>
      <c r="O3569">
        <v>255.5</v>
      </c>
      <c r="P3569">
        <v>255.5</v>
      </c>
      <c r="R3569" s="3" t="str">
        <f>HYPERLINK("https://panda.att.com.mx/ODKServer/view/binaryData?blobKey=FSSuministroFluidosv3%5B%40version%3Dnull+and+%40uiVersion%3Dnull%5D%2Fdata%5B%40key%3Duuid%3Acc947c8d-8c3b-4c2b-8ff3-b16117de517f%5D%2FgroupInfoFuel%5B%40ordinal%3D1%5D%2FpicFuelRecibeInterno","Descargar")</f>
        <v>Descargar</v>
      </c>
    </row>
    <row r="3570" spans="1:18" x14ac:dyDescent="0.3">
      <c r="A3570">
        <v>1510724</v>
      </c>
      <c r="B3570" t="s">
        <v>18</v>
      </c>
      <c r="C3570" t="s">
        <v>59</v>
      </c>
      <c r="D3570" t="s">
        <v>60</v>
      </c>
      <c r="E3570" t="s">
        <v>2207</v>
      </c>
      <c r="F3570" t="s">
        <v>22</v>
      </c>
      <c r="G3570" t="s">
        <v>23</v>
      </c>
      <c r="H3570" t="s">
        <v>37</v>
      </c>
      <c r="I3570" t="s">
        <v>25</v>
      </c>
      <c r="J3570" s="2">
        <v>45745.979097222233</v>
      </c>
      <c r="K3570">
        <v>29</v>
      </c>
      <c r="L3570">
        <v>3</v>
      </c>
      <c r="M3570">
        <v>2025</v>
      </c>
      <c r="N3570" t="s">
        <v>27</v>
      </c>
      <c r="O3570">
        <v>180</v>
      </c>
      <c r="P3570">
        <v>180</v>
      </c>
      <c r="R3570" s="3" t="str">
        <f>HYPERLINK("https://panda.att.com.mx/ODKServer/view/binaryData?blobKey=FSSuministroFluidosv3%5B%40version%3Dnull+and+%40uiVersion%3Dnull%5D%2Fdata%5B%40key%3Duuid%3Aaffc14cc-048b-408a-b13e-1fc6f67aa03e%5D%2FgroupInfoFuel%5B%40ordinal%3D1%5D%2FpicFuelRecibeInterno","Descargar")</f>
        <v>Descargar</v>
      </c>
    </row>
    <row r="3571" spans="1:18" x14ac:dyDescent="0.3">
      <c r="A3571">
        <v>1510720</v>
      </c>
      <c r="B3571" t="s">
        <v>18</v>
      </c>
      <c r="C3571" t="s">
        <v>59</v>
      </c>
      <c r="D3571" t="s">
        <v>60</v>
      </c>
      <c r="E3571" t="s">
        <v>2207</v>
      </c>
      <c r="F3571" t="s">
        <v>22</v>
      </c>
      <c r="G3571" t="s">
        <v>23</v>
      </c>
      <c r="H3571" t="s">
        <v>37</v>
      </c>
      <c r="I3571" t="s">
        <v>25</v>
      </c>
      <c r="J3571" s="2">
        <v>45744.013182870367</v>
      </c>
      <c r="K3571">
        <v>28</v>
      </c>
      <c r="L3571">
        <v>3</v>
      </c>
      <c r="M3571">
        <v>2025</v>
      </c>
      <c r="N3571" t="s">
        <v>27</v>
      </c>
      <c r="O3571">
        <v>180</v>
      </c>
      <c r="P3571">
        <v>180</v>
      </c>
      <c r="R3571" s="3" t="str">
        <f>HYPERLINK("https://panda.att.com.mx/ODKServer/view/binaryData?blobKey=FSSuministroFluidosv3%5B%40version%3Dnull+and+%40uiVersion%3Dnull%5D%2Fdata%5B%40key%3Duuid%3Ac342ffc3-a44d-4a81-af0a-f7e21dbc96c2%5D%2FgroupInfoFuel%5B%40ordinal%3D1%5D%2FpicFuelRecibeInterno","Descargar")</f>
        <v>Descargar</v>
      </c>
    </row>
    <row r="3572" spans="1:18" x14ac:dyDescent="0.3">
      <c r="A3572">
        <v>1510717</v>
      </c>
      <c r="B3572" t="s">
        <v>18</v>
      </c>
      <c r="C3572" t="s">
        <v>183</v>
      </c>
      <c r="D3572" t="s">
        <v>2927</v>
      </c>
      <c r="E3572" t="s">
        <v>2928</v>
      </c>
      <c r="F3572" t="s">
        <v>22</v>
      </c>
      <c r="G3572" t="s">
        <v>23</v>
      </c>
      <c r="H3572" t="s">
        <v>37</v>
      </c>
      <c r="I3572" t="s">
        <v>25</v>
      </c>
      <c r="J3572" t="s">
        <v>2929</v>
      </c>
      <c r="K3572">
        <v>2</v>
      </c>
      <c r="L3572">
        <v>4</v>
      </c>
      <c r="M3572">
        <v>2025</v>
      </c>
      <c r="N3572" t="s">
        <v>27</v>
      </c>
      <c r="O3572">
        <v>300</v>
      </c>
      <c r="P3572">
        <v>300</v>
      </c>
      <c r="R3572" s="3" t="str">
        <f>HYPERLINK("https://panda.att.com.mx/ODKServer/view/binaryData?blobKey=FSSuministroFluidosv3%5B%40version%3Dnull+and+%40uiVersion%3Dnull%5D%2Fdata%5B%40key%3Duuid%3Af123e157-6ead-449c-9685-725483bef1d1%5D%2FgroupInfoFuel%5B%40ordinal%3D1%5D%2FpicFuelRecibeInterno","Descargar")</f>
        <v>Descargar</v>
      </c>
    </row>
    <row r="3573" spans="1:18" x14ac:dyDescent="0.3">
      <c r="A3573">
        <v>1510716</v>
      </c>
      <c r="B3573" t="s">
        <v>18</v>
      </c>
      <c r="C3573" t="s">
        <v>59</v>
      </c>
      <c r="D3573" t="s">
        <v>60</v>
      </c>
      <c r="E3573" t="s">
        <v>2207</v>
      </c>
      <c r="F3573" t="s">
        <v>22</v>
      </c>
      <c r="G3573" t="s">
        <v>23</v>
      </c>
      <c r="H3573" t="s">
        <v>37</v>
      </c>
      <c r="I3573" t="s">
        <v>25</v>
      </c>
      <c r="J3573" s="2">
        <v>45741.979525462957</v>
      </c>
      <c r="K3573">
        <v>25</v>
      </c>
      <c r="L3573">
        <v>3</v>
      </c>
      <c r="M3573">
        <v>2025</v>
      </c>
      <c r="N3573" t="s">
        <v>27</v>
      </c>
      <c r="O3573">
        <v>180</v>
      </c>
      <c r="P3573">
        <v>180</v>
      </c>
      <c r="R3573" s="3" t="str">
        <f>HYPERLINK("https://panda.att.com.mx/ODKServer/view/binaryData?blobKey=FSSuministroFluidosv3%5B%40version%3Dnull+and+%40uiVersion%3Dnull%5D%2Fdata%5B%40key%3Duuid%3A78a7e5b4-0ae0-4e9c-8c2a-01069c3d330b%5D%2FgroupInfoFuel%5B%40ordinal%3D1%5D%2FpicFuelRecibeInterno","Descargar")</f>
        <v>Descargar</v>
      </c>
    </row>
    <row r="3574" spans="1:18" x14ac:dyDescent="0.3">
      <c r="A3574">
        <v>1510713</v>
      </c>
      <c r="B3574" t="s">
        <v>18</v>
      </c>
      <c r="C3574" t="s">
        <v>59</v>
      </c>
      <c r="D3574" t="s">
        <v>60</v>
      </c>
      <c r="E3574" t="s">
        <v>2207</v>
      </c>
      <c r="F3574" t="s">
        <v>22</v>
      </c>
      <c r="G3574" t="s">
        <v>23</v>
      </c>
      <c r="H3574" t="s">
        <v>37</v>
      </c>
      <c r="I3574" t="s">
        <v>25</v>
      </c>
      <c r="J3574" s="2">
        <v>45740.051203703697</v>
      </c>
      <c r="K3574">
        <v>24</v>
      </c>
      <c r="L3574">
        <v>3</v>
      </c>
      <c r="M3574">
        <v>2025</v>
      </c>
      <c r="N3574" t="s">
        <v>27</v>
      </c>
      <c r="O3574">
        <v>180</v>
      </c>
      <c r="P3574">
        <v>180</v>
      </c>
      <c r="R3574" s="3" t="str">
        <f>HYPERLINK("https://panda.att.com.mx/ODKServer/view/binaryData?blobKey=FSSuministroFluidosv3%5B%40version%3Dnull+and+%40uiVersion%3Dnull%5D%2Fdata%5B%40key%3Duuid%3A02d5da5d-c246-4d79-b793-f80e91a15cd5%5D%2FgroupInfoFuel%5B%40ordinal%3D1%5D%2FpicFuelRecibeInterno","Descargar")</f>
        <v>Descargar</v>
      </c>
    </row>
    <row r="3575" spans="1:18" x14ac:dyDescent="0.3">
      <c r="A3575">
        <v>1510708</v>
      </c>
      <c r="B3575" t="s">
        <v>18</v>
      </c>
      <c r="C3575" t="s">
        <v>59</v>
      </c>
      <c r="D3575" t="s">
        <v>60</v>
      </c>
      <c r="E3575" t="s">
        <v>2207</v>
      </c>
      <c r="F3575" t="s">
        <v>22</v>
      </c>
      <c r="G3575" t="s">
        <v>23</v>
      </c>
      <c r="H3575" t="s">
        <v>37</v>
      </c>
      <c r="I3575" t="s">
        <v>25</v>
      </c>
      <c r="J3575" s="2">
        <v>45737.965127314812</v>
      </c>
      <c r="K3575">
        <v>21</v>
      </c>
      <c r="L3575">
        <v>3</v>
      </c>
      <c r="M3575">
        <v>2025</v>
      </c>
      <c r="N3575" t="s">
        <v>27</v>
      </c>
      <c r="O3575">
        <v>180</v>
      </c>
      <c r="P3575">
        <v>180</v>
      </c>
      <c r="R3575" s="3" t="str">
        <f>HYPERLINK("https://panda.att.com.mx/ODKServer/view/binaryData?blobKey=FSSuministroFluidosv3%5B%40version%3Dnull+and+%40uiVersion%3Dnull%5D%2Fdata%5B%40key%3Duuid%3Ad7f608f8-bba7-4a24-9681-6c113a3a8671%5D%2FgroupInfoFuel%5B%40ordinal%3D1%5D%2FpicFuelRecibeInterno","Descargar")</f>
        <v>Descargar</v>
      </c>
    </row>
    <row r="3576" spans="1:18" x14ac:dyDescent="0.3">
      <c r="A3576">
        <v>1510685</v>
      </c>
      <c r="B3576" t="s">
        <v>18</v>
      </c>
      <c r="C3576" t="s">
        <v>28</v>
      </c>
      <c r="D3576" t="s">
        <v>118</v>
      </c>
      <c r="E3576" t="s">
        <v>1540</v>
      </c>
      <c r="F3576" t="s">
        <v>22</v>
      </c>
      <c r="G3576" t="s">
        <v>23</v>
      </c>
      <c r="H3576" t="s">
        <v>24</v>
      </c>
      <c r="I3576" t="s">
        <v>25</v>
      </c>
      <c r="J3576" t="s">
        <v>2930</v>
      </c>
      <c r="K3576">
        <v>2</v>
      </c>
      <c r="L3576">
        <v>4</v>
      </c>
      <c r="M3576">
        <v>2025</v>
      </c>
      <c r="N3576" t="s">
        <v>44</v>
      </c>
      <c r="O3576">
        <v>25</v>
      </c>
      <c r="Q3576">
        <v>25</v>
      </c>
      <c r="R3576" s="3" t="str">
        <f>HYPERLINK("https://panda.att.com.mx/ODKServer/view/binaryData?blobKey=FSSuministroFluidosv3%5B%40version%3Dnull+and+%40uiVersion%3Dnull%5D%2Fdata%5B%40key%3Duuid%3A39075b49-9a22-471b-82f2-12018ed5549c%5D%2FgroupInfoFuel%5B%40ordinal%3D1%5D%2FpicFuelRecibeInterno","Descargar")</f>
        <v>Descargar</v>
      </c>
    </row>
    <row r="3577" spans="1:18" x14ac:dyDescent="0.3">
      <c r="A3577">
        <v>1510637</v>
      </c>
      <c r="B3577" t="s">
        <v>18</v>
      </c>
      <c r="C3577" t="s">
        <v>55</v>
      </c>
      <c r="D3577" t="s">
        <v>89</v>
      </c>
      <c r="E3577" t="s">
        <v>1532</v>
      </c>
      <c r="F3577" t="s">
        <v>22</v>
      </c>
      <c r="G3577" t="s">
        <v>23</v>
      </c>
      <c r="H3577" t="s">
        <v>1763</v>
      </c>
      <c r="I3577" t="s">
        <v>25</v>
      </c>
      <c r="J3577" s="2">
        <v>45747.820543981477</v>
      </c>
      <c r="K3577">
        <v>31</v>
      </c>
      <c r="L3577">
        <v>3</v>
      </c>
      <c r="M3577">
        <v>2025</v>
      </c>
      <c r="N3577" t="s">
        <v>27</v>
      </c>
      <c r="O3577">
        <v>200</v>
      </c>
      <c r="P3577">
        <v>200</v>
      </c>
      <c r="R3577" s="3" t="str">
        <f>HYPERLINK("https://panda.att.com.mx/ODKServer/view/binaryData?blobKey=FSSuministroFluidosv3%5B%40version%3Dnull+and+%40uiVersion%3Dnull%5D%2Fdata%5B%40key%3Duuid%3A5ba7da5c-11c7-4191-abe6-0eec6b393489%5D%2FgroupInfoFuel%5B%40ordinal%3D1%5D%2FpicFuelRecibeInterno","Descargar")</f>
        <v>Descargar</v>
      </c>
    </row>
    <row r="3578" spans="1:18" x14ac:dyDescent="0.3">
      <c r="A3578">
        <v>1510599</v>
      </c>
      <c r="B3578" t="s">
        <v>18</v>
      </c>
      <c r="C3578" t="s">
        <v>68</v>
      </c>
      <c r="D3578" t="s">
        <v>1420</v>
      </c>
      <c r="E3578" t="s">
        <v>1421</v>
      </c>
      <c r="F3578" t="s">
        <v>22</v>
      </c>
      <c r="G3578" t="s">
        <v>23</v>
      </c>
      <c r="H3578" t="s">
        <v>37</v>
      </c>
      <c r="I3578" t="s">
        <v>84</v>
      </c>
      <c r="J3578" s="2">
        <v>45747.609953703701</v>
      </c>
      <c r="K3578">
        <v>31</v>
      </c>
      <c r="L3578">
        <v>3</v>
      </c>
      <c r="M3578">
        <v>2025</v>
      </c>
      <c r="N3578" t="s">
        <v>27</v>
      </c>
      <c r="O3578">
        <v>300</v>
      </c>
      <c r="P3578">
        <v>300</v>
      </c>
      <c r="Q3578">
        <v>0</v>
      </c>
      <c r="R3578" s="3" t="str">
        <f>HYPERLINK("https://panda.att.com.mx/ODKServer/view/binaryData?blobKey=FSSuministroFluidosv3%5B%40version%3Dnull+and+%40uiVersion%3Dnull%5D%2Fdata%5B%40key%3Duuid%3Aa9602cc9-abf3-4c0e-bf37-212a21b262a9%5D%2FgroupInfoFuel%5B%40ordinal%3D1%5D%2FpicFuelRecibeInterno","Descargar")</f>
        <v>Descargar</v>
      </c>
    </row>
    <row r="3579" spans="1:18" x14ac:dyDescent="0.3">
      <c r="A3579">
        <v>1510598</v>
      </c>
      <c r="B3579" t="s">
        <v>18</v>
      </c>
      <c r="C3579" t="s">
        <v>183</v>
      </c>
      <c r="D3579" t="s">
        <v>2931</v>
      </c>
      <c r="E3579" t="s">
        <v>2932</v>
      </c>
      <c r="F3579" t="s">
        <v>22</v>
      </c>
      <c r="G3579" t="s">
        <v>23</v>
      </c>
      <c r="H3579" t="s">
        <v>37</v>
      </c>
      <c r="I3579" t="s">
        <v>25</v>
      </c>
      <c r="J3579" s="2">
        <v>45747.566435185188</v>
      </c>
      <c r="K3579">
        <v>31</v>
      </c>
      <c r="L3579">
        <v>3</v>
      </c>
      <c r="M3579">
        <v>2025</v>
      </c>
      <c r="N3579" t="s">
        <v>27</v>
      </c>
      <c r="O3579">
        <v>300</v>
      </c>
      <c r="Q3579">
        <v>300</v>
      </c>
      <c r="R3579" s="3" t="str">
        <f>HYPERLINK("https://panda.att.com.mx/ODKServer/view/binaryData?blobKey=FSSuministroFluidosv3%5B%40version%3Dnull+and+%40uiVersion%3Dnull%5D%2Fdata%5B%40key%3Duuid%3A1604e603-0150-4222-bd49-7c7ece59915c%5D%2FgroupInfoFuel%5B%40ordinal%3D1%5D%2FpicFuelRecibeInterno","Descargar")</f>
        <v>Descargar</v>
      </c>
    </row>
    <row r="3580" spans="1:18" x14ac:dyDescent="0.3">
      <c r="A3580">
        <v>1510585</v>
      </c>
      <c r="B3580" t="s">
        <v>18</v>
      </c>
      <c r="C3580" t="s">
        <v>59</v>
      </c>
      <c r="D3580" t="s">
        <v>60</v>
      </c>
      <c r="E3580" t="s">
        <v>2933</v>
      </c>
      <c r="F3580" t="s">
        <v>22</v>
      </c>
      <c r="G3580" t="s">
        <v>23</v>
      </c>
      <c r="H3580" t="s">
        <v>37</v>
      </c>
      <c r="I3580" t="s">
        <v>25</v>
      </c>
      <c r="J3580" s="2">
        <v>45736.876342592594</v>
      </c>
      <c r="K3580">
        <v>20</v>
      </c>
      <c r="L3580">
        <v>3</v>
      </c>
      <c r="M3580">
        <v>2025</v>
      </c>
      <c r="N3580" t="s">
        <v>27</v>
      </c>
      <c r="O3580">
        <v>54.72</v>
      </c>
      <c r="P3580">
        <v>54.72</v>
      </c>
      <c r="R3580" s="3" t="str">
        <f>HYPERLINK("https://panda.att.com.mx/ODKServer/view/binaryData?blobKey=FSSuministroFluidosv3%5B%40version%3Dnull+and+%40uiVersion%3Dnull%5D%2Fdata%5B%40key%3Duuid%3A0650c61e-7077-4156-bda2-06a5a39e9474%5D%2FgroupInfoFuel%5B%40ordinal%3D1%5D%2FpicFuelRecibeInterno","Descargar")</f>
        <v>Descargar</v>
      </c>
    </row>
    <row r="3581" spans="1:18" x14ac:dyDescent="0.3">
      <c r="A3581">
        <v>1510527</v>
      </c>
      <c r="B3581" t="s">
        <v>18</v>
      </c>
      <c r="C3581" t="s">
        <v>59</v>
      </c>
      <c r="D3581" t="s">
        <v>60</v>
      </c>
      <c r="E3581" t="s">
        <v>2207</v>
      </c>
      <c r="F3581" t="s">
        <v>22</v>
      </c>
      <c r="G3581" t="s">
        <v>23</v>
      </c>
      <c r="H3581" t="s">
        <v>37</v>
      </c>
      <c r="I3581" t="s">
        <v>25</v>
      </c>
      <c r="J3581" s="2">
        <v>45747.969618055547</v>
      </c>
      <c r="K3581">
        <v>31</v>
      </c>
      <c r="L3581">
        <v>3</v>
      </c>
      <c r="M3581">
        <v>2025</v>
      </c>
      <c r="N3581" t="s">
        <v>27</v>
      </c>
      <c r="O3581">
        <v>180</v>
      </c>
      <c r="P3581">
        <v>180</v>
      </c>
      <c r="R3581" s="3" t="str">
        <f>HYPERLINK("https://panda.att.com.mx/ODKServer/view/binaryData?blobKey=FSSuministroFluidosv3%5B%40version%3Dnull+and+%40uiVersion%3Dnull%5D%2Fdata%5B%40key%3Duuid%3Aa7765a5d-925a-4eff-a586-3a8298a21d54%5D%2FgroupInfoFuel%5B%40ordinal%3D1%5D%2FpicFuelRecibeInterno","Descargar")</f>
        <v>Descargar</v>
      </c>
    </row>
    <row r="3582" spans="1:18" x14ac:dyDescent="0.3">
      <c r="A3582">
        <v>1510517</v>
      </c>
      <c r="B3582" t="s">
        <v>18</v>
      </c>
      <c r="C3582" t="s">
        <v>34</v>
      </c>
      <c r="D3582" t="s">
        <v>53</v>
      </c>
      <c r="E3582" t="s">
        <v>2934</v>
      </c>
      <c r="F3582" t="s">
        <v>22</v>
      </c>
      <c r="G3582" t="s">
        <v>23</v>
      </c>
      <c r="H3582" t="s">
        <v>37</v>
      </c>
      <c r="I3582" t="s">
        <v>25</v>
      </c>
      <c r="J3582" t="s">
        <v>2935</v>
      </c>
      <c r="K3582">
        <v>2</v>
      </c>
      <c r="L3582">
        <v>4</v>
      </c>
      <c r="M3582">
        <v>2025</v>
      </c>
      <c r="N3582" t="s">
        <v>27</v>
      </c>
      <c r="O3582">
        <v>400</v>
      </c>
      <c r="Q3582">
        <v>400</v>
      </c>
      <c r="R3582" s="3" t="str">
        <f>HYPERLINK("https://panda.att.com.mx/ODKServer/view/binaryData?blobKey=FSSuministroFluidosv3%5B%40version%3Dnull+and+%40uiVersion%3Dnull%5D%2Fdata%5B%40key%3Duuid%3A3f6ad5c0-744f-458c-a0d0-ee9fcacf8cd0%5D%2FgroupInfoFuel%5B%40ordinal%3D1%5D%2FpicFuelRecibeInterno","Descargar")</f>
        <v>Descargar</v>
      </c>
    </row>
    <row r="3583" spans="1:18" x14ac:dyDescent="0.3">
      <c r="A3583">
        <v>1510490</v>
      </c>
      <c r="B3583" t="s">
        <v>18</v>
      </c>
      <c r="C3583" t="s">
        <v>55</v>
      </c>
      <c r="D3583" t="s">
        <v>128</v>
      </c>
      <c r="E3583" t="s">
        <v>2758</v>
      </c>
      <c r="F3583" t="s">
        <v>22</v>
      </c>
      <c r="G3583" t="s">
        <v>47</v>
      </c>
      <c r="H3583" t="s">
        <v>1763</v>
      </c>
      <c r="I3583" t="s">
        <v>25</v>
      </c>
      <c r="J3583" t="s">
        <v>2936</v>
      </c>
      <c r="K3583">
        <v>2</v>
      </c>
      <c r="L3583">
        <v>4</v>
      </c>
      <c r="M3583">
        <v>2025</v>
      </c>
      <c r="N3583" t="s">
        <v>27</v>
      </c>
      <c r="O3583">
        <v>300</v>
      </c>
      <c r="P3583">
        <v>300</v>
      </c>
      <c r="R3583" s="3" t="str">
        <f>HYPERLINK("https://panda.att.com.mx/ODKServer/view/binaryData?blobKey=FSSuministroFluidosv3%5B%40version%3Dnull+and+%40uiVersion%3Dnull%5D%2Fdata%5B%40key%3Duuid%3A40e1a5e1-e77e-45e8-a64f-4d38244d1641%5D%2FgroupInfoFuel%5B%40ordinal%3D1%5D%2FpicFuelRecibeInterno","Descargar")</f>
        <v>Descargar</v>
      </c>
    </row>
    <row r="3584" spans="1:18" x14ac:dyDescent="0.3">
      <c r="A3584">
        <v>1510476</v>
      </c>
      <c r="B3584" t="s">
        <v>18</v>
      </c>
      <c r="C3584" t="s">
        <v>68</v>
      </c>
      <c r="D3584" t="s">
        <v>116</v>
      </c>
      <c r="E3584" t="s">
        <v>2657</v>
      </c>
      <c r="F3584" t="s">
        <v>22</v>
      </c>
      <c r="G3584" t="s">
        <v>23</v>
      </c>
      <c r="H3584" t="s">
        <v>37</v>
      </c>
      <c r="I3584" t="s">
        <v>25</v>
      </c>
      <c r="J3584" t="s">
        <v>2937</v>
      </c>
      <c r="K3584">
        <v>2</v>
      </c>
      <c r="L3584">
        <v>4</v>
      </c>
      <c r="M3584">
        <v>2025</v>
      </c>
      <c r="N3584" t="s">
        <v>27</v>
      </c>
      <c r="O3584">
        <v>100</v>
      </c>
      <c r="P3584">
        <v>100</v>
      </c>
      <c r="R3584" s="3" t="str">
        <f>HYPERLINK("https://panda.att.com.mx/ODKServer/view/binaryData?blobKey=FSSuministroFluidosv3%5B%40version%3Dnull+and+%40uiVersion%3Dnull%5D%2Fdata%5B%40key%3Duuid%3A6d04a7be-0dfd-4a92-b83e-22baf0aa5941%5D%2FgroupInfoFuel%5B%40ordinal%3D1%5D%2FpicFuelRecibeInterno","Descargar")</f>
        <v>Descargar</v>
      </c>
    </row>
    <row r="3585" spans="1:18" x14ac:dyDescent="0.3">
      <c r="A3585">
        <v>1510461</v>
      </c>
      <c r="B3585" t="s">
        <v>18</v>
      </c>
      <c r="C3585" t="s">
        <v>28</v>
      </c>
      <c r="D3585" t="s">
        <v>118</v>
      </c>
      <c r="E3585" t="s">
        <v>145</v>
      </c>
      <c r="F3585" t="s">
        <v>22</v>
      </c>
      <c r="G3585" t="s">
        <v>23</v>
      </c>
      <c r="H3585" t="s">
        <v>24</v>
      </c>
      <c r="I3585" t="s">
        <v>25</v>
      </c>
      <c r="J3585" t="s">
        <v>2938</v>
      </c>
      <c r="K3585">
        <v>2</v>
      </c>
      <c r="L3585">
        <v>4</v>
      </c>
      <c r="M3585">
        <v>2025</v>
      </c>
      <c r="N3585" t="s">
        <v>27</v>
      </c>
      <c r="O3585">
        <v>100</v>
      </c>
      <c r="P3585">
        <v>100</v>
      </c>
      <c r="R3585" s="3" t="str">
        <f>HYPERLINK("https://panda.att.com.mx/ODKServer/view/binaryData?blobKey=FSSuministroFluidosv3%5B%40version%3Dnull+and+%40uiVersion%3Dnull%5D%2Fdata%5B%40key%3Duuid%3Ac03ee77d-7d4b-4a61-abc2-aa3766238aa3%5D%2FgroupInfoFuel%5B%40ordinal%3D1%5D%2FpicFuelRecibeInterno","Descargar")</f>
        <v>Descargar</v>
      </c>
    </row>
    <row r="3586" spans="1:18" x14ac:dyDescent="0.3">
      <c r="A3586">
        <v>1510431</v>
      </c>
      <c r="B3586" t="s">
        <v>18</v>
      </c>
      <c r="C3586" t="s">
        <v>28</v>
      </c>
      <c r="D3586" t="s">
        <v>513</v>
      </c>
      <c r="E3586" t="s">
        <v>2939</v>
      </c>
      <c r="F3586" t="s">
        <v>22</v>
      </c>
      <c r="G3586" t="s">
        <v>23</v>
      </c>
      <c r="H3586" t="s">
        <v>24</v>
      </c>
      <c r="I3586" t="s">
        <v>25</v>
      </c>
      <c r="J3586" t="s">
        <v>2940</v>
      </c>
      <c r="K3586">
        <v>2</v>
      </c>
      <c r="L3586">
        <v>4</v>
      </c>
      <c r="M3586">
        <v>2025</v>
      </c>
      <c r="N3586" t="s">
        <v>27</v>
      </c>
      <c r="O3586">
        <v>300</v>
      </c>
      <c r="P3586">
        <v>300</v>
      </c>
      <c r="R3586" s="3" t="str">
        <f>HYPERLINK("https://panda.att.com.mx/ODKServer/view/binaryData?blobKey=FSSuministroFluidosv3%5B%40version%3Dnull+and+%40uiVersion%3Dnull%5D%2Fdata%5B%40key%3Duuid%3A267edcf8-87c3-4076-a2f7-5406ddd9a9df%5D%2FgroupInfoFuel%5B%40ordinal%3D1%5D%2FpicFuelRecibeInterno","Descargar")</f>
        <v>Descargar</v>
      </c>
    </row>
    <row r="3587" spans="1:18" x14ac:dyDescent="0.3">
      <c r="A3587">
        <v>1510394</v>
      </c>
      <c r="B3587" t="s">
        <v>18</v>
      </c>
      <c r="C3587" t="s">
        <v>34</v>
      </c>
      <c r="D3587" t="s">
        <v>292</v>
      </c>
      <c r="E3587" t="s">
        <v>293</v>
      </c>
      <c r="F3587" t="s">
        <v>22</v>
      </c>
      <c r="G3587" t="s">
        <v>23</v>
      </c>
      <c r="H3587" t="s">
        <v>37</v>
      </c>
      <c r="I3587" t="s">
        <v>25</v>
      </c>
      <c r="J3587" s="2">
        <v>45744.896782407413</v>
      </c>
      <c r="K3587">
        <v>28</v>
      </c>
      <c r="L3587">
        <v>3</v>
      </c>
      <c r="M3587">
        <v>2025</v>
      </c>
      <c r="N3587" t="s">
        <v>27</v>
      </c>
      <c r="O3587">
        <v>500</v>
      </c>
      <c r="P3587">
        <v>500</v>
      </c>
      <c r="R3587" s="3" t="str">
        <f>HYPERLINK("https://panda.att.com.mx/ODKServer/view/binaryData?blobKey=FSSuministroFluidosv3%5B%40version%3Dnull+and+%40uiVersion%3Dnull%5D%2Fdata%5B%40key%3Duuid%3Aaacd4bea-2518-421d-9984-cd2b22050abd%5D%2FgroupInfoFuel%5B%40ordinal%3D1%5D%2FpicFuelRecibeInterno","Descargar")</f>
        <v>Descargar</v>
      </c>
    </row>
    <row r="3588" spans="1:18" x14ac:dyDescent="0.3">
      <c r="A3588">
        <v>1510384</v>
      </c>
      <c r="B3588" t="s">
        <v>18</v>
      </c>
      <c r="C3588" t="s">
        <v>34</v>
      </c>
      <c r="D3588" t="s">
        <v>53</v>
      </c>
      <c r="E3588" t="s">
        <v>144</v>
      </c>
      <c r="F3588" t="s">
        <v>22</v>
      </c>
      <c r="G3588" t="s">
        <v>23</v>
      </c>
      <c r="H3588" t="s">
        <v>37</v>
      </c>
      <c r="I3588" t="s">
        <v>25</v>
      </c>
      <c r="J3588" s="2">
        <v>45742.769861111112</v>
      </c>
      <c r="K3588">
        <v>26</v>
      </c>
      <c r="L3588">
        <v>3</v>
      </c>
      <c r="M3588">
        <v>2025</v>
      </c>
      <c r="N3588" t="s">
        <v>27</v>
      </c>
      <c r="O3588">
        <v>350</v>
      </c>
      <c r="P3588">
        <v>350</v>
      </c>
      <c r="R3588" s="3" t="str">
        <f>HYPERLINK("https://panda.att.com.mx/ODKServer/view/binaryData?blobKey=FSSuministroFluidosv3%5B%40version%3Dnull+and+%40uiVersion%3Dnull%5D%2Fdata%5B%40key%3Duuid%3A52636692-e386-4896-9712-154b93d05416%5D%2FgroupInfoFuel%5B%40ordinal%3D1%5D%2FpicFuelRecibeInterno","Descargar")</f>
        <v>Descargar</v>
      </c>
    </row>
    <row r="3589" spans="1:18" x14ac:dyDescent="0.3">
      <c r="A3589">
        <v>1510383</v>
      </c>
      <c r="B3589" t="s">
        <v>18</v>
      </c>
      <c r="C3589" t="s">
        <v>34</v>
      </c>
      <c r="D3589" t="s">
        <v>53</v>
      </c>
      <c r="E3589" t="s">
        <v>2941</v>
      </c>
      <c r="F3589" t="s">
        <v>22</v>
      </c>
      <c r="G3589" t="s">
        <v>23</v>
      </c>
      <c r="H3589" t="s">
        <v>37</v>
      </c>
      <c r="I3589" t="s">
        <v>25</v>
      </c>
      <c r="J3589" s="2">
        <v>45739.025694444441</v>
      </c>
      <c r="K3589">
        <v>23</v>
      </c>
      <c r="L3589">
        <v>3</v>
      </c>
      <c r="M3589">
        <v>2025</v>
      </c>
      <c r="N3589" t="s">
        <v>27</v>
      </c>
      <c r="O3589">
        <v>50</v>
      </c>
      <c r="P3589">
        <v>50</v>
      </c>
      <c r="R3589" s="3" t="str">
        <f>HYPERLINK("https://panda.att.com.mx/ODKServer/view/binaryData?blobKey=FSSuministroFluidosv3%5B%40version%3Dnull+and+%40uiVersion%3Dnull%5D%2Fdata%5B%40key%3Duuid%3A24dbfe22-1d40-4012-803c-ff9f33aa33e9%5D%2FgroupInfoFuel%5B%40ordinal%3D1%5D%2FpicFuelRecibeInterno","Descargar")</f>
        <v>Descargar</v>
      </c>
    </row>
    <row r="3590" spans="1:18" x14ac:dyDescent="0.3">
      <c r="A3590">
        <v>1510364</v>
      </c>
      <c r="B3590" t="s">
        <v>18</v>
      </c>
      <c r="C3590" t="s">
        <v>19</v>
      </c>
      <c r="D3590" t="s">
        <v>200</v>
      </c>
      <c r="E3590" t="s">
        <v>1810</v>
      </c>
      <c r="F3590" t="s">
        <v>22</v>
      </c>
      <c r="G3590" t="s">
        <v>23</v>
      </c>
      <c r="H3590" t="s">
        <v>24</v>
      </c>
      <c r="I3590" t="s">
        <v>25</v>
      </c>
      <c r="J3590" t="s">
        <v>2942</v>
      </c>
      <c r="K3590">
        <v>2</v>
      </c>
      <c r="L3590">
        <v>4</v>
      </c>
      <c r="M3590">
        <v>2025</v>
      </c>
      <c r="N3590" t="s">
        <v>44</v>
      </c>
      <c r="O3590">
        <v>45</v>
      </c>
      <c r="P3590">
        <v>45</v>
      </c>
      <c r="R3590" s="3" t="str">
        <f>HYPERLINK("https://panda.att.com.mx/ODKServer/view/binaryData?blobKey=FSSuministroFluidosv3%5B%40version%3Dnull+and+%40uiVersion%3Dnull%5D%2Fdata%5B%40key%3Duuid%3A9073a059-bd55-46c1-a2c2-c192c26f9c83%5D%2FgroupInfoFuel%5B%40ordinal%3D1%5D%2FpicFuelRecibeInterno","Descargar")</f>
        <v>Descargar</v>
      </c>
    </row>
    <row r="3591" spans="1:18" x14ac:dyDescent="0.3">
      <c r="A3591">
        <v>1510326</v>
      </c>
      <c r="B3591" t="s">
        <v>18</v>
      </c>
      <c r="C3591" t="s">
        <v>55</v>
      </c>
      <c r="D3591" t="s">
        <v>56</v>
      </c>
      <c r="E3591" t="s">
        <v>81</v>
      </c>
      <c r="F3591" t="s">
        <v>22</v>
      </c>
      <c r="G3591" t="s">
        <v>23</v>
      </c>
      <c r="H3591" t="s">
        <v>1763</v>
      </c>
      <c r="I3591" t="s">
        <v>25</v>
      </c>
      <c r="J3591" s="2">
        <v>45728.550069444442</v>
      </c>
      <c r="K3591">
        <v>12</v>
      </c>
      <c r="L3591">
        <v>3</v>
      </c>
      <c r="M3591">
        <v>2025</v>
      </c>
      <c r="N3591" t="s">
        <v>27</v>
      </c>
      <c r="O3591">
        <v>100</v>
      </c>
      <c r="P3591">
        <v>100</v>
      </c>
      <c r="R3591" s="3" t="str">
        <f>HYPERLINK("https://panda.att.com.mx/ODKServer/view/binaryData?blobKey=FSSuministroFluidosv3%5B%40version%3Dnull+and+%40uiVersion%3Dnull%5D%2Fdata%5B%40key%3Duuid%3A3b5d2818-b563-403f-bc14-1007b3dc85ee%5D%2FgroupInfoFuel%5B%40ordinal%3D1%5D%2FpicFuelRecibeInterno","Descargar")</f>
        <v>Descargar</v>
      </c>
    </row>
    <row r="3592" spans="1:18" x14ac:dyDescent="0.3">
      <c r="A3592">
        <v>1510319</v>
      </c>
      <c r="B3592" t="s">
        <v>18</v>
      </c>
      <c r="C3592" t="s">
        <v>55</v>
      </c>
      <c r="D3592" t="s">
        <v>56</v>
      </c>
      <c r="E3592" t="s">
        <v>2188</v>
      </c>
      <c r="F3592" t="s">
        <v>22</v>
      </c>
      <c r="G3592" t="s">
        <v>23</v>
      </c>
      <c r="H3592" t="s">
        <v>1763</v>
      </c>
      <c r="I3592" t="s">
        <v>25</v>
      </c>
      <c r="J3592" s="2">
        <v>45728.483229166668</v>
      </c>
      <c r="K3592">
        <v>12</v>
      </c>
      <c r="L3592">
        <v>3</v>
      </c>
      <c r="M3592">
        <v>2025</v>
      </c>
      <c r="N3592" t="s">
        <v>27</v>
      </c>
      <c r="O3592">
        <v>100</v>
      </c>
      <c r="P3592">
        <v>100</v>
      </c>
      <c r="R3592" s="3" t="str">
        <f>HYPERLINK("https://panda.att.com.mx/ODKServer/view/binaryData?blobKey=FSSuministroFluidosv3%5B%40version%3Dnull+and+%40uiVersion%3Dnull%5D%2Fdata%5B%40key%3Duuid%3Afe3e03b7-4a98-493e-8026-014d22a683ba%5D%2FgroupInfoFuel%5B%40ordinal%3D1%5D%2FpicFuelRecibeInterno","Descargar")</f>
        <v>Descargar</v>
      </c>
    </row>
    <row r="3593" spans="1:18" x14ac:dyDescent="0.3">
      <c r="A3593">
        <v>1510318</v>
      </c>
      <c r="B3593" t="s">
        <v>18</v>
      </c>
      <c r="C3593" t="s">
        <v>55</v>
      </c>
      <c r="D3593" t="s">
        <v>56</v>
      </c>
      <c r="E3593" t="s">
        <v>320</v>
      </c>
      <c r="F3593" t="s">
        <v>22</v>
      </c>
      <c r="G3593" t="s">
        <v>23</v>
      </c>
      <c r="H3593" t="s">
        <v>1763</v>
      </c>
      <c r="I3593" t="s">
        <v>25</v>
      </c>
      <c r="J3593" s="2">
        <v>45727.66678240741</v>
      </c>
      <c r="K3593">
        <v>11</v>
      </c>
      <c r="L3593">
        <v>3</v>
      </c>
      <c r="M3593">
        <v>2025</v>
      </c>
      <c r="N3593" t="s">
        <v>27</v>
      </c>
      <c r="O3593">
        <v>300</v>
      </c>
      <c r="P3593">
        <v>300</v>
      </c>
      <c r="R3593" s="3" t="str">
        <f>HYPERLINK("https://panda.att.com.mx/ODKServer/view/binaryData?blobKey=FSSuministroFluidosv3%5B%40version%3Dnull+and+%40uiVersion%3Dnull%5D%2Fdata%5B%40key%3Duuid%3A48887f6e-921b-4ec7-8eb2-c9ddc6b1201e%5D%2FgroupInfoFuel%5B%40ordinal%3D1%5D%2FpicFuelRecibeInterno","Descargar")</f>
        <v>Descargar</v>
      </c>
    </row>
    <row r="3594" spans="1:18" x14ac:dyDescent="0.3">
      <c r="A3594">
        <v>1510300</v>
      </c>
      <c r="B3594" t="s">
        <v>18</v>
      </c>
      <c r="C3594" t="s">
        <v>68</v>
      </c>
      <c r="D3594" t="s">
        <v>518</v>
      </c>
      <c r="E3594" t="s">
        <v>2387</v>
      </c>
      <c r="F3594" t="s">
        <v>22</v>
      </c>
      <c r="G3594" t="s">
        <v>23</v>
      </c>
      <c r="H3594" t="s">
        <v>37</v>
      </c>
      <c r="I3594" t="s">
        <v>25</v>
      </c>
      <c r="J3594" t="s">
        <v>2943</v>
      </c>
      <c r="K3594">
        <v>1</v>
      </c>
      <c r="L3594">
        <v>4</v>
      </c>
      <c r="M3594">
        <v>2025</v>
      </c>
      <c r="N3594" t="s">
        <v>27</v>
      </c>
      <c r="O3594">
        <v>450</v>
      </c>
      <c r="P3594">
        <v>450</v>
      </c>
      <c r="R3594" s="3" t="str">
        <f>HYPERLINK("https://panda.att.com.mx/ODKServer/view/binaryData?blobKey=FSSuministroFluidosv3%5B%40version%3Dnull+and+%40uiVersion%3Dnull%5D%2Fdata%5B%40key%3Duuid%3A6230705f-12b4-4b85-86c0-49a270783b49%5D%2FgroupInfoFuel%5B%40ordinal%3D1%5D%2FpicFuelRecibeInterno","Descargar")</f>
        <v>Descargar</v>
      </c>
    </row>
    <row r="3595" spans="1:18" x14ac:dyDescent="0.3">
      <c r="A3595">
        <v>1510299</v>
      </c>
      <c r="B3595" t="s">
        <v>18</v>
      </c>
      <c r="C3595" t="s">
        <v>59</v>
      </c>
      <c r="D3595" t="s">
        <v>409</v>
      </c>
      <c r="E3595" t="s">
        <v>410</v>
      </c>
      <c r="F3595" t="s">
        <v>22</v>
      </c>
      <c r="G3595" t="s">
        <v>23</v>
      </c>
      <c r="H3595" t="s">
        <v>37</v>
      </c>
      <c r="I3595" t="s">
        <v>25</v>
      </c>
      <c r="J3595" t="s">
        <v>2944</v>
      </c>
      <c r="K3595">
        <v>2</v>
      </c>
      <c r="L3595">
        <v>4</v>
      </c>
      <c r="M3595">
        <v>2025</v>
      </c>
      <c r="N3595" t="s">
        <v>27</v>
      </c>
      <c r="O3595">
        <v>300</v>
      </c>
      <c r="P3595">
        <v>300</v>
      </c>
      <c r="R3595" s="3" t="str">
        <f>HYPERLINK("https://panda.att.com.mx/ODKServer/view/binaryData?blobKey=FSSuministroFluidosv3%5B%40version%3Dnull+and+%40uiVersion%3Dnull%5D%2Fdata%5B%40key%3Duuid%3A9cbee8cc-6687-4114-a315-d24f5a69ee10%5D%2FgroupInfoFuel%5B%40ordinal%3D1%5D%2FpicFuelRecibeInterno","Descargar")</f>
        <v>Descargar</v>
      </c>
    </row>
    <row r="3596" spans="1:18" x14ac:dyDescent="0.3">
      <c r="A3596">
        <v>1510291</v>
      </c>
      <c r="B3596" t="s">
        <v>18</v>
      </c>
      <c r="C3596" t="s">
        <v>68</v>
      </c>
      <c r="D3596" t="s">
        <v>116</v>
      </c>
      <c r="E3596" t="s">
        <v>2657</v>
      </c>
      <c r="F3596" t="s">
        <v>22</v>
      </c>
      <c r="G3596" t="s">
        <v>23</v>
      </c>
      <c r="H3596" t="s">
        <v>37</v>
      </c>
      <c r="I3596" t="s">
        <v>25</v>
      </c>
      <c r="J3596" s="2">
        <v>45747.54550925926</v>
      </c>
      <c r="K3596">
        <v>31</v>
      </c>
      <c r="L3596">
        <v>3</v>
      </c>
      <c r="M3596">
        <v>2025</v>
      </c>
      <c r="N3596" t="s">
        <v>27</v>
      </c>
      <c r="O3596">
        <v>100</v>
      </c>
      <c r="P3596">
        <v>100</v>
      </c>
      <c r="R3596" s="3" t="str">
        <f>HYPERLINK("https://panda.att.com.mx/ODKServer/view/binaryData?blobKey=FSSuministroFluidosv3%5B%40version%3Dnull+and+%40uiVersion%3Dnull%5D%2Fdata%5B%40key%3Duuid%3Adca837cb-b828-473b-852a-c1941199b579%5D%2FgroupInfoFuel%5B%40ordinal%3D1%5D%2FpicFuelRecibeInterno","Descargar")</f>
        <v>Descargar</v>
      </c>
    </row>
    <row r="3597" spans="1:18" x14ac:dyDescent="0.3">
      <c r="A3597">
        <v>1510263</v>
      </c>
      <c r="B3597" t="s">
        <v>18</v>
      </c>
      <c r="C3597" t="s">
        <v>55</v>
      </c>
      <c r="D3597" t="s">
        <v>56</v>
      </c>
      <c r="E3597" t="s">
        <v>2945</v>
      </c>
      <c r="F3597" t="s">
        <v>22</v>
      </c>
      <c r="G3597" t="s">
        <v>23</v>
      </c>
      <c r="H3597" t="s">
        <v>1763</v>
      </c>
      <c r="I3597" t="s">
        <v>25</v>
      </c>
      <c r="J3597" s="2">
        <v>45727.464212962957</v>
      </c>
      <c r="K3597">
        <v>11</v>
      </c>
      <c r="L3597">
        <v>3</v>
      </c>
      <c r="M3597">
        <v>2025</v>
      </c>
      <c r="N3597" t="s">
        <v>27</v>
      </c>
      <c r="O3597">
        <v>100</v>
      </c>
      <c r="P3597">
        <v>100</v>
      </c>
      <c r="R3597" s="3" t="str">
        <f>HYPERLINK("https://panda.att.com.mx/ODKServer/view/binaryData?blobKey=FSSuministroFluidosv3%5B%40version%3Dnull+and+%40uiVersion%3Dnull%5D%2Fdata%5B%40key%3Duuid%3Ac93b3c35-a7d4-4e4b-9767-592f56b2ee7e%5D%2FgroupInfoFuel%5B%40ordinal%3D1%5D%2FpicFuelRecibeInterno","Descargar")</f>
        <v>Descargar</v>
      </c>
    </row>
    <row r="3598" spans="1:18" x14ac:dyDescent="0.3">
      <c r="A3598">
        <v>1510261</v>
      </c>
      <c r="B3598" t="s">
        <v>18</v>
      </c>
      <c r="C3598" t="s">
        <v>55</v>
      </c>
      <c r="D3598" t="s">
        <v>917</v>
      </c>
      <c r="E3598" t="s">
        <v>2946</v>
      </c>
      <c r="F3598" t="s">
        <v>22</v>
      </c>
      <c r="G3598" t="s">
        <v>23</v>
      </c>
      <c r="H3598" t="s">
        <v>1763</v>
      </c>
      <c r="I3598" t="s">
        <v>25</v>
      </c>
      <c r="J3598" s="2">
        <v>45744.65861111111</v>
      </c>
      <c r="K3598">
        <v>28</v>
      </c>
      <c r="L3598">
        <v>3</v>
      </c>
      <c r="M3598">
        <v>2025</v>
      </c>
      <c r="N3598" t="s">
        <v>27</v>
      </c>
      <c r="O3598">
        <v>200</v>
      </c>
      <c r="P3598">
        <v>200</v>
      </c>
      <c r="R3598" s="3" t="str">
        <f>HYPERLINK("https://panda.att.com.mx/ODKServer/view/binaryData?blobKey=FSSuministroFluidosv3%5B%40version%3Dnull+and+%40uiVersion%3Dnull%5D%2Fdata%5B%40key%3Duuid%3A59783efb-f9a7-41e3-aae1-a073405151ba%5D%2FgroupInfoFuel%5B%40ordinal%3D1%5D%2FpicFuelRecibeInterno","Descargar")</f>
        <v>Descargar</v>
      </c>
    </row>
    <row r="3599" spans="1:18" x14ac:dyDescent="0.3">
      <c r="A3599">
        <v>1510186</v>
      </c>
      <c r="B3599" t="s">
        <v>18</v>
      </c>
      <c r="C3599" t="s">
        <v>68</v>
      </c>
      <c r="D3599" t="s">
        <v>2923</v>
      </c>
      <c r="E3599" t="s">
        <v>2924</v>
      </c>
      <c r="F3599" t="s">
        <v>22</v>
      </c>
      <c r="G3599" t="s">
        <v>23</v>
      </c>
      <c r="H3599" t="s">
        <v>37</v>
      </c>
      <c r="I3599" t="s">
        <v>25</v>
      </c>
      <c r="J3599" s="2">
        <v>45745.34170138889</v>
      </c>
      <c r="K3599">
        <v>29</v>
      </c>
      <c r="L3599">
        <v>3</v>
      </c>
      <c r="M3599">
        <v>2025</v>
      </c>
      <c r="N3599" t="s">
        <v>27</v>
      </c>
      <c r="O3599">
        <v>70</v>
      </c>
      <c r="P3599">
        <v>70</v>
      </c>
      <c r="R3599" s="3" t="str">
        <f>HYPERLINK("https://panda.att.com.mx/ODKServer/view/binaryData?blobKey=FSSuministroFluidosv3%5B%40version%3Dnull+and+%40uiVersion%3Dnull%5D%2Fdata%5B%40key%3Duuid%3Ad9f0d2bd-e42c-4fc9-a75d-7206a0d4308a%5D%2FgroupInfoFuel%5B%40ordinal%3D1%5D%2FpicFuelRecibeInterno","Descargar")</f>
        <v>Descargar</v>
      </c>
    </row>
    <row r="3600" spans="1:18" x14ac:dyDescent="0.3">
      <c r="A3600">
        <v>1510185</v>
      </c>
      <c r="B3600" t="s">
        <v>18</v>
      </c>
      <c r="C3600" t="s">
        <v>68</v>
      </c>
      <c r="D3600" t="s">
        <v>2923</v>
      </c>
      <c r="E3600" t="s">
        <v>2924</v>
      </c>
      <c r="F3600" t="s">
        <v>22</v>
      </c>
      <c r="G3600" t="s">
        <v>23</v>
      </c>
      <c r="H3600" t="s">
        <v>37</v>
      </c>
      <c r="I3600" t="s">
        <v>25</v>
      </c>
      <c r="J3600" s="2">
        <v>45745.31695601852</v>
      </c>
      <c r="K3600">
        <v>29</v>
      </c>
      <c r="L3600">
        <v>3</v>
      </c>
      <c r="M3600">
        <v>2025</v>
      </c>
      <c r="N3600" t="s">
        <v>27</v>
      </c>
      <c r="O3600">
        <v>100</v>
      </c>
      <c r="P3600">
        <v>100</v>
      </c>
      <c r="R3600" s="3" t="str">
        <f>HYPERLINK("https://panda.att.com.mx/ODKServer/view/binaryData?blobKey=FSSuministroFluidosv3%5B%40version%3Dnull+and+%40uiVersion%3Dnull%5D%2Fdata%5B%40key%3Duuid%3A2682ff78-6834-4143-9897-e12dd1909d43%5D%2FgroupInfoFuel%5B%40ordinal%3D1%5D%2FpicFuelRecibeInterno","Descargar")</f>
        <v>Descargar</v>
      </c>
    </row>
    <row r="3601" spans="1:18" x14ac:dyDescent="0.3">
      <c r="A3601">
        <v>1510170</v>
      </c>
      <c r="B3601" t="s">
        <v>18</v>
      </c>
      <c r="C3601" t="s">
        <v>68</v>
      </c>
      <c r="D3601" t="s">
        <v>2923</v>
      </c>
      <c r="E3601" t="s">
        <v>2924</v>
      </c>
      <c r="F3601" t="s">
        <v>22</v>
      </c>
      <c r="G3601" t="s">
        <v>23</v>
      </c>
      <c r="H3601" t="s">
        <v>37</v>
      </c>
      <c r="I3601" t="s">
        <v>25</v>
      </c>
      <c r="J3601" s="2">
        <v>45738.446481481478</v>
      </c>
      <c r="K3601">
        <v>22</v>
      </c>
      <c r="L3601">
        <v>3</v>
      </c>
      <c r="M3601">
        <v>2025</v>
      </c>
      <c r="N3601" t="s">
        <v>27</v>
      </c>
      <c r="O3601">
        <v>140</v>
      </c>
      <c r="P3601">
        <v>140</v>
      </c>
      <c r="R3601" s="3" t="str">
        <f>HYPERLINK("https://panda.att.com.mx/ODKServer/view/binaryData?blobKey=FSSuministroFluidosv3%5B%40version%3Dnull+and+%40uiVersion%3Dnull%5D%2Fdata%5B%40key%3Duuid%3A14812ae0-973c-4d9b-b52f-ce61c38eb19f%5D%2FgroupInfoFuel%5B%40ordinal%3D1%5D%2FpicFuelRecibeInterno","Descargar")</f>
        <v>Descargar</v>
      </c>
    </row>
    <row r="3602" spans="1:18" x14ac:dyDescent="0.3">
      <c r="A3602">
        <v>1510106</v>
      </c>
      <c r="B3602" t="s">
        <v>18</v>
      </c>
      <c r="C3602" t="s">
        <v>34</v>
      </c>
      <c r="D3602" t="s">
        <v>53</v>
      </c>
      <c r="E3602" t="s">
        <v>1623</v>
      </c>
      <c r="F3602" t="s">
        <v>22</v>
      </c>
      <c r="G3602" t="s">
        <v>23</v>
      </c>
      <c r="H3602" t="s">
        <v>37</v>
      </c>
      <c r="I3602" t="s">
        <v>25</v>
      </c>
      <c r="J3602" s="2">
        <v>45736.684525462973</v>
      </c>
      <c r="K3602">
        <v>20</v>
      </c>
      <c r="L3602">
        <v>3</v>
      </c>
      <c r="M3602">
        <v>2025</v>
      </c>
      <c r="N3602" t="s">
        <v>27</v>
      </c>
      <c r="O3602">
        <v>300</v>
      </c>
      <c r="Q3602">
        <v>300</v>
      </c>
      <c r="R3602" s="3" t="str">
        <f>HYPERLINK("https://panda.att.com.mx/ODKServer/view/binaryData?blobKey=FSSuministroFluidosv3%5B%40version%3Dnull+and+%40uiVersion%3Dnull%5D%2Fdata%5B%40key%3Duuid%3A68821d62-9f79-43c0-9f9c-2c8314568320%5D%2FgroupInfoFuel%5B%40ordinal%3D1%5D%2FpicFuelRecibeInterno","Descargar")</f>
        <v>Descargar</v>
      </c>
    </row>
    <row r="3603" spans="1:18" x14ac:dyDescent="0.3">
      <c r="A3603">
        <v>1510010</v>
      </c>
      <c r="B3603" t="s">
        <v>18</v>
      </c>
      <c r="C3603" t="s">
        <v>55</v>
      </c>
      <c r="D3603" t="s">
        <v>64</v>
      </c>
      <c r="E3603" t="s">
        <v>2008</v>
      </c>
      <c r="F3603" t="s">
        <v>22</v>
      </c>
      <c r="G3603" t="s">
        <v>23</v>
      </c>
      <c r="H3603" t="s">
        <v>1763</v>
      </c>
      <c r="I3603" t="s">
        <v>25</v>
      </c>
      <c r="J3603" t="s">
        <v>2947</v>
      </c>
      <c r="K3603">
        <v>1</v>
      </c>
      <c r="L3603">
        <v>4</v>
      </c>
      <c r="M3603">
        <v>2025</v>
      </c>
      <c r="N3603" t="s">
        <v>27</v>
      </c>
      <c r="O3603">
        <v>250</v>
      </c>
      <c r="P3603">
        <v>250</v>
      </c>
      <c r="R3603" s="3" t="str">
        <f>HYPERLINK("https://panda.att.com.mx/ODKServer/view/binaryData?blobKey=FSSuministroFluidosv3%5B%40version%3Dnull+and+%40uiVersion%3Dnull%5D%2Fdata%5B%40key%3Duuid%3Af08411a8-f6eb-4678-8993-81eebbdf475a%5D%2FgroupInfoFuel%5B%40ordinal%3D1%5D%2FpicFuelRecibeInterno","Descargar")</f>
        <v>Descargar</v>
      </c>
    </row>
    <row r="3604" spans="1:18" x14ac:dyDescent="0.3">
      <c r="A3604">
        <v>1509661</v>
      </c>
      <c r="B3604" t="s">
        <v>18</v>
      </c>
      <c r="C3604" t="s">
        <v>59</v>
      </c>
      <c r="D3604" t="s">
        <v>574</v>
      </c>
      <c r="E3604" t="s">
        <v>714</v>
      </c>
      <c r="F3604" t="s">
        <v>22</v>
      </c>
      <c r="G3604" t="s">
        <v>83</v>
      </c>
      <c r="H3604" t="s">
        <v>1816</v>
      </c>
      <c r="I3604" t="s">
        <v>25</v>
      </c>
      <c r="J3604" s="2">
        <v>45741.78197916667</v>
      </c>
      <c r="K3604">
        <v>25</v>
      </c>
      <c r="L3604">
        <v>3</v>
      </c>
      <c r="M3604">
        <v>2025</v>
      </c>
      <c r="N3604" t="s">
        <v>27</v>
      </c>
      <c r="O3604">
        <v>270</v>
      </c>
      <c r="Q3604">
        <v>270</v>
      </c>
      <c r="R3604" s="3" t="str">
        <f>HYPERLINK("https://panda.att.com.mx/ODKServer/view/binaryData?blobKey=FSSuministroFluidosv3%5B%40version%3Dnull+and+%40uiVersion%3Dnull%5D%2Fdata%5B%40key%3Duuid%3A077cb529-7a72-4406-a726-8102d0f8b005%5D%2FgroupInfoFuel%5B%40ordinal%3D1%5D%2FpicFuelRecibeInterno","Descargar")</f>
        <v>Descargar</v>
      </c>
    </row>
    <row r="3605" spans="1:18" x14ac:dyDescent="0.3">
      <c r="A3605">
        <v>1509591</v>
      </c>
      <c r="B3605" t="s">
        <v>18</v>
      </c>
      <c r="C3605" t="s">
        <v>55</v>
      </c>
      <c r="D3605" t="s">
        <v>1870</v>
      </c>
      <c r="E3605" t="s">
        <v>2948</v>
      </c>
      <c r="F3605" t="s">
        <v>22</v>
      </c>
      <c r="G3605" t="s">
        <v>23</v>
      </c>
      <c r="H3605" t="s">
        <v>1763</v>
      </c>
      <c r="I3605" t="s">
        <v>25</v>
      </c>
      <c r="J3605" s="2">
        <v>45744.601354166669</v>
      </c>
      <c r="K3605">
        <v>28</v>
      </c>
      <c r="L3605">
        <v>3</v>
      </c>
      <c r="M3605">
        <v>2025</v>
      </c>
      <c r="N3605" t="s">
        <v>27</v>
      </c>
      <c r="O3605">
        <v>100</v>
      </c>
      <c r="P3605">
        <v>100</v>
      </c>
      <c r="R3605" s="3" t="str">
        <f>HYPERLINK("https://panda.att.com.mx/ODKServer/view/binaryData?blobKey=FSSuministroFluidosv3%5B%40version%3Dnull+and+%40uiVersion%3Dnull%5D%2Fdata%5B%40key%3Duuid%3Ae3433ae1-1da5-4ac4-95f2-8d6dfdc2af70%5D%2FgroupInfoFuel%5B%40ordinal%3D1%5D%2FpicFuelRecibeInterno","Descargar")</f>
        <v>Descargar</v>
      </c>
    </row>
    <row r="3606" spans="1:18" x14ac:dyDescent="0.3">
      <c r="A3606">
        <v>1509590</v>
      </c>
      <c r="B3606" t="s">
        <v>18</v>
      </c>
      <c r="C3606" t="s">
        <v>55</v>
      </c>
      <c r="D3606" t="s">
        <v>210</v>
      </c>
      <c r="E3606" t="s">
        <v>2949</v>
      </c>
      <c r="F3606" t="s">
        <v>22</v>
      </c>
      <c r="G3606" t="s">
        <v>208</v>
      </c>
      <c r="H3606" t="s">
        <v>1763</v>
      </c>
      <c r="I3606" t="s">
        <v>25</v>
      </c>
      <c r="J3606" s="2">
        <v>45744.81527777778</v>
      </c>
      <c r="K3606">
        <v>28</v>
      </c>
      <c r="L3606">
        <v>3</v>
      </c>
      <c r="M3606">
        <v>2025</v>
      </c>
      <c r="N3606" t="s">
        <v>27</v>
      </c>
      <c r="O3606">
        <v>200</v>
      </c>
      <c r="P3606">
        <v>200</v>
      </c>
      <c r="R3606" s="3" t="str">
        <f>HYPERLINK("https://panda.att.com.mx/ODKServer/view/binaryData?blobKey=FSSuministroFluidosv3%5B%40version%3Dnull+and+%40uiVersion%3Dnull%5D%2Fdata%5B%40key%3Duuid%3Ade9df7c0-3d97-496f-a6e8-2fb1aaa8cefc%5D%2FgroupInfoFuel%5B%40ordinal%3D1%5D%2FpicFuelRecibeInterno","Descargar")</f>
        <v>Descargar</v>
      </c>
    </row>
    <row r="3607" spans="1:18" x14ac:dyDescent="0.3">
      <c r="A3607">
        <v>1509570</v>
      </c>
      <c r="B3607" t="s">
        <v>18</v>
      </c>
      <c r="C3607" t="s">
        <v>28</v>
      </c>
      <c r="D3607" t="s">
        <v>66</v>
      </c>
      <c r="E3607" t="s">
        <v>2092</v>
      </c>
      <c r="F3607" t="s">
        <v>22</v>
      </c>
      <c r="G3607" t="s">
        <v>23</v>
      </c>
      <c r="H3607" t="s">
        <v>24</v>
      </c>
      <c r="I3607" t="s">
        <v>25</v>
      </c>
      <c r="J3607" t="s">
        <v>2950</v>
      </c>
      <c r="K3607">
        <v>1</v>
      </c>
      <c r="L3607">
        <v>4</v>
      </c>
      <c r="M3607">
        <v>2025</v>
      </c>
      <c r="N3607" t="s">
        <v>44</v>
      </c>
      <c r="O3607">
        <v>45</v>
      </c>
      <c r="P3607">
        <v>45</v>
      </c>
      <c r="R3607" s="3" t="str">
        <f>HYPERLINK("https://panda.att.com.mx/ODKServer/view/binaryData?blobKey=FSSuministroFluidosv3%5B%40version%3Dnull+and+%40uiVersion%3Dnull%5D%2Fdata%5B%40key%3Duuid%3Aa3bd853c-d633-42a3-b42c-f22787d989ce%5D%2FgroupInfoFuel%5B%40ordinal%3D1%5D%2FpicFuelRecibeInterno","Descargar")</f>
        <v>Descargar</v>
      </c>
    </row>
    <row r="3608" spans="1:18" x14ac:dyDescent="0.3">
      <c r="A3608">
        <v>1509433</v>
      </c>
      <c r="B3608" t="s">
        <v>18</v>
      </c>
      <c r="C3608" t="s">
        <v>55</v>
      </c>
      <c r="D3608" t="s">
        <v>56</v>
      </c>
      <c r="E3608" t="s">
        <v>1555</v>
      </c>
      <c r="F3608" t="s">
        <v>22</v>
      </c>
      <c r="G3608" t="s">
        <v>23</v>
      </c>
      <c r="H3608" t="s">
        <v>1763</v>
      </c>
      <c r="I3608" t="s">
        <v>25</v>
      </c>
      <c r="J3608" s="2">
        <v>45745.704282407409</v>
      </c>
      <c r="K3608">
        <v>29</v>
      </c>
      <c r="L3608">
        <v>3</v>
      </c>
      <c r="M3608">
        <v>2025</v>
      </c>
      <c r="N3608" t="s">
        <v>27</v>
      </c>
      <c r="O3608">
        <v>300</v>
      </c>
      <c r="P3608">
        <v>300</v>
      </c>
      <c r="R3608" s="3" t="str">
        <f>HYPERLINK("https://panda.att.com.mx/ODKServer/view/binaryData?blobKey=FSSuministroFluidosv3%5B%40version%3Dnull+and+%40uiVersion%3Dnull%5D%2Fdata%5B%40key%3Duuid%3A0cf5e421-7e87-4716-a4f3-2f9a36d9c4d9%5D%2FgroupInfoFuel%5B%40ordinal%3D1%5D%2FpicFuelRecibeInterno","Descargar")</f>
        <v>Descargar</v>
      </c>
    </row>
    <row r="3609" spans="1:18" x14ac:dyDescent="0.3">
      <c r="A3609">
        <v>1509422</v>
      </c>
      <c r="B3609" t="s">
        <v>18</v>
      </c>
      <c r="C3609" t="s">
        <v>19</v>
      </c>
      <c r="D3609" t="s">
        <v>45</v>
      </c>
      <c r="E3609" t="s">
        <v>2951</v>
      </c>
      <c r="F3609" t="s">
        <v>22</v>
      </c>
      <c r="G3609" t="s">
        <v>47</v>
      </c>
      <c r="H3609" t="s">
        <v>24</v>
      </c>
      <c r="I3609" t="s">
        <v>25</v>
      </c>
      <c r="J3609" s="2">
        <v>45747.821863425917</v>
      </c>
      <c r="K3609">
        <v>31</v>
      </c>
      <c r="L3609">
        <v>3</v>
      </c>
      <c r="M3609">
        <v>2025</v>
      </c>
      <c r="N3609" t="s">
        <v>27</v>
      </c>
      <c r="O3609">
        <v>225</v>
      </c>
      <c r="P3609">
        <v>225</v>
      </c>
      <c r="R3609" s="3" t="str">
        <f>HYPERLINK("https://panda.att.com.mx/ODKServer/view/binaryData?blobKey=FSSuministroFluidosv3%5B%40version%3Dnull+and+%40uiVersion%3Dnull%5D%2Fdata%5B%40key%3Duuid%3A008f1430-bec4-4790-9330-1465a3d6894d%5D%2FgroupInfoFuel%5B%40ordinal%3D1%5D%2FpicFuelRecibeInterno","Descargar")</f>
        <v>Descargar</v>
      </c>
    </row>
    <row r="3610" spans="1:18" x14ac:dyDescent="0.3">
      <c r="A3610">
        <v>1509393</v>
      </c>
      <c r="B3610" t="s">
        <v>18</v>
      </c>
      <c r="C3610" t="s">
        <v>19</v>
      </c>
      <c r="D3610" t="s">
        <v>45</v>
      </c>
      <c r="E3610" t="s">
        <v>807</v>
      </c>
      <c r="F3610" t="s">
        <v>22</v>
      </c>
      <c r="G3610" t="s">
        <v>47</v>
      </c>
      <c r="H3610" t="s">
        <v>24</v>
      </c>
      <c r="I3610" t="s">
        <v>25</v>
      </c>
      <c r="J3610" s="2">
        <v>45747.803159722222</v>
      </c>
      <c r="K3610">
        <v>31</v>
      </c>
      <c r="L3610">
        <v>3</v>
      </c>
      <c r="M3610">
        <v>2025</v>
      </c>
      <c r="N3610" t="s">
        <v>27</v>
      </c>
      <c r="O3610">
        <v>300</v>
      </c>
      <c r="P3610">
        <v>300</v>
      </c>
      <c r="R3610" s="3" t="str">
        <f>HYPERLINK("https://panda.att.com.mx/ODKServer/view/binaryData?blobKey=FSSuministroFluidosv3%5B%40version%3Dnull+and+%40uiVersion%3Dnull%5D%2Fdata%5B%40key%3Duuid%3Ad1e31d5a-fd69-4c01-9e5e-deb182f3658f%5D%2FgroupInfoFuel%5B%40ordinal%3D1%5D%2FpicFuelRecibeInterno","Descargar")</f>
        <v>Descargar</v>
      </c>
    </row>
    <row r="3611" spans="1:18" x14ac:dyDescent="0.3">
      <c r="A3611">
        <v>1509374</v>
      </c>
      <c r="B3611" t="s">
        <v>18</v>
      </c>
      <c r="C3611" t="s">
        <v>19</v>
      </c>
      <c r="D3611" t="s">
        <v>45</v>
      </c>
      <c r="E3611" t="s">
        <v>752</v>
      </c>
      <c r="F3611" t="s">
        <v>22</v>
      </c>
      <c r="G3611" t="s">
        <v>23</v>
      </c>
      <c r="H3611" t="s">
        <v>24</v>
      </c>
      <c r="I3611" t="s">
        <v>25</v>
      </c>
      <c r="J3611" s="2">
        <v>45744.850810185177</v>
      </c>
      <c r="K3611">
        <v>28</v>
      </c>
      <c r="L3611">
        <v>3</v>
      </c>
      <c r="M3611">
        <v>2025</v>
      </c>
      <c r="N3611" t="s">
        <v>27</v>
      </c>
      <c r="O3611">
        <v>400</v>
      </c>
      <c r="P3611">
        <v>400</v>
      </c>
      <c r="R3611" s="3" t="str">
        <f>HYPERLINK("https://panda.att.com.mx/ODKServer/view/binaryData?blobKey=FSSuministroFluidosv3%5B%40version%3Dnull+and+%40uiVersion%3Dnull%5D%2Fdata%5B%40key%3Duuid%3A1726ae58-ff85-495b-b66f-d8ed98ec11e6%5D%2FgroupInfoFuel%5B%40ordinal%3D1%5D%2FpicFuelRecibeInterno","Descargar")</f>
        <v>Descargar</v>
      </c>
    </row>
    <row r="3612" spans="1:18" x14ac:dyDescent="0.3">
      <c r="A3612">
        <v>1509373</v>
      </c>
      <c r="B3612" t="s">
        <v>18</v>
      </c>
      <c r="C3612" t="s">
        <v>19</v>
      </c>
      <c r="D3612" t="s">
        <v>45</v>
      </c>
      <c r="E3612" t="s">
        <v>2952</v>
      </c>
      <c r="F3612" t="s">
        <v>22</v>
      </c>
      <c r="G3612" t="s">
        <v>47</v>
      </c>
      <c r="H3612" t="s">
        <v>24</v>
      </c>
      <c r="I3612" t="s">
        <v>25</v>
      </c>
      <c r="J3612" s="2">
        <v>45747.785925925928</v>
      </c>
      <c r="K3612">
        <v>31</v>
      </c>
      <c r="L3612">
        <v>3</v>
      </c>
      <c r="M3612">
        <v>2025</v>
      </c>
      <c r="N3612" t="s">
        <v>27</v>
      </c>
      <c r="O3612">
        <v>300</v>
      </c>
      <c r="P3612">
        <v>300</v>
      </c>
      <c r="R3612" s="3" t="str">
        <f>HYPERLINK("https://panda.att.com.mx/ODKServer/view/binaryData?blobKey=FSSuministroFluidosv3%5B%40version%3Dnull+and+%40uiVersion%3Dnull%5D%2Fdata%5B%40key%3Duuid%3Ad3e5294d-ab78-41c1-bcc4-9eb620ac7b2f%5D%2FgroupInfoFuel%5B%40ordinal%3D1%5D%2FpicFuelRecibeInterno","Descargar")</f>
        <v>Descargar</v>
      </c>
    </row>
    <row r="3613" spans="1:18" x14ac:dyDescent="0.3">
      <c r="A3613">
        <v>1509096</v>
      </c>
      <c r="B3613" t="s">
        <v>18</v>
      </c>
      <c r="C3613" t="s">
        <v>19</v>
      </c>
      <c r="D3613" t="s">
        <v>45</v>
      </c>
      <c r="E3613" t="s">
        <v>2117</v>
      </c>
      <c r="F3613" t="s">
        <v>22</v>
      </c>
      <c r="G3613" t="s">
        <v>23</v>
      </c>
      <c r="H3613" t="s">
        <v>24</v>
      </c>
      <c r="I3613" t="s">
        <v>25</v>
      </c>
      <c r="J3613" s="2">
        <v>45741.573553240742</v>
      </c>
      <c r="K3613">
        <v>25</v>
      </c>
      <c r="L3613">
        <v>3</v>
      </c>
      <c r="M3613">
        <v>2025</v>
      </c>
      <c r="N3613" t="s">
        <v>27</v>
      </c>
      <c r="O3613">
        <v>100</v>
      </c>
      <c r="P3613">
        <v>100</v>
      </c>
      <c r="R3613" s="3" t="str">
        <f>HYPERLINK("https://panda.att.com.mx/ODKServer/view/binaryData?blobKey=FSSuministroFluidosv3%5B%40version%3Dnull+and+%40uiVersion%3Dnull%5D%2Fdata%5B%40key%3Duuid%3A0f5053da-91a3-43a8-9710-3878a983bcd3%5D%2FgroupInfoFuel%5B%40ordinal%3D1%5D%2FpicFuelRecibeInterno","Descargar")</f>
        <v>Descargar</v>
      </c>
    </row>
    <row r="3614" spans="1:18" x14ac:dyDescent="0.3">
      <c r="A3614">
        <v>1508884</v>
      </c>
      <c r="B3614" t="s">
        <v>18</v>
      </c>
      <c r="C3614" t="s">
        <v>19</v>
      </c>
      <c r="D3614" t="s">
        <v>140</v>
      </c>
      <c r="E3614" t="s">
        <v>1599</v>
      </c>
      <c r="F3614" t="s">
        <v>22</v>
      </c>
      <c r="G3614" t="s">
        <v>23</v>
      </c>
      <c r="H3614" t="s">
        <v>24</v>
      </c>
      <c r="I3614" t="s">
        <v>25</v>
      </c>
      <c r="J3614" s="2">
        <v>45743.492893518523</v>
      </c>
      <c r="K3614">
        <v>27</v>
      </c>
      <c r="L3614">
        <v>3</v>
      </c>
      <c r="M3614">
        <v>2025</v>
      </c>
      <c r="N3614" t="s">
        <v>27</v>
      </c>
      <c r="O3614">
        <v>200</v>
      </c>
      <c r="P3614">
        <v>200</v>
      </c>
      <c r="R3614" s="3" t="str">
        <f>HYPERLINK("https://panda.att.com.mx/ODKServer/view/binaryData?blobKey=FSSuministroFluidosv3%5B%40version%3Dnull+and+%40uiVersion%3Dnull%5D%2Fdata%5B%40key%3Duuid%3A9b5f4a9e-4e53-48bd-954e-937f8d2e45d6%5D%2FgroupInfoFuel%5B%40ordinal%3D1%5D%2FpicFuelRecibeInterno","Descargar")</f>
        <v>Descargar</v>
      </c>
    </row>
    <row r="3615" spans="1:18" x14ac:dyDescent="0.3">
      <c r="A3615">
        <v>1508875</v>
      </c>
      <c r="B3615" t="s">
        <v>18</v>
      </c>
      <c r="C3615" t="s">
        <v>28</v>
      </c>
      <c r="D3615" t="s">
        <v>1036</v>
      </c>
      <c r="E3615" t="s">
        <v>1699</v>
      </c>
      <c r="F3615" t="s">
        <v>22</v>
      </c>
      <c r="G3615" t="s">
        <v>23</v>
      </c>
      <c r="H3615" t="s">
        <v>24</v>
      </c>
      <c r="I3615" t="s">
        <v>25</v>
      </c>
      <c r="J3615" s="2">
        <v>45746.784004629633</v>
      </c>
      <c r="K3615">
        <v>30</v>
      </c>
      <c r="L3615">
        <v>3</v>
      </c>
      <c r="M3615">
        <v>2025</v>
      </c>
      <c r="N3615" t="s">
        <v>27</v>
      </c>
      <c r="O3615">
        <v>100</v>
      </c>
      <c r="P3615">
        <v>100</v>
      </c>
      <c r="R3615" s="3" t="str">
        <f>HYPERLINK("https://panda.att.com.mx/ODKServer/view/binaryData?blobKey=FSSuministroFluidosv3%5B%40version%3Dnull+and+%40uiVersion%3Dnull%5D%2Fdata%5B%40key%3Duuid%3Aa8e0a0b6-3d4c-4023-9a06-a9bdcf62660c%5D%2FgroupInfoFuel%5B%40ordinal%3D1%5D%2FpicFuelRecibeInterno","Descargar")</f>
        <v>Descargar</v>
      </c>
    </row>
    <row r="3616" spans="1:18" x14ac:dyDescent="0.3">
      <c r="A3616">
        <v>1508651</v>
      </c>
      <c r="B3616" t="s">
        <v>18</v>
      </c>
      <c r="C3616" t="s">
        <v>55</v>
      </c>
      <c r="D3616" t="s">
        <v>56</v>
      </c>
      <c r="E3616" t="s">
        <v>2188</v>
      </c>
      <c r="F3616" t="s">
        <v>22</v>
      </c>
      <c r="G3616" t="s">
        <v>23</v>
      </c>
      <c r="H3616" t="s">
        <v>1763</v>
      </c>
      <c r="I3616" t="s">
        <v>25</v>
      </c>
      <c r="J3616" s="2">
        <v>45737.675092592603</v>
      </c>
      <c r="K3616">
        <v>21</v>
      </c>
      <c r="L3616">
        <v>3</v>
      </c>
      <c r="M3616">
        <v>2025</v>
      </c>
      <c r="N3616" t="s">
        <v>27</v>
      </c>
      <c r="O3616">
        <v>100</v>
      </c>
      <c r="P3616">
        <v>100</v>
      </c>
      <c r="R3616" s="3" t="str">
        <f>HYPERLINK("https://panda.att.com.mx/ODKServer/view/binaryData?blobKey=FSSuministroFluidosv3%5B%40version%3Dnull+and+%40uiVersion%3Dnull%5D%2Fdata%5B%40key%3Duuid%3A28abc4d3-000c-428f-9234-3e9ede49c42f%5D%2FgroupInfoFuel%5B%40ordinal%3D1%5D%2FpicFuelRecibeInterno","Descargar")</f>
        <v>Descargar</v>
      </c>
    </row>
    <row r="3617" spans="1:18" x14ac:dyDescent="0.3">
      <c r="A3617">
        <v>1508644</v>
      </c>
      <c r="B3617" t="s">
        <v>18</v>
      </c>
      <c r="C3617" t="s">
        <v>19</v>
      </c>
      <c r="D3617" t="s">
        <v>189</v>
      </c>
      <c r="E3617" t="s">
        <v>2953</v>
      </c>
      <c r="F3617" t="s">
        <v>22</v>
      </c>
      <c r="G3617" t="s">
        <v>47</v>
      </c>
      <c r="H3617" t="s">
        <v>24</v>
      </c>
      <c r="I3617" t="s">
        <v>25</v>
      </c>
      <c r="J3617" s="2">
        <v>45741.457256944443</v>
      </c>
      <c r="K3617">
        <v>25</v>
      </c>
      <c r="L3617">
        <v>3</v>
      </c>
      <c r="M3617">
        <v>2025</v>
      </c>
      <c r="N3617" t="s">
        <v>27</v>
      </c>
      <c r="O3617">
        <v>120</v>
      </c>
      <c r="P3617">
        <v>120</v>
      </c>
      <c r="R3617" s="3" t="str">
        <f>HYPERLINK("https://panda.att.com.mx/ODKServer/view/binaryData?blobKey=FSSuministroFluidosv3%5B%40version%3Dnull+and+%40uiVersion%3Dnull%5D%2Fdata%5B%40key%3Duuid%3A6c090a68-2063-4f02-a915-d68bd0eb5a1b%5D%2FgroupInfoFuel%5B%40ordinal%3D1%5D%2FpicFuelRecibeInterno","Descargar")</f>
        <v>Descargar</v>
      </c>
    </row>
    <row r="3618" spans="1:18" x14ac:dyDescent="0.3">
      <c r="A3618">
        <v>1508622</v>
      </c>
      <c r="B3618" t="s">
        <v>18</v>
      </c>
      <c r="C3618" t="s">
        <v>55</v>
      </c>
      <c r="D3618" t="s">
        <v>288</v>
      </c>
      <c r="E3618" t="s">
        <v>1934</v>
      </c>
      <c r="F3618" t="s">
        <v>22</v>
      </c>
      <c r="G3618" t="s">
        <v>47</v>
      </c>
      <c r="H3618" t="s">
        <v>1763</v>
      </c>
      <c r="I3618" t="s">
        <v>25</v>
      </c>
      <c r="J3618" s="2">
        <v>45747.295335648138</v>
      </c>
      <c r="K3618">
        <v>31</v>
      </c>
      <c r="L3618">
        <v>3</v>
      </c>
      <c r="M3618">
        <v>2025</v>
      </c>
      <c r="N3618" t="s">
        <v>27</v>
      </c>
      <c r="O3618">
        <v>200</v>
      </c>
      <c r="P3618">
        <v>200</v>
      </c>
      <c r="R3618" s="3" t="str">
        <f>HYPERLINK("https://panda.att.com.mx/ODKServer/view/binaryData?blobKey=FSSuministroFluidosv3%5B%40version%3Dnull+and+%40uiVersion%3Dnull%5D%2Fdata%5B%40key%3Duuid%3A5da185e0-8d7d-4400-a176-c0b05e2bc1e2%5D%2FgroupInfoFuel%5B%40ordinal%3D1%5D%2FpicFuelRecibeInterno","Descargar")</f>
        <v>Descargar</v>
      </c>
    </row>
    <row r="3619" spans="1:18" x14ac:dyDescent="0.3">
      <c r="A3619">
        <v>1508590</v>
      </c>
      <c r="B3619" t="s">
        <v>18</v>
      </c>
      <c r="C3619" t="s">
        <v>59</v>
      </c>
      <c r="D3619" t="s">
        <v>60</v>
      </c>
      <c r="E3619" t="s">
        <v>2064</v>
      </c>
      <c r="F3619" t="s">
        <v>22</v>
      </c>
      <c r="G3619" t="s">
        <v>23</v>
      </c>
      <c r="H3619" t="s">
        <v>1816</v>
      </c>
      <c r="I3619" t="s">
        <v>25</v>
      </c>
      <c r="J3619" s="2">
        <v>45743.946655092594</v>
      </c>
      <c r="K3619">
        <v>27</v>
      </c>
      <c r="L3619">
        <v>3</v>
      </c>
      <c r="M3619">
        <v>2025</v>
      </c>
      <c r="N3619" t="s">
        <v>27</v>
      </c>
      <c r="O3619">
        <v>141.30000000000001</v>
      </c>
      <c r="P3619">
        <v>141.30000000000001</v>
      </c>
      <c r="R3619" s="3" t="str">
        <f>HYPERLINK("https://panda.att.com.mx/ODKServer/view/binaryData?blobKey=FSSuministroFluidosv3%5B%40version%3Dnull+and+%40uiVersion%3Dnull%5D%2Fdata%5B%40key%3Duuid%3A3b38cbd1-f3be-4bfb-bae1-928b5d6be2e6%5D%2FgroupInfoFuel%5B%40ordinal%3D1%5D%2FpicFuelRecibeInterno","Descargar")</f>
        <v>Descargar</v>
      </c>
    </row>
    <row r="3620" spans="1:18" x14ac:dyDescent="0.3">
      <c r="A3620">
        <v>1508587</v>
      </c>
      <c r="B3620" t="s">
        <v>18</v>
      </c>
      <c r="C3620" t="s">
        <v>167</v>
      </c>
      <c r="D3620" t="s">
        <v>385</v>
      </c>
      <c r="E3620" t="s">
        <v>2954</v>
      </c>
      <c r="F3620" t="s">
        <v>22</v>
      </c>
      <c r="G3620" t="s">
        <v>23</v>
      </c>
      <c r="H3620" t="s">
        <v>58</v>
      </c>
      <c r="I3620" t="s">
        <v>25</v>
      </c>
      <c r="J3620" s="2">
        <v>45746.447974537034</v>
      </c>
      <c r="K3620">
        <v>30</v>
      </c>
      <c r="L3620">
        <v>3</v>
      </c>
      <c r="M3620">
        <v>2025</v>
      </c>
      <c r="N3620" t="s">
        <v>27</v>
      </c>
      <c r="O3620">
        <v>120</v>
      </c>
      <c r="P3620">
        <v>120</v>
      </c>
      <c r="R3620" s="3" t="str">
        <f>HYPERLINK("https://panda.att.com.mx/ODKServer/view/binaryData?blobKey=FSSuministroFluidosv3%5B%40version%3Dnull+and+%40uiVersion%3Dnull%5D%2Fdata%5B%40key%3Duuid%3A54b4d784-e15e-4aca-a540-4dfd191ad8e5%5D%2FgroupInfoFuel%5B%40ordinal%3D1%5D%2FpicFuelRecibeInterno","Descargar")</f>
        <v>Descargar</v>
      </c>
    </row>
    <row r="3621" spans="1:18" x14ac:dyDescent="0.3">
      <c r="A3621">
        <v>1508377</v>
      </c>
      <c r="B3621" t="s">
        <v>18</v>
      </c>
      <c r="C3621" t="s">
        <v>28</v>
      </c>
      <c r="D3621" t="s">
        <v>1036</v>
      </c>
      <c r="E3621" t="s">
        <v>1699</v>
      </c>
      <c r="F3621" t="s">
        <v>22</v>
      </c>
      <c r="G3621" t="s">
        <v>23</v>
      </c>
      <c r="H3621" t="s">
        <v>24</v>
      </c>
      <c r="I3621" t="s">
        <v>25</v>
      </c>
      <c r="J3621" s="2">
        <v>45745.702060185176</v>
      </c>
      <c r="K3621">
        <v>29</v>
      </c>
      <c r="L3621">
        <v>3</v>
      </c>
      <c r="M3621">
        <v>2025</v>
      </c>
      <c r="N3621" t="s">
        <v>27</v>
      </c>
      <c r="O3621">
        <v>60</v>
      </c>
      <c r="P3621">
        <v>60</v>
      </c>
      <c r="R3621" s="3" t="str">
        <f>HYPERLINK("https://panda.att.com.mx/ODKServer/view/binaryData?blobKey=FSSuministroFluidosv3%5B%40version%3Dnull+and+%40uiVersion%3Dnull%5D%2Fdata%5B%40key%3Duuid%3A12e21111-67d1-4a0d-8fbf-c92a8ba275b5%5D%2FgroupInfoFuel%5B%40ordinal%3D1%5D%2FpicFuelRecibeInterno","Descargar")</f>
        <v>Descargar</v>
      </c>
    </row>
    <row r="3622" spans="1:18" x14ac:dyDescent="0.3">
      <c r="A3622">
        <v>1508376</v>
      </c>
      <c r="B3622" t="s">
        <v>18</v>
      </c>
      <c r="C3622" t="s">
        <v>28</v>
      </c>
      <c r="D3622" t="s">
        <v>1036</v>
      </c>
      <c r="E3622" t="s">
        <v>1699</v>
      </c>
      <c r="F3622" t="s">
        <v>22</v>
      </c>
      <c r="G3622" t="s">
        <v>23</v>
      </c>
      <c r="H3622" t="s">
        <v>24</v>
      </c>
      <c r="I3622" t="s">
        <v>25</v>
      </c>
      <c r="J3622" s="2">
        <v>45744.569189814807</v>
      </c>
      <c r="K3622">
        <v>28</v>
      </c>
      <c r="L3622">
        <v>3</v>
      </c>
      <c r="M3622">
        <v>2025</v>
      </c>
      <c r="N3622" t="s">
        <v>27</v>
      </c>
      <c r="O3622">
        <v>100</v>
      </c>
      <c r="P3622">
        <v>100</v>
      </c>
      <c r="R3622" s="3" t="str">
        <f>HYPERLINK("https://panda.att.com.mx/ODKServer/view/binaryData?blobKey=FSSuministroFluidosv3%5B%40version%3Dnull+and+%40uiVersion%3Dnull%5D%2Fdata%5B%40key%3Duuid%3A79c8902e-068e-4335-bf0c-324062f15248%5D%2FgroupInfoFuel%5B%40ordinal%3D1%5D%2FpicFuelRecibeInterno","Descargar")</f>
        <v>Descargar</v>
      </c>
    </row>
    <row r="3623" spans="1:18" x14ac:dyDescent="0.3">
      <c r="A3623">
        <v>1508356</v>
      </c>
      <c r="B3623" t="s">
        <v>18</v>
      </c>
      <c r="C3623" t="s">
        <v>28</v>
      </c>
      <c r="D3623" t="s">
        <v>29</v>
      </c>
      <c r="E3623" t="s">
        <v>194</v>
      </c>
      <c r="F3623" t="s">
        <v>22</v>
      </c>
      <c r="G3623" t="s">
        <v>23</v>
      </c>
      <c r="H3623" t="s">
        <v>24</v>
      </c>
      <c r="I3623" t="s">
        <v>25</v>
      </c>
      <c r="J3623" s="2">
        <v>45744.662557870368</v>
      </c>
      <c r="K3623">
        <v>28</v>
      </c>
      <c r="L3623">
        <v>3</v>
      </c>
      <c r="M3623">
        <v>2025</v>
      </c>
      <c r="N3623" t="s">
        <v>27</v>
      </c>
      <c r="O3623">
        <v>250</v>
      </c>
      <c r="Q3623">
        <v>250</v>
      </c>
      <c r="R3623" s="3" t="str">
        <f>HYPERLINK("https://panda.att.com.mx/ODKServer/view/binaryData?blobKey=FSSuministroFluidosv3%5B%40version%3Dnull+and+%40uiVersion%3Dnull%5D%2Fdata%5B%40key%3Duuid%3A3eeee3be-622d-425b-9740-a388311ba2ef%5D%2FgroupInfoFuel%5B%40ordinal%3D1%5D%2FpicFuelRecibeInterno","Descargar")</f>
        <v>Descargar</v>
      </c>
    </row>
    <row r="3624" spans="1:18" x14ac:dyDescent="0.3">
      <c r="A3624">
        <v>1508298</v>
      </c>
      <c r="B3624" t="s">
        <v>18</v>
      </c>
      <c r="C3624" t="s">
        <v>28</v>
      </c>
      <c r="D3624" t="s">
        <v>1036</v>
      </c>
      <c r="E3624" t="s">
        <v>1699</v>
      </c>
      <c r="F3624" t="s">
        <v>22</v>
      </c>
      <c r="G3624" t="s">
        <v>23</v>
      </c>
      <c r="H3624" t="s">
        <v>24</v>
      </c>
      <c r="I3624" t="s">
        <v>25</v>
      </c>
      <c r="J3624" s="2">
        <v>45743.87122685185</v>
      </c>
      <c r="K3624">
        <v>27</v>
      </c>
      <c r="L3624">
        <v>3</v>
      </c>
      <c r="M3624">
        <v>2025</v>
      </c>
      <c r="N3624" t="s">
        <v>27</v>
      </c>
      <c r="O3624">
        <v>100</v>
      </c>
      <c r="P3624">
        <v>100</v>
      </c>
      <c r="R3624" s="3" t="str">
        <f>HYPERLINK("https://panda.att.com.mx/ODKServer/view/binaryData?blobKey=FSSuministroFluidosv3%5B%40version%3Dnull+and+%40uiVersion%3Dnull%5D%2Fdata%5B%40key%3Duuid%3A937fd482-a4a4-4661-ba43-8afb75c8ce3e%5D%2FgroupInfoFuel%5B%40ordinal%3D1%5D%2FpicFuelRecibeInterno","Descargar")</f>
        <v>Descargar</v>
      </c>
    </row>
    <row r="3625" spans="1:18" x14ac:dyDescent="0.3">
      <c r="A3625">
        <v>1508292</v>
      </c>
      <c r="B3625" t="s">
        <v>18</v>
      </c>
      <c r="C3625" t="s">
        <v>34</v>
      </c>
      <c r="D3625" t="s">
        <v>51</v>
      </c>
      <c r="E3625" t="s">
        <v>1889</v>
      </c>
      <c r="F3625" t="s">
        <v>22</v>
      </c>
      <c r="G3625" t="s">
        <v>23</v>
      </c>
      <c r="H3625" t="s">
        <v>24</v>
      </c>
      <c r="I3625" t="s">
        <v>25</v>
      </c>
      <c r="J3625" s="2">
        <v>45745.404062499998</v>
      </c>
      <c r="K3625">
        <v>29</v>
      </c>
      <c r="L3625">
        <v>3</v>
      </c>
      <c r="M3625">
        <v>2025</v>
      </c>
      <c r="N3625" t="s">
        <v>27</v>
      </c>
      <c r="O3625">
        <v>100</v>
      </c>
      <c r="P3625">
        <v>100</v>
      </c>
      <c r="R3625" s="3" t="str">
        <f>HYPERLINK("https://panda.att.com.mx/ODKServer/view/binaryData?blobKey=FSSuministroFluidosv3%5B%40version%3Dnull+and+%40uiVersion%3Dnull%5D%2Fdata%5B%40key%3Duuid%3A496bee17-9844-49aa-8e32-df1b69780d67%5D%2FgroupInfoFuel%5B%40ordinal%3D1%5D%2FpicFuelRecibeInterno","Descargar")</f>
        <v>Descargar</v>
      </c>
    </row>
    <row r="3626" spans="1:18" x14ac:dyDescent="0.3">
      <c r="A3626">
        <v>1508256</v>
      </c>
      <c r="B3626" t="s">
        <v>18</v>
      </c>
      <c r="C3626" t="s">
        <v>34</v>
      </c>
      <c r="D3626" t="s">
        <v>53</v>
      </c>
      <c r="E3626" t="s">
        <v>593</v>
      </c>
      <c r="F3626" t="s">
        <v>22</v>
      </c>
      <c r="G3626" t="s">
        <v>83</v>
      </c>
      <c r="H3626" t="s">
        <v>390</v>
      </c>
      <c r="I3626" t="s">
        <v>25</v>
      </c>
      <c r="J3626" s="2">
        <v>45745.470613425918</v>
      </c>
      <c r="K3626">
        <v>29</v>
      </c>
      <c r="L3626">
        <v>3</v>
      </c>
      <c r="M3626">
        <v>2025</v>
      </c>
      <c r="N3626" t="s">
        <v>27</v>
      </c>
      <c r="O3626">
        <v>400</v>
      </c>
      <c r="P3626">
        <v>400</v>
      </c>
      <c r="R3626" s="3" t="str">
        <f>HYPERLINK("https://panda.att.com.mx/ODKServer/view/binaryData?blobKey=FSSuministroFluidosv3%5B%40version%3Dnull+and+%40uiVersion%3Dnull%5D%2Fdata%5B%40key%3Duuid%3Aa2125547-d142-42c1-8390-8fbb968f0658%5D%2FgroupInfoFuel%5B%40ordinal%3D1%5D%2FpicFuelRecibeInterno","Descargar")</f>
        <v>Descargar</v>
      </c>
    </row>
    <row r="3627" spans="1:18" x14ac:dyDescent="0.3">
      <c r="A3627">
        <v>1506846</v>
      </c>
      <c r="B3627" t="s">
        <v>18</v>
      </c>
      <c r="C3627" t="s">
        <v>55</v>
      </c>
      <c r="D3627" t="s">
        <v>56</v>
      </c>
      <c r="E3627" t="s">
        <v>2188</v>
      </c>
      <c r="F3627" t="s">
        <v>22</v>
      </c>
      <c r="G3627" t="s">
        <v>23</v>
      </c>
      <c r="H3627" t="s">
        <v>1763</v>
      </c>
      <c r="I3627" t="s">
        <v>25</v>
      </c>
      <c r="J3627" s="2">
        <v>45727.515011574083</v>
      </c>
      <c r="K3627">
        <v>11</v>
      </c>
      <c r="L3627">
        <v>3</v>
      </c>
      <c r="M3627">
        <v>2025</v>
      </c>
      <c r="N3627" t="s">
        <v>27</v>
      </c>
      <c r="O3627">
        <v>140</v>
      </c>
      <c r="P3627">
        <v>140</v>
      </c>
      <c r="R3627" s="3" t="str">
        <f>HYPERLINK("https://panda.att.com.mx/ODKServer/view/binaryData?blobKey=FSSuministroFluidosv3%5B%40version%3Dnull+and+%40uiVersion%3Dnull%5D%2Fdata%5B%40key%3Duuid%3A22d07fae-8ab9-433f-8b3a-543f637a822b%5D%2FgroupInfoFuel%5B%40ordinal%3D1%5D%2FpicFuelRecibeInterno","Descargar")</f>
        <v>Descargar</v>
      </c>
    </row>
    <row r="3628" spans="1:18" x14ac:dyDescent="0.3">
      <c r="A3628">
        <v>1506845</v>
      </c>
      <c r="B3628" t="s">
        <v>18</v>
      </c>
      <c r="C3628" t="s">
        <v>55</v>
      </c>
      <c r="D3628" t="s">
        <v>56</v>
      </c>
      <c r="E3628" t="s">
        <v>81</v>
      </c>
      <c r="F3628" t="s">
        <v>22</v>
      </c>
      <c r="G3628" t="s">
        <v>23</v>
      </c>
      <c r="H3628" t="s">
        <v>1763</v>
      </c>
      <c r="I3628" t="s">
        <v>25</v>
      </c>
      <c r="J3628" s="2">
        <v>45727.62877314815</v>
      </c>
      <c r="K3628">
        <v>11</v>
      </c>
      <c r="L3628">
        <v>3</v>
      </c>
      <c r="M3628">
        <v>2025</v>
      </c>
      <c r="N3628" t="s">
        <v>27</v>
      </c>
      <c r="O3628">
        <v>100</v>
      </c>
      <c r="P3628">
        <v>100</v>
      </c>
      <c r="R3628" s="3" t="str">
        <f>HYPERLINK("https://panda.att.com.mx/ODKServer/view/binaryData?blobKey=FSSuministroFluidosv3%5B%40version%3Dnull+and+%40uiVersion%3Dnull%5D%2Fdata%5B%40key%3Duuid%3Aba2aa30b-530b-4065-b16f-fe7fc7467bf1%5D%2FgroupInfoFuel%5B%40ordinal%3D1%5D%2FpicFuelRecibeInterno","Descargar")</f>
        <v>Descargar</v>
      </c>
    </row>
    <row r="3629" spans="1:18" x14ac:dyDescent="0.3">
      <c r="A3629">
        <v>1506844</v>
      </c>
      <c r="B3629" t="s">
        <v>18</v>
      </c>
      <c r="C3629" t="s">
        <v>55</v>
      </c>
      <c r="D3629" t="s">
        <v>56</v>
      </c>
      <c r="E3629" t="s">
        <v>2945</v>
      </c>
      <c r="F3629" t="s">
        <v>22</v>
      </c>
      <c r="G3629" t="s">
        <v>23</v>
      </c>
      <c r="H3629" t="s">
        <v>1763</v>
      </c>
      <c r="I3629" t="s">
        <v>25</v>
      </c>
      <c r="J3629" s="2">
        <v>45728.615208333344</v>
      </c>
      <c r="K3629">
        <v>12</v>
      </c>
      <c r="L3629">
        <v>3</v>
      </c>
      <c r="M3629">
        <v>2025</v>
      </c>
      <c r="N3629" t="s">
        <v>27</v>
      </c>
      <c r="O3629">
        <v>100</v>
      </c>
      <c r="P3629">
        <v>100</v>
      </c>
      <c r="R3629" s="3" t="str">
        <f>HYPERLINK("https://panda.att.com.mx/ODKServer/view/binaryData?blobKey=FSSuministroFluidosv3%5B%40version%3Dnull+and+%40uiVersion%3Dnull%5D%2Fdata%5B%40key%3Duuid%3Af7849318-ffed-4f01-bed3-3b2f4e80e496%5D%2FgroupInfoFuel%5B%40ordinal%3D1%5D%2FpicFuelRecibeInterno","Descargar")</f>
        <v>Descargar</v>
      </c>
    </row>
    <row r="3630" spans="1:18" x14ac:dyDescent="0.3">
      <c r="A3630">
        <v>1506761</v>
      </c>
      <c r="B3630" t="s">
        <v>18</v>
      </c>
      <c r="C3630" t="s">
        <v>19</v>
      </c>
      <c r="D3630" t="s">
        <v>189</v>
      </c>
      <c r="E3630" t="s">
        <v>2955</v>
      </c>
      <c r="F3630" t="s">
        <v>22</v>
      </c>
      <c r="G3630" t="s">
        <v>47</v>
      </c>
      <c r="H3630" t="s">
        <v>24</v>
      </c>
      <c r="I3630" t="s">
        <v>25</v>
      </c>
      <c r="J3630" s="2">
        <v>45741.608356481483</v>
      </c>
      <c r="K3630">
        <v>25</v>
      </c>
      <c r="L3630">
        <v>3</v>
      </c>
      <c r="M3630">
        <v>2025</v>
      </c>
      <c r="N3630" t="s">
        <v>27</v>
      </c>
      <c r="O3630">
        <v>100</v>
      </c>
      <c r="P3630">
        <v>100</v>
      </c>
      <c r="R3630" s="3" t="str">
        <f>HYPERLINK("https://panda.att.com.mx/ODKServer/view/binaryData?blobKey=FSSuministroFluidosv3%5B%40version%3Dnull+and+%40uiVersion%3Dnull%5D%2Fdata%5B%40key%3Duuid%3Ad974105e-7813-4cfe-b4a8-d483deb94887%5D%2FgroupInfoFuel%5B%40ordinal%3D1%5D%2FpicFuelRecibeInterno","Descargar")</f>
        <v>Descargar</v>
      </c>
    </row>
    <row r="3631" spans="1:18" x14ac:dyDescent="0.3">
      <c r="A3631">
        <v>1506752</v>
      </c>
      <c r="B3631" t="s">
        <v>18</v>
      </c>
      <c r="C3631" t="s">
        <v>19</v>
      </c>
      <c r="D3631" t="s">
        <v>189</v>
      </c>
      <c r="E3631" t="s">
        <v>2956</v>
      </c>
      <c r="F3631" t="s">
        <v>22</v>
      </c>
      <c r="G3631" t="s">
        <v>47</v>
      </c>
      <c r="H3631" t="s">
        <v>24</v>
      </c>
      <c r="I3631" t="s">
        <v>25</v>
      </c>
      <c r="J3631" s="2">
        <v>45741.504513888889</v>
      </c>
      <c r="K3631">
        <v>25</v>
      </c>
      <c r="L3631">
        <v>3</v>
      </c>
      <c r="M3631">
        <v>2025</v>
      </c>
      <c r="N3631" t="s">
        <v>27</v>
      </c>
      <c r="O3631">
        <v>150</v>
      </c>
      <c r="P3631">
        <v>150</v>
      </c>
      <c r="R3631" s="3" t="str">
        <f>HYPERLINK("https://panda.att.com.mx/ODKServer/view/binaryData?blobKey=FSSuministroFluidosv3%5B%40version%3Dnull+and+%40uiVersion%3Dnull%5D%2Fdata%5B%40key%3Duuid%3Aca6150d9-31d0-4e0f-8f33-091dc409e26b%5D%2FgroupInfoFuel%5B%40ordinal%3D1%5D%2FpicFuelRecibeInterno","Descargar")</f>
        <v>Descargar</v>
      </c>
    </row>
    <row r="3632" spans="1:18" x14ac:dyDescent="0.3">
      <c r="A3632">
        <v>1506656</v>
      </c>
      <c r="B3632" t="s">
        <v>18</v>
      </c>
      <c r="C3632" t="s">
        <v>28</v>
      </c>
      <c r="D3632" t="s">
        <v>2957</v>
      </c>
      <c r="E3632" t="s">
        <v>2958</v>
      </c>
      <c r="F3632" t="s">
        <v>22</v>
      </c>
      <c r="G3632" t="s">
        <v>23</v>
      </c>
      <c r="H3632" t="s">
        <v>24</v>
      </c>
      <c r="I3632" t="s">
        <v>25</v>
      </c>
      <c r="J3632" s="2">
        <v>45742.824189814812</v>
      </c>
      <c r="K3632">
        <v>26</v>
      </c>
      <c r="L3632">
        <v>3</v>
      </c>
      <c r="M3632">
        <v>2025</v>
      </c>
      <c r="N3632" t="s">
        <v>44</v>
      </c>
      <c r="O3632">
        <v>40</v>
      </c>
      <c r="P3632">
        <v>40</v>
      </c>
      <c r="R3632" s="3" t="str">
        <f>HYPERLINK("https://panda.att.com.mx/ODKServer/view/binaryData?blobKey=FSSuministroFluidosv3%5B%40version%3Dnull+and+%40uiVersion%3Dnull%5D%2Fdata%5B%40key%3Duuid%3A3cd51e34-c9f3-48b1-8ebf-c8da51c13111%5D%2FgroupInfoFuel%5B%40ordinal%3D1%5D%2FpicFuelRecibeInterno","Descargar")</f>
        <v>Descargar</v>
      </c>
    </row>
    <row r="3633" spans="1:18" x14ac:dyDescent="0.3">
      <c r="A3633">
        <v>1506569</v>
      </c>
      <c r="B3633" t="s">
        <v>18</v>
      </c>
      <c r="C3633" t="s">
        <v>19</v>
      </c>
      <c r="D3633" t="s">
        <v>156</v>
      </c>
      <c r="E3633" t="s">
        <v>1878</v>
      </c>
      <c r="F3633" t="s">
        <v>22</v>
      </c>
      <c r="G3633" t="s">
        <v>23</v>
      </c>
      <c r="H3633" t="s">
        <v>24</v>
      </c>
      <c r="I3633" t="s">
        <v>25</v>
      </c>
      <c r="J3633" s="2">
        <v>45740.594155092593</v>
      </c>
      <c r="K3633">
        <v>24</v>
      </c>
      <c r="L3633">
        <v>3</v>
      </c>
      <c r="M3633">
        <v>2025</v>
      </c>
      <c r="N3633" t="s">
        <v>44</v>
      </c>
      <c r="O3633">
        <v>24</v>
      </c>
      <c r="P3633">
        <v>24</v>
      </c>
      <c r="R3633" s="3" t="str">
        <f>HYPERLINK("https://panda.att.com.mx/ODKServer/view/binaryData?blobKey=FSSuministroFluidosv3%5B%40version%3Dnull+and+%40uiVersion%3Dnull%5D%2Fdata%5B%40key%3Duuid%3A610a5ede-8b86-4469-ae91-036ed6db3861%5D%2FgroupInfoFuel%5B%40ordinal%3D1%5D%2FpicFuelRecibeInterno","Descargar")</f>
        <v>Descargar</v>
      </c>
    </row>
    <row r="3634" spans="1:18" x14ac:dyDescent="0.3">
      <c r="A3634">
        <v>1506507</v>
      </c>
      <c r="B3634" t="s">
        <v>18</v>
      </c>
      <c r="C3634" t="s">
        <v>55</v>
      </c>
      <c r="D3634" t="s">
        <v>128</v>
      </c>
      <c r="E3634" t="s">
        <v>2758</v>
      </c>
      <c r="F3634" t="s">
        <v>22</v>
      </c>
      <c r="G3634" t="s">
        <v>23</v>
      </c>
      <c r="H3634" t="s">
        <v>1763</v>
      </c>
      <c r="I3634" t="s">
        <v>25</v>
      </c>
      <c r="J3634" s="2">
        <v>45742.706261574072</v>
      </c>
      <c r="K3634">
        <v>26</v>
      </c>
      <c r="L3634">
        <v>3</v>
      </c>
      <c r="M3634">
        <v>2025</v>
      </c>
      <c r="N3634" t="s">
        <v>27</v>
      </c>
      <c r="O3634">
        <v>304</v>
      </c>
      <c r="P3634">
        <v>304</v>
      </c>
      <c r="R3634" s="3" t="str">
        <f>HYPERLINK("https://panda.att.com.mx/ODKServer/view/binaryData?blobKey=FSSuministroFluidosv3%5B%40version%3Dnull+and+%40uiVersion%3Dnull%5D%2Fdata%5B%40key%3Duuid%3Ac00f6876-d800-4b81-86c9-e4e6ef08650b%5D%2FgroupInfoFuel%5B%40ordinal%3D1%5D%2FpicFuelRecibeInterno","Descargar")</f>
        <v>Descargar</v>
      </c>
    </row>
    <row r="3635" spans="1:18" x14ac:dyDescent="0.3">
      <c r="A3635">
        <v>1506412</v>
      </c>
      <c r="B3635" t="s">
        <v>18</v>
      </c>
      <c r="C3635" t="s">
        <v>55</v>
      </c>
      <c r="D3635" t="s">
        <v>56</v>
      </c>
      <c r="E3635" t="s">
        <v>2188</v>
      </c>
      <c r="F3635" t="s">
        <v>22</v>
      </c>
      <c r="G3635" t="s">
        <v>23</v>
      </c>
      <c r="H3635" t="s">
        <v>1763</v>
      </c>
      <c r="I3635" t="s">
        <v>25</v>
      </c>
      <c r="J3635" s="2">
        <v>45730.710949074077</v>
      </c>
      <c r="K3635">
        <v>14</v>
      </c>
      <c r="L3635">
        <v>3</v>
      </c>
      <c r="M3635">
        <v>2025</v>
      </c>
      <c r="N3635" t="s">
        <v>27</v>
      </c>
      <c r="O3635">
        <v>100</v>
      </c>
      <c r="P3635">
        <v>100</v>
      </c>
      <c r="R3635" s="3" t="str">
        <f>HYPERLINK("https://panda.att.com.mx/ODKServer/view/binaryData?blobKey=FSSuministroFluidosv3%5B%40version%3Dnull+and+%40uiVersion%3Dnull%5D%2Fdata%5B%40key%3Duuid%3Ad5a46962-0552-4df2-8dbb-876f8e697a00%5D%2FgroupInfoFuel%5B%40ordinal%3D1%5D%2FpicFuelRecibeInterno","Descargar")</f>
        <v>Descargar</v>
      </c>
    </row>
    <row r="3636" spans="1:18" x14ac:dyDescent="0.3">
      <c r="A3636">
        <v>1506402</v>
      </c>
      <c r="B3636" t="s">
        <v>18</v>
      </c>
      <c r="C3636" t="s">
        <v>55</v>
      </c>
      <c r="D3636" t="s">
        <v>917</v>
      </c>
      <c r="E3636" t="s">
        <v>2959</v>
      </c>
      <c r="F3636" t="s">
        <v>22</v>
      </c>
      <c r="G3636" t="s">
        <v>23</v>
      </c>
      <c r="H3636" t="s">
        <v>1763</v>
      </c>
      <c r="I3636" t="s">
        <v>25</v>
      </c>
      <c r="J3636" s="2">
        <v>45730.588125000002</v>
      </c>
      <c r="K3636">
        <v>14</v>
      </c>
      <c r="L3636">
        <v>3</v>
      </c>
      <c r="M3636">
        <v>2025</v>
      </c>
      <c r="N3636" t="s">
        <v>27</v>
      </c>
      <c r="O3636">
        <v>100</v>
      </c>
      <c r="P3636">
        <v>100</v>
      </c>
      <c r="R3636" s="3" t="str">
        <f>HYPERLINK("https://panda.att.com.mx/ODKServer/view/binaryData?blobKey=FSSuministroFluidosv3%5B%40version%3Dnull+and+%40uiVersion%3Dnull%5D%2Fdata%5B%40key%3Duuid%3A0346f76f-efd6-45f2-9a57-62990697fb66%5D%2FgroupInfoFuel%5B%40ordinal%3D1%5D%2FpicFuelRecibeInterno","Descargar")</f>
        <v>Descargar</v>
      </c>
    </row>
    <row r="3637" spans="1:18" x14ac:dyDescent="0.3">
      <c r="A3637">
        <v>1506332</v>
      </c>
      <c r="B3637" t="s">
        <v>18</v>
      </c>
      <c r="C3637" t="s">
        <v>28</v>
      </c>
      <c r="D3637" t="s">
        <v>1036</v>
      </c>
      <c r="E3637" t="s">
        <v>1699</v>
      </c>
      <c r="F3637" t="s">
        <v>22</v>
      </c>
      <c r="G3637" t="s">
        <v>23</v>
      </c>
      <c r="H3637" t="s">
        <v>24</v>
      </c>
      <c r="I3637" t="s">
        <v>25</v>
      </c>
      <c r="J3637" s="2">
        <v>45742.507268518522</v>
      </c>
      <c r="K3637">
        <v>26</v>
      </c>
      <c r="L3637">
        <v>3</v>
      </c>
      <c r="M3637">
        <v>2025</v>
      </c>
      <c r="N3637" t="s">
        <v>27</v>
      </c>
      <c r="O3637">
        <v>50</v>
      </c>
      <c r="P3637">
        <v>50</v>
      </c>
      <c r="R3637" s="3" t="str">
        <f>HYPERLINK("https://panda.att.com.mx/ODKServer/view/binaryData?blobKey=FSSuministroFluidosv3%5B%40version%3Dnull+and+%40uiVersion%3Dnull%5D%2Fdata%5B%40key%3Duuid%3A5084ef82-c053-4654-a1c7-09eaa0578ee2%5D%2FgroupInfoFuel%5B%40ordinal%3D1%5D%2FpicFuelRecibeInterno","Descargar")</f>
        <v>Descargar</v>
      </c>
    </row>
    <row r="3638" spans="1:18" x14ac:dyDescent="0.3">
      <c r="A3638">
        <v>1506245</v>
      </c>
      <c r="B3638" t="s">
        <v>18</v>
      </c>
      <c r="C3638" t="s">
        <v>28</v>
      </c>
      <c r="D3638" t="s">
        <v>29</v>
      </c>
      <c r="E3638" t="s">
        <v>194</v>
      </c>
      <c r="F3638" t="s">
        <v>22</v>
      </c>
      <c r="G3638" t="s">
        <v>47</v>
      </c>
      <c r="H3638" t="s">
        <v>24</v>
      </c>
      <c r="I3638" t="s">
        <v>25</v>
      </c>
      <c r="J3638" s="2">
        <v>45736.529872685183</v>
      </c>
      <c r="K3638">
        <v>20</v>
      </c>
      <c r="L3638">
        <v>3</v>
      </c>
      <c r="M3638">
        <v>2025</v>
      </c>
      <c r="N3638" t="s">
        <v>27</v>
      </c>
      <c r="O3638">
        <v>300</v>
      </c>
      <c r="Q3638">
        <v>300</v>
      </c>
      <c r="R3638" s="3" t="str">
        <f>HYPERLINK("https://panda.att.com.mx/ODKServer/view/binaryData?blobKey=FSSuministroFluidosv3%5B%40version%3Dnull+and+%40uiVersion%3Dnull%5D%2Fdata%5B%40key%3Duuid%3A48e1d83e-b384-48dd-8359-958af6c62533%5D%2FgroupInfoFuel%5B%40ordinal%3D1%5D%2FpicFuelRecibeInterno","Descargar")</f>
        <v>Descargar</v>
      </c>
    </row>
    <row r="3639" spans="1:18" x14ac:dyDescent="0.3">
      <c r="A3639">
        <v>1506216</v>
      </c>
      <c r="B3639" t="s">
        <v>18</v>
      </c>
      <c r="C3639" t="s">
        <v>55</v>
      </c>
      <c r="D3639" t="s">
        <v>56</v>
      </c>
      <c r="E3639" t="s">
        <v>2735</v>
      </c>
      <c r="F3639" t="s">
        <v>22</v>
      </c>
      <c r="G3639" t="s">
        <v>23</v>
      </c>
      <c r="H3639" t="s">
        <v>1763</v>
      </c>
      <c r="I3639" t="s">
        <v>25</v>
      </c>
      <c r="J3639" s="2">
        <v>45739.536215277767</v>
      </c>
      <c r="K3639">
        <v>23</v>
      </c>
      <c r="L3639">
        <v>3</v>
      </c>
      <c r="M3639">
        <v>2025</v>
      </c>
      <c r="N3639" t="s">
        <v>27</v>
      </c>
      <c r="O3639">
        <v>100</v>
      </c>
      <c r="P3639">
        <v>100</v>
      </c>
      <c r="R3639" s="3" t="str">
        <f>HYPERLINK("https://panda.att.com.mx/ODKServer/view/binaryData?blobKey=FSSuministroFluidosv3%5B%40version%3Dnull+and+%40uiVersion%3Dnull%5D%2Fdata%5B%40key%3Duuid%3A230a055c-df8c-42e4-aad6-d92091ac9c7b%5D%2FgroupInfoFuel%5B%40ordinal%3D1%5D%2FpicFuelRecibeInterno","Descargar")</f>
        <v>Descargar</v>
      </c>
    </row>
    <row r="3640" spans="1:18" x14ac:dyDescent="0.3">
      <c r="A3640">
        <v>1506207</v>
      </c>
      <c r="B3640" t="s">
        <v>18</v>
      </c>
      <c r="C3640" t="s">
        <v>183</v>
      </c>
      <c r="D3640" t="s">
        <v>841</v>
      </c>
      <c r="E3640" t="s">
        <v>2960</v>
      </c>
      <c r="F3640" t="s">
        <v>22</v>
      </c>
      <c r="G3640" t="s">
        <v>23</v>
      </c>
      <c r="H3640" t="s">
        <v>1763</v>
      </c>
      <c r="I3640" t="s">
        <v>25</v>
      </c>
      <c r="J3640" s="2">
        <v>45731.591064814813</v>
      </c>
      <c r="K3640">
        <v>15</v>
      </c>
      <c r="L3640">
        <v>3</v>
      </c>
      <c r="M3640">
        <v>2025</v>
      </c>
      <c r="N3640" t="s">
        <v>27</v>
      </c>
      <c r="O3640">
        <v>100</v>
      </c>
      <c r="P3640">
        <v>100</v>
      </c>
      <c r="R3640" s="3" t="str">
        <f>HYPERLINK("https://panda.att.com.mx/ODKServer/view/binaryData?blobKey=FSSuministroFluidosv3%5B%40version%3Dnull+and+%40uiVersion%3Dnull%5D%2Fdata%5B%40key%3Duuid%3A6b24a63f-9037-41d1-8a02-c94401fea501%5D%2FgroupInfoFuel%5B%40ordinal%3D1%5D%2FpicFuelRecibeInterno","Descargar")</f>
        <v>Descargar</v>
      </c>
    </row>
    <row r="3641" spans="1:18" x14ac:dyDescent="0.3">
      <c r="A3641">
        <v>1506163</v>
      </c>
      <c r="B3641" t="s">
        <v>18</v>
      </c>
      <c r="C3641" t="s">
        <v>55</v>
      </c>
      <c r="D3641" t="s">
        <v>288</v>
      </c>
      <c r="E3641" t="s">
        <v>561</v>
      </c>
      <c r="F3641" t="s">
        <v>22</v>
      </c>
      <c r="G3641" t="s">
        <v>23</v>
      </c>
      <c r="H3641" t="s">
        <v>1763</v>
      </c>
      <c r="I3641" t="s">
        <v>25</v>
      </c>
      <c r="J3641" s="2">
        <v>45742.45417824074</v>
      </c>
      <c r="K3641">
        <v>26</v>
      </c>
      <c r="L3641">
        <v>3</v>
      </c>
      <c r="M3641">
        <v>2025</v>
      </c>
      <c r="N3641" t="s">
        <v>27</v>
      </c>
      <c r="O3641">
        <v>200</v>
      </c>
      <c r="P3641">
        <v>200</v>
      </c>
      <c r="R3641" s="3" t="str">
        <f>HYPERLINK("https://panda.att.com.mx/ODKServer/view/binaryData?blobKey=FSSuministroFluidosv3%5B%40version%3Dnull+and+%40uiVersion%3Dnull%5D%2Fdata%5B%40key%3Duuid%3A4569c2b0-6c12-4a98-8cdb-a6b7aed6619d%5D%2FgroupInfoFuel%5B%40ordinal%3D1%5D%2FpicFuelRecibeInterno","Descargar")</f>
        <v>Descargar</v>
      </c>
    </row>
    <row r="3642" spans="1:18" x14ac:dyDescent="0.3">
      <c r="A3642">
        <v>1506133</v>
      </c>
      <c r="B3642" t="s">
        <v>18</v>
      </c>
      <c r="C3642" t="s">
        <v>19</v>
      </c>
      <c r="D3642" t="s">
        <v>45</v>
      </c>
      <c r="E3642" t="s">
        <v>2961</v>
      </c>
      <c r="F3642" t="s">
        <v>22</v>
      </c>
      <c r="G3642" t="s">
        <v>47</v>
      </c>
      <c r="H3642" t="s">
        <v>24</v>
      </c>
      <c r="I3642" t="s">
        <v>25</v>
      </c>
      <c r="J3642" s="2">
        <v>45741.000613425917</v>
      </c>
      <c r="K3642">
        <v>25</v>
      </c>
      <c r="L3642">
        <v>3</v>
      </c>
      <c r="M3642">
        <v>2025</v>
      </c>
      <c r="N3642" t="s">
        <v>27</v>
      </c>
      <c r="O3642">
        <v>225</v>
      </c>
      <c r="P3642">
        <v>225</v>
      </c>
      <c r="R3642" s="3" t="str">
        <f>HYPERLINK("https://panda.att.com.mx/ODKServer/view/binaryData?blobKey=FSSuministroFluidosv3%5B%40version%3Dnull+and+%40uiVersion%3Dnull%5D%2Fdata%5B%40key%3Duuid%3A223793eb-aef4-4bba-9fa0-4e5863db727c%5D%2FgroupInfoFuel%5B%40ordinal%3D1%5D%2FpicFuelRecibeInterno","Descargar")</f>
        <v>Descargar</v>
      </c>
    </row>
    <row r="3643" spans="1:18" x14ac:dyDescent="0.3">
      <c r="A3643">
        <v>1506081</v>
      </c>
      <c r="B3643" t="s">
        <v>18</v>
      </c>
      <c r="C3643" t="s">
        <v>28</v>
      </c>
      <c r="D3643" t="s">
        <v>66</v>
      </c>
      <c r="E3643" t="s">
        <v>2962</v>
      </c>
      <c r="F3643" t="s">
        <v>22</v>
      </c>
      <c r="G3643" t="s">
        <v>23</v>
      </c>
      <c r="H3643" t="s">
        <v>24</v>
      </c>
      <c r="I3643" t="s">
        <v>25</v>
      </c>
      <c r="J3643" s="2">
        <v>45735.982858796298</v>
      </c>
      <c r="K3643">
        <v>19</v>
      </c>
      <c r="L3643">
        <v>3</v>
      </c>
      <c r="M3643">
        <v>2025</v>
      </c>
      <c r="N3643" t="s">
        <v>27</v>
      </c>
      <c r="O3643">
        <v>100</v>
      </c>
      <c r="P3643">
        <v>100</v>
      </c>
      <c r="R3643" s="3" t="str">
        <f>HYPERLINK("https://panda.att.com.mx/ODKServer/view/binaryData?blobKey=FSSuministroFluidosv3%5B%40version%3Dnull+and+%40uiVersion%3Dnull%5D%2Fdata%5B%40key%3Duuid%3A5788a15f-6b39-47d7-93b6-727a0c5719bb%5D%2FgroupInfoFuel%5B%40ordinal%3D1%5D%2FpicFuelRecibeInterno","Descargar")</f>
        <v>Descargar</v>
      </c>
    </row>
    <row r="3644" spans="1:18" x14ac:dyDescent="0.3">
      <c r="A3644">
        <v>1506013</v>
      </c>
      <c r="B3644" t="s">
        <v>18</v>
      </c>
      <c r="C3644" t="s">
        <v>19</v>
      </c>
      <c r="D3644" t="s">
        <v>2159</v>
      </c>
      <c r="E3644" t="s">
        <v>2160</v>
      </c>
      <c r="F3644" t="s">
        <v>22</v>
      </c>
      <c r="G3644" t="s">
        <v>23</v>
      </c>
      <c r="H3644" t="s">
        <v>24</v>
      </c>
      <c r="I3644" t="s">
        <v>25</v>
      </c>
      <c r="J3644" s="2">
        <v>45739.003900462973</v>
      </c>
      <c r="K3644">
        <v>23</v>
      </c>
      <c r="L3644">
        <v>3</v>
      </c>
      <c r="M3644">
        <v>2025</v>
      </c>
      <c r="N3644" t="s">
        <v>44</v>
      </c>
      <c r="O3644">
        <v>35</v>
      </c>
      <c r="P3644">
        <v>35</v>
      </c>
      <c r="R3644" s="3" t="str">
        <f>HYPERLINK("https://panda.att.com.mx/ODKServer/view/binaryData?blobKey=FSSuministroFluidosv3%5B%40version%3Dnull+and+%40uiVersion%3Dnull%5D%2Fdata%5B%40key%3Duuid%3Af53b216e-4645-4118-9d91-3161caa99647%5D%2FgroupInfoFuel%5B%40ordinal%3D1%5D%2FpicFuelRecibeInterno","Descargar")</f>
        <v>Descargar</v>
      </c>
    </row>
    <row r="3645" spans="1:18" x14ac:dyDescent="0.3">
      <c r="A3645">
        <v>1505992</v>
      </c>
      <c r="B3645" t="s">
        <v>18</v>
      </c>
      <c r="C3645" t="s">
        <v>19</v>
      </c>
      <c r="D3645" t="s">
        <v>347</v>
      </c>
      <c r="E3645" t="s">
        <v>2240</v>
      </c>
      <c r="F3645" t="s">
        <v>22</v>
      </c>
      <c r="G3645" t="s">
        <v>47</v>
      </c>
      <c r="H3645" t="s">
        <v>24</v>
      </c>
      <c r="I3645" t="s">
        <v>25</v>
      </c>
      <c r="J3645" s="2">
        <v>45741.325358796297</v>
      </c>
      <c r="K3645">
        <v>25</v>
      </c>
      <c r="L3645">
        <v>3</v>
      </c>
      <c r="M3645">
        <v>2025</v>
      </c>
      <c r="N3645" t="s">
        <v>44</v>
      </c>
      <c r="O3645">
        <v>40</v>
      </c>
      <c r="P3645">
        <v>40</v>
      </c>
      <c r="R3645" s="3" t="str">
        <f>HYPERLINK("https://panda.att.com.mx/ODKServer/view/binaryData?blobKey=FSSuministroFluidosv3%5B%40version%3Dnull+and+%40uiVersion%3Dnull%5D%2Fdata%5B%40key%3Duuid%3A14a97277-3ac8-4cd8-ab85-21ff77c49472%5D%2FgroupInfoFuel%5B%40ordinal%3D1%5D%2FpicFuelRecibeInterno","Descargar")</f>
        <v>Descargar</v>
      </c>
    </row>
    <row r="3646" spans="1:18" x14ac:dyDescent="0.3">
      <c r="A3646">
        <v>1505759</v>
      </c>
      <c r="B3646" t="s">
        <v>18</v>
      </c>
      <c r="C3646" t="s">
        <v>19</v>
      </c>
      <c r="D3646" t="s">
        <v>140</v>
      </c>
      <c r="E3646" t="s">
        <v>607</v>
      </c>
      <c r="F3646" t="s">
        <v>22</v>
      </c>
      <c r="G3646" t="s">
        <v>23</v>
      </c>
      <c r="H3646" t="s">
        <v>24</v>
      </c>
      <c r="I3646" t="s">
        <v>25</v>
      </c>
      <c r="J3646" s="2">
        <v>45735.873240740737</v>
      </c>
      <c r="K3646">
        <v>19</v>
      </c>
      <c r="L3646">
        <v>3</v>
      </c>
      <c r="M3646">
        <v>2025</v>
      </c>
      <c r="N3646" t="s">
        <v>27</v>
      </c>
      <c r="O3646">
        <v>500</v>
      </c>
      <c r="Q3646">
        <v>500</v>
      </c>
      <c r="R3646" s="3" t="str">
        <f>HYPERLINK("https://panda.att.com.mx/ODKServer/view/binaryData?blobKey=FSSuministroFluidosv3%5B%40version%3Dnull+and+%40uiVersion%3Dnull%5D%2Fdata%5B%40key%3Duuid%3A50c054d2-df48-45a3-b005-7e11502eb676%5D%2FgroupInfoFuel%5B%40ordinal%3D1%5D%2FpicFuelRecibeInterno","Descargar")</f>
        <v>Descargar</v>
      </c>
    </row>
    <row r="3647" spans="1:18" x14ac:dyDescent="0.3">
      <c r="A3647">
        <v>1505653</v>
      </c>
      <c r="B3647" t="s">
        <v>18</v>
      </c>
      <c r="C3647" t="s">
        <v>28</v>
      </c>
      <c r="D3647" t="s">
        <v>513</v>
      </c>
      <c r="E3647" t="s">
        <v>2963</v>
      </c>
      <c r="F3647" t="s">
        <v>22</v>
      </c>
      <c r="G3647" t="s">
        <v>23</v>
      </c>
      <c r="H3647" t="s">
        <v>24</v>
      </c>
      <c r="I3647" t="s">
        <v>25</v>
      </c>
      <c r="J3647" s="2">
        <v>45740.474594907413</v>
      </c>
      <c r="K3647">
        <v>24</v>
      </c>
      <c r="L3647">
        <v>3</v>
      </c>
      <c r="M3647">
        <v>2025</v>
      </c>
      <c r="N3647" t="s">
        <v>27</v>
      </c>
      <c r="O3647">
        <v>400</v>
      </c>
      <c r="P3647">
        <v>400</v>
      </c>
      <c r="R3647" s="3" t="str">
        <f>HYPERLINK("https://panda.att.com.mx/ODKServer/view/binaryData?blobKey=FSSuministroFluidosv3%5B%40version%3Dnull+and+%40uiVersion%3Dnull%5D%2Fdata%5B%40key%3Duuid%3Ac05266d0-d6c3-4ac2-9b3e-f8454d50b324%5D%2FgroupInfoFuel%5B%40ordinal%3D1%5D%2FpicFuelRecibeInterno","Descargar")</f>
        <v>Descargar</v>
      </c>
    </row>
    <row r="3648" spans="1:18" x14ac:dyDescent="0.3">
      <c r="A3648">
        <v>1505561</v>
      </c>
      <c r="B3648" t="s">
        <v>18</v>
      </c>
      <c r="C3648" t="s">
        <v>55</v>
      </c>
      <c r="D3648" t="s">
        <v>56</v>
      </c>
      <c r="E3648" t="s">
        <v>2188</v>
      </c>
      <c r="F3648" t="s">
        <v>22</v>
      </c>
      <c r="G3648" t="s">
        <v>23</v>
      </c>
      <c r="H3648" t="s">
        <v>1763</v>
      </c>
      <c r="I3648" t="s">
        <v>25</v>
      </c>
      <c r="J3648" s="2">
        <v>45729.763148148151</v>
      </c>
      <c r="K3648">
        <v>13</v>
      </c>
      <c r="L3648">
        <v>3</v>
      </c>
      <c r="M3648">
        <v>2025</v>
      </c>
      <c r="N3648" t="s">
        <v>27</v>
      </c>
      <c r="O3648">
        <v>100</v>
      </c>
      <c r="P3648">
        <v>100</v>
      </c>
      <c r="R3648" s="3" t="str">
        <f>HYPERLINK("https://panda.att.com.mx/ODKServer/view/binaryData?blobKey=FSSuministroFluidosv3%5B%40version%3Dnull+and+%40uiVersion%3Dnull%5D%2Fdata%5B%40key%3Duuid%3A0d3a9435-7108-4d5b-b58b-806c430dde5d%5D%2FgroupInfoFuel%5B%40ordinal%3D1%5D%2FpicFuelRecibeInterno","Descargar")</f>
        <v>Descargar</v>
      </c>
    </row>
    <row r="3649" spans="1:18" x14ac:dyDescent="0.3">
      <c r="A3649">
        <v>1505556</v>
      </c>
      <c r="B3649" t="s">
        <v>18</v>
      </c>
      <c r="C3649" t="s">
        <v>167</v>
      </c>
      <c r="D3649" t="s">
        <v>264</v>
      </c>
      <c r="E3649" t="s">
        <v>836</v>
      </c>
      <c r="F3649" t="s">
        <v>22</v>
      </c>
      <c r="G3649" t="s">
        <v>23</v>
      </c>
      <c r="H3649" t="s">
        <v>58</v>
      </c>
      <c r="I3649" t="s">
        <v>25</v>
      </c>
      <c r="J3649" s="2">
        <v>45706.651493055557</v>
      </c>
      <c r="K3649">
        <v>18</v>
      </c>
      <c r="L3649">
        <v>2</v>
      </c>
      <c r="M3649">
        <v>2025</v>
      </c>
      <c r="N3649" t="s">
        <v>27</v>
      </c>
      <c r="O3649">
        <v>350</v>
      </c>
      <c r="P3649">
        <v>350</v>
      </c>
      <c r="R3649" s="3" t="str">
        <f>HYPERLINK("https://panda.att.com.mx/ODKServer/view/binaryData?blobKey=FSSuministroFluidosv3%5B%40version%3Dnull+and+%40uiVersion%3Dnull%5D%2Fdata%5B%40key%3Duuid%3Afd817378-a652-4f9c-a79e-e0357ea4e94c%5D%2FgroupInfoFuel%5B%40ordinal%3D1%5D%2FpicFuelRecibeInterno","Descargar")</f>
        <v>Descargar</v>
      </c>
    </row>
    <row r="3650" spans="1:18" x14ac:dyDescent="0.3">
      <c r="A3650">
        <v>1505542</v>
      </c>
      <c r="B3650" t="s">
        <v>18</v>
      </c>
      <c r="C3650" t="s">
        <v>55</v>
      </c>
      <c r="D3650" t="s">
        <v>56</v>
      </c>
      <c r="E3650" t="s">
        <v>2188</v>
      </c>
      <c r="F3650" t="s">
        <v>22</v>
      </c>
      <c r="G3650" t="s">
        <v>23</v>
      </c>
      <c r="H3650" t="s">
        <v>1763</v>
      </c>
      <c r="I3650" t="s">
        <v>25</v>
      </c>
      <c r="J3650" s="2">
        <v>45736.619745370372</v>
      </c>
      <c r="K3650">
        <v>20</v>
      </c>
      <c r="L3650">
        <v>3</v>
      </c>
      <c r="M3650">
        <v>2025</v>
      </c>
      <c r="N3650" t="s">
        <v>27</v>
      </c>
      <c r="O3650">
        <v>100</v>
      </c>
      <c r="P3650">
        <v>100</v>
      </c>
      <c r="R3650" s="3" t="str">
        <f>HYPERLINK("https://panda.att.com.mx/ODKServer/view/binaryData?blobKey=FSSuministroFluidosv3%5B%40version%3Dnull+and+%40uiVersion%3Dnull%5D%2Fdata%5B%40key%3Duuid%3A34c5241e-8874-49dc-b5b5-245f25af38a9%5D%2FgroupInfoFuel%5B%40ordinal%3D1%5D%2FpicFuelRecibeInterno","Descargar")</f>
        <v>Descargar</v>
      </c>
    </row>
    <row r="3651" spans="1:18" x14ac:dyDescent="0.3">
      <c r="A3651">
        <v>1505539</v>
      </c>
      <c r="B3651" t="s">
        <v>18</v>
      </c>
      <c r="C3651" t="s">
        <v>55</v>
      </c>
      <c r="D3651" t="s">
        <v>56</v>
      </c>
      <c r="E3651" t="s">
        <v>2737</v>
      </c>
      <c r="F3651" t="s">
        <v>22</v>
      </c>
      <c r="G3651" t="s">
        <v>23</v>
      </c>
      <c r="H3651" t="s">
        <v>1763</v>
      </c>
      <c r="I3651" t="s">
        <v>25</v>
      </c>
      <c r="J3651" s="2">
        <v>45738.486724537041</v>
      </c>
      <c r="K3651">
        <v>22</v>
      </c>
      <c r="L3651">
        <v>3</v>
      </c>
      <c r="M3651">
        <v>2025</v>
      </c>
      <c r="N3651" t="s">
        <v>27</v>
      </c>
      <c r="O3651">
        <v>150</v>
      </c>
      <c r="P3651">
        <v>150</v>
      </c>
      <c r="R3651" s="3" t="str">
        <f>HYPERLINK("https://panda.att.com.mx/ODKServer/view/binaryData?blobKey=FSSuministroFluidosv3%5B%40version%3Dnull+and+%40uiVersion%3Dnull%5D%2Fdata%5B%40key%3Duuid%3A0dd56830-5cd2-4169-a1f5-2a2aa515754c%5D%2FgroupInfoFuel%5B%40ordinal%3D1%5D%2FpicFuelRecibeInterno","Descargar")</f>
        <v>Descargar</v>
      </c>
    </row>
    <row r="3652" spans="1:18" x14ac:dyDescent="0.3">
      <c r="A3652">
        <v>1508236</v>
      </c>
      <c r="B3652" t="s">
        <v>18</v>
      </c>
      <c r="C3652" t="s">
        <v>167</v>
      </c>
      <c r="D3652" t="s">
        <v>385</v>
      </c>
      <c r="E3652" t="s">
        <v>2954</v>
      </c>
      <c r="F3652" t="s">
        <v>22</v>
      </c>
      <c r="G3652" t="s">
        <v>23</v>
      </c>
      <c r="H3652" t="s">
        <v>58</v>
      </c>
      <c r="I3652" t="s">
        <v>25</v>
      </c>
      <c r="J3652" s="2">
        <v>45744.632337962961</v>
      </c>
      <c r="K3652">
        <v>28</v>
      </c>
      <c r="L3652">
        <v>3</v>
      </c>
      <c r="M3652">
        <v>2025</v>
      </c>
      <c r="N3652" t="s">
        <v>27</v>
      </c>
      <c r="O3652">
        <v>150</v>
      </c>
      <c r="P3652">
        <v>150</v>
      </c>
      <c r="R3652" s="3" t="str">
        <f>HYPERLINK("https://panda.att.com.mx/ODKServer/view/binaryData?blobKey=FSSuministroFluidosv3%5B%40version%3Dnull+and+%40uiVersion%3Dnull%5D%2Fdata%5B%40key%3Duuid%3Ac04065d5-ca4e-41df-bd29-278496d95e79%5D%2FgroupInfoFuel%5B%40ordinal%3D1%5D%2FpicFuelRecibeInterno","Descargar")</f>
        <v>Descargar</v>
      </c>
    </row>
    <row r="3653" spans="1:18" x14ac:dyDescent="0.3">
      <c r="A3653">
        <v>1508212</v>
      </c>
      <c r="B3653" t="s">
        <v>18</v>
      </c>
      <c r="C3653" t="s">
        <v>28</v>
      </c>
      <c r="D3653" t="s">
        <v>29</v>
      </c>
      <c r="E3653" t="s">
        <v>194</v>
      </c>
      <c r="F3653" t="s">
        <v>22</v>
      </c>
      <c r="G3653" t="s">
        <v>23</v>
      </c>
      <c r="H3653" t="s">
        <v>24</v>
      </c>
      <c r="I3653" t="s">
        <v>25</v>
      </c>
      <c r="J3653" s="2">
        <v>45741.500983796293</v>
      </c>
      <c r="K3653">
        <v>25</v>
      </c>
      <c r="L3653">
        <v>3</v>
      </c>
      <c r="M3653">
        <v>2025</v>
      </c>
      <c r="N3653" t="s">
        <v>27</v>
      </c>
      <c r="O3653">
        <v>450</v>
      </c>
      <c r="Q3653">
        <v>450</v>
      </c>
      <c r="R3653" s="3" t="str">
        <f>HYPERLINK("https://panda.att.com.mx/ODKServer/view/binaryData?blobKey=FSSuministroFluidosv3%5B%40version%3Dnull+and+%40uiVersion%3Dnull%5D%2Fdata%5B%40key%3Duuid%3A0416d315-a1e2-4a3b-a90b-6948fe752216%5D%2FgroupInfoFuel%5B%40ordinal%3D1%5D%2FpicFuelRecibeInterno","Descargar")</f>
        <v>Descargar</v>
      </c>
    </row>
    <row r="3654" spans="1:18" x14ac:dyDescent="0.3">
      <c r="A3654">
        <v>1508201</v>
      </c>
      <c r="B3654" t="s">
        <v>18</v>
      </c>
      <c r="C3654" t="s">
        <v>19</v>
      </c>
      <c r="D3654" t="s">
        <v>62</v>
      </c>
      <c r="E3654" t="s">
        <v>422</v>
      </c>
      <c r="F3654" t="s">
        <v>22</v>
      </c>
      <c r="G3654" t="s">
        <v>47</v>
      </c>
      <c r="H3654" t="s">
        <v>24</v>
      </c>
      <c r="I3654" t="s">
        <v>25</v>
      </c>
      <c r="J3654" s="2">
        <v>45740.99015046296</v>
      </c>
      <c r="K3654">
        <v>24</v>
      </c>
      <c r="L3654">
        <v>3</v>
      </c>
      <c r="M3654">
        <v>2025</v>
      </c>
      <c r="N3654" t="s">
        <v>44</v>
      </c>
      <c r="O3654">
        <v>39.659999999999997</v>
      </c>
      <c r="P3654">
        <v>39.659999999999997</v>
      </c>
      <c r="R3654" s="3" t="str">
        <f>HYPERLINK("https://panda.att.com.mx/ODKServer/view/binaryData?blobKey=FSSuministroFluidosv3%5B%40version%3Dnull+and+%40uiVersion%3Dnull%5D%2Fdata%5B%40key%3Duuid%3A96af84ea-f15a-4262-bd0f-429bb9b2a50d%5D%2FgroupInfoFuel%5B%40ordinal%3D1%5D%2FpicFuelRecibeInterno","Descargar")</f>
        <v>Descargar</v>
      </c>
    </row>
    <row r="3655" spans="1:18" x14ac:dyDescent="0.3">
      <c r="A3655">
        <v>1508196</v>
      </c>
      <c r="B3655" t="s">
        <v>18</v>
      </c>
      <c r="C3655" t="s">
        <v>55</v>
      </c>
      <c r="D3655" t="s">
        <v>128</v>
      </c>
      <c r="E3655" t="s">
        <v>2758</v>
      </c>
      <c r="F3655" t="s">
        <v>22</v>
      </c>
      <c r="G3655" t="s">
        <v>47</v>
      </c>
      <c r="H3655" t="s">
        <v>1763</v>
      </c>
      <c r="I3655" t="s">
        <v>25</v>
      </c>
      <c r="J3655" s="2">
        <v>45745.42015046296</v>
      </c>
      <c r="K3655">
        <v>29</v>
      </c>
      <c r="L3655">
        <v>3</v>
      </c>
      <c r="M3655">
        <v>2025</v>
      </c>
      <c r="N3655" t="s">
        <v>27</v>
      </c>
      <c r="O3655">
        <v>300</v>
      </c>
      <c r="P3655">
        <v>300</v>
      </c>
      <c r="R3655" s="3" t="str">
        <f>HYPERLINK("https://panda.att.com.mx/ODKServer/view/binaryData?blobKey=FSSuministroFluidosv3%5B%40version%3Dnull+and+%40uiVersion%3Dnull%5D%2Fdata%5B%40key%3Duuid%3A7aa49455-5231-4470-8f59-8b49962b8cf7%5D%2FgroupInfoFuel%5B%40ordinal%3D1%5D%2FpicFuelRecibeInterno","Descargar")</f>
        <v>Descargar</v>
      </c>
    </row>
    <row r="3656" spans="1:18" x14ac:dyDescent="0.3">
      <c r="A3656">
        <v>1508155</v>
      </c>
      <c r="B3656" t="s">
        <v>18</v>
      </c>
      <c r="C3656" t="s">
        <v>167</v>
      </c>
      <c r="D3656" t="s">
        <v>168</v>
      </c>
      <c r="E3656" t="s">
        <v>169</v>
      </c>
      <c r="F3656" t="s">
        <v>22</v>
      </c>
      <c r="G3656" t="s">
        <v>83</v>
      </c>
      <c r="H3656" t="s">
        <v>58</v>
      </c>
      <c r="I3656" t="s">
        <v>25</v>
      </c>
      <c r="J3656" s="2">
        <v>45745.401747685188</v>
      </c>
      <c r="K3656">
        <v>29</v>
      </c>
      <c r="L3656">
        <v>3</v>
      </c>
      <c r="M3656">
        <v>2025</v>
      </c>
      <c r="N3656" t="s">
        <v>27</v>
      </c>
      <c r="O3656">
        <v>450</v>
      </c>
      <c r="P3656">
        <v>450</v>
      </c>
      <c r="R3656" s="3" t="str">
        <f>HYPERLINK("https://panda.att.com.mx/ODKServer/view/binaryData?blobKey=FSSuministroFluidosv3%5B%40version%3Dnull+and+%40uiVersion%3Dnull%5D%2Fdata%5B%40key%3Duuid%3A956dca51-8796-4d71-868b-076dc2c7f32e%5D%2FgroupInfoFuel%5B%40ordinal%3D1%5D%2FpicFuelRecibeInterno","Descargar")</f>
        <v>Descargar</v>
      </c>
    </row>
    <row r="3657" spans="1:18" x14ac:dyDescent="0.3">
      <c r="A3657">
        <v>1508103</v>
      </c>
      <c r="B3657" t="s">
        <v>18</v>
      </c>
      <c r="C3657" t="s">
        <v>55</v>
      </c>
      <c r="D3657" t="s">
        <v>89</v>
      </c>
      <c r="E3657" t="s">
        <v>1538</v>
      </c>
      <c r="F3657" t="s">
        <v>22</v>
      </c>
      <c r="G3657" t="s">
        <v>47</v>
      </c>
      <c r="H3657" t="s">
        <v>1763</v>
      </c>
      <c r="I3657" t="s">
        <v>25</v>
      </c>
      <c r="J3657" s="2">
        <v>45744.891493055547</v>
      </c>
      <c r="K3657">
        <v>28</v>
      </c>
      <c r="L3657">
        <v>3</v>
      </c>
      <c r="M3657">
        <v>2025</v>
      </c>
      <c r="N3657" t="s">
        <v>27</v>
      </c>
      <c r="O3657">
        <v>200</v>
      </c>
      <c r="P3657">
        <v>200</v>
      </c>
      <c r="R3657" s="3" t="str">
        <f>HYPERLINK("https://panda.att.com.mx/ODKServer/view/binaryData?blobKey=FSSuministroFluidosv3%5B%40version%3Dnull+and+%40uiVersion%3Dnull%5D%2Fdata%5B%40key%3Duuid%3A4ea2f49b-30e9-4d2d-8da8-01e4ba59673c%5D%2FgroupInfoFuel%5B%40ordinal%3D1%5D%2FpicFuelRecibeInterno","Descargar")</f>
        <v>Descargar</v>
      </c>
    </row>
    <row r="3658" spans="1:18" x14ac:dyDescent="0.3">
      <c r="A3658">
        <v>1507996</v>
      </c>
      <c r="B3658" t="s">
        <v>18</v>
      </c>
      <c r="C3658" t="s">
        <v>19</v>
      </c>
      <c r="D3658" t="s">
        <v>200</v>
      </c>
      <c r="E3658" t="s">
        <v>1712</v>
      </c>
      <c r="F3658" t="s">
        <v>22</v>
      </c>
      <c r="G3658" t="s">
        <v>23</v>
      </c>
      <c r="H3658" t="s">
        <v>24</v>
      </c>
      <c r="I3658" t="s">
        <v>25</v>
      </c>
      <c r="J3658" s="2">
        <v>45741.840092592603</v>
      </c>
      <c r="K3658">
        <v>25</v>
      </c>
      <c r="L3658">
        <v>3</v>
      </c>
      <c r="M3658">
        <v>2025</v>
      </c>
      <c r="N3658" t="s">
        <v>27</v>
      </c>
      <c r="O3658">
        <v>40</v>
      </c>
      <c r="P3658">
        <v>40</v>
      </c>
      <c r="R3658" s="3" t="str">
        <f>HYPERLINK("https://panda.att.com.mx/ODKServer/view/binaryData?blobKey=FSSuministroFluidosv3%5B%40version%3Dnull+and+%40uiVersion%3Dnull%5D%2Fdata%5B%40key%3Duuid%3A73174b23-347f-48ab-a59d-95425d51bc3f%5D%2FgroupInfoFuel%5B%40ordinal%3D1%5D%2FpicFuelRecibeInterno","Descargar")</f>
        <v>Descargar</v>
      </c>
    </row>
    <row r="3659" spans="1:18" x14ac:dyDescent="0.3">
      <c r="A3659">
        <v>1507875</v>
      </c>
      <c r="B3659" t="s">
        <v>18</v>
      </c>
      <c r="C3659" t="s">
        <v>167</v>
      </c>
      <c r="D3659" t="s">
        <v>168</v>
      </c>
      <c r="E3659" t="s">
        <v>266</v>
      </c>
      <c r="F3659" t="s">
        <v>22</v>
      </c>
      <c r="G3659" t="s">
        <v>83</v>
      </c>
      <c r="H3659" t="s">
        <v>58</v>
      </c>
      <c r="I3659" t="s">
        <v>25</v>
      </c>
      <c r="J3659" s="2">
        <v>45744.681493055563</v>
      </c>
      <c r="K3659">
        <v>28</v>
      </c>
      <c r="L3659">
        <v>3</v>
      </c>
      <c r="M3659">
        <v>2025</v>
      </c>
      <c r="N3659" t="s">
        <v>27</v>
      </c>
      <c r="O3659">
        <v>449.75</v>
      </c>
      <c r="P3659">
        <v>449.75</v>
      </c>
      <c r="R3659" s="3" t="str">
        <f>HYPERLINK("https://panda.att.com.mx/ODKServer/view/binaryData?blobKey=FSSuministroFluidosv3%5B%40version%3Dnull+and+%40uiVersion%3Dnull%5D%2Fdata%5B%40key%3Duuid%3A686f5660-a5af-425e-a45d-61fce6e80a45%5D%2FgroupInfoFuel%5B%40ordinal%3D1%5D%2FpicFuelRecibeInterno","Descargar")</f>
        <v>Descargar</v>
      </c>
    </row>
    <row r="3660" spans="1:18" x14ac:dyDescent="0.3">
      <c r="A3660">
        <v>1507803</v>
      </c>
      <c r="B3660" t="s">
        <v>18</v>
      </c>
      <c r="C3660" t="s">
        <v>19</v>
      </c>
      <c r="D3660" t="s">
        <v>45</v>
      </c>
      <c r="E3660" t="s">
        <v>383</v>
      </c>
      <c r="F3660" t="s">
        <v>22</v>
      </c>
      <c r="G3660" t="s">
        <v>23</v>
      </c>
      <c r="H3660" t="s">
        <v>24</v>
      </c>
      <c r="I3660" t="s">
        <v>25</v>
      </c>
      <c r="J3660" s="2">
        <v>45741.674895833326</v>
      </c>
      <c r="K3660">
        <v>25</v>
      </c>
      <c r="L3660">
        <v>3</v>
      </c>
      <c r="M3660">
        <v>2025</v>
      </c>
      <c r="N3660" t="s">
        <v>27</v>
      </c>
      <c r="O3660">
        <v>200</v>
      </c>
      <c r="P3660">
        <v>200</v>
      </c>
      <c r="R3660" s="3" t="str">
        <f>HYPERLINK("https://panda.att.com.mx/ODKServer/view/binaryData?blobKey=FSSuministroFluidosv3%5B%40version%3Dnull+and+%40uiVersion%3Dnull%5D%2Fdata%5B%40key%3Duuid%3Af18f596f-810c-4074-87e6-374f51a79317%5D%2FgroupInfoFuel%5B%40ordinal%3D1%5D%2FpicFuelRecibeInterno","Descargar")</f>
        <v>Descargar</v>
      </c>
    </row>
    <row r="3661" spans="1:18" x14ac:dyDescent="0.3">
      <c r="A3661">
        <v>1507802</v>
      </c>
      <c r="B3661" t="s">
        <v>18</v>
      </c>
      <c r="C3661" t="s">
        <v>19</v>
      </c>
      <c r="D3661" t="s">
        <v>45</v>
      </c>
      <c r="E3661" t="s">
        <v>752</v>
      </c>
      <c r="F3661" t="s">
        <v>22</v>
      </c>
      <c r="G3661" t="s">
        <v>23</v>
      </c>
      <c r="H3661" t="s">
        <v>24</v>
      </c>
      <c r="I3661" t="s">
        <v>25</v>
      </c>
      <c r="J3661" s="2">
        <v>45740.84820601852</v>
      </c>
      <c r="K3661">
        <v>24</v>
      </c>
      <c r="L3661">
        <v>3</v>
      </c>
      <c r="M3661">
        <v>2025</v>
      </c>
      <c r="N3661" t="s">
        <v>27</v>
      </c>
      <c r="O3661">
        <v>400</v>
      </c>
      <c r="P3661">
        <v>400</v>
      </c>
      <c r="R3661" s="3" t="str">
        <f>HYPERLINK("https://panda.att.com.mx/ODKServer/view/binaryData?blobKey=FSSuministroFluidosv3%5B%40version%3Dnull+and+%40uiVersion%3Dnull%5D%2Fdata%5B%40key%3Duuid%3A897689ee-0218-48e7-a82e-a7862e09a244%5D%2FgroupInfoFuel%5B%40ordinal%3D1%5D%2FpicFuelRecibeInterno","Descargar")</f>
        <v>Descargar</v>
      </c>
    </row>
    <row r="3662" spans="1:18" x14ac:dyDescent="0.3">
      <c r="A3662">
        <v>1507665</v>
      </c>
      <c r="B3662" t="s">
        <v>18</v>
      </c>
      <c r="C3662" t="s">
        <v>55</v>
      </c>
      <c r="D3662" t="s">
        <v>288</v>
      </c>
      <c r="E3662" t="s">
        <v>1537</v>
      </c>
      <c r="F3662" t="s">
        <v>22</v>
      </c>
      <c r="G3662" t="s">
        <v>23</v>
      </c>
      <c r="H3662" t="s">
        <v>1763</v>
      </c>
      <c r="I3662" t="s">
        <v>25</v>
      </c>
      <c r="J3662" s="2">
        <v>45744.548067129632</v>
      </c>
      <c r="K3662">
        <v>28</v>
      </c>
      <c r="L3662">
        <v>3</v>
      </c>
      <c r="M3662">
        <v>2025</v>
      </c>
      <c r="N3662" t="s">
        <v>27</v>
      </c>
      <c r="O3662">
        <v>250</v>
      </c>
      <c r="P3662">
        <v>250</v>
      </c>
      <c r="R3662" s="3" t="str">
        <f>HYPERLINK("https://panda.att.com.mx/ODKServer/view/binaryData?blobKey=FSSuministroFluidosv3%5B%40version%3Dnull+and+%40uiVersion%3Dnull%5D%2Fdata%5B%40key%3Duuid%3A1956f3e2-0710-451d-949e-1bc5ec496790%5D%2FgroupInfoFuel%5B%40ordinal%3D1%5D%2FpicFuelRecibeInterno","Descargar")</f>
        <v>Descargar</v>
      </c>
    </row>
    <row r="3663" spans="1:18" x14ac:dyDescent="0.3">
      <c r="A3663">
        <v>1507646</v>
      </c>
      <c r="B3663" t="s">
        <v>18</v>
      </c>
      <c r="C3663" t="s">
        <v>55</v>
      </c>
      <c r="D3663" t="s">
        <v>56</v>
      </c>
      <c r="E3663" t="s">
        <v>2188</v>
      </c>
      <c r="F3663" t="s">
        <v>22</v>
      </c>
      <c r="G3663" t="s">
        <v>23</v>
      </c>
      <c r="H3663" t="s">
        <v>1763</v>
      </c>
      <c r="I3663" t="s">
        <v>25</v>
      </c>
      <c r="J3663" s="2">
        <v>45743.626886574071</v>
      </c>
      <c r="K3663">
        <v>27</v>
      </c>
      <c r="L3663">
        <v>3</v>
      </c>
      <c r="M3663">
        <v>2025</v>
      </c>
      <c r="N3663" t="s">
        <v>27</v>
      </c>
      <c r="O3663">
        <v>100</v>
      </c>
      <c r="P3663">
        <v>100</v>
      </c>
      <c r="R3663" s="3" t="str">
        <f>HYPERLINK("https://panda.att.com.mx/ODKServer/view/binaryData?blobKey=FSSuministroFluidosv3%5B%40version%3Dnull+and+%40uiVersion%3Dnull%5D%2Fdata%5B%40key%3Duuid%3Ab5cb4e3d-2fcd-4f56-a595-50f771b9c05f%5D%2FgroupInfoFuel%5B%40ordinal%3D1%5D%2FpicFuelRecibeInterno","Descargar")</f>
        <v>Descargar</v>
      </c>
    </row>
    <row r="3664" spans="1:18" x14ac:dyDescent="0.3">
      <c r="A3664">
        <v>1507640</v>
      </c>
      <c r="B3664" t="s">
        <v>18</v>
      </c>
      <c r="C3664" t="s">
        <v>55</v>
      </c>
      <c r="D3664" t="s">
        <v>56</v>
      </c>
      <c r="E3664" t="s">
        <v>1555</v>
      </c>
      <c r="F3664" t="s">
        <v>22</v>
      </c>
      <c r="G3664" t="s">
        <v>23</v>
      </c>
      <c r="H3664" t="s">
        <v>1763</v>
      </c>
      <c r="I3664" t="s">
        <v>25</v>
      </c>
      <c r="J3664" s="2">
        <v>45743.439270833333</v>
      </c>
      <c r="K3664">
        <v>27</v>
      </c>
      <c r="L3664">
        <v>3</v>
      </c>
      <c r="M3664">
        <v>2025</v>
      </c>
      <c r="N3664" t="s">
        <v>27</v>
      </c>
      <c r="O3664">
        <v>300</v>
      </c>
      <c r="P3664">
        <v>300</v>
      </c>
      <c r="R3664" s="3" t="str">
        <f>HYPERLINK("https://panda.att.com.mx/ODKServer/view/binaryData?blobKey=FSSuministroFluidosv3%5B%40version%3Dnull+and+%40uiVersion%3Dnull%5D%2Fdata%5B%40key%3Duuid%3Addf63c93-8e7b-4b81-a7e8-bde079d605ca%5D%2FgroupInfoFuel%5B%40ordinal%3D1%5D%2FpicFuelRecibeInterno","Descargar")</f>
        <v>Descargar</v>
      </c>
    </row>
    <row r="3665" spans="1:18" x14ac:dyDescent="0.3">
      <c r="A3665">
        <v>1507554</v>
      </c>
      <c r="B3665" t="s">
        <v>18</v>
      </c>
      <c r="C3665" t="s">
        <v>19</v>
      </c>
      <c r="D3665" t="s">
        <v>42</v>
      </c>
      <c r="E3665" t="s">
        <v>1571</v>
      </c>
      <c r="F3665" t="s">
        <v>22</v>
      </c>
      <c r="G3665" t="s">
        <v>23</v>
      </c>
      <c r="H3665" t="s">
        <v>24</v>
      </c>
      <c r="I3665" t="s">
        <v>25</v>
      </c>
      <c r="J3665" s="2">
        <v>45744.494189814817</v>
      </c>
      <c r="K3665">
        <v>28</v>
      </c>
      <c r="L3665">
        <v>3</v>
      </c>
      <c r="M3665">
        <v>2025</v>
      </c>
      <c r="N3665" t="s">
        <v>27</v>
      </c>
      <c r="O3665">
        <v>200</v>
      </c>
      <c r="P3665">
        <v>200</v>
      </c>
      <c r="R3665" s="3" t="str">
        <f>HYPERLINK("https://panda.att.com.mx/ODKServer/view/binaryData?blobKey=FSSuministroFluidosv3%5B%40version%3Dnull+and+%40uiVersion%3Dnull%5D%2Fdata%5B%40key%3Duuid%3A1fd6fb1e-2af2-4768-a43a-c26c0e834cf4%5D%2FgroupInfoFuel%5B%40ordinal%3D1%5D%2FpicFuelRecibeInterno","Descargar")</f>
        <v>Descargar</v>
      </c>
    </row>
    <row r="3666" spans="1:18" x14ac:dyDescent="0.3">
      <c r="A3666">
        <v>1507553</v>
      </c>
      <c r="B3666" t="s">
        <v>18</v>
      </c>
      <c r="C3666" t="s">
        <v>19</v>
      </c>
      <c r="D3666" t="s">
        <v>42</v>
      </c>
      <c r="E3666" t="s">
        <v>2964</v>
      </c>
      <c r="F3666" t="s">
        <v>22</v>
      </c>
      <c r="G3666" t="s">
        <v>23</v>
      </c>
      <c r="H3666" t="s">
        <v>24</v>
      </c>
      <c r="I3666" t="s">
        <v>25</v>
      </c>
      <c r="J3666" s="2">
        <v>45744.441516203697</v>
      </c>
      <c r="K3666">
        <v>28</v>
      </c>
      <c r="L3666">
        <v>3</v>
      </c>
      <c r="M3666">
        <v>2025</v>
      </c>
      <c r="N3666" t="s">
        <v>44</v>
      </c>
      <c r="O3666">
        <v>50</v>
      </c>
      <c r="P3666">
        <v>50</v>
      </c>
      <c r="R3666" s="3" t="str">
        <f>HYPERLINK("https://panda.att.com.mx/ODKServer/view/binaryData?blobKey=FSSuministroFluidosv3%5B%40version%3Dnull+and+%40uiVersion%3Dnull%5D%2Fdata%5B%40key%3Duuid%3A1fd66769-cda2-41d7-8a5c-7bfc71501eb6%5D%2FgroupInfoFuel%5B%40ordinal%3D1%5D%2FpicFuelRecibeInterno","Descargar")</f>
        <v>Descargar</v>
      </c>
    </row>
    <row r="3667" spans="1:18" x14ac:dyDescent="0.3">
      <c r="A3667">
        <v>1507457</v>
      </c>
      <c r="B3667" t="s">
        <v>18</v>
      </c>
      <c r="C3667" t="s">
        <v>34</v>
      </c>
      <c r="D3667" t="s">
        <v>53</v>
      </c>
      <c r="E3667" t="s">
        <v>1703</v>
      </c>
      <c r="F3667" t="s">
        <v>22</v>
      </c>
      <c r="G3667" t="s">
        <v>23</v>
      </c>
      <c r="H3667" t="s">
        <v>390</v>
      </c>
      <c r="I3667" t="s">
        <v>25</v>
      </c>
      <c r="J3667" s="2">
        <v>45743.718171296299</v>
      </c>
      <c r="K3667">
        <v>27</v>
      </c>
      <c r="L3667">
        <v>3</v>
      </c>
      <c r="M3667">
        <v>2025</v>
      </c>
      <c r="N3667" t="s">
        <v>27</v>
      </c>
      <c r="O3667">
        <v>40</v>
      </c>
      <c r="P3667">
        <v>40</v>
      </c>
      <c r="R3667" s="3" t="str">
        <f>HYPERLINK("https://panda.att.com.mx/ODKServer/view/binaryData?blobKey=FSSuministroFluidosv3%5B%40version%3Dnull+and+%40uiVersion%3Dnull%5D%2Fdata%5B%40key%3Duuid%3Af0fad73f-dcaa-434e-a745-e58e15ce602f%5D%2FgroupInfoFuel%5B%40ordinal%3D1%5D%2FpicFuelRecibeInterno","Descargar")</f>
        <v>Descargar</v>
      </c>
    </row>
    <row r="3668" spans="1:18" x14ac:dyDescent="0.3">
      <c r="A3668">
        <v>1507386</v>
      </c>
      <c r="B3668" t="s">
        <v>18</v>
      </c>
      <c r="C3668" t="s">
        <v>28</v>
      </c>
      <c r="D3668" t="s">
        <v>1036</v>
      </c>
      <c r="E3668" t="s">
        <v>1699</v>
      </c>
      <c r="F3668" t="s">
        <v>22</v>
      </c>
      <c r="G3668" t="s">
        <v>23</v>
      </c>
      <c r="H3668" t="s">
        <v>24</v>
      </c>
      <c r="I3668" t="s">
        <v>25</v>
      </c>
      <c r="J3668" s="2">
        <v>45741.421585648153</v>
      </c>
      <c r="K3668">
        <v>25</v>
      </c>
      <c r="L3668">
        <v>3</v>
      </c>
      <c r="M3668">
        <v>2025</v>
      </c>
      <c r="N3668" t="s">
        <v>27</v>
      </c>
      <c r="O3668">
        <v>100</v>
      </c>
      <c r="P3668">
        <v>100</v>
      </c>
      <c r="R3668" s="3" t="str">
        <f>HYPERLINK("https://panda.att.com.mx/ODKServer/view/binaryData?blobKey=FSSuministroFluidosv3%5B%40version%3Dnull+and+%40uiVersion%3Dnull%5D%2Fdata%5B%40key%3Duuid%3Aad07102d-dd4b-4b26-a5d5-0fbd63bffe35%5D%2FgroupInfoFuel%5B%40ordinal%3D1%5D%2FpicFuelRecibeInterno","Descargar")</f>
        <v>Descargar</v>
      </c>
    </row>
    <row r="3669" spans="1:18" x14ac:dyDescent="0.3">
      <c r="A3669">
        <v>1507376</v>
      </c>
      <c r="B3669" t="s">
        <v>18</v>
      </c>
      <c r="C3669" t="s">
        <v>59</v>
      </c>
      <c r="D3669" t="s">
        <v>60</v>
      </c>
      <c r="E3669" t="s">
        <v>2965</v>
      </c>
      <c r="F3669" t="s">
        <v>22</v>
      </c>
      <c r="G3669" t="s">
        <v>23</v>
      </c>
      <c r="H3669" t="s">
        <v>1816</v>
      </c>
      <c r="I3669" t="s">
        <v>25</v>
      </c>
      <c r="J3669" s="2">
        <v>45743.849710648137</v>
      </c>
      <c r="K3669">
        <v>27</v>
      </c>
      <c r="L3669">
        <v>3</v>
      </c>
      <c r="M3669">
        <v>2025</v>
      </c>
      <c r="N3669" t="s">
        <v>27</v>
      </c>
      <c r="O3669">
        <v>358.5</v>
      </c>
      <c r="P3669">
        <v>358.5</v>
      </c>
      <c r="R3669" s="3" t="str">
        <f>HYPERLINK("https://panda.att.com.mx/ODKServer/view/binaryData?blobKey=FSSuministroFluidosv3%5B%40version%3Dnull+and+%40uiVersion%3Dnull%5D%2Fdata%5B%40key%3Duuid%3A7a5527e0-3bea-44e9-ae82-ec45f0455b03%5D%2FgroupInfoFuel%5B%40ordinal%3D1%5D%2FpicFuelRecibeInterno","Descargar")</f>
        <v>Descargar</v>
      </c>
    </row>
    <row r="3670" spans="1:18" x14ac:dyDescent="0.3">
      <c r="A3670">
        <v>1507075</v>
      </c>
      <c r="B3670" t="s">
        <v>18</v>
      </c>
      <c r="C3670" t="s">
        <v>55</v>
      </c>
      <c r="D3670" t="s">
        <v>56</v>
      </c>
      <c r="E3670" t="s">
        <v>2188</v>
      </c>
      <c r="F3670" t="s">
        <v>22</v>
      </c>
      <c r="G3670" t="s">
        <v>23</v>
      </c>
      <c r="H3670" t="s">
        <v>1763</v>
      </c>
      <c r="I3670" t="s">
        <v>25</v>
      </c>
      <c r="J3670" s="2">
        <v>45739.498298611114</v>
      </c>
      <c r="K3670">
        <v>23</v>
      </c>
      <c r="L3670">
        <v>3</v>
      </c>
      <c r="M3670">
        <v>2025</v>
      </c>
      <c r="N3670" t="s">
        <v>27</v>
      </c>
      <c r="O3670">
        <v>100</v>
      </c>
      <c r="P3670">
        <v>100</v>
      </c>
      <c r="R3670" s="3" t="str">
        <f>HYPERLINK("https://panda.att.com.mx/ODKServer/view/binaryData?blobKey=FSSuministroFluidosv3%5B%40version%3Dnull+and+%40uiVersion%3Dnull%5D%2Fdata%5B%40key%3Duuid%3Ae5e4cb66-6317-4d66-96c6-0c0c26f4eb04%5D%2FgroupInfoFuel%5B%40ordinal%3D1%5D%2FpicFuelRecibeInterno","Descargar")</f>
        <v>Descargar</v>
      </c>
    </row>
    <row r="3671" spans="1:18" x14ac:dyDescent="0.3">
      <c r="A3671">
        <v>1507043</v>
      </c>
      <c r="B3671" t="s">
        <v>18</v>
      </c>
      <c r="C3671" t="s">
        <v>55</v>
      </c>
      <c r="D3671" t="s">
        <v>56</v>
      </c>
      <c r="E3671" t="s">
        <v>2188</v>
      </c>
      <c r="F3671" t="s">
        <v>22</v>
      </c>
      <c r="G3671" t="s">
        <v>23</v>
      </c>
      <c r="H3671" t="s">
        <v>1763</v>
      </c>
      <c r="I3671" t="s">
        <v>25</v>
      </c>
      <c r="J3671" s="2">
        <v>45738.454143518517</v>
      </c>
      <c r="K3671">
        <v>22</v>
      </c>
      <c r="L3671">
        <v>3</v>
      </c>
      <c r="M3671">
        <v>2025</v>
      </c>
      <c r="N3671" t="s">
        <v>27</v>
      </c>
      <c r="O3671">
        <v>100</v>
      </c>
      <c r="P3671">
        <v>100</v>
      </c>
      <c r="R3671" s="3" t="str">
        <f>HYPERLINK("https://panda.att.com.mx/ODKServer/view/binaryData?blobKey=FSSuministroFluidosv3%5B%40version%3Dnull+and+%40uiVersion%3Dnull%5D%2Fdata%5B%40key%3Duuid%3Ac9f61766-f741-48d0-b70f-c1b8566d24e3%5D%2FgroupInfoFuel%5B%40ordinal%3D1%5D%2FpicFuelRecibeInterno","Descargar")</f>
        <v>Descargar</v>
      </c>
    </row>
    <row r="3672" spans="1:18" x14ac:dyDescent="0.3">
      <c r="A3672">
        <v>1506862</v>
      </c>
      <c r="B3672" t="s">
        <v>18</v>
      </c>
      <c r="C3672" t="s">
        <v>55</v>
      </c>
      <c r="D3672" t="s">
        <v>56</v>
      </c>
      <c r="E3672" t="s">
        <v>2966</v>
      </c>
      <c r="F3672" t="s">
        <v>22</v>
      </c>
      <c r="G3672" t="s">
        <v>23</v>
      </c>
      <c r="H3672" t="s">
        <v>1763</v>
      </c>
      <c r="I3672" t="s">
        <v>25</v>
      </c>
      <c r="J3672" s="2">
        <v>45707.699942129628</v>
      </c>
      <c r="K3672">
        <v>19</v>
      </c>
      <c r="L3672">
        <v>2</v>
      </c>
      <c r="M3672">
        <v>2025</v>
      </c>
      <c r="N3672" t="s">
        <v>27</v>
      </c>
      <c r="O3672">
        <v>100</v>
      </c>
      <c r="P3672">
        <v>100</v>
      </c>
      <c r="R3672" s="3" t="str">
        <f>HYPERLINK("https://panda.att.com.mx/ODKServer/view/binaryData?blobKey=FSSuministroFluidosv3%5B%40version%3Dnull+and+%40uiVersion%3Dnull%5D%2Fdata%5B%40key%3Duuid%3A16eca98e-28e5-4e09-94ee-7e7e3e827a60%5D%2FgroupInfoFuel%5B%40ordinal%3D1%5D%2FpicFuelRecibeInterno","Descargar")</f>
        <v>Descargar</v>
      </c>
    </row>
    <row r="3673" spans="1:18" x14ac:dyDescent="0.3">
      <c r="A3673">
        <v>1506861</v>
      </c>
      <c r="B3673" t="s">
        <v>18</v>
      </c>
      <c r="C3673" t="s">
        <v>55</v>
      </c>
      <c r="D3673" t="s">
        <v>56</v>
      </c>
      <c r="E3673" t="s">
        <v>2945</v>
      </c>
      <c r="F3673" t="s">
        <v>22</v>
      </c>
      <c r="G3673" t="s">
        <v>23</v>
      </c>
      <c r="H3673" t="s">
        <v>1763</v>
      </c>
      <c r="I3673" t="s">
        <v>25</v>
      </c>
      <c r="J3673" s="2">
        <v>45726.46707175926</v>
      </c>
      <c r="K3673">
        <v>10</v>
      </c>
      <c r="L3673">
        <v>3</v>
      </c>
      <c r="M3673">
        <v>2025</v>
      </c>
      <c r="N3673" t="s">
        <v>27</v>
      </c>
      <c r="O3673">
        <v>100</v>
      </c>
      <c r="P3673">
        <v>100</v>
      </c>
      <c r="R3673" s="3" t="str">
        <f>HYPERLINK("https://panda.att.com.mx/ODKServer/view/binaryData?blobKey=FSSuministroFluidosv3%5B%40version%3Dnull+and+%40uiVersion%3Dnull%5D%2Fdata%5B%40key%3Duuid%3A542b393a-b591-49ba-a353-4347303385a6%5D%2FgroupInfoFuel%5B%40ordinal%3D1%5D%2FpicFuelRecibeInterno","Descargar")</f>
        <v>Descargar</v>
      </c>
    </row>
    <row r="3674" spans="1:18" x14ac:dyDescent="0.3">
      <c r="A3674">
        <v>1506860</v>
      </c>
      <c r="B3674" t="s">
        <v>18</v>
      </c>
      <c r="C3674" t="s">
        <v>55</v>
      </c>
      <c r="D3674" t="s">
        <v>56</v>
      </c>
      <c r="E3674" t="s">
        <v>2188</v>
      </c>
      <c r="F3674" t="s">
        <v>22</v>
      </c>
      <c r="G3674" t="s">
        <v>23</v>
      </c>
      <c r="H3674" t="s">
        <v>1763</v>
      </c>
      <c r="I3674" t="s">
        <v>25</v>
      </c>
      <c r="J3674" s="2">
        <v>45726.529791666668</v>
      </c>
      <c r="K3674">
        <v>10</v>
      </c>
      <c r="L3674">
        <v>3</v>
      </c>
      <c r="M3674">
        <v>2025</v>
      </c>
      <c r="N3674" t="s">
        <v>27</v>
      </c>
      <c r="O3674">
        <v>100</v>
      </c>
      <c r="P3674">
        <v>100</v>
      </c>
      <c r="R3674" s="3" t="str">
        <f>HYPERLINK("https://panda.att.com.mx/ODKServer/view/binaryData?blobKey=FSSuministroFluidosv3%5B%40version%3Dnull+and+%40uiVersion%3Dnull%5D%2Fdata%5B%40key%3Duuid%3A95082ea2-9b2a-40bb-ad52-9695a46302fe%5D%2FgroupInfoFuel%5B%40ordinal%3D1%5D%2FpicFuelRecibeInterno","Descargar")</f>
        <v>Descargar</v>
      </c>
    </row>
    <row r="3675" spans="1:18" x14ac:dyDescent="0.3">
      <c r="A3675">
        <v>1506859</v>
      </c>
      <c r="B3675" t="s">
        <v>18</v>
      </c>
      <c r="C3675" t="s">
        <v>55</v>
      </c>
      <c r="D3675" t="s">
        <v>56</v>
      </c>
      <c r="E3675" t="s">
        <v>2089</v>
      </c>
      <c r="F3675" t="s">
        <v>22</v>
      </c>
      <c r="G3675" t="s">
        <v>23</v>
      </c>
      <c r="H3675" t="s">
        <v>1763</v>
      </c>
      <c r="I3675" t="s">
        <v>25</v>
      </c>
      <c r="J3675" s="2">
        <v>45726.629745370366</v>
      </c>
      <c r="K3675">
        <v>10</v>
      </c>
      <c r="L3675">
        <v>3</v>
      </c>
      <c r="M3675">
        <v>2025</v>
      </c>
      <c r="N3675" t="s">
        <v>27</v>
      </c>
      <c r="O3675">
        <v>200</v>
      </c>
      <c r="P3675">
        <v>200</v>
      </c>
      <c r="R3675" s="3" t="str">
        <f>HYPERLINK("https://panda.att.com.mx/ODKServer/view/binaryData?blobKey=FSSuministroFluidosv3%5B%40version%3Dnull+and+%40uiVersion%3Dnull%5D%2Fdata%5B%40key%3Duuid%3Adcb5f882-0555-41ef-adbe-914508675fc2%5D%2FgroupInfoFuel%5B%40ordinal%3D1%5D%2FpicFuelRecibeInterno","Descargar")</f>
        <v>Descargar</v>
      </c>
    </row>
    <row r="3676" spans="1:18" x14ac:dyDescent="0.3">
      <c r="A3676">
        <v>1506858</v>
      </c>
      <c r="B3676" t="s">
        <v>18</v>
      </c>
      <c r="C3676" t="s">
        <v>55</v>
      </c>
      <c r="D3676" t="s">
        <v>56</v>
      </c>
      <c r="E3676" t="s">
        <v>1778</v>
      </c>
      <c r="F3676" t="s">
        <v>22</v>
      </c>
      <c r="G3676" t="s">
        <v>23</v>
      </c>
      <c r="H3676" t="s">
        <v>1763</v>
      </c>
      <c r="I3676" t="s">
        <v>25</v>
      </c>
      <c r="J3676" s="2">
        <v>45726.71912037037</v>
      </c>
      <c r="K3676">
        <v>10</v>
      </c>
      <c r="L3676">
        <v>3</v>
      </c>
      <c r="M3676">
        <v>2025</v>
      </c>
      <c r="N3676" t="s">
        <v>27</v>
      </c>
      <c r="O3676">
        <v>50</v>
      </c>
      <c r="P3676">
        <v>50</v>
      </c>
      <c r="R3676" s="3" t="str">
        <f>HYPERLINK("https://panda.att.com.mx/ODKServer/view/binaryData?blobKey=FSSuministroFluidosv3%5B%40version%3Dnull+and+%40uiVersion%3Dnull%5D%2Fdata%5B%40key%3Duuid%3A654fb0e1-7360-4ab0-9168-c9e83802f575%5D%2FgroupInfoFuel%5B%40ordinal%3D1%5D%2FpicFuelRecibeInterno","Descargar")</f>
        <v>Descargar</v>
      </c>
    </row>
    <row r="3677" spans="1:18" x14ac:dyDescent="0.3">
      <c r="A3677">
        <v>1505527</v>
      </c>
      <c r="B3677" t="s">
        <v>18</v>
      </c>
      <c r="C3677" t="s">
        <v>55</v>
      </c>
      <c r="D3677" t="s">
        <v>56</v>
      </c>
      <c r="E3677" t="s">
        <v>2735</v>
      </c>
      <c r="F3677" t="s">
        <v>22</v>
      </c>
      <c r="G3677" t="s">
        <v>23</v>
      </c>
      <c r="H3677" t="s">
        <v>1763</v>
      </c>
      <c r="I3677" t="s">
        <v>25</v>
      </c>
      <c r="J3677" s="2">
        <v>45733.368854166663</v>
      </c>
      <c r="K3677">
        <v>17</v>
      </c>
      <c r="L3677">
        <v>3</v>
      </c>
      <c r="M3677">
        <v>2025</v>
      </c>
      <c r="N3677" t="s">
        <v>27</v>
      </c>
      <c r="O3677">
        <v>100</v>
      </c>
      <c r="P3677">
        <v>100</v>
      </c>
      <c r="R3677" s="3" t="str">
        <f>HYPERLINK("https://panda.att.com.mx/ODKServer/view/binaryData?blobKey=FSSuministroFluidosv3%5B%40version%3Dnull+and+%40uiVersion%3Dnull%5D%2Fdata%5B%40key%3Duuid%3A5a3763da-1925-41ad-941c-1e74b9b20159%5D%2FgroupInfoFuel%5B%40ordinal%3D1%5D%2FpicFuelRecibeInterno","Descargar")</f>
        <v>Descargar</v>
      </c>
    </row>
    <row r="3678" spans="1:18" x14ac:dyDescent="0.3">
      <c r="A3678">
        <v>1505521</v>
      </c>
      <c r="B3678" t="s">
        <v>18</v>
      </c>
      <c r="C3678" t="s">
        <v>55</v>
      </c>
      <c r="D3678" t="s">
        <v>56</v>
      </c>
      <c r="E3678" t="s">
        <v>2735</v>
      </c>
      <c r="F3678" t="s">
        <v>22</v>
      </c>
      <c r="G3678" t="s">
        <v>23</v>
      </c>
      <c r="H3678" t="s">
        <v>1763</v>
      </c>
      <c r="I3678" t="s">
        <v>25</v>
      </c>
      <c r="J3678" s="2">
        <v>45738.418310185189</v>
      </c>
      <c r="K3678">
        <v>22</v>
      </c>
      <c r="L3678">
        <v>3</v>
      </c>
      <c r="M3678">
        <v>2025</v>
      </c>
      <c r="N3678" t="s">
        <v>27</v>
      </c>
      <c r="O3678">
        <v>100</v>
      </c>
      <c r="P3678">
        <v>100</v>
      </c>
      <c r="R3678" s="3" t="str">
        <f>HYPERLINK("https://panda.att.com.mx/ODKServer/view/binaryData?blobKey=FSSuministroFluidosv3%5B%40version%3Dnull+and+%40uiVersion%3Dnull%5D%2Fdata%5B%40key%3Duuid%3Ab37b82ea-a187-4a26-9ca5-1a661fc9c73a%5D%2FgroupInfoFuel%5B%40ordinal%3D1%5D%2FpicFuelRecibeInterno","Descargar")</f>
        <v>Descargar</v>
      </c>
    </row>
    <row r="3679" spans="1:18" x14ac:dyDescent="0.3">
      <c r="A3679">
        <v>1505520</v>
      </c>
      <c r="B3679" t="s">
        <v>18</v>
      </c>
      <c r="C3679" t="s">
        <v>55</v>
      </c>
      <c r="D3679" t="s">
        <v>56</v>
      </c>
      <c r="E3679" t="s">
        <v>2735</v>
      </c>
      <c r="F3679" t="s">
        <v>22</v>
      </c>
      <c r="G3679" t="s">
        <v>23</v>
      </c>
      <c r="H3679" t="s">
        <v>1763</v>
      </c>
      <c r="I3679" t="s">
        <v>25</v>
      </c>
      <c r="J3679" s="2">
        <v>45736.561550925922</v>
      </c>
      <c r="K3679">
        <v>20</v>
      </c>
      <c r="L3679">
        <v>3</v>
      </c>
      <c r="M3679">
        <v>2025</v>
      </c>
      <c r="N3679" t="s">
        <v>27</v>
      </c>
      <c r="O3679">
        <v>100</v>
      </c>
      <c r="P3679">
        <v>100</v>
      </c>
      <c r="R3679" s="3" t="str">
        <f>HYPERLINK("https://panda.att.com.mx/ODKServer/view/binaryData?blobKey=FSSuministroFluidosv3%5B%40version%3Dnull+and+%40uiVersion%3Dnull%5D%2Fdata%5B%40key%3Duuid%3Afa1e3f14-8607-4bc3-b87f-49670572191b%5D%2FgroupInfoFuel%5B%40ordinal%3D1%5D%2FpicFuelRecibeInterno","Descargar")</f>
        <v>Descargar</v>
      </c>
    </row>
    <row r="3680" spans="1:18" x14ac:dyDescent="0.3">
      <c r="A3680">
        <v>1505514</v>
      </c>
      <c r="B3680" t="s">
        <v>18</v>
      </c>
      <c r="C3680" t="s">
        <v>183</v>
      </c>
      <c r="D3680" t="s">
        <v>841</v>
      </c>
      <c r="E3680" t="s">
        <v>2123</v>
      </c>
      <c r="F3680" t="s">
        <v>22</v>
      </c>
      <c r="G3680" t="s">
        <v>23</v>
      </c>
      <c r="H3680" t="s">
        <v>1763</v>
      </c>
      <c r="I3680" t="s">
        <v>25</v>
      </c>
      <c r="J3680" s="2">
        <v>45733.523912037039</v>
      </c>
      <c r="K3680">
        <v>17</v>
      </c>
      <c r="L3680">
        <v>3</v>
      </c>
      <c r="M3680">
        <v>2025</v>
      </c>
      <c r="N3680" t="s">
        <v>27</v>
      </c>
      <c r="O3680">
        <v>100</v>
      </c>
      <c r="P3680">
        <v>100</v>
      </c>
      <c r="R3680" s="3" t="str">
        <f>HYPERLINK("https://panda.att.com.mx/ODKServer/view/binaryData?blobKey=FSSuministroFluidosv3%5B%40version%3Dnull+and+%40uiVersion%3Dnull%5D%2Fdata%5B%40key%3Duuid%3A6b2f7115-235d-45f8-a620-1b0d76d0544d%5D%2FgroupInfoFuel%5B%40ordinal%3D1%5D%2FpicFuelRecibeInterno","Descargar")</f>
        <v>Descargar</v>
      </c>
    </row>
    <row r="3681" spans="1:18" x14ac:dyDescent="0.3">
      <c r="A3681">
        <v>1505508</v>
      </c>
      <c r="B3681" t="s">
        <v>18</v>
      </c>
      <c r="C3681" t="s">
        <v>183</v>
      </c>
      <c r="D3681" t="s">
        <v>841</v>
      </c>
      <c r="E3681" t="s">
        <v>2123</v>
      </c>
      <c r="F3681" t="s">
        <v>22</v>
      </c>
      <c r="G3681" t="s">
        <v>23</v>
      </c>
      <c r="H3681" t="s">
        <v>1763</v>
      </c>
      <c r="I3681" t="s">
        <v>25</v>
      </c>
      <c r="J3681" s="2">
        <v>45735.584803240738</v>
      </c>
      <c r="K3681">
        <v>19</v>
      </c>
      <c r="L3681">
        <v>3</v>
      </c>
      <c r="M3681">
        <v>2025</v>
      </c>
      <c r="N3681" t="s">
        <v>27</v>
      </c>
      <c r="O3681">
        <v>100</v>
      </c>
      <c r="P3681">
        <v>100</v>
      </c>
      <c r="R3681" s="3" t="str">
        <f>HYPERLINK("https://panda.att.com.mx/ODKServer/view/binaryData?blobKey=FSSuministroFluidosv3%5B%40version%3Dnull+and+%40uiVersion%3Dnull%5D%2Fdata%5B%40key%3Duuid%3Aea9841a8-5e6c-4b61-95f7-c1d238c01469%5D%2FgroupInfoFuel%5B%40ordinal%3D1%5D%2FpicFuelRecibeInterno","Descargar")</f>
        <v>Descargar</v>
      </c>
    </row>
    <row r="3682" spans="1:18" x14ac:dyDescent="0.3">
      <c r="A3682">
        <v>1505453</v>
      </c>
      <c r="B3682" t="s">
        <v>18</v>
      </c>
      <c r="C3682" t="s">
        <v>19</v>
      </c>
      <c r="D3682" t="s">
        <v>347</v>
      </c>
      <c r="E3682" t="s">
        <v>2967</v>
      </c>
      <c r="F3682" t="s">
        <v>22</v>
      </c>
      <c r="G3682" t="s">
        <v>47</v>
      </c>
      <c r="H3682" t="s">
        <v>24</v>
      </c>
      <c r="I3682" t="s">
        <v>25</v>
      </c>
      <c r="J3682" s="2">
        <v>45726.374872685177</v>
      </c>
      <c r="K3682">
        <v>10</v>
      </c>
      <c r="L3682">
        <v>3</v>
      </c>
      <c r="M3682">
        <v>2025</v>
      </c>
      <c r="N3682" t="s">
        <v>27</v>
      </c>
      <c r="O3682">
        <v>200</v>
      </c>
      <c r="P3682">
        <v>200</v>
      </c>
      <c r="R3682" s="3" t="str">
        <f>HYPERLINK("https://panda.att.com.mx/ODKServer/view/binaryData?blobKey=FSSuministroFluidosv3%5B%40version%3Dnull+and+%40uiVersion%3Dnull%5D%2Fdata%5B%40key%3Duuid%3A125738bd-04ed-4982-b99e-5ff676b534bf%5D%2FgroupInfoFuel%5B%40ordinal%3D1%5D%2FpicFuelRecibeInterno","Descargar")</f>
        <v>Descargar</v>
      </c>
    </row>
    <row r="3683" spans="1:18" x14ac:dyDescent="0.3">
      <c r="A3683">
        <v>1505448</v>
      </c>
      <c r="B3683" t="s">
        <v>18</v>
      </c>
      <c r="C3683" t="s">
        <v>19</v>
      </c>
      <c r="D3683" t="s">
        <v>170</v>
      </c>
      <c r="E3683" t="s">
        <v>609</v>
      </c>
      <c r="F3683" t="s">
        <v>22</v>
      </c>
      <c r="G3683" t="s">
        <v>23</v>
      </c>
      <c r="H3683" t="s">
        <v>24</v>
      </c>
      <c r="I3683" t="s">
        <v>25</v>
      </c>
      <c r="J3683" s="2">
        <v>45729.671423611107</v>
      </c>
      <c r="K3683">
        <v>13</v>
      </c>
      <c r="L3683">
        <v>3</v>
      </c>
      <c r="M3683">
        <v>2025</v>
      </c>
      <c r="N3683" t="s">
        <v>27</v>
      </c>
      <c r="O3683">
        <v>300</v>
      </c>
      <c r="P3683">
        <v>300</v>
      </c>
      <c r="R3683" s="3" t="str">
        <f>HYPERLINK("https://panda.att.com.mx/ODKServer/view/binaryData?blobKey=FSSuministroFluidosv3%5B%40version%3Dnull+and+%40uiVersion%3Dnull%5D%2Fdata%5B%40key%3Duuid%3Aa6c0754c-9a20-434e-a537-9baa0030c3b0%5D%2FgroupInfoFuel%5B%40ordinal%3D1%5D%2FpicFuelRecibeInterno","Descargar")</f>
        <v>Descargar</v>
      </c>
    </row>
    <row r="3684" spans="1:18" x14ac:dyDescent="0.3">
      <c r="A3684">
        <v>1505406</v>
      </c>
      <c r="B3684" t="s">
        <v>18</v>
      </c>
      <c r="C3684" t="s">
        <v>55</v>
      </c>
      <c r="D3684" t="s">
        <v>56</v>
      </c>
      <c r="E3684" t="s">
        <v>2945</v>
      </c>
      <c r="F3684" t="s">
        <v>22</v>
      </c>
      <c r="G3684" t="s">
        <v>23</v>
      </c>
      <c r="H3684" t="s">
        <v>1763</v>
      </c>
      <c r="I3684" t="s">
        <v>25</v>
      </c>
      <c r="J3684" s="2">
        <v>45735.688402777778</v>
      </c>
      <c r="K3684">
        <v>19</v>
      </c>
      <c r="L3684">
        <v>3</v>
      </c>
      <c r="M3684">
        <v>2025</v>
      </c>
      <c r="N3684" t="s">
        <v>27</v>
      </c>
      <c r="O3684">
        <v>100</v>
      </c>
      <c r="P3684">
        <v>100</v>
      </c>
      <c r="R3684" s="3" t="str">
        <f>HYPERLINK("https://panda.att.com.mx/ODKServer/view/binaryData?blobKey=FSSuministroFluidosv3%5B%40version%3Dnull+and+%40uiVersion%3Dnull%5D%2Fdata%5B%40key%3Duuid%3Ab8f9c4c8-2968-4955-bcd5-3f6e31f228bf%5D%2FgroupInfoFuel%5B%40ordinal%3D1%5D%2FpicFuelRecibeInterno","Descargar")</f>
        <v>Descargar</v>
      </c>
    </row>
    <row r="3685" spans="1:18" x14ac:dyDescent="0.3">
      <c r="A3685">
        <v>1505401</v>
      </c>
      <c r="B3685" t="s">
        <v>18</v>
      </c>
      <c r="C3685" t="s">
        <v>55</v>
      </c>
      <c r="D3685" t="s">
        <v>56</v>
      </c>
      <c r="E3685" t="s">
        <v>1713</v>
      </c>
      <c r="F3685" t="s">
        <v>22</v>
      </c>
      <c r="G3685" t="s">
        <v>23</v>
      </c>
      <c r="H3685" t="s">
        <v>1763</v>
      </c>
      <c r="I3685" t="s">
        <v>25</v>
      </c>
      <c r="J3685" s="2">
        <v>45735.503078703703</v>
      </c>
      <c r="K3685">
        <v>19</v>
      </c>
      <c r="L3685">
        <v>3</v>
      </c>
      <c r="M3685">
        <v>2025</v>
      </c>
      <c r="N3685" t="s">
        <v>27</v>
      </c>
      <c r="O3685">
        <v>300</v>
      </c>
      <c r="P3685">
        <v>300</v>
      </c>
      <c r="R3685" s="3" t="str">
        <f>HYPERLINK("https://panda.att.com.mx/ODKServer/view/binaryData?blobKey=FSSuministroFluidosv3%5B%40version%3Dnull+and+%40uiVersion%3Dnull%5D%2Fdata%5B%40key%3Duuid%3Ae0f70682-6bc4-4a8f-95bb-02d83d92f7d6%5D%2FgroupInfoFuel%5B%40ordinal%3D1%5D%2FpicFuelRecibeInterno","Descargar")</f>
        <v>Descargar</v>
      </c>
    </row>
    <row r="3686" spans="1:18" x14ac:dyDescent="0.3">
      <c r="A3686">
        <v>1505400</v>
      </c>
      <c r="B3686" t="s">
        <v>18</v>
      </c>
      <c r="C3686" t="s">
        <v>55</v>
      </c>
      <c r="D3686" t="s">
        <v>56</v>
      </c>
      <c r="E3686" t="s">
        <v>2945</v>
      </c>
      <c r="F3686" t="s">
        <v>22</v>
      </c>
      <c r="G3686" t="s">
        <v>23</v>
      </c>
      <c r="H3686" t="s">
        <v>1763</v>
      </c>
      <c r="I3686" t="s">
        <v>25</v>
      </c>
      <c r="J3686" s="2">
        <v>45734.601666666669</v>
      </c>
      <c r="K3686">
        <v>18</v>
      </c>
      <c r="L3686">
        <v>3</v>
      </c>
      <c r="M3686">
        <v>2025</v>
      </c>
      <c r="N3686" t="s">
        <v>27</v>
      </c>
      <c r="O3686">
        <v>100</v>
      </c>
      <c r="P3686">
        <v>100</v>
      </c>
      <c r="R3686" s="3" t="str">
        <f>HYPERLINK("https://panda.att.com.mx/ODKServer/view/binaryData?blobKey=FSSuministroFluidosv3%5B%40version%3Dnull+and+%40uiVersion%3Dnull%5D%2Fdata%5B%40key%3Duuid%3A6dc68789-3b47-4f1c-91db-21b2e6d83f24%5D%2FgroupInfoFuel%5B%40ordinal%3D1%5D%2FpicFuelRecibeInterno","Descargar")</f>
        <v>Descargar</v>
      </c>
    </row>
    <row r="3687" spans="1:18" x14ac:dyDescent="0.3">
      <c r="A3687">
        <v>1505388</v>
      </c>
      <c r="B3687" t="s">
        <v>18</v>
      </c>
      <c r="C3687" t="s">
        <v>28</v>
      </c>
      <c r="D3687" t="s">
        <v>1036</v>
      </c>
      <c r="E3687" t="s">
        <v>1699</v>
      </c>
      <c r="F3687" t="s">
        <v>22</v>
      </c>
      <c r="G3687" t="s">
        <v>23</v>
      </c>
      <c r="H3687" t="s">
        <v>24</v>
      </c>
      <c r="I3687" t="s">
        <v>25</v>
      </c>
      <c r="J3687" s="2">
        <v>45740.660914351851</v>
      </c>
      <c r="K3687">
        <v>24</v>
      </c>
      <c r="L3687">
        <v>3</v>
      </c>
      <c r="M3687">
        <v>2025</v>
      </c>
      <c r="N3687" t="s">
        <v>27</v>
      </c>
      <c r="O3687">
        <v>100</v>
      </c>
      <c r="P3687">
        <v>100</v>
      </c>
      <c r="R3687" s="3" t="str">
        <f>HYPERLINK("https://panda.att.com.mx/ODKServer/view/binaryData?blobKey=FSSuministroFluidosv3%5B%40version%3Dnull+and+%40uiVersion%3Dnull%5D%2Fdata%5B%40key%3Duuid%3Acbf8bef2-8b36-410d-b3f2-e45b6532eb39%5D%2FgroupInfoFuel%5B%40ordinal%3D1%5D%2FpicFuelRecibeInterno","Descargar")</f>
        <v>Descargar</v>
      </c>
    </row>
    <row r="3688" spans="1:18" x14ac:dyDescent="0.3">
      <c r="A3688">
        <v>1505345</v>
      </c>
      <c r="B3688" t="s">
        <v>18</v>
      </c>
      <c r="C3688" t="s">
        <v>55</v>
      </c>
      <c r="D3688" t="s">
        <v>56</v>
      </c>
      <c r="E3688" t="s">
        <v>1555</v>
      </c>
      <c r="F3688" t="s">
        <v>22</v>
      </c>
      <c r="G3688" t="s">
        <v>23</v>
      </c>
      <c r="H3688" t="s">
        <v>1763</v>
      </c>
      <c r="I3688" t="s">
        <v>25</v>
      </c>
      <c r="J3688" s="2">
        <v>45738.540833333333</v>
      </c>
      <c r="K3688">
        <v>22</v>
      </c>
      <c r="L3688">
        <v>3</v>
      </c>
      <c r="M3688">
        <v>2025</v>
      </c>
      <c r="N3688" t="s">
        <v>27</v>
      </c>
      <c r="O3688">
        <v>200</v>
      </c>
      <c r="P3688">
        <v>200</v>
      </c>
      <c r="R3688" s="3" t="str">
        <f>HYPERLINK("https://panda.att.com.mx/ODKServer/view/binaryData?blobKey=FSSuministroFluidosv3%5B%40version%3Dnull+and+%40uiVersion%3Dnull%5D%2Fdata%5B%40key%3Duuid%3A893f604a-839a-47b7-aa1f-34aeff904640%5D%2FgroupInfoFuel%5B%40ordinal%3D1%5D%2FpicFuelRecibeInterno","Descargar")</f>
        <v>Descargar</v>
      </c>
    </row>
    <row r="3689" spans="1:18" x14ac:dyDescent="0.3">
      <c r="A3689">
        <v>1505338</v>
      </c>
      <c r="B3689" t="s">
        <v>18</v>
      </c>
      <c r="C3689" t="s">
        <v>28</v>
      </c>
      <c r="D3689" t="s">
        <v>1036</v>
      </c>
      <c r="E3689" t="s">
        <v>1699</v>
      </c>
      <c r="F3689" t="s">
        <v>22</v>
      </c>
      <c r="G3689" t="s">
        <v>23</v>
      </c>
      <c r="H3689" t="s">
        <v>24</v>
      </c>
      <c r="I3689" t="s">
        <v>25</v>
      </c>
      <c r="J3689" s="2">
        <v>45739.6716087963</v>
      </c>
      <c r="K3689">
        <v>23</v>
      </c>
      <c r="L3689">
        <v>3</v>
      </c>
      <c r="M3689">
        <v>2025</v>
      </c>
      <c r="N3689" t="s">
        <v>27</v>
      </c>
      <c r="O3689">
        <v>60</v>
      </c>
      <c r="P3689">
        <v>60</v>
      </c>
      <c r="R3689" s="3" t="str">
        <f>HYPERLINK("https://panda.att.com.mx/ODKServer/view/binaryData?blobKey=FSSuministroFluidosv3%5B%40version%3Dnull+and+%40uiVersion%3Dnull%5D%2Fdata%5B%40key%3Duuid%3Aac31ccc7-6a7d-4a2c-af59-33484b4f06a7%5D%2FgroupInfoFuel%5B%40ordinal%3D1%5D%2FpicFuelRecibeInterno","Descargar")</f>
        <v>Descargar</v>
      </c>
    </row>
    <row r="3690" spans="1:18" x14ac:dyDescent="0.3">
      <c r="A3690">
        <v>1504999</v>
      </c>
      <c r="B3690" t="s">
        <v>18</v>
      </c>
      <c r="C3690" t="s">
        <v>28</v>
      </c>
      <c r="D3690" t="s">
        <v>148</v>
      </c>
      <c r="E3690" t="s">
        <v>2968</v>
      </c>
      <c r="F3690" t="s">
        <v>22</v>
      </c>
      <c r="G3690" t="s">
        <v>23</v>
      </c>
      <c r="H3690" t="s">
        <v>24</v>
      </c>
      <c r="I3690" t="s">
        <v>25</v>
      </c>
      <c r="J3690" s="2">
        <v>45739.003888888888</v>
      </c>
      <c r="K3690">
        <v>23</v>
      </c>
      <c r="L3690">
        <v>3</v>
      </c>
      <c r="M3690">
        <v>2025</v>
      </c>
      <c r="N3690" t="s">
        <v>44</v>
      </c>
      <c r="O3690">
        <v>40</v>
      </c>
      <c r="P3690">
        <v>40</v>
      </c>
      <c r="R3690" s="3" t="str">
        <f>HYPERLINK("https://panda.att.com.mx/ODKServer/view/binaryData?blobKey=FSSuministroFluidosv3%5B%40version%3Dnull+and+%40uiVersion%3Dnull%5D%2Fdata%5B%40key%3Duuid%3A50cee0c2-a742-4ab2-bcc3-157d7117c493%5D%2FgroupInfoFuel%5B%40ordinal%3D1%5D%2FpicFuelRecibeInterno","Descargar")</f>
        <v>Descargar</v>
      </c>
    </row>
    <row r="3691" spans="1:18" x14ac:dyDescent="0.3">
      <c r="A3691">
        <v>1504864</v>
      </c>
      <c r="B3691" t="s">
        <v>18</v>
      </c>
      <c r="C3691" t="s">
        <v>55</v>
      </c>
      <c r="D3691" t="s">
        <v>56</v>
      </c>
      <c r="E3691" t="s">
        <v>2969</v>
      </c>
      <c r="F3691" t="s">
        <v>22</v>
      </c>
      <c r="G3691" t="s">
        <v>23</v>
      </c>
      <c r="H3691" t="s">
        <v>1763</v>
      </c>
      <c r="I3691" t="s">
        <v>25</v>
      </c>
      <c r="J3691" s="2">
        <v>45739.435833333337</v>
      </c>
      <c r="K3691">
        <v>23</v>
      </c>
      <c r="L3691">
        <v>3</v>
      </c>
      <c r="M3691">
        <v>2025</v>
      </c>
      <c r="N3691" t="s">
        <v>27</v>
      </c>
      <c r="O3691">
        <v>200</v>
      </c>
      <c r="P3691">
        <v>200</v>
      </c>
      <c r="R3691" s="3" t="str">
        <f>HYPERLINK("https://panda.att.com.mx/ODKServer/view/binaryData?blobKey=FSSuministroFluidosv3%5B%40version%3Dnull+and+%40uiVersion%3Dnull%5D%2Fdata%5B%40key%3Duuid%3A01f04cfa-66b1-4e64-ade0-c0a255e923ac%5D%2FgroupInfoFuel%5B%40ordinal%3D1%5D%2FpicFuelRecibeInterno","Descargar")</f>
        <v>Descargar</v>
      </c>
    </row>
    <row r="3692" spans="1:18" x14ac:dyDescent="0.3">
      <c r="A3692">
        <v>1504863</v>
      </c>
      <c r="B3692" t="s">
        <v>18</v>
      </c>
      <c r="C3692" t="s">
        <v>55</v>
      </c>
      <c r="D3692" t="s">
        <v>56</v>
      </c>
      <c r="E3692" t="s">
        <v>2970</v>
      </c>
      <c r="F3692" t="s">
        <v>22</v>
      </c>
      <c r="G3692" t="s">
        <v>23</v>
      </c>
      <c r="H3692" t="s">
        <v>1763</v>
      </c>
      <c r="I3692" t="s">
        <v>25</v>
      </c>
      <c r="J3692" s="2">
        <v>45739.375081018523</v>
      </c>
      <c r="K3692">
        <v>23</v>
      </c>
      <c r="L3692">
        <v>3</v>
      </c>
      <c r="M3692">
        <v>2025</v>
      </c>
      <c r="N3692" t="s">
        <v>27</v>
      </c>
      <c r="O3692">
        <v>200</v>
      </c>
      <c r="P3692">
        <v>200</v>
      </c>
      <c r="R3692" s="3" t="str">
        <f>HYPERLINK("https://panda.att.com.mx/ODKServer/view/binaryData?blobKey=FSSuministroFluidosv3%5B%40version%3Dnull+and+%40uiVersion%3Dnull%5D%2Fdata%5B%40key%3Duuid%3A3530aea8-5880-4b92-b60f-cb1d2c683d8d%5D%2FgroupInfoFuel%5B%40ordinal%3D1%5D%2FpicFuelRecibeInterno","Descargar")</f>
        <v>Descargar</v>
      </c>
    </row>
    <row r="3693" spans="1:18" x14ac:dyDescent="0.3">
      <c r="A3693">
        <v>1504862</v>
      </c>
      <c r="B3693" t="s">
        <v>18</v>
      </c>
      <c r="C3693" t="s">
        <v>55</v>
      </c>
      <c r="D3693" t="s">
        <v>56</v>
      </c>
      <c r="E3693" t="s">
        <v>1627</v>
      </c>
      <c r="F3693" t="s">
        <v>22</v>
      </c>
      <c r="G3693" t="s">
        <v>23</v>
      </c>
      <c r="H3693" t="s">
        <v>1763</v>
      </c>
      <c r="I3693" t="s">
        <v>25</v>
      </c>
      <c r="J3693" s="2">
        <v>45739.403680555559</v>
      </c>
      <c r="K3693">
        <v>23</v>
      </c>
      <c r="L3693">
        <v>3</v>
      </c>
      <c r="M3693">
        <v>2025</v>
      </c>
      <c r="N3693" t="s">
        <v>27</v>
      </c>
      <c r="O3693">
        <v>67</v>
      </c>
      <c r="P3693">
        <v>67</v>
      </c>
      <c r="R3693" s="3" t="str">
        <f>HYPERLINK("https://panda.att.com.mx/ODKServer/view/binaryData?blobKey=FSSuministroFluidosv3%5B%40version%3Dnull+and+%40uiVersion%3Dnull%5D%2Fdata%5B%40key%3Duuid%3A5f7ddbf0-8401-48fe-9544-5f5fdb741dee%5D%2FgroupInfoFuel%5B%40ordinal%3D1%5D%2FpicFuelRecibeInterno","Descargar")</f>
        <v>Descargar</v>
      </c>
    </row>
    <row r="3694" spans="1:18" x14ac:dyDescent="0.3">
      <c r="A3694">
        <v>1504860</v>
      </c>
      <c r="B3694" t="s">
        <v>18</v>
      </c>
      <c r="C3694" t="s">
        <v>55</v>
      </c>
      <c r="D3694" t="s">
        <v>56</v>
      </c>
      <c r="E3694" t="s">
        <v>2089</v>
      </c>
      <c r="F3694" t="s">
        <v>22</v>
      </c>
      <c r="G3694" t="s">
        <v>23</v>
      </c>
      <c r="H3694" t="s">
        <v>1763</v>
      </c>
      <c r="I3694" t="s">
        <v>25</v>
      </c>
      <c r="J3694" s="2">
        <v>45724.453368055547</v>
      </c>
      <c r="K3694">
        <v>8</v>
      </c>
      <c r="L3694">
        <v>3</v>
      </c>
      <c r="M3694">
        <v>2025</v>
      </c>
      <c r="N3694" t="s">
        <v>27</v>
      </c>
      <c r="O3694">
        <v>300</v>
      </c>
      <c r="P3694">
        <v>300</v>
      </c>
      <c r="R3694" s="3" t="str">
        <f>HYPERLINK("https://panda.att.com.mx/ODKServer/view/binaryData?blobKey=FSSuministroFluidosv3%5B%40version%3Dnull+and+%40uiVersion%3Dnull%5D%2Fdata%5B%40key%3Duuid%3Af9b9f25b-025b-4272-b4d3-42cca411503c%5D%2FgroupInfoFuel%5B%40ordinal%3D1%5D%2FpicFuelRecibeInterno","Descargar")</f>
        <v>Descargar</v>
      </c>
    </row>
    <row r="3695" spans="1:18" x14ac:dyDescent="0.3">
      <c r="A3695">
        <v>1504728</v>
      </c>
      <c r="B3695" t="s">
        <v>18</v>
      </c>
      <c r="C3695" t="s">
        <v>28</v>
      </c>
      <c r="D3695" t="s">
        <v>467</v>
      </c>
      <c r="E3695" t="s">
        <v>2971</v>
      </c>
      <c r="F3695" t="s">
        <v>22</v>
      </c>
      <c r="G3695" t="s">
        <v>23</v>
      </c>
      <c r="H3695" t="s">
        <v>24</v>
      </c>
      <c r="I3695" t="s">
        <v>25</v>
      </c>
      <c r="J3695" s="2">
        <v>45738.519236111111</v>
      </c>
      <c r="K3695">
        <v>22</v>
      </c>
      <c r="L3695">
        <v>3</v>
      </c>
      <c r="M3695">
        <v>2025</v>
      </c>
      <c r="N3695" t="s">
        <v>44</v>
      </c>
      <c r="O3695">
        <v>60</v>
      </c>
      <c r="P3695">
        <v>60</v>
      </c>
      <c r="R3695" s="3" t="str">
        <f>HYPERLINK("https://panda.att.com.mx/ODKServer/view/binaryData?blobKey=FSSuministroFluidosv3%5B%40version%3Dnull+and+%40uiVersion%3Dnull%5D%2Fdata%5B%40key%3Duuid%3A71f0c76c-85ea-45a3-a7e7-c55fa9c6d1ae%5D%2FgroupInfoFuel%5B%40ordinal%3D1%5D%2FpicFuelRecibeInterno","Descargar")</f>
        <v>Descargar</v>
      </c>
    </row>
    <row r="3696" spans="1:18" x14ac:dyDescent="0.3">
      <c r="A3696">
        <v>1504709</v>
      </c>
      <c r="B3696" t="s">
        <v>18</v>
      </c>
      <c r="C3696" t="s">
        <v>19</v>
      </c>
      <c r="D3696" t="s">
        <v>189</v>
      </c>
      <c r="E3696" t="s">
        <v>1081</v>
      </c>
      <c r="F3696" t="s">
        <v>22</v>
      </c>
      <c r="G3696" t="s">
        <v>23</v>
      </c>
      <c r="H3696" t="s">
        <v>24</v>
      </c>
      <c r="I3696" t="s">
        <v>25</v>
      </c>
      <c r="J3696" s="2">
        <v>45731.462916666656</v>
      </c>
      <c r="K3696">
        <v>15</v>
      </c>
      <c r="L3696">
        <v>3</v>
      </c>
      <c r="M3696">
        <v>2025</v>
      </c>
      <c r="N3696" t="s">
        <v>27</v>
      </c>
      <c r="O3696">
        <v>300</v>
      </c>
      <c r="P3696">
        <v>300</v>
      </c>
      <c r="R3696" s="3" t="str">
        <f>HYPERLINK("https://panda.att.com.mx/ODKServer/view/binaryData?blobKey=FSSuministroFluidosv3%5B%40version%3Dnull+and+%40uiVersion%3Dnull%5D%2Fdata%5B%40key%3Duuid%3A045aec6f-e377-4ae7-b324-33087c8fb188%5D%2FgroupInfoFuel%5B%40ordinal%3D1%5D%2FpicFuelRecibeInterno","Descargar")</f>
        <v>Descargar</v>
      </c>
    </row>
    <row r="3697" spans="1:18" x14ac:dyDescent="0.3">
      <c r="A3697">
        <v>1504707</v>
      </c>
      <c r="B3697" t="s">
        <v>18</v>
      </c>
      <c r="C3697" t="s">
        <v>19</v>
      </c>
      <c r="D3697" t="s">
        <v>189</v>
      </c>
      <c r="E3697" t="s">
        <v>1081</v>
      </c>
      <c r="F3697" t="s">
        <v>22</v>
      </c>
      <c r="G3697" t="s">
        <v>23</v>
      </c>
      <c r="H3697" t="s">
        <v>24</v>
      </c>
      <c r="I3697" t="s">
        <v>25</v>
      </c>
      <c r="J3697" s="2">
        <v>45733.472291666672</v>
      </c>
      <c r="K3697">
        <v>17</v>
      </c>
      <c r="L3697">
        <v>3</v>
      </c>
      <c r="M3697">
        <v>2025</v>
      </c>
      <c r="N3697" t="s">
        <v>27</v>
      </c>
      <c r="O3697">
        <v>200</v>
      </c>
      <c r="P3697">
        <v>200</v>
      </c>
      <c r="R3697" s="3" t="str">
        <f>HYPERLINK("https://panda.att.com.mx/ODKServer/view/binaryData?blobKey=FSSuministroFluidosv3%5B%40version%3Dnull+and+%40uiVersion%3Dnull%5D%2Fdata%5B%40key%3Duuid%3Ae91e055b-ad87-4bf8-8aac-987bcc38800d%5D%2FgroupInfoFuel%5B%40ordinal%3D1%5D%2FpicFuelRecibeInterno","Descargar")</f>
        <v>Descargar</v>
      </c>
    </row>
    <row r="3698" spans="1:18" x14ac:dyDescent="0.3">
      <c r="A3698">
        <v>1504706</v>
      </c>
      <c r="B3698" t="s">
        <v>18</v>
      </c>
      <c r="C3698" t="s">
        <v>167</v>
      </c>
      <c r="D3698" t="s">
        <v>168</v>
      </c>
      <c r="E3698" t="s">
        <v>2972</v>
      </c>
      <c r="F3698" t="s">
        <v>22</v>
      </c>
      <c r="G3698" t="s">
        <v>23</v>
      </c>
      <c r="H3698" t="s">
        <v>58</v>
      </c>
      <c r="I3698" t="s">
        <v>1635</v>
      </c>
      <c r="J3698" s="2">
        <v>45738.684675925928</v>
      </c>
      <c r="K3698">
        <v>22</v>
      </c>
      <c r="L3698">
        <v>3</v>
      </c>
      <c r="M3698">
        <v>2025</v>
      </c>
      <c r="N3698" t="s">
        <v>27</v>
      </c>
      <c r="O3698">
        <v>100</v>
      </c>
      <c r="P3698">
        <v>100</v>
      </c>
      <c r="R3698" s="3" t="str">
        <f>HYPERLINK("https://panda.att.com.mx/ODKServer/view/binaryData?blobKey=FSSuministroFluidosv3%5B%40version%3Dnull+and+%40uiVersion%3Dnull%5D%2Fdata%5B%40key%3Duuid%3A14324709-7c16-4590-9b87-3add60b2e9af%5D%2FgroupInfoFuel%5B%40ordinal%3D1%5D%2FpicFuelRecibeInterno","Descargar")</f>
        <v>Descargar</v>
      </c>
    </row>
    <row r="3699" spans="1:18" x14ac:dyDescent="0.3">
      <c r="A3699">
        <v>1504632</v>
      </c>
      <c r="B3699" t="s">
        <v>18</v>
      </c>
      <c r="C3699" t="s">
        <v>55</v>
      </c>
      <c r="D3699" t="s">
        <v>128</v>
      </c>
      <c r="E3699" t="s">
        <v>2758</v>
      </c>
      <c r="F3699" t="s">
        <v>22</v>
      </c>
      <c r="G3699" t="s">
        <v>23</v>
      </c>
      <c r="H3699" t="s">
        <v>1763</v>
      </c>
      <c r="I3699" t="s">
        <v>25</v>
      </c>
      <c r="J3699" s="2">
        <v>45738.461863425917</v>
      </c>
      <c r="K3699">
        <v>22</v>
      </c>
      <c r="L3699">
        <v>3</v>
      </c>
      <c r="M3699">
        <v>2025</v>
      </c>
      <c r="N3699" t="s">
        <v>27</v>
      </c>
      <c r="O3699">
        <v>300</v>
      </c>
      <c r="P3699">
        <v>300</v>
      </c>
      <c r="R3699" s="3" t="str">
        <f>HYPERLINK("https://panda.att.com.mx/ODKServer/view/binaryData?blobKey=FSSuministroFluidosv3%5B%40version%3Dnull+and+%40uiVersion%3Dnull%5D%2Fdata%5B%40key%3Duuid%3Aa3fb5d9c-85c9-46be-8a81-596b85266e76%5D%2FgroupInfoFuel%5B%40ordinal%3D1%5D%2FpicFuelRecibeInterno","Descargar")</f>
        <v>Descargar</v>
      </c>
    </row>
    <row r="3700" spans="1:18" x14ac:dyDescent="0.3">
      <c r="A3700">
        <v>1504613</v>
      </c>
      <c r="B3700" t="s">
        <v>18</v>
      </c>
      <c r="C3700" t="s">
        <v>19</v>
      </c>
      <c r="D3700" t="s">
        <v>200</v>
      </c>
      <c r="E3700" t="s">
        <v>1712</v>
      </c>
      <c r="F3700" t="s">
        <v>22</v>
      </c>
      <c r="G3700" t="s">
        <v>23</v>
      </c>
      <c r="H3700" t="s">
        <v>24</v>
      </c>
      <c r="I3700" t="s">
        <v>25</v>
      </c>
      <c r="J3700" s="2">
        <v>45738.424062500002</v>
      </c>
      <c r="K3700">
        <v>22</v>
      </c>
      <c r="L3700">
        <v>3</v>
      </c>
      <c r="M3700">
        <v>2025</v>
      </c>
      <c r="N3700" t="s">
        <v>27</v>
      </c>
      <c r="O3700">
        <v>50</v>
      </c>
      <c r="P3700">
        <v>50</v>
      </c>
      <c r="R3700" s="3" t="str">
        <f>HYPERLINK("https://panda.att.com.mx/ODKServer/view/binaryData?blobKey=FSSuministroFluidosv3%5B%40version%3Dnull+and+%40uiVersion%3Dnull%5D%2Fdata%5B%40key%3Duuid%3A0eed4b8b-6c10-48fe-bf67-f151a15b7bc3%5D%2FgroupInfoFuel%5B%40ordinal%3D1%5D%2FpicFuelRecibeInterno","Descargar")</f>
        <v>Descargar</v>
      </c>
    </row>
    <row r="3701" spans="1:18" x14ac:dyDescent="0.3">
      <c r="A3701">
        <v>1504600</v>
      </c>
      <c r="B3701" t="s">
        <v>18</v>
      </c>
      <c r="C3701" t="s">
        <v>34</v>
      </c>
      <c r="D3701" t="s">
        <v>53</v>
      </c>
      <c r="E3701" t="s">
        <v>459</v>
      </c>
      <c r="F3701" t="s">
        <v>22</v>
      </c>
      <c r="G3701" t="s">
        <v>83</v>
      </c>
      <c r="H3701" t="s">
        <v>390</v>
      </c>
      <c r="I3701" t="s">
        <v>25</v>
      </c>
      <c r="J3701" s="2">
        <v>45737.680798611109</v>
      </c>
      <c r="K3701">
        <v>21</v>
      </c>
      <c r="L3701">
        <v>3</v>
      </c>
      <c r="M3701">
        <v>2025</v>
      </c>
      <c r="N3701" t="s">
        <v>27</v>
      </c>
      <c r="O3701">
        <v>450</v>
      </c>
      <c r="P3701">
        <v>450</v>
      </c>
      <c r="R3701" s="3" t="str">
        <f>HYPERLINK("https://panda.att.com.mx/ODKServer/view/binaryData?blobKey=FSSuministroFluidosv3%5B%40version%3Dnull+and+%40uiVersion%3Dnull%5D%2Fdata%5B%40key%3Duuid%3Af95335b6-e235-4215-97c9-4f9b8052c442%5D%2FgroupInfoFuel%5B%40ordinal%3D1%5D%2FpicFuelRecibeInterno","Descargar")</f>
        <v>Descargar</v>
      </c>
    </row>
    <row r="3702" spans="1:18" x14ac:dyDescent="0.3">
      <c r="A3702">
        <v>1504599</v>
      </c>
      <c r="B3702" t="s">
        <v>18</v>
      </c>
      <c r="C3702" t="s">
        <v>34</v>
      </c>
      <c r="D3702" t="s">
        <v>53</v>
      </c>
      <c r="E3702" t="s">
        <v>457</v>
      </c>
      <c r="F3702" t="s">
        <v>22</v>
      </c>
      <c r="G3702" t="s">
        <v>83</v>
      </c>
      <c r="H3702" t="s">
        <v>390</v>
      </c>
      <c r="I3702" t="s">
        <v>25</v>
      </c>
      <c r="J3702" s="2">
        <v>45737.598321759258</v>
      </c>
      <c r="K3702">
        <v>21</v>
      </c>
      <c r="L3702">
        <v>3</v>
      </c>
      <c r="M3702">
        <v>2025</v>
      </c>
      <c r="N3702" t="s">
        <v>27</v>
      </c>
      <c r="O3702">
        <v>650</v>
      </c>
      <c r="P3702">
        <v>650</v>
      </c>
      <c r="R3702" s="3" t="str">
        <f>HYPERLINK("https://panda.att.com.mx/ODKServer/view/binaryData?blobKey=FSSuministroFluidosv3%5B%40version%3Dnull+and+%40uiVersion%3Dnull%5D%2Fdata%5B%40key%3Duuid%3Ac172fd12-33b0-4e90-b90e-5c9b9d53ee67%5D%2FgroupInfoFuel%5B%40ordinal%3D1%5D%2FpicFuelRecibeInterno","Descargar")</f>
        <v>Descargar</v>
      </c>
    </row>
    <row r="3703" spans="1:18" x14ac:dyDescent="0.3">
      <c r="A3703">
        <v>1504587</v>
      </c>
      <c r="B3703" t="s">
        <v>18</v>
      </c>
      <c r="C3703" t="s">
        <v>55</v>
      </c>
      <c r="D3703" t="s">
        <v>56</v>
      </c>
      <c r="E3703" t="s">
        <v>320</v>
      </c>
      <c r="F3703" t="s">
        <v>22</v>
      </c>
      <c r="G3703" t="s">
        <v>23</v>
      </c>
      <c r="H3703" t="s">
        <v>1763</v>
      </c>
      <c r="I3703" t="s">
        <v>25</v>
      </c>
      <c r="J3703" s="2">
        <v>45730.644421296303</v>
      </c>
      <c r="K3703">
        <v>14</v>
      </c>
      <c r="L3703">
        <v>3</v>
      </c>
      <c r="M3703">
        <v>2025</v>
      </c>
      <c r="N3703" t="s">
        <v>27</v>
      </c>
      <c r="O3703">
        <v>300</v>
      </c>
      <c r="P3703">
        <v>300</v>
      </c>
      <c r="R3703" s="3" t="str">
        <f>HYPERLINK("https://panda.att.com.mx/ODKServer/view/binaryData?blobKey=FSSuministroFluidosv3%5B%40version%3Dnull+and+%40uiVersion%3Dnull%5D%2Fdata%5B%40key%3Duuid%3A92ab53b7-5336-45f3-a6b3-7e6498d44b21%5D%2FgroupInfoFuel%5B%40ordinal%3D1%5D%2FpicFuelRecibeInterno","Descargar")</f>
        <v>Descargar</v>
      </c>
    </row>
    <row r="3704" spans="1:18" x14ac:dyDescent="0.3">
      <c r="A3704">
        <v>1504570</v>
      </c>
      <c r="B3704" t="s">
        <v>18</v>
      </c>
      <c r="C3704" t="s">
        <v>28</v>
      </c>
      <c r="D3704" t="s">
        <v>513</v>
      </c>
      <c r="E3704" t="s">
        <v>2963</v>
      </c>
      <c r="F3704" t="s">
        <v>22</v>
      </c>
      <c r="G3704" t="s">
        <v>23</v>
      </c>
      <c r="H3704" t="s">
        <v>24</v>
      </c>
      <c r="I3704" t="s">
        <v>25</v>
      </c>
      <c r="J3704" s="2">
        <v>45736.471388888887</v>
      </c>
      <c r="K3704">
        <v>20</v>
      </c>
      <c r="L3704">
        <v>3</v>
      </c>
      <c r="M3704">
        <v>2025</v>
      </c>
      <c r="N3704" t="s">
        <v>27</v>
      </c>
      <c r="O3704">
        <v>400</v>
      </c>
      <c r="P3704">
        <v>400</v>
      </c>
      <c r="R3704" s="3" t="str">
        <f>HYPERLINK("https://panda.att.com.mx/ODKServer/view/binaryData?blobKey=FSSuministroFluidosv3%5B%40version%3Dnull+and+%40uiVersion%3Dnull%5D%2Fdata%5B%40key%3Duuid%3A94dd42a0-0e17-4540-8a39-a0ec4e91d44b%5D%2FgroupInfoFuel%5B%40ordinal%3D1%5D%2FpicFuelRecibeInterno","Descargar")</f>
        <v>Descargar</v>
      </c>
    </row>
    <row r="3705" spans="1:18" x14ac:dyDescent="0.3">
      <c r="A3705">
        <v>1504567</v>
      </c>
      <c r="B3705" t="s">
        <v>18</v>
      </c>
      <c r="C3705" t="s">
        <v>55</v>
      </c>
      <c r="D3705" t="s">
        <v>56</v>
      </c>
      <c r="E3705" t="s">
        <v>1555</v>
      </c>
      <c r="F3705" t="s">
        <v>22</v>
      </c>
      <c r="G3705" t="s">
        <v>23</v>
      </c>
      <c r="H3705" t="s">
        <v>1763</v>
      </c>
      <c r="I3705" t="s">
        <v>25</v>
      </c>
      <c r="J3705" s="2">
        <v>45736.462245370371</v>
      </c>
      <c r="K3705">
        <v>20</v>
      </c>
      <c r="L3705">
        <v>3</v>
      </c>
      <c r="M3705">
        <v>2025</v>
      </c>
      <c r="N3705" t="s">
        <v>27</v>
      </c>
      <c r="O3705">
        <v>300</v>
      </c>
      <c r="P3705">
        <v>300</v>
      </c>
      <c r="R3705" s="3" t="str">
        <f>HYPERLINK("https://panda.att.com.mx/ODKServer/view/binaryData?blobKey=FSSuministroFluidosv3%5B%40version%3Dnull+and+%40uiVersion%3Dnull%5D%2Fdata%5B%40key%3Duuid%3A407a4ead-af30-4602-9ca7-1454d2c13ee5%5D%2FgroupInfoFuel%5B%40ordinal%3D1%5D%2FpicFuelRecibeInterno","Descargar")</f>
        <v>Descargar</v>
      </c>
    </row>
    <row r="3706" spans="1:18" x14ac:dyDescent="0.3">
      <c r="A3706">
        <v>1504563</v>
      </c>
      <c r="B3706" t="s">
        <v>18</v>
      </c>
      <c r="C3706" t="s">
        <v>183</v>
      </c>
      <c r="D3706" t="s">
        <v>841</v>
      </c>
      <c r="E3706" t="s">
        <v>2123</v>
      </c>
      <c r="F3706" t="s">
        <v>22</v>
      </c>
      <c r="G3706" t="s">
        <v>23</v>
      </c>
      <c r="H3706" t="s">
        <v>1763</v>
      </c>
      <c r="I3706" t="s">
        <v>25</v>
      </c>
      <c r="J3706" s="2">
        <v>45734.544872685183</v>
      </c>
      <c r="K3706">
        <v>18</v>
      </c>
      <c r="L3706">
        <v>3</v>
      </c>
      <c r="M3706">
        <v>2025</v>
      </c>
      <c r="N3706" t="s">
        <v>27</v>
      </c>
      <c r="O3706">
        <v>100</v>
      </c>
      <c r="P3706">
        <v>100</v>
      </c>
      <c r="R3706" s="3" t="str">
        <f>HYPERLINK("https://panda.att.com.mx/ODKServer/view/binaryData?blobKey=FSSuministroFluidosv3%5B%40version%3Dnull+and+%40uiVersion%3Dnull%5D%2Fdata%5B%40key%3Duuid%3Ae507a8b5-d775-4461-88b5-09e1b8a4a3a9%5D%2FgroupInfoFuel%5B%40ordinal%3D1%5D%2FpicFuelRecibeInterno","Descargar")</f>
        <v>Descargar</v>
      </c>
    </row>
    <row r="3707" spans="1:18" x14ac:dyDescent="0.3">
      <c r="A3707">
        <v>1504462</v>
      </c>
      <c r="B3707" t="s">
        <v>18</v>
      </c>
      <c r="C3707" t="s">
        <v>19</v>
      </c>
      <c r="D3707" t="s">
        <v>45</v>
      </c>
      <c r="E3707" t="s">
        <v>795</v>
      </c>
      <c r="F3707" t="s">
        <v>22</v>
      </c>
      <c r="G3707" t="s">
        <v>23</v>
      </c>
      <c r="H3707" t="s">
        <v>24</v>
      </c>
      <c r="I3707" t="s">
        <v>25</v>
      </c>
      <c r="J3707" s="2">
        <v>45737.415462962963</v>
      </c>
      <c r="K3707">
        <v>21</v>
      </c>
      <c r="L3707">
        <v>3</v>
      </c>
      <c r="M3707">
        <v>2025</v>
      </c>
      <c r="N3707" t="s">
        <v>27</v>
      </c>
      <c r="O3707">
        <v>100</v>
      </c>
      <c r="P3707">
        <v>100</v>
      </c>
      <c r="R3707" s="3" t="str">
        <f>HYPERLINK("https://panda.att.com.mx/ODKServer/view/binaryData?blobKey=FSSuministroFluidosv3%5B%40version%3Dnull+and+%40uiVersion%3Dnull%5D%2Fdata%5B%40key%3Duuid%3A54ad3d57-f0b5-4aad-9790-e53b4c8b1fa4%5D%2FgroupInfoFuel%5B%40ordinal%3D1%5D%2FpicFuelRecibeInterno","Descargar")</f>
        <v>Descargar</v>
      </c>
    </row>
    <row r="3708" spans="1:18" x14ac:dyDescent="0.3">
      <c r="A3708">
        <v>1504453</v>
      </c>
      <c r="B3708" t="s">
        <v>18</v>
      </c>
      <c r="C3708" t="s">
        <v>19</v>
      </c>
      <c r="D3708" t="s">
        <v>45</v>
      </c>
      <c r="E3708" t="s">
        <v>622</v>
      </c>
      <c r="F3708" t="s">
        <v>22</v>
      </c>
      <c r="G3708" t="s">
        <v>23</v>
      </c>
      <c r="H3708" t="s">
        <v>24</v>
      </c>
      <c r="I3708" t="s">
        <v>25</v>
      </c>
      <c r="J3708" s="2">
        <v>45737.513402777768</v>
      </c>
      <c r="K3708">
        <v>21</v>
      </c>
      <c r="L3708">
        <v>3</v>
      </c>
      <c r="M3708">
        <v>2025</v>
      </c>
      <c r="N3708" t="s">
        <v>27</v>
      </c>
      <c r="O3708">
        <v>200</v>
      </c>
      <c r="P3708">
        <v>200</v>
      </c>
      <c r="R3708" s="3" t="str">
        <f>HYPERLINK("https://panda.att.com.mx/ODKServer/view/binaryData?blobKey=FSSuministroFluidosv3%5B%40version%3Dnull+and+%40uiVersion%3Dnull%5D%2Fdata%5B%40key%3Duuid%3A889d1bb1-c479-473e-982a-7374c7d09654%5D%2FgroupInfoFuel%5B%40ordinal%3D1%5D%2FpicFuelRecibeInterno","Descargar")</f>
        <v>Descargar</v>
      </c>
    </row>
    <row r="3709" spans="1:18" x14ac:dyDescent="0.3">
      <c r="A3709">
        <v>1504452</v>
      </c>
      <c r="B3709" t="s">
        <v>18</v>
      </c>
      <c r="C3709" t="s">
        <v>19</v>
      </c>
      <c r="D3709" t="s">
        <v>45</v>
      </c>
      <c r="E3709" t="s">
        <v>752</v>
      </c>
      <c r="F3709" t="s">
        <v>22</v>
      </c>
      <c r="G3709" t="s">
        <v>23</v>
      </c>
      <c r="H3709" t="s">
        <v>24</v>
      </c>
      <c r="I3709" t="s">
        <v>25</v>
      </c>
      <c r="J3709" s="2">
        <v>45736.879027777781</v>
      </c>
      <c r="K3709">
        <v>20</v>
      </c>
      <c r="L3709">
        <v>3</v>
      </c>
      <c r="M3709">
        <v>2025</v>
      </c>
      <c r="N3709" t="s">
        <v>27</v>
      </c>
      <c r="O3709">
        <v>400</v>
      </c>
      <c r="P3709">
        <v>400</v>
      </c>
      <c r="R3709" s="3" t="str">
        <f>HYPERLINK("https://panda.att.com.mx/ODKServer/view/binaryData?blobKey=FSSuministroFluidosv3%5B%40version%3Dnull+and+%40uiVersion%3Dnull%5D%2Fdata%5B%40key%3Duuid%3Aab067cc6-ff19-41b6-ba4c-3ff2480154af%5D%2FgroupInfoFuel%5B%40ordinal%3D1%5D%2FpicFuelRecibeInterno","Descargar")</f>
        <v>Descargar</v>
      </c>
    </row>
    <row r="3710" spans="1:18" x14ac:dyDescent="0.3">
      <c r="A3710">
        <v>1504207</v>
      </c>
      <c r="B3710" t="s">
        <v>18</v>
      </c>
      <c r="C3710" t="s">
        <v>28</v>
      </c>
      <c r="D3710" t="s">
        <v>66</v>
      </c>
      <c r="E3710" t="s">
        <v>1884</v>
      </c>
      <c r="F3710" t="s">
        <v>22</v>
      </c>
      <c r="G3710" t="s">
        <v>23</v>
      </c>
      <c r="H3710" t="s">
        <v>24</v>
      </c>
      <c r="I3710" t="s">
        <v>25</v>
      </c>
      <c r="J3710" s="2">
        <v>45736.569016203714</v>
      </c>
      <c r="K3710">
        <v>20</v>
      </c>
      <c r="L3710">
        <v>3</v>
      </c>
      <c r="M3710">
        <v>2025</v>
      </c>
      <c r="N3710" t="s">
        <v>27</v>
      </c>
      <c r="O3710">
        <v>550</v>
      </c>
      <c r="P3710">
        <v>550</v>
      </c>
      <c r="R3710" s="3" t="str">
        <f>HYPERLINK("https://panda.att.com.mx/ODKServer/view/binaryData?blobKey=FSSuministroFluidosv3%5B%40version%3Dnull+and+%40uiVersion%3Dnull%5D%2Fdata%5B%40key%3Duuid%3A04069f3c-d9fc-4a5c-a435-ec871c882cf8%5D%2FgroupInfoFuel%5B%40ordinal%3D1%5D%2FpicFuelRecibeInterno","Descargar")</f>
        <v>Descargar</v>
      </c>
    </row>
    <row r="3711" spans="1:18" x14ac:dyDescent="0.3">
      <c r="A3711">
        <v>1504204</v>
      </c>
      <c r="B3711" t="s">
        <v>18</v>
      </c>
      <c r="C3711" t="s">
        <v>55</v>
      </c>
      <c r="D3711" t="s">
        <v>128</v>
      </c>
      <c r="E3711" t="s">
        <v>1885</v>
      </c>
      <c r="F3711" t="s">
        <v>22</v>
      </c>
      <c r="G3711" t="s">
        <v>23</v>
      </c>
      <c r="H3711" t="s">
        <v>1763</v>
      </c>
      <c r="I3711" t="s">
        <v>25</v>
      </c>
      <c r="J3711" s="2">
        <v>45737.424942129634</v>
      </c>
      <c r="K3711">
        <v>21</v>
      </c>
      <c r="L3711">
        <v>3</v>
      </c>
      <c r="M3711">
        <v>2025</v>
      </c>
      <c r="N3711" t="s">
        <v>44</v>
      </c>
      <c r="O3711">
        <v>38.31</v>
      </c>
      <c r="P3711">
        <v>38.31</v>
      </c>
      <c r="R3711" s="3" t="str">
        <f>HYPERLINK("https://panda.att.com.mx/ODKServer/view/binaryData?blobKey=FSSuministroFluidosv3%5B%40version%3Dnull+and+%40uiVersion%3Dnull%5D%2Fdata%5B%40key%3Duuid%3Ab0bbb195-8679-4953-90a6-1960c9c421ac%5D%2FgroupInfoFuel%5B%40ordinal%3D1%5D%2FpicFuelRecibeInterno","Descargar")</f>
        <v>Descargar</v>
      </c>
    </row>
    <row r="3712" spans="1:18" x14ac:dyDescent="0.3">
      <c r="A3712">
        <v>1504179</v>
      </c>
      <c r="B3712" t="s">
        <v>18</v>
      </c>
      <c r="C3712" t="s">
        <v>167</v>
      </c>
      <c r="D3712" t="s">
        <v>168</v>
      </c>
      <c r="E3712" t="s">
        <v>875</v>
      </c>
      <c r="F3712" t="s">
        <v>22</v>
      </c>
      <c r="G3712" t="s">
        <v>23</v>
      </c>
      <c r="H3712" t="s">
        <v>58</v>
      </c>
      <c r="I3712" t="s">
        <v>25</v>
      </c>
      <c r="J3712" s="2">
        <v>45736.802824074082</v>
      </c>
      <c r="K3712">
        <v>20</v>
      </c>
      <c r="L3712">
        <v>3</v>
      </c>
      <c r="M3712">
        <v>2025</v>
      </c>
      <c r="N3712" t="s">
        <v>27</v>
      </c>
      <c r="O3712">
        <v>120</v>
      </c>
      <c r="P3712">
        <v>120</v>
      </c>
      <c r="R3712" s="3" t="str">
        <f>HYPERLINK("https://panda.att.com.mx/ODKServer/view/binaryData?blobKey=FSSuministroFluidosv3%5B%40version%3Dnull+and+%40uiVersion%3Dnull%5D%2Fdata%5B%40key%3Duuid%3A77137427-3831-49d0-8034-c7526d8c2979%5D%2FgroupInfoFuel%5B%40ordinal%3D1%5D%2FpicFuelRecibeInterno","Descargar")</f>
        <v>Descargar</v>
      </c>
    </row>
    <row r="3713" spans="1:18" x14ac:dyDescent="0.3">
      <c r="A3713">
        <v>1503936</v>
      </c>
      <c r="B3713" t="s">
        <v>18</v>
      </c>
      <c r="C3713" t="s">
        <v>34</v>
      </c>
      <c r="D3713" t="s">
        <v>53</v>
      </c>
      <c r="E3713" t="s">
        <v>144</v>
      </c>
      <c r="F3713" t="s">
        <v>22</v>
      </c>
      <c r="G3713" t="s">
        <v>23</v>
      </c>
      <c r="H3713" t="s">
        <v>37</v>
      </c>
      <c r="I3713" t="s">
        <v>25</v>
      </c>
      <c r="J3713" s="2">
        <v>45736.788263888891</v>
      </c>
      <c r="K3713">
        <v>20</v>
      </c>
      <c r="L3713">
        <v>3</v>
      </c>
      <c r="M3713">
        <v>2025</v>
      </c>
      <c r="N3713" t="s">
        <v>27</v>
      </c>
      <c r="O3713">
        <v>350</v>
      </c>
      <c r="P3713">
        <v>350</v>
      </c>
      <c r="R3713" s="3" t="str">
        <f>HYPERLINK("https://panda.att.com.mx/ODKServer/view/binaryData?blobKey=FSSuministroFluidosv3%5B%40version%3Dnull+and+%40uiVersion%3Dnull%5D%2Fdata%5B%40key%3Duuid%3A072725d0-011e-41a1-a2de-e7082ba11a1a%5D%2FgroupInfoFuel%5B%40ordinal%3D1%5D%2FpicFuelRecibeInterno","Descargar")</f>
        <v>Descargar</v>
      </c>
    </row>
    <row r="3714" spans="1:18" x14ac:dyDescent="0.3">
      <c r="A3714">
        <v>1503837</v>
      </c>
      <c r="B3714" t="s">
        <v>18</v>
      </c>
      <c r="C3714" t="s">
        <v>55</v>
      </c>
      <c r="D3714" t="s">
        <v>56</v>
      </c>
      <c r="E3714" t="s">
        <v>1713</v>
      </c>
      <c r="F3714" t="s">
        <v>22</v>
      </c>
      <c r="G3714" t="s">
        <v>23</v>
      </c>
      <c r="H3714" t="s">
        <v>1763</v>
      </c>
      <c r="I3714" t="s">
        <v>25</v>
      </c>
      <c r="J3714" s="2">
        <v>45732.437974537039</v>
      </c>
      <c r="K3714">
        <v>16</v>
      </c>
      <c r="L3714">
        <v>3</v>
      </c>
      <c r="M3714">
        <v>2025</v>
      </c>
      <c r="N3714" t="s">
        <v>27</v>
      </c>
      <c r="O3714">
        <v>300</v>
      </c>
      <c r="P3714">
        <v>300</v>
      </c>
      <c r="R3714" s="3" t="str">
        <f>HYPERLINK("https://panda.att.com.mx/ODKServer/view/binaryData?blobKey=FSSuministroFluidosv3%5B%40version%3Dnull+and+%40uiVersion%3Dnull%5D%2Fdata%5B%40key%3Duuid%3Acbe10a12-ab0d-4d14-86f7-8ca9696b2f54%5D%2FgroupInfoFuel%5B%40ordinal%3D1%5D%2FpicFuelRecibeInterno","Descargar")</f>
        <v>Descargar</v>
      </c>
    </row>
    <row r="3715" spans="1:18" x14ac:dyDescent="0.3">
      <c r="A3715">
        <v>1503813</v>
      </c>
      <c r="B3715" t="s">
        <v>18</v>
      </c>
      <c r="C3715" t="s">
        <v>100</v>
      </c>
      <c r="D3715" t="s">
        <v>716</v>
      </c>
      <c r="E3715" t="s">
        <v>717</v>
      </c>
      <c r="F3715" t="s">
        <v>22</v>
      </c>
      <c r="G3715" t="s">
        <v>83</v>
      </c>
      <c r="H3715" t="s">
        <v>1781</v>
      </c>
      <c r="I3715" t="s">
        <v>25</v>
      </c>
      <c r="J3715" s="2">
        <v>45736.696747685193</v>
      </c>
      <c r="K3715">
        <v>20</v>
      </c>
      <c r="L3715">
        <v>3</v>
      </c>
      <c r="M3715">
        <v>2025</v>
      </c>
      <c r="N3715" t="s">
        <v>27</v>
      </c>
      <c r="O3715">
        <v>122</v>
      </c>
      <c r="P3715">
        <v>122</v>
      </c>
      <c r="R3715" s="3" t="str">
        <f>HYPERLINK("https://panda.att.com.mx/ODKServer/view/binaryData?blobKey=FSSuministroFluidosv3%5B%40version%3Dnull+and+%40uiVersion%3Dnull%5D%2Fdata%5B%40key%3Duuid%3Aff7a0538-2732-4c03-90fb-b0fce62ef4a8%5D%2FgroupInfoFuel%5B%40ordinal%3D1%5D%2FpicFuelRecibeInterno","Descargar")</f>
        <v>Descargar</v>
      </c>
    </row>
    <row r="3716" spans="1:18" x14ac:dyDescent="0.3">
      <c r="A3716">
        <v>1503778</v>
      </c>
      <c r="B3716" t="s">
        <v>18</v>
      </c>
      <c r="C3716" t="s">
        <v>100</v>
      </c>
      <c r="D3716" t="s">
        <v>854</v>
      </c>
      <c r="E3716" t="s">
        <v>993</v>
      </c>
      <c r="F3716" t="s">
        <v>22</v>
      </c>
      <c r="G3716" t="s">
        <v>83</v>
      </c>
      <c r="H3716" t="s">
        <v>1781</v>
      </c>
      <c r="I3716" t="s">
        <v>25</v>
      </c>
      <c r="J3716" s="2">
        <v>45736.518078703702</v>
      </c>
      <c r="K3716">
        <v>20</v>
      </c>
      <c r="L3716">
        <v>3</v>
      </c>
      <c r="M3716">
        <v>2025</v>
      </c>
      <c r="N3716" t="s">
        <v>27</v>
      </c>
      <c r="O3716">
        <v>200</v>
      </c>
      <c r="P3716">
        <v>200</v>
      </c>
      <c r="R3716" s="3" t="str">
        <f>HYPERLINK("https://panda.att.com.mx/ODKServer/view/binaryData?blobKey=FSSuministroFluidosv3%5B%40version%3Dnull+and+%40uiVersion%3Dnull%5D%2Fdata%5B%40key%3Duuid%3Aebbfea6e-6e77-4fab-bf13-c8c97cc6ed50%5D%2FgroupInfoFuel%5B%40ordinal%3D1%5D%2FpicFuelRecibeInterno","Descargar")</f>
        <v>Descargar</v>
      </c>
    </row>
    <row r="3717" spans="1:18" x14ac:dyDescent="0.3">
      <c r="A3717">
        <v>1503767</v>
      </c>
      <c r="B3717" t="s">
        <v>18</v>
      </c>
      <c r="C3717" t="s">
        <v>100</v>
      </c>
      <c r="D3717" t="s">
        <v>651</v>
      </c>
      <c r="E3717" t="s">
        <v>2081</v>
      </c>
      <c r="F3717" t="s">
        <v>22</v>
      </c>
      <c r="G3717" t="s">
        <v>83</v>
      </c>
      <c r="H3717" t="s">
        <v>1781</v>
      </c>
      <c r="I3717" t="s">
        <v>25</v>
      </c>
      <c r="J3717" s="2">
        <v>45702.60900462963</v>
      </c>
      <c r="K3717">
        <v>14</v>
      </c>
      <c r="L3717">
        <v>2</v>
      </c>
      <c r="M3717">
        <v>2025</v>
      </c>
      <c r="N3717" t="s">
        <v>27</v>
      </c>
      <c r="O3717">
        <v>170</v>
      </c>
      <c r="P3717">
        <v>170</v>
      </c>
      <c r="R3717" s="3" t="str">
        <f>HYPERLINK("https://panda.att.com.mx/ODKServer/view/binaryData?blobKey=FSSuministroFluidosv3%5B%40version%3Dnull+and+%40uiVersion%3Dnull%5D%2Fdata%5B%40key%3Duuid%3A7ad5b44f-a642-4275-90cf-9114175aec94%5D%2FgroupInfoFuel%5B%40ordinal%3D1%5D%2FpicFuelRecibeInterno","Descargar")</f>
        <v>Descargar</v>
      </c>
    </row>
    <row r="3718" spans="1:18" x14ac:dyDescent="0.3">
      <c r="A3718">
        <v>1503718</v>
      </c>
      <c r="B3718" t="s">
        <v>18</v>
      </c>
      <c r="C3718" t="s">
        <v>28</v>
      </c>
      <c r="D3718" t="s">
        <v>66</v>
      </c>
      <c r="E3718" t="s">
        <v>2092</v>
      </c>
      <c r="F3718" t="s">
        <v>22</v>
      </c>
      <c r="G3718" t="s">
        <v>23</v>
      </c>
      <c r="H3718" t="s">
        <v>24</v>
      </c>
      <c r="I3718" t="s">
        <v>25</v>
      </c>
      <c r="J3718" s="2">
        <v>45736.644837962973</v>
      </c>
      <c r="K3718">
        <v>20</v>
      </c>
      <c r="L3718">
        <v>3</v>
      </c>
      <c r="M3718">
        <v>2025</v>
      </c>
      <c r="N3718" t="s">
        <v>44</v>
      </c>
      <c r="O3718">
        <v>45</v>
      </c>
      <c r="P3718">
        <v>45</v>
      </c>
      <c r="R3718" s="3" t="str">
        <f>HYPERLINK("https://panda.att.com.mx/ODKServer/view/binaryData?blobKey=FSSuministroFluidosv3%5B%40version%3Dnull+and+%40uiVersion%3Dnull%5D%2Fdata%5B%40key%3Duuid%3A86074184-9df2-4ccf-a922-3cf3ccc41aee%5D%2FgroupInfoFuel%5B%40ordinal%3D1%5D%2FpicFuelRecibeInterno","Descargar")</f>
        <v>Descargar</v>
      </c>
    </row>
    <row r="3719" spans="1:18" x14ac:dyDescent="0.3">
      <c r="A3719">
        <v>1503597</v>
      </c>
      <c r="B3719" t="s">
        <v>18</v>
      </c>
      <c r="C3719" t="s">
        <v>150</v>
      </c>
      <c r="D3719" t="s">
        <v>230</v>
      </c>
      <c r="E3719" t="s">
        <v>2973</v>
      </c>
      <c r="F3719" t="s">
        <v>22</v>
      </c>
      <c r="G3719" t="s">
        <v>23</v>
      </c>
      <c r="H3719" t="s">
        <v>1781</v>
      </c>
      <c r="I3719" t="s">
        <v>25</v>
      </c>
      <c r="J3719" s="2">
        <v>45736.552268518521</v>
      </c>
      <c r="K3719">
        <v>20</v>
      </c>
      <c r="L3719">
        <v>3</v>
      </c>
      <c r="M3719">
        <v>2025</v>
      </c>
      <c r="N3719" t="s">
        <v>27</v>
      </c>
      <c r="O3719">
        <v>250</v>
      </c>
      <c r="P3719">
        <v>250</v>
      </c>
      <c r="R3719" s="3" t="str">
        <f>HYPERLINK("https://panda.att.com.mx/ODKServer/view/binaryData?blobKey=FSSuministroFluidosv3%5B%40version%3Dnull+and+%40uiVersion%3Dnull%5D%2Fdata%5B%40key%3Duuid%3A1efe7799-9de1-4dac-81fe-72e66a53f2ed%5D%2FgroupInfoFuel%5B%40ordinal%3D1%5D%2FpicFuelRecibeInterno","Descargar")</f>
        <v>Descargar</v>
      </c>
    </row>
    <row r="3720" spans="1:18" x14ac:dyDescent="0.3">
      <c r="A3720">
        <v>1503561</v>
      </c>
      <c r="B3720" t="s">
        <v>18</v>
      </c>
      <c r="C3720" t="s">
        <v>150</v>
      </c>
      <c r="D3720" t="s">
        <v>230</v>
      </c>
      <c r="E3720" t="s">
        <v>1510</v>
      </c>
      <c r="F3720" t="s">
        <v>22</v>
      </c>
      <c r="G3720" t="s">
        <v>23</v>
      </c>
      <c r="H3720" t="s">
        <v>1781</v>
      </c>
      <c r="I3720" t="s">
        <v>25</v>
      </c>
      <c r="J3720" s="2">
        <v>45736.464942129627</v>
      </c>
      <c r="K3720">
        <v>20</v>
      </c>
      <c r="L3720">
        <v>3</v>
      </c>
      <c r="M3720">
        <v>2025</v>
      </c>
      <c r="N3720" t="s">
        <v>27</v>
      </c>
      <c r="O3720">
        <v>300</v>
      </c>
      <c r="P3720">
        <v>300</v>
      </c>
      <c r="R3720" s="3" t="str">
        <f>HYPERLINK("https://panda.att.com.mx/ODKServer/view/binaryData?blobKey=FSSuministroFluidosv3%5B%40version%3Dnull+and+%40uiVersion%3Dnull%5D%2Fdata%5B%40key%3Duuid%3A2877df81-faae-4780-b180-773365d96fa4%5D%2FgroupInfoFuel%5B%40ordinal%3D1%5D%2FpicFuelRecibeInterno","Descargar")</f>
        <v>Descargar</v>
      </c>
    </row>
    <row r="3721" spans="1:18" x14ac:dyDescent="0.3">
      <c r="A3721">
        <v>1503556</v>
      </c>
      <c r="B3721" t="s">
        <v>18</v>
      </c>
      <c r="C3721" t="s">
        <v>59</v>
      </c>
      <c r="D3721" t="s">
        <v>60</v>
      </c>
      <c r="E3721" t="s">
        <v>1920</v>
      </c>
      <c r="F3721" t="s">
        <v>22</v>
      </c>
      <c r="G3721" t="s">
        <v>23</v>
      </c>
      <c r="H3721" t="s">
        <v>37</v>
      </c>
      <c r="I3721" t="s">
        <v>25</v>
      </c>
      <c r="J3721" s="2">
        <v>45736.512233796297</v>
      </c>
      <c r="K3721">
        <v>20</v>
      </c>
      <c r="L3721">
        <v>3</v>
      </c>
      <c r="M3721">
        <v>2025</v>
      </c>
      <c r="N3721" t="s">
        <v>27</v>
      </c>
      <c r="O3721">
        <v>200</v>
      </c>
      <c r="Q3721">
        <v>200</v>
      </c>
      <c r="R3721" s="3" t="str">
        <f>HYPERLINK("https://panda.att.com.mx/ODKServer/view/binaryData?blobKey=FSSuministroFluidosv3%5B%40version%3Dnull+and+%40uiVersion%3Dnull%5D%2Fdata%5B%40key%3Duuid%3Acd6c46a4-419e-4ae6-8f0b-13f2b85d046d%5D%2FgroupInfoFuel%5B%40ordinal%3D1%5D%2FpicFuelRecibeInterno","Descargar")</f>
        <v>Descargar</v>
      </c>
    </row>
    <row r="3722" spans="1:18" x14ac:dyDescent="0.3">
      <c r="A3722">
        <v>1503478</v>
      </c>
      <c r="B3722" t="s">
        <v>18</v>
      </c>
      <c r="C3722" t="s">
        <v>55</v>
      </c>
      <c r="D3722" t="s">
        <v>56</v>
      </c>
      <c r="E3722" t="s">
        <v>1005</v>
      </c>
      <c r="F3722" t="s">
        <v>22</v>
      </c>
      <c r="G3722" t="s">
        <v>23</v>
      </c>
      <c r="H3722" t="s">
        <v>1763</v>
      </c>
      <c r="I3722" t="s">
        <v>25</v>
      </c>
      <c r="J3722" s="2">
        <v>45729.757222222222</v>
      </c>
      <c r="K3722">
        <v>13</v>
      </c>
      <c r="L3722">
        <v>3</v>
      </c>
      <c r="M3722">
        <v>2025</v>
      </c>
      <c r="N3722" t="s">
        <v>27</v>
      </c>
      <c r="O3722">
        <v>100</v>
      </c>
      <c r="P3722">
        <v>100</v>
      </c>
      <c r="R3722" s="3" t="str">
        <f>HYPERLINK("https://panda.att.com.mx/ODKServer/view/binaryData?blobKey=FSSuministroFluidosv3%5B%40version%3Dnull+and+%40uiVersion%3Dnull%5D%2Fdata%5B%40key%3Duuid%3A47c02992-e40c-4683-91c0-880284ca2c06%5D%2FgroupInfoFuel%5B%40ordinal%3D1%5D%2FpicFuelRecibeInterno","Descargar")</f>
        <v>Descargar</v>
      </c>
    </row>
    <row r="3723" spans="1:18" x14ac:dyDescent="0.3">
      <c r="A3723">
        <v>1503330</v>
      </c>
      <c r="B3723" t="s">
        <v>18</v>
      </c>
      <c r="C3723" t="s">
        <v>28</v>
      </c>
      <c r="D3723" t="s">
        <v>1492</v>
      </c>
      <c r="E3723" t="s">
        <v>2974</v>
      </c>
      <c r="F3723" t="s">
        <v>22</v>
      </c>
      <c r="G3723" t="s">
        <v>23</v>
      </c>
      <c r="H3723" t="s">
        <v>24</v>
      </c>
      <c r="I3723" t="s">
        <v>25</v>
      </c>
      <c r="J3723" s="2">
        <v>45735.437627314823</v>
      </c>
      <c r="K3723">
        <v>19</v>
      </c>
      <c r="L3723">
        <v>3</v>
      </c>
      <c r="M3723">
        <v>2025</v>
      </c>
      <c r="N3723" t="s">
        <v>27</v>
      </c>
      <c r="O3723">
        <v>120</v>
      </c>
      <c r="P3723">
        <v>120</v>
      </c>
      <c r="R3723" s="3" t="str">
        <f>HYPERLINK("https://panda.att.com.mx/ODKServer/view/binaryData?blobKey=FSSuministroFluidosv3%5B%40version%3Dnull+and+%40uiVersion%3Dnull%5D%2Fdata%5B%40key%3Duuid%3A129fefed-d40d-4930-a8bf-422215840476%5D%2FgroupInfoFuel%5B%40ordinal%3D1%5D%2FpicFuelRecibeInterno","Descargar")</f>
        <v>Descargar</v>
      </c>
    </row>
    <row r="3724" spans="1:18" x14ac:dyDescent="0.3">
      <c r="A3724">
        <v>1503270</v>
      </c>
      <c r="B3724" t="s">
        <v>18</v>
      </c>
      <c r="C3724" t="s">
        <v>55</v>
      </c>
      <c r="D3724" t="s">
        <v>56</v>
      </c>
      <c r="E3724" t="s">
        <v>2591</v>
      </c>
      <c r="F3724" t="s">
        <v>22</v>
      </c>
      <c r="G3724" t="s">
        <v>23</v>
      </c>
      <c r="H3724" t="s">
        <v>1763</v>
      </c>
      <c r="I3724" t="s">
        <v>25</v>
      </c>
      <c r="J3724" s="2">
        <v>45735.521932870368</v>
      </c>
      <c r="K3724">
        <v>19</v>
      </c>
      <c r="L3724">
        <v>3</v>
      </c>
      <c r="M3724">
        <v>2025</v>
      </c>
      <c r="N3724" t="s">
        <v>27</v>
      </c>
      <c r="O3724">
        <v>100</v>
      </c>
      <c r="P3724">
        <v>100</v>
      </c>
      <c r="R3724" s="3" t="str">
        <f>HYPERLINK("https://panda.att.com.mx/ODKServer/view/binaryData?blobKey=FSSuministroFluidosv3%5B%40version%3Dnull+and+%40uiVersion%3Dnull%5D%2Fdata%5B%40key%3Duuid%3A5bf40f68-a123-413a-b56a-42560ec4c423%5D%2FgroupInfoFuel%5B%40ordinal%3D1%5D%2FpicFuelRecibeInterno","Descargar")</f>
        <v>Descargar</v>
      </c>
    </row>
    <row r="3725" spans="1:18" x14ac:dyDescent="0.3">
      <c r="A3725">
        <v>1503269</v>
      </c>
      <c r="B3725" t="s">
        <v>18</v>
      </c>
      <c r="C3725" t="s">
        <v>55</v>
      </c>
      <c r="D3725" t="s">
        <v>56</v>
      </c>
      <c r="E3725" t="s">
        <v>2735</v>
      </c>
      <c r="F3725" t="s">
        <v>22</v>
      </c>
      <c r="G3725" t="s">
        <v>23</v>
      </c>
      <c r="H3725" t="s">
        <v>1763</v>
      </c>
      <c r="I3725" t="s">
        <v>25</v>
      </c>
      <c r="J3725" s="2">
        <v>45735.425416666672</v>
      </c>
      <c r="K3725">
        <v>19</v>
      </c>
      <c r="L3725">
        <v>3</v>
      </c>
      <c r="M3725">
        <v>2025</v>
      </c>
      <c r="N3725" t="s">
        <v>27</v>
      </c>
      <c r="O3725">
        <v>100</v>
      </c>
      <c r="P3725">
        <v>100</v>
      </c>
      <c r="R3725" s="3" t="str">
        <f>HYPERLINK("https://panda.att.com.mx/ODKServer/view/binaryData?blobKey=FSSuministroFluidosv3%5B%40version%3Dnull+and+%40uiVersion%3Dnull%5D%2Fdata%5B%40key%3Duuid%3Acdb8cdd5-6257-451c-a9e6-9b7a19cd19d2%5D%2FgroupInfoFuel%5B%40ordinal%3D1%5D%2FpicFuelRecibeInterno","Descargar")</f>
        <v>Descargar</v>
      </c>
    </row>
    <row r="3726" spans="1:18" x14ac:dyDescent="0.3">
      <c r="A3726">
        <v>1503268</v>
      </c>
      <c r="B3726" t="s">
        <v>18</v>
      </c>
      <c r="C3726" t="s">
        <v>55</v>
      </c>
      <c r="D3726" t="s">
        <v>56</v>
      </c>
      <c r="E3726" t="s">
        <v>2188</v>
      </c>
      <c r="F3726" t="s">
        <v>22</v>
      </c>
      <c r="G3726" t="s">
        <v>47</v>
      </c>
      <c r="H3726" t="s">
        <v>1763</v>
      </c>
      <c r="I3726" t="s">
        <v>25</v>
      </c>
      <c r="J3726" s="2">
        <v>45733.404398148137</v>
      </c>
      <c r="K3726">
        <v>17</v>
      </c>
      <c r="L3726">
        <v>3</v>
      </c>
      <c r="M3726">
        <v>2025</v>
      </c>
      <c r="N3726" t="s">
        <v>27</v>
      </c>
      <c r="O3726">
        <v>100</v>
      </c>
      <c r="P3726">
        <v>100</v>
      </c>
      <c r="R3726" s="3" t="str">
        <f>HYPERLINK("https://panda.att.com.mx/ODKServer/view/binaryData?blobKey=FSSuministroFluidosv3%5B%40version%3Dnull+and+%40uiVersion%3Dnull%5D%2Fdata%5B%40key%3Duuid%3A08a1c7ef-4fa2-4e9d-9c73-b9d497a9a217%5D%2FgroupInfoFuel%5B%40ordinal%3D1%5D%2FpicFuelRecibeInterno","Descargar")</f>
        <v>Descargar</v>
      </c>
    </row>
    <row r="3727" spans="1:18" x14ac:dyDescent="0.3">
      <c r="A3727">
        <v>1503256</v>
      </c>
      <c r="B3727" t="s">
        <v>18</v>
      </c>
      <c r="C3727" t="s">
        <v>28</v>
      </c>
      <c r="D3727" t="s">
        <v>118</v>
      </c>
      <c r="E3727" t="s">
        <v>1126</v>
      </c>
      <c r="F3727" t="s">
        <v>22</v>
      </c>
      <c r="G3727" t="s">
        <v>23</v>
      </c>
      <c r="H3727" t="s">
        <v>24</v>
      </c>
      <c r="I3727" t="s">
        <v>25</v>
      </c>
      <c r="J3727" s="2">
        <v>45736.229409722233</v>
      </c>
      <c r="K3727">
        <v>20</v>
      </c>
      <c r="L3727">
        <v>3</v>
      </c>
      <c r="M3727">
        <v>2025</v>
      </c>
      <c r="N3727" t="s">
        <v>44</v>
      </c>
      <c r="O3727">
        <v>40</v>
      </c>
      <c r="Q3727">
        <v>40</v>
      </c>
      <c r="R3727" s="3" t="str">
        <f>HYPERLINK("https://panda.att.com.mx/ODKServer/view/binaryData?blobKey=FSSuministroFluidosv3%5B%40version%3Dnull+and+%40uiVersion%3Dnull%5D%2Fdata%5B%40key%3Duuid%3A1d0493c2-9015-440c-9c94-93756d7f283a%5D%2FgroupInfoFuel%5B%40ordinal%3D1%5D%2FpicFuelRecibeInterno","Descargar")</f>
        <v>Descargar</v>
      </c>
    </row>
    <row r="3728" spans="1:18" x14ac:dyDescent="0.3">
      <c r="A3728">
        <v>1503167</v>
      </c>
      <c r="B3728" t="s">
        <v>18</v>
      </c>
      <c r="C3728" t="s">
        <v>59</v>
      </c>
      <c r="D3728" t="s">
        <v>60</v>
      </c>
      <c r="E3728" t="s">
        <v>2207</v>
      </c>
      <c r="F3728" t="s">
        <v>22</v>
      </c>
      <c r="G3728" t="s">
        <v>23</v>
      </c>
      <c r="H3728" t="s">
        <v>37</v>
      </c>
      <c r="I3728" t="s">
        <v>25</v>
      </c>
      <c r="J3728" s="2">
        <v>45735.971377314818</v>
      </c>
      <c r="K3728">
        <v>19</v>
      </c>
      <c r="L3728">
        <v>3</v>
      </c>
      <c r="M3728">
        <v>2025</v>
      </c>
      <c r="N3728" t="s">
        <v>27</v>
      </c>
      <c r="O3728">
        <v>180</v>
      </c>
      <c r="P3728">
        <v>180</v>
      </c>
      <c r="R3728" s="3" t="str">
        <f>HYPERLINK("https://panda.att.com.mx/ODKServer/view/binaryData?blobKey=FSSuministroFluidosv3%5B%40version%3Dnull+and+%40uiVersion%3Dnull%5D%2Fdata%5B%40key%3Duuid%3A0b27a162-03df-401f-8bbf-e09e922029fd%5D%2FgroupInfoFuel%5B%40ordinal%3D1%5D%2FpicFuelRecibeInterno","Descargar")</f>
        <v>Descargar</v>
      </c>
    </row>
    <row r="3729" spans="1:18" x14ac:dyDescent="0.3">
      <c r="A3729">
        <v>1503123</v>
      </c>
      <c r="B3729" t="s">
        <v>18</v>
      </c>
      <c r="C3729" t="s">
        <v>55</v>
      </c>
      <c r="D3729" t="s">
        <v>56</v>
      </c>
      <c r="E3729" t="s">
        <v>2975</v>
      </c>
      <c r="F3729" t="s">
        <v>22</v>
      </c>
      <c r="G3729" t="s">
        <v>23</v>
      </c>
      <c r="H3729" t="s">
        <v>1763</v>
      </c>
      <c r="I3729" t="s">
        <v>25</v>
      </c>
      <c r="J3729" s="2">
        <v>45732.670717592591</v>
      </c>
      <c r="K3729">
        <v>16</v>
      </c>
      <c r="L3729">
        <v>3</v>
      </c>
      <c r="M3729">
        <v>2025</v>
      </c>
      <c r="N3729" t="s">
        <v>27</v>
      </c>
      <c r="O3729">
        <v>100</v>
      </c>
      <c r="P3729">
        <v>100</v>
      </c>
      <c r="R3729" s="3" t="str">
        <f>HYPERLINK("https://panda.att.com.mx/ODKServer/view/binaryData?blobKey=FSSuministroFluidosv3%5B%40version%3Dnull+and+%40uiVersion%3Dnull%5D%2Fdata%5B%40key%3Duuid%3Ae7001658-c5e6-4d23-b8cb-c9ffe0c9aac7%5D%2FgroupInfoFuel%5B%40ordinal%3D1%5D%2FpicFuelRecibeInterno","Descargar")</f>
        <v>Descargar</v>
      </c>
    </row>
    <row r="3730" spans="1:18" x14ac:dyDescent="0.3">
      <c r="A3730">
        <v>1503122</v>
      </c>
      <c r="B3730" t="s">
        <v>18</v>
      </c>
      <c r="C3730" t="s">
        <v>55</v>
      </c>
      <c r="D3730" t="s">
        <v>56</v>
      </c>
      <c r="E3730" t="s">
        <v>2735</v>
      </c>
      <c r="F3730" t="s">
        <v>22</v>
      </c>
      <c r="G3730" t="s">
        <v>23</v>
      </c>
      <c r="H3730" t="s">
        <v>1763</v>
      </c>
      <c r="I3730" t="s">
        <v>25</v>
      </c>
      <c r="J3730" s="2">
        <v>45732.768946759257</v>
      </c>
      <c r="K3730">
        <v>16</v>
      </c>
      <c r="L3730">
        <v>3</v>
      </c>
      <c r="M3730">
        <v>2025</v>
      </c>
      <c r="N3730" t="s">
        <v>27</v>
      </c>
      <c r="O3730">
        <v>100</v>
      </c>
      <c r="P3730">
        <v>100</v>
      </c>
      <c r="R3730" s="3" t="str">
        <f>HYPERLINK("https://panda.att.com.mx/ODKServer/view/binaryData?blobKey=FSSuministroFluidosv3%5B%40version%3Dnull+and+%40uiVersion%3Dnull%5D%2Fdata%5B%40key%3Duuid%3A5c1a4b0f-4977-4262-96f3-1235d54a4190%5D%2FgroupInfoFuel%5B%40ordinal%3D1%5D%2FpicFuelRecibeInterno","Descargar")</f>
        <v>Descargar</v>
      </c>
    </row>
    <row r="3731" spans="1:18" x14ac:dyDescent="0.3">
      <c r="A3731">
        <v>1503121</v>
      </c>
      <c r="B3731" t="s">
        <v>18</v>
      </c>
      <c r="C3731" t="s">
        <v>55</v>
      </c>
      <c r="D3731" t="s">
        <v>56</v>
      </c>
      <c r="E3731" t="s">
        <v>2188</v>
      </c>
      <c r="F3731" t="s">
        <v>22</v>
      </c>
      <c r="G3731" t="s">
        <v>23</v>
      </c>
      <c r="H3731" t="s">
        <v>1763</v>
      </c>
      <c r="I3731" t="s">
        <v>25</v>
      </c>
      <c r="J3731" s="2">
        <v>45732.809525462973</v>
      </c>
      <c r="K3731">
        <v>16</v>
      </c>
      <c r="L3731">
        <v>3</v>
      </c>
      <c r="M3731">
        <v>2025</v>
      </c>
      <c r="N3731" t="s">
        <v>27</v>
      </c>
      <c r="O3731">
        <v>100</v>
      </c>
      <c r="P3731">
        <v>100</v>
      </c>
      <c r="R3731" s="3" t="str">
        <f>HYPERLINK("https://panda.att.com.mx/ODKServer/view/binaryData?blobKey=FSSuministroFluidosv3%5B%40version%3Dnull+and+%40uiVersion%3Dnull%5D%2Fdata%5B%40key%3Duuid%3A0780a2a7-f224-4e48-b004-7d9530213bfd%5D%2FgroupInfoFuel%5B%40ordinal%3D1%5D%2FpicFuelRecibeInterno","Descargar")</f>
        <v>Descargar</v>
      </c>
    </row>
    <row r="3732" spans="1:18" x14ac:dyDescent="0.3">
      <c r="A3732">
        <v>1503120</v>
      </c>
      <c r="B3732" t="s">
        <v>18</v>
      </c>
      <c r="C3732" t="s">
        <v>55</v>
      </c>
      <c r="D3732" t="s">
        <v>56</v>
      </c>
      <c r="E3732" t="s">
        <v>2976</v>
      </c>
      <c r="F3732" t="s">
        <v>22</v>
      </c>
      <c r="G3732" t="s">
        <v>23</v>
      </c>
      <c r="H3732" t="s">
        <v>1763</v>
      </c>
      <c r="I3732" t="s">
        <v>25</v>
      </c>
      <c r="J3732" s="2">
        <v>45732.854791666658</v>
      </c>
      <c r="K3732">
        <v>16</v>
      </c>
      <c r="L3732">
        <v>3</v>
      </c>
      <c r="M3732">
        <v>2025</v>
      </c>
      <c r="N3732" t="s">
        <v>27</v>
      </c>
      <c r="O3732">
        <v>100</v>
      </c>
      <c r="P3732">
        <v>100</v>
      </c>
      <c r="R3732" s="3" t="str">
        <f>HYPERLINK("https://panda.att.com.mx/ODKServer/view/binaryData?blobKey=FSSuministroFluidosv3%5B%40version%3Dnull+and+%40uiVersion%3Dnull%5D%2Fdata%5B%40key%3Duuid%3A856c7df1-9362-4128-9558-904ba0441aae%5D%2FgroupInfoFuel%5B%40ordinal%3D1%5D%2FpicFuelRecibeInterno","Descargar")</f>
        <v>Descargar</v>
      </c>
    </row>
    <row r="3733" spans="1:18" x14ac:dyDescent="0.3">
      <c r="A3733">
        <v>1503116</v>
      </c>
      <c r="B3733" t="s">
        <v>18</v>
      </c>
      <c r="C3733" t="s">
        <v>55</v>
      </c>
      <c r="D3733" t="s">
        <v>56</v>
      </c>
      <c r="E3733" t="s">
        <v>2735</v>
      </c>
      <c r="F3733" t="s">
        <v>22</v>
      </c>
      <c r="G3733" t="s">
        <v>23</v>
      </c>
      <c r="H3733" t="s">
        <v>1763</v>
      </c>
      <c r="I3733" t="s">
        <v>25</v>
      </c>
      <c r="J3733" s="2">
        <v>45734.428819444453</v>
      </c>
      <c r="K3733">
        <v>18</v>
      </c>
      <c r="L3733">
        <v>3</v>
      </c>
      <c r="M3733">
        <v>2025</v>
      </c>
      <c r="N3733" t="s">
        <v>27</v>
      </c>
      <c r="O3733">
        <v>100</v>
      </c>
      <c r="P3733">
        <v>100</v>
      </c>
      <c r="R3733" s="3" t="str">
        <f>HYPERLINK("https://panda.att.com.mx/ODKServer/view/binaryData?blobKey=FSSuministroFluidosv3%5B%40version%3Dnull+and+%40uiVersion%3Dnull%5D%2Fdata%5B%40key%3Duuid%3Aa0b1e8f9-b6dd-4504-9974-64fe01fd1dd7%5D%2FgroupInfoFuel%5B%40ordinal%3D1%5D%2FpicFuelRecibeInterno","Descargar")</f>
        <v>Descargar</v>
      </c>
    </row>
    <row r="3734" spans="1:18" x14ac:dyDescent="0.3">
      <c r="A3734">
        <v>1503115</v>
      </c>
      <c r="B3734" t="s">
        <v>18</v>
      </c>
      <c r="C3734" t="s">
        <v>55</v>
      </c>
      <c r="D3734" t="s">
        <v>56</v>
      </c>
      <c r="E3734" t="s">
        <v>2188</v>
      </c>
      <c r="F3734" t="s">
        <v>22</v>
      </c>
      <c r="G3734" t="s">
        <v>23</v>
      </c>
      <c r="H3734" t="s">
        <v>1763</v>
      </c>
      <c r="I3734" t="s">
        <v>25</v>
      </c>
      <c r="J3734" s="2">
        <v>45734.497881944437</v>
      </c>
      <c r="K3734">
        <v>18</v>
      </c>
      <c r="L3734">
        <v>3</v>
      </c>
      <c r="M3734">
        <v>2025</v>
      </c>
      <c r="N3734" t="s">
        <v>27</v>
      </c>
      <c r="O3734">
        <v>100</v>
      </c>
      <c r="P3734">
        <v>100</v>
      </c>
      <c r="R3734" s="3" t="str">
        <f>HYPERLINK("https://panda.att.com.mx/ODKServer/view/binaryData?blobKey=FSSuministroFluidosv3%5B%40version%3Dnull+and+%40uiVersion%3Dnull%5D%2Fdata%5B%40key%3Duuid%3A41f7c7a3-ba14-4cb6-bbfa-f83071086851%5D%2FgroupInfoFuel%5B%40ordinal%3D1%5D%2FpicFuelRecibeInterno","Descargar")</f>
        <v>Descargar</v>
      </c>
    </row>
    <row r="3735" spans="1:18" x14ac:dyDescent="0.3">
      <c r="A3735">
        <v>1503114</v>
      </c>
      <c r="B3735" t="s">
        <v>18</v>
      </c>
      <c r="C3735" t="s">
        <v>55</v>
      </c>
      <c r="D3735" t="s">
        <v>56</v>
      </c>
      <c r="E3735" t="s">
        <v>2188</v>
      </c>
      <c r="F3735" t="s">
        <v>22</v>
      </c>
      <c r="G3735" t="s">
        <v>23</v>
      </c>
      <c r="H3735" t="s">
        <v>1763</v>
      </c>
      <c r="I3735" t="s">
        <v>25</v>
      </c>
      <c r="J3735" s="2">
        <v>45735.656342592592</v>
      </c>
      <c r="K3735">
        <v>19</v>
      </c>
      <c r="L3735">
        <v>3</v>
      </c>
      <c r="M3735">
        <v>2025</v>
      </c>
      <c r="N3735" t="s">
        <v>27</v>
      </c>
      <c r="O3735">
        <v>100</v>
      </c>
      <c r="P3735">
        <v>100</v>
      </c>
      <c r="R3735" s="3" t="str">
        <f>HYPERLINK("https://panda.att.com.mx/ODKServer/view/binaryData?blobKey=FSSuministroFluidosv3%5B%40version%3Dnull+and+%40uiVersion%3Dnull%5D%2Fdata%5B%40key%3Duuid%3A75fca556-774c-4281-98a8-1a38c8756578%5D%2FgroupInfoFuel%5B%40ordinal%3D1%5D%2FpicFuelRecibeInterno","Descargar")</f>
        <v>Descargar</v>
      </c>
    </row>
    <row r="3736" spans="1:18" x14ac:dyDescent="0.3">
      <c r="A3736">
        <v>1503100</v>
      </c>
      <c r="B3736" t="s">
        <v>18</v>
      </c>
      <c r="C3736" t="s">
        <v>28</v>
      </c>
      <c r="D3736" t="s">
        <v>118</v>
      </c>
      <c r="E3736" t="s">
        <v>2977</v>
      </c>
      <c r="F3736" t="s">
        <v>22</v>
      </c>
      <c r="G3736" t="s">
        <v>23</v>
      </c>
      <c r="H3736" t="s">
        <v>24</v>
      </c>
      <c r="I3736" t="s">
        <v>25</v>
      </c>
      <c r="J3736" s="2">
        <v>45735.853055555563</v>
      </c>
      <c r="K3736">
        <v>19</v>
      </c>
      <c r="L3736">
        <v>3</v>
      </c>
      <c r="M3736">
        <v>2025</v>
      </c>
      <c r="N3736" t="s">
        <v>44</v>
      </c>
      <c r="O3736">
        <v>40</v>
      </c>
      <c r="Q3736">
        <v>40</v>
      </c>
      <c r="R3736" s="3" t="str">
        <f>HYPERLINK("https://panda.att.com.mx/ODKServer/view/binaryData?blobKey=FSSuministroFluidosv3%5B%40version%3Dnull+and+%40uiVersion%3Dnull%5D%2Fdata%5B%40key%3Duuid%3Ad15926d5-6f1d-44cd-b609-50dda2825cba%5D%2FgroupInfoFuel%5B%40ordinal%3D1%5D%2FpicFuelRecibeInterno","Descargar")</f>
        <v>Descargar</v>
      </c>
    </row>
    <row r="3737" spans="1:18" x14ac:dyDescent="0.3">
      <c r="A3737">
        <v>1503090</v>
      </c>
      <c r="B3737" t="s">
        <v>18</v>
      </c>
      <c r="C3737" t="s">
        <v>34</v>
      </c>
      <c r="D3737" t="s">
        <v>53</v>
      </c>
      <c r="E3737" t="s">
        <v>2978</v>
      </c>
      <c r="F3737" t="s">
        <v>22</v>
      </c>
      <c r="G3737" t="s">
        <v>23</v>
      </c>
      <c r="H3737" t="s">
        <v>37</v>
      </c>
      <c r="I3737" t="s">
        <v>25</v>
      </c>
      <c r="J3737" s="2">
        <v>45735.863935185182</v>
      </c>
      <c r="K3737">
        <v>19</v>
      </c>
      <c r="L3737">
        <v>3</v>
      </c>
      <c r="M3737">
        <v>2025</v>
      </c>
      <c r="N3737" t="s">
        <v>27</v>
      </c>
      <c r="O3737">
        <v>170</v>
      </c>
      <c r="P3737">
        <v>170</v>
      </c>
      <c r="R3737" s="3" t="str">
        <f>HYPERLINK("https://panda.att.com.mx/ODKServer/view/binaryData?blobKey=FSSuministroFluidosv3%5B%40version%3Dnull+and+%40uiVersion%3Dnull%5D%2Fdata%5B%40key%3Duuid%3A6b31e58c-f5ca-430d-8e94-09e01a434545%5D%2FgroupInfoFuel%5B%40ordinal%3D1%5D%2FpicFuelRecibeInterno","Descargar")</f>
        <v>Descargar</v>
      </c>
    </row>
    <row r="3738" spans="1:18" x14ac:dyDescent="0.3">
      <c r="A3738">
        <v>1503054</v>
      </c>
      <c r="B3738" t="s">
        <v>18</v>
      </c>
      <c r="C3738" t="s">
        <v>19</v>
      </c>
      <c r="D3738" t="s">
        <v>62</v>
      </c>
      <c r="E3738" t="s">
        <v>1625</v>
      </c>
      <c r="F3738" t="s">
        <v>22</v>
      </c>
      <c r="G3738" t="s">
        <v>23</v>
      </c>
      <c r="H3738" t="s">
        <v>24</v>
      </c>
      <c r="I3738" t="s">
        <v>25</v>
      </c>
      <c r="J3738" s="2">
        <v>45734.764710648153</v>
      </c>
      <c r="K3738">
        <v>18</v>
      </c>
      <c r="L3738">
        <v>3</v>
      </c>
      <c r="M3738">
        <v>2025</v>
      </c>
      <c r="N3738" t="s">
        <v>44</v>
      </c>
      <c r="O3738">
        <v>50</v>
      </c>
      <c r="P3738">
        <v>50</v>
      </c>
      <c r="R3738" s="3" t="str">
        <f>HYPERLINK("https://panda.att.com.mx/ODKServer/view/binaryData?blobKey=FSSuministroFluidosv3%5B%40version%3Dnull+and+%40uiVersion%3Dnull%5D%2Fdata%5B%40key%3Duuid%3A74db2c65-5eee-4f3a-a2d1-9edfff63062d%5D%2FgroupInfoFuel%5B%40ordinal%3D1%5D%2FpicFuelRecibeInterno","Descargar")</f>
        <v>Descargar</v>
      </c>
    </row>
    <row r="3739" spans="1:18" x14ac:dyDescent="0.3">
      <c r="A3739">
        <v>1503053</v>
      </c>
      <c r="B3739" t="s">
        <v>18</v>
      </c>
      <c r="C3739" t="s">
        <v>19</v>
      </c>
      <c r="D3739" t="s">
        <v>62</v>
      </c>
      <c r="E3739" t="s">
        <v>1625</v>
      </c>
      <c r="F3739" t="s">
        <v>22</v>
      </c>
      <c r="G3739" t="s">
        <v>23</v>
      </c>
      <c r="H3739" t="s">
        <v>24</v>
      </c>
      <c r="I3739" t="s">
        <v>25</v>
      </c>
      <c r="J3739" s="2">
        <v>45734.752881944441</v>
      </c>
      <c r="K3739">
        <v>18</v>
      </c>
      <c r="L3739">
        <v>3</v>
      </c>
      <c r="M3739">
        <v>2025</v>
      </c>
      <c r="N3739" t="s">
        <v>44</v>
      </c>
      <c r="O3739">
        <v>50</v>
      </c>
      <c r="P3739">
        <v>50</v>
      </c>
      <c r="R3739" s="3" t="str">
        <f>HYPERLINK("https://panda.att.com.mx/ODKServer/view/binaryData?blobKey=FSSuministroFluidosv3%5B%40version%3Dnull+and+%40uiVersion%3Dnull%5D%2Fdata%5B%40key%3Duuid%3A282cc8f2-73f1-43e1-98ba-8b32fc3aaff4%5D%2FgroupInfoFuel%5B%40ordinal%3D1%5D%2FpicFuelRecibeInterno","Descargar")</f>
        <v>Descargar</v>
      </c>
    </row>
    <row r="3740" spans="1:18" x14ac:dyDescent="0.3">
      <c r="A3740">
        <v>1503047</v>
      </c>
      <c r="B3740" t="s">
        <v>18</v>
      </c>
      <c r="C3740" t="s">
        <v>34</v>
      </c>
      <c r="D3740" t="s">
        <v>51</v>
      </c>
      <c r="E3740" t="s">
        <v>2979</v>
      </c>
      <c r="F3740" t="s">
        <v>22</v>
      </c>
      <c r="G3740" t="s">
        <v>23</v>
      </c>
      <c r="H3740" t="s">
        <v>24</v>
      </c>
      <c r="I3740" t="s">
        <v>25</v>
      </c>
      <c r="J3740" s="2">
        <v>45735.664907407408</v>
      </c>
      <c r="K3740">
        <v>19</v>
      </c>
      <c r="L3740">
        <v>3</v>
      </c>
      <c r="M3740">
        <v>2025</v>
      </c>
      <c r="N3740" t="s">
        <v>27</v>
      </c>
      <c r="O3740">
        <v>302</v>
      </c>
      <c r="P3740">
        <v>302</v>
      </c>
      <c r="R3740" s="3" t="str">
        <f>HYPERLINK("https://panda.att.com.mx/ODKServer/view/binaryData?blobKey=FSSuministroFluidosv3%5B%40version%3Dnull+and+%40uiVersion%3Dnull%5D%2Fdata%5B%40key%3Duuid%3Abe7a11ac-d636-4a9c-8067-abb7bff5c701%5D%2FgroupInfoFuel%5B%40ordinal%3D1%5D%2FpicFuelRecibeInterno","Descargar")</f>
        <v>Descargar</v>
      </c>
    </row>
    <row r="3741" spans="1:18" x14ac:dyDescent="0.3">
      <c r="A3741">
        <v>1503028</v>
      </c>
      <c r="B3741" t="s">
        <v>18</v>
      </c>
      <c r="C3741" t="s">
        <v>59</v>
      </c>
      <c r="D3741" t="s">
        <v>60</v>
      </c>
      <c r="E3741" t="s">
        <v>2738</v>
      </c>
      <c r="F3741" t="s">
        <v>22</v>
      </c>
      <c r="G3741" t="s">
        <v>23</v>
      </c>
      <c r="H3741" t="s">
        <v>37</v>
      </c>
      <c r="I3741" t="s">
        <v>25</v>
      </c>
      <c r="J3741" s="2">
        <v>45735.786145833343</v>
      </c>
      <c r="K3741">
        <v>19</v>
      </c>
      <c r="L3741">
        <v>3</v>
      </c>
      <c r="M3741">
        <v>2025</v>
      </c>
      <c r="N3741" t="s">
        <v>27</v>
      </c>
      <c r="O3741">
        <v>130</v>
      </c>
      <c r="P3741">
        <v>130</v>
      </c>
      <c r="R3741" s="3" t="str">
        <f>HYPERLINK("https://panda.att.com.mx/ODKServer/view/binaryData?blobKey=FSSuministroFluidosv3%5B%40version%3Dnull+and+%40uiVersion%3Dnull%5D%2Fdata%5B%40key%3Duuid%3A0d048a5f-6aa3-42d4-b3b7-2c784ecf3977%5D%2FgroupInfoFuel%5B%40ordinal%3D1%5D%2FpicFuelRecibeInterno","Descargar")</f>
        <v>Descargar</v>
      </c>
    </row>
    <row r="3742" spans="1:18" x14ac:dyDescent="0.3">
      <c r="A3742">
        <v>1502951</v>
      </c>
      <c r="B3742" t="s">
        <v>18</v>
      </c>
      <c r="C3742" t="s">
        <v>59</v>
      </c>
      <c r="D3742" t="s">
        <v>60</v>
      </c>
      <c r="E3742" t="s">
        <v>1995</v>
      </c>
      <c r="F3742" t="s">
        <v>22</v>
      </c>
      <c r="G3742" t="s">
        <v>23</v>
      </c>
      <c r="H3742" t="s">
        <v>1816</v>
      </c>
      <c r="I3742" t="s">
        <v>25</v>
      </c>
      <c r="J3742" s="2">
        <v>45727.576504629629</v>
      </c>
      <c r="K3742">
        <v>11</v>
      </c>
      <c r="L3742">
        <v>3</v>
      </c>
      <c r="M3742">
        <v>2025</v>
      </c>
      <c r="N3742" t="s">
        <v>27</v>
      </c>
      <c r="O3742">
        <v>304.8</v>
      </c>
      <c r="Q3742">
        <v>304.8</v>
      </c>
      <c r="R3742" s="3" t="str">
        <f>HYPERLINK("https://panda.att.com.mx/ODKServer/view/binaryData?blobKey=FSSuministroFluidosv3%5B%40version%3Dnull+and+%40uiVersion%3Dnull%5D%2Fdata%5B%40key%3Duuid%3A5579161f-1093-4ba0-b915-b51e4e7abe70%5D%2FgroupInfoFuel%5B%40ordinal%3D1%5D%2FpicFuelRecibeInterno","Descargar")</f>
        <v>Descargar</v>
      </c>
    </row>
    <row r="3743" spans="1:18" x14ac:dyDescent="0.3">
      <c r="A3743">
        <v>1502903</v>
      </c>
      <c r="B3743" t="s">
        <v>18</v>
      </c>
      <c r="C3743" t="s">
        <v>55</v>
      </c>
      <c r="D3743" t="s">
        <v>56</v>
      </c>
      <c r="E3743" t="s">
        <v>1841</v>
      </c>
      <c r="F3743" t="s">
        <v>22</v>
      </c>
      <c r="G3743" t="s">
        <v>47</v>
      </c>
      <c r="H3743" t="s">
        <v>1763</v>
      </c>
      <c r="I3743" t="s">
        <v>25</v>
      </c>
      <c r="J3743" s="2">
        <v>45729.471400462957</v>
      </c>
      <c r="K3743">
        <v>13</v>
      </c>
      <c r="L3743">
        <v>3</v>
      </c>
      <c r="M3743">
        <v>2025</v>
      </c>
      <c r="N3743" t="s">
        <v>27</v>
      </c>
      <c r="O3743">
        <v>100</v>
      </c>
      <c r="P3743">
        <v>100</v>
      </c>
      <c r="R3743" s="3" t="str">
        <f>HYPERLINK("https://panda.att.com.mx/ODKServer/view/binaryData?blobKey=FSSuministroFluidosv3%5B%40version%3Dnull+and+%40uiVersion%3Dnull%5D%2Fdata%5B%40key%3Duuid%3A011dc35c-b8c3-4d8b-b635-e73e4fab895c%5D%2FgroupInfoFuel%5B%40ordinal%3D1%5D%2FpicFuelRecibeInterno","Descargar")</f>
        <v>Descargar</v>
      </c>
    </row>
    <row r="3744" spans="1:18" x14ac:dyDescent="0.3">
      <c r="A3744">
        <v>1502902</v>
      </c>
      <c r="B3744" t="s">
        <v>18</v>
      </c>
      <c r="C3744" t="s">
        <v>55</v>
      </c>
      <c r="D3744" t="s">
        <v>56</v>
      </c>
      <c r="E3744" t="s">
        <v>1713</v>
      </c>
      <c r="F3744" t="s">
        <v>22</v>
      </c>
      <c r="G3744" t="s">
        <v>47</v>
      </c>
      <c r="H3744" t="s">
        <v>1763</v>
      </c>
      <c r="I3744" t="s">
        <v>25</v>
      </c>
      <c r="J3744" s="2">
        <v>45729.562002314808</v>
      </c>
      <c r="K3744">
        <v>13</v>
      </c>
      <c r="L3744">
        <v>3</v>
      </c>
      <c r="M3744">
        <v>2025</v>
      </c>
      <c r="N3744" t="s">
        <v>27</v>
      </c>
      <c r="O3744">
        <v>300</v>
      </c>
      <c r="P3744">
        <v>300</v>
      </c>
      <c r="R3744" s="3" t="str">
        <f>HYPERLINK("https://panda.att.com.mx/ODKServer/view/binaryData?blobKey=FSSuministroFluidosv3%5B%40version%3Dnull+and+%40uiVersion%3Dnull%5D%2Fdata%5B%40key%3Duuid%3A561e254d-3f6d-4afb-8bf2-56bf5b83e7b7%5D%2FgroupInfoFuel%5B%40ordinal%3D1%5D%2FpicFuelRecibeInterno","Descargar")</f>
        <v>Descargar</v>
      </c>
    </row>
    <row r="3745" spans="1:18" x14ac:dyDescent="0.3">
      <c r="A3745">
        <v>1502901</v>
      </c>
      <c r="B3745" t="s">
        <v>18</v>
      </c>
      <c r="C3745" t="s">
        <v>55</v>
      </c>
      <c r="D3745" t="s">
        <v>56</v>
      </c>
      <c r="E3745" t="s">
        <v>2945</v>
      </c>
      <c r="F3745" t="s">
        <v>22</v>
      </c>
      <c r="G3745" t="s">
        <v>47</v>
      </c>
      <c r="H3745" t="s">
        <v>1763</v>
      </c>
      <c r="I3745" t="s">
        <v>25</v>
      </c>
      <c r="J3745" s="2">
        <v>45729.649108796293</v>
      </c>
      <c r="K3745">
        <v>13</v>
      </c>
      <c r="L3745">
        <v>3</v>
      </c>
      <c r="M3745">
        <v>2025</v>
      </c>
      <c r="N3745" t="s">
        <v>27</v>
      </c>
      <c r="O3745">
        <v>100</v>
      </c>
      <c r="P3745">
        <v>100</v>
      </c>
      <c r="R3745" s="3" t="str">
        <f>HYPERLINK("https://panda.att.com.mx/ODKServer/view/binaryData?blobKey=FSSuministroFluidosv3%5B%40version%3Dnull+and+%40uiVersion%3Dnull%5D%2Fdata%5B%40key%3Duuid%3A9f27df9a-3e5a-48ba-b38d-e5f3f6266717%5D%2FgroupInfoFuel%5B%40ordinal%3D1%5D%2FpicFuelRecibeInterno","Descargar")</f>
        <v>Descargar</v>
      </c>
    </row>
    <row r="3746" spans="1:18" x14ac:dyDescent="0.3">
      <c r="A3746">
        <v>1502732</v>
      </c>
      <c r="B3746" t="s">
        <v>18</v>
      </c>
      <c r="C3746" t="s">
        <v>55</v>
      </c>
      <c r="D3746" t="s">
        <v>56</v>
      </c>
      <c r="E3746" t="s">
        <v>2945</v>
      </c>
      <c r="F3746" t="s">
        <v>22</v>
      </c>
      <c r="G3746" t="s">
        <v>23</v>
      </c>
      <c r="H3746" t="s">
        <v>1763</v>
      </c>
      <c r="I3746" t="s">
        <v>25</v>
      </c>
      <c r="J3746" s="2">
        <v>45733.560590277782</v>
      </c>
      <c r="K3746">
        <v>17</v>
      </c>
      <c r="L3746">
        <v>3</v>
      </c>
      <c r="M3746">
        <v>2025</v>
      </c>
      <c r="N3746" t="s">
        <v>27</v>
      </c>
      <c r="O3746">
        <v>100</v>
      </c>
      <c r="P3746">
        <v>100</v>
      </c>
      <c r="R3746" s="3" t="str">
        <f>HYPERLINK("https://panda.att.com.mx/ODKServer/view/binaryData?blobKey=FSSuministroFluidosv3%5B%40version%3Dnull+and+%40uiVersion%3Dnull%5D%2Fdata%5B%40key%3Duuid%3A51edaac4-b835-4d7d-949a-8634e7c13d84%5D%2FgroupInfoFuel%5B%40ordinal%3D1%5D%2FpicFuelRecibeInterno","Descargar")</f>
        <v>Descargar</v>
      </c>
    </row>
    <row r="3747" spans="1:18" x14ac:dyDescent="0.3">
      <c r="A3747">
        <v>1502623</v>
      </c>
      <c r="B3747" t="s">
        <v>18</v>
      </c>
      <c r="C3747" t="s">
        <v>150</v>
      </c>
      <c r="D3747" t="s">
        <v>230</v>
      </c>
      <c r="E3747" t="s">
        <v>2980</v>
      </c>
      <c r="F3747" t="s">
        <v>22</v>
      </c>
      <c r="G3747" t="s">
        <v>23</v>
      </c>
      <c r="H3747" t="s">
        <v>1781</v>
      </c>
      <c r="I3747" t="s">
        <v>25</v>
      </c>
      <c r="J3747" s="2">
        <v>45735.516423611109</v>
      </c>
      <c r="K3747">
        <v>19</v>
      </c>
      <c r="L3747">
        <v>3</v>
      </c>
      <c r="M3747">
        <v>2025</v>
      </c>
      <c r="N3747" t="s">
        <v>27</v>
      </c>
      <c r="O3747">
        <v>150.01</v>
      </c>
      <c r="P3747">
        <v>150.01</v>
      </c>
      <c r="R3747" s="3" t="str">
        <f>HYPERLINK("https://panda.att.com.mx/ODKServer/view/binaryData?blobKey=FSSuministroFluidosv3%5B%40version%3Dnull+and+%40uiVersion%3Dnull%5D%2Fdata%5B%40key%3Duuid%3Aeee12091-d790-4481-8f85-45262ad14353%5D%2FgroupInfoFuel%5B%40ordinal%3D1%5D%2FpicFuelRecibeInterno","Descargar")</f>
        <v>Descargar</v>
      </c>
    </row>
    <row r="3748" spans="1:18" x14ac:dyDescent="0.3">
      <c r="A3748">
        <v>1502528</v>
      </c>
      <c r="B3748" t="s">
        <v>18</v>
      </c>
      <c r="C3748" t="s">
        <v>55</v>
      </c>
      <c r="D3748" t="s">
        <v>56</v>
      </c>
      <c r="E3748" t="s">
        <v>320</v>
      </c>
      <c r="F3748" t="s">
        <v>22</v>
      </c>
      <c r="G3748" t="s">
        <v>23</v>
      </c>
      <c r="H3748" t="s">
        <v>1763</v>
      </c>
      <c r="I3748" t="s">
        <v>25</v>
      </c>
      <c r="J3748" s="2">
        <v>45733.46465277778</v>
      </c>
      <c r="K3748">
        <v>17</v>
      </c>
      <c r="L3748">
        <v>3</v>
      </c>
      <c r="M3748">
        <v>2025</v>
      </c>
      <c r="N3748" t="s">
        <v>27</v>
      </c>
      <c r="O3748">
        <v>300</v>
      </c>
      <c r="P3748">
        <v>300</v>
      </c>
      <c r="R3748" s="3" t="str">
        <f>HYPERLINK("https://panda.att.com.mx/ODKServer/view/binaryData?blobKey=FSSuministroFluidosv3%5B%40version%3Dnull+and+%40uiVersion%3Dnull%5D%2Fdata%5B%40key%3Duuid%3A3d10448d-8b1c-46cc-a7c5-95d4e8079640%5D%2FgroupInfoFuel%5B%40ordinal%3D1%5D%2FpicFuelRecibeInterno","Descargar")</f>
        <v>Descargar</v>
      </c>
    </row>
    <row r="3749" spans="1:18" x14ac:dyDescent="0.3">
      <c r="A3749">
        <v>1502525</v>
      </c>
      <c r="B3749" t="s">
        <v>18</v>
      </c>
      <c r="C3749" t="s">
        <v>55</v>
      </c>
      <c r="D3749" t="s">
        <v>56</v>
      </c>
      <c r="E3749" t="s">
        <v>2188</v>
      </c>
      <c r="F3749" t="s">
        <v>22</v>
      </c>
      <c r="G3749" t="s">
        <v>23</v>
      </c>
      <c r="H3749" t="s">
        <v>1763</v>
      </c>
      <c r="I3749" t="s">
        <v>25</v>
      </c>
      <c r="J3749" s="2">
        <v>45731.459062499998</v>
      </c>
      <c r="K3749">
        <v>15</v>
      </c>
      <c r="L3749">
        <v>3</v>
      </c>
      <c r="M3749">
        <v>2025</v>
      </c>
      <c r="N3749" t="s">
        <v>27</v>
      </c>
      <c r="O3749">
        <v>100</v>
      </c>
      <c r="P3749">
        <v>100</v>
      </c>
      <c r="R3749" s="3" t="str">
        <f>HYPERLINK("https://panda.att.com.mx/ODKServer/view/binaryData?blobKey=FSSuministroFluidosv3%5B%40version%3Dnull+and+%40uiVersion%3Dnull%5D%2Fdata%5B%40key%3Duuid%3Ae2ca257e-dbde-4afc-aa4b-d14955bd2039%5D%2FgroupInfoFuel%5B%40ordinal%3D1%5D%2FpicFuelRecibeInterno","Descargar")</f>
        <v>Descargar</v>
      </c>
    </row>
    <row r="3750" spans="1:18" x14ac:dyDescent="0.3">
      <c r="A3750">
        <v>1502517</v>
      </c>
      <c r="B3750" t="s">
        <v>18</v>
      </c>
      <c r="C3750" t="s">
        <v>55</v>
      </c>
      <c r="D3750" t="s">
        <v>56</v>
      </c>
      <c r="E3750" t="s">
        <v>2975</v>
      </c>
      <c r="F3750" t="s">
        <v>22</v>
      </c>
      <c r="G3750" t="s">
        <v>23</v>
      </c>
      <c r="H3750" t="s">
        <v>1763</v>
      </c>
      <c r="I3750" t="s">
        <v>25</v>
      </c>
      <c r="J3750" s="2">
        <v>45731.508425925917</v>
      </c>
      <c r="K3750">
        <v>15</v>
      </c>
      <c r="L3750">
        <v>3</v>
      </c>
      <c r="M3750">
        <v>2025</v>
      </c>
      <c r="N3750" t="s">
        <v>27</v>
      </c>
      <c r="O3750">
        <v>100</v>
      </c>
      <c r="P3750">
        <v>100</v>
      </c>
      <c r="R3750" s="3" t="str">
        <f>HYPERLINK("https://panda.att.com.mx/ODKServer/view/binaryData?blobKey=FSSuministroFluidosv3%5B%40version%3Dnull+and+%40uiVersion%3Dnull%5D%2Fdata%5B%40key%3Duuid%3Af07bef82-b609-426d-bb6c-2509d8d9d330%5D%2FgroupInfoFuel%5B%40ordinal%3D1%5D%2FpicFuelRecibeInterno","Descargar")</f>
        <v>Descargar</v>
      </c>
    </row>
    <row r="3751" spans="1:18" x14ac:dyDescent="0.3">
      <c r="A3751">
        <v>1502503</v>
      </c>
      <c r="B3751" t="s">
        <v>18</v>
      </c>
      <c r="C3751" t="s">
        <v>19</v>
      </c>
      <c r="D3751" t="s">
        <v>45</v>
      </c>
      <c r="E3751" t="s">
        <v>2981</v>
      </c>
      <c r="F3751" t="s">
        <v>22</v>
      </c>
      <c r="G3751" t="s">
        <v>23</v>
      </c>
      <c r="H3751" t="s">
        <v>24</v>
      </c>
      <c r="I3751" t="s">
        <v>25</v>
      </c>
      <c r="J3751" s="2">
        <v>45735.407314814824</v>
      </c>
      <c r="K3751">
        <v>19</v>
      </c>
      <c r="L3751">
        <v>3</v>
      </c>
      <c r="M3751">
        <v>2025</v>
      </c>
      <c r="N3751" t="s">
        <v>27</v>
      </c>
      <c r="O3751">
        <v>300</v>
      </c>
      <c r="P3751">
        <v>300</v>
      </c>
      <c r="R3751" s="3" t="str">
        <f>HYPERLINK("https://panda.att.com.mx/ODKServer/view/binaryData?blobKey=FSSuministroFluidosv3%5B%40version%3Dnull+and+%40uiVersion%3Dnull%5D%2Fdata%5B%40key%3Duuid%3A1ab05807-45b3-42bc-9d3d-00a2b2f8de1f%5D%2FgroupInfoFuel%5B%40ordinal%3D1%5D%2FpicFuelRecibeInterno","Descargar")</f>
        <v>Descargar</v>
      </c>
    </row>
    <row r="3752" spans="1:18" x14ac:dyDescent="0.3">
      <c r="A3752">
        <v>1501094</v>
      </c>
      <c r="B3752" t="s">
        <v>18</v>
      </c>
      <c r="C3752" t="s">
        <v>34</v>
      </c>
      <c r="D3752" t="s">
        <v>53</v>
      </c>
      <c r="E3752" t="s">
        <v>1930</v>
      </c>
      <c r="F3752" t="s">
        <v>33</v>
      </c>
      <c r="G3752" t="s">
        <v>23</v>
      </c>
      <c r="H3752" t="s">
        <v>37</v>
      </c>
      <c r="I3752" t="s">
        <v>25</v>
      </c>
      <c r="J3752" s="2">
        <v>45730.572337962964</v>
      </c>
      <c r="K3752">
        <v>14</v>
      </c>
      <c r="L3752">
        <v>3</v>
      </c>
      <c r="M3752">
        <v>2025</v>
      </c>
      <c r="N3752" t="s">
        <v>27</v>
      </c>
      <c r="O3752">
        <v>140</v>
      </c>
      <c r="P3752">
        <v>140</v>
      </c>
      <c r="R3752" s="3" t="str">
        <f>HYPERLINK("https://panda.att.com.mx/ODKServer/view/binaryData?blobKey=FSSuministroFluidosv3%5B%40version%3Dnull+and+%40uiVersion%3Dnull%5D%2Fdata%5B%40key%3Duuid%3A151061e8-cb9c-4c4f-8ed2-08ca6753dc05%5D%2FgroupInfoFuel%5B%40ordinal%3D1%5D%2FpicFuelRecibeInterno","Descargar")</f>
        <v>Descargar</v>
      </c>
    </row>
    <row r="3753" spans="1:18" x14ac:dyDescent="0.3">
      <c r="A3753">
        <v>1501066</v>
      </c>
      <c r="B3753" t="s">
        <v>18</v>
      </c>
      <c r="C3753" t="s">
        <v>55</v>
      </c>
      <c r="D3753" t="s">
        <v>56</v>
      </c>
      <c r="E3753" t="s">
        <v>2735</v>
      </c>
      <c r="F3753" t="s">
        <v>22</v>
      </c>
      <c r="G3753" t="s">
        <v>47</v>
      </c>
      <c r="H3753" t="s">
        <v>1763</v>
      </c>
      <c r="I3753" t="s">
        <v>25</v>
      </c>
      <c r="J3753" s="2">
        <v>45731.40421296296</v>
      </c>
      <c r="K3753">
        <v>15</v>
      </c>
      <c r="L3753">
        <v>3</v>
      </c>
      <c r="M3753">
        <v>2025</v>
      </c>
      <c r="N3753" t="s">
        <v>27</v>
      </c>
      <c r="O3753">
        <v>140</v>
      </c>
      <c r="P3753">
        <v>140</v>
      </c>
      <c r="R3753" s="3" t="str">
        <f>HYPERLINK("https://panda.att.com.mx/ODKServer/view/binaryData?blobKey=FSSuministroFluidosv3%5B%40version%3Dnull+and+%40uiVersion%3Dnull%5D%2Fdata%5B%40key%3Duuid%3Aac019bd1-a5b5-4c8c-8ba8-539674b6e77f%5D%2FgroupInfoFuel%5B%40ordinal%3D1%5D%2FpicFuelRecibeInterno","Descargar")</f>
        <v>Descargar</v>
      </c>
    </row>
    <row r="3754" spans="1:18" x14ac:dyDescent="0.3">
      <c r="A3754">
        <v>1501060</v>
      </c>
      <c r="B3754" t="s">
        <v>18</v>
      </c>
      <c r="C3754" t="s">
        <v>28</v>
      </c>
      <c r="D3754" t="s">
        <v>1036</v>
      </c>
      <c r="E3754" t="s">
        <v>2982</v>
      </c>
      <c r="F3754" t="s">
        <v>22</v>
      </c>
      <c r="G3754" t="s">
        <v>23</v>
      </c>
      <c r="H3754" t="s">
        <v>24</v>
      </c>
      <c r="I3754" t="s">
        <v>25</v>
      </c>
      <c r="J3754" s="2">
        <v>45732.409074074072</v>
      </c>
      <c r="K3754">
        <v>16</v>
      </c>
      <c r="L3754">
        <v>3</v>
      </c>
      <c r="M3754">
        <v>2025</v>
      </c>
      <c r="N3754" t="s">
        <v>27</v>
      </c>
      <c r="O3754">
        <v>80</v>
      </c>
      <c r="P3754">
        <v>80</v>
      </c>
      <c r="R3754" s="3" t="str">
        <f>HYPERLINK("https://panda.att.com.mx/ODKServer/view/binaryData?blobKey=FSSuministroFluidosv3%5B%40version%3Dnull+and+%40uiVersion%3Dnull%5D%2Fdata%5B%40key%3Duuid%3A7bb4ab57-19e6-4bfd-a747-589a4d6bd371%5D%2FgroupInfoFuel%5B%40ordinal%3D1%5D%2FpicFuelRecibeInterno","Descargar")</f>
        <v>Descargar</v>
      </c>
    </row>
    <row r="3755" spans="1:18" x14ac:dyDescent="0.3">
      <c r="A3755">
        <v>1501006</v>
      </c>
      <c r="B3755" t="s">
        <v>18</v>
      </c>
      <c r="C3755" t="s">
        <v>28</v>
      </c>
      <c r="D3755" t="s">
        <v>31</v>
      </c>
      <c r="E3755" t="s">
        <v>1749</v>
      </c>
      <c r="F3755" t="s">
        <v>22</v>
      </c>
      <c r="G3755" t="s">
        <v>23</v>
      </c>
      <c r="H3755" t="s">
        <v>24</v>
      </c>
      <c r="I3755" t="s">
        <v>25</v>
      </c>
      <c r="J3755" s="2">
        <v>45731.605937499997</v>
      </c>
      <c r="K3755">
        <v>15</v>
      </c>
      <c r="L3755">
        <v>3</v>
      </c>
      <c r="M3755">
        <v>2025</v>
      </c>
      <c r="N3755" t="s">
        <v>44</v>
      </c>
      <c r="O3755">
        <v>30</v>
      </c>
      <c r="P3755">
        <v>30</v>
      </c>
      <c r="R3755" s="3" t="str">
        <f>HYPERLINK("https://panda.att.com.mx/ODKServer/view/binaryData?blobKey=FSSuministroFluidosv3%5B%40version%3Dnull+and+%40uiVersion%3Dnull%5D%2Fdata%5B%40key%3Duuid%3A5f78fafe-bc97-4323-babe-fe7c14da0d06%5D%2FgroupInfoFuel%5B%40ordinal%3D1%5D%2FpicFuelRecibeInterno","Descargar")</f>
        <v>Descargar</v>
      </c>
    </row>
    <row r="3756" spans="1:18" x14ac:dyDescent="0.3">
      <c r="A3756">
        <v>1500995</v>
      </c>
      <c r="B3756" t="s">
        <v>18</v>
      </c>
      <c r="C3756" t="s">
        <v>55</v>
      </c>
      <c r="D3756" t="s">
        <v>56</v>
      </c>
      <c r="E3756" t="s">
        <v>2983</v>
      </c>
      <c r="F3756" t="s">
        <v>22</v>
      </c>
      <c r="G3756" t="s">
        <v>47</v>
      </c>
      <c r="H3756" t="s">
        <v>1763</v>
      </c>
      <c r="I3756" t="s">
        <v>25</v>
      </c>
      <c r="J3756" s="2">
        <v>45729.707291666673</v>
      </c>
      <c r="K3756">
        <v>13</v>
      </c>
      <c r="L3756">
        <v>3</v>
      </c>
      <c r="M3756">
        <v>2025</v>
      </c>
      <c r="N3756" t="s">
        <v>27</v>
      </c>
      <c r="O3756">
        <v>100</v>
      </c>
      <c r="P3756">
        <v>100</v>
      </c>
      <c r="R3756" s="3" t="str">
        <f>HYPERLINK("https://panda.att.com.mx/ODKServer/view/binaryData?blobKey=FSSuministroFluidosv3%5B%40version%3Dnull+and+%40uiVersion%3Dnull%5D%2Fdata%5B%40key%3Duuid%3Ab1547c0c-7245-4cc0-8eef-4ac0a8970ce0%5D%2FgroupInfoFuel%5B%40ordinal%3D1%5D%2FpicFuelRecibeInterno","Descargar")</f>
        <v>Descargar</v>
      </c>
    </row>
    <row r="3757" spans="1:18" x14ac:dyDescent="0.3">
      <c r="A3757">
        <v>1500994</v>
      </c>
      <c r="B3757" t="s">
        <v>18</v>
      </c>
      <c r="C3757" t="s">
        <v>55</v>
      </c>
      <c r="D3757" t="s">
        <v>56</v>
      </c>
      <c r="E3757" t="s">
        <v>2966</v>
      </c>
      <c r="F3757" t="s">
        <v>22</v>
      </c>
      <c r="G3757" t="s">
        <v>47</v>
      </c>
      <c r="H3757" t="s">
        <v>1763</v>
      </c>
      <c r="I3757" t="s">
        <v>25</v>
      </c>
      <c r="J3757" s="2">
        <v>45722.736805555563</v>
      </c>
      <c r="K3757">
        <v>6</v>
      </c>
      <c r="L3757">
        <v>3</v>
      </c>
      <c r="M3757">
        <v>2025</v>
      </c>
      <c r="N3757" t="s">
        <v>27</v>
      </c>
      <c r="O3757">
        <v>100</v>
      </c>
      <c r="P3757">
        <v>100</v>
      </c>
      <c r="R3757" s="3" t="str">
        <f>HYPERLINK("https://panda.att.com.mx/ODKServer/view/binaryData?blobKey=FSSuministroFluidosv3%5B%40version%3Dnull+and+%40uiVersion%3Dnull%5D%2Fdata%5B%40key%3Duuid%3Af5fdc7b3-61e1-4a77-b7d5-5df8359c32e0%5D%2FgroupInfoFuel%5B%40ordinal%3D1%5D%2FpicFuelRecibeInterno","Descargar")</f>
        <v>Descargar</v>
      </c>
    </row>
    <row r="3758" spans="1:18" x14ac:dyDescent="0.3">
      <c r="A3758">
        <v>1500973</v>
      </c>
      <c r="B3758" t="s">
        <v>18</v>
      </c>
      <c r="C3758" t="s">
        <v>28</v>
      </c>
      <c r="D3758" t="s">
        <v>66</v>
      </c>
      <c r="E3758" t="s">
        <v>2984</v>
      </c>
      <c r="F3758" t="s">
        <v>22</v>
      </c>
      <c r="G3758" t="s">
        <v>23</v>
      </c>
      <c r="H3758" t="s">
        <v>24</v>
      </c>
      <c r="I3758" t="s">
        <v>25</v>
      </c>
      <c r="J3758" s="2">
        <v>45729.635428240741</v>
      </c>
      <c r="K3758">
        <v>13</v>
      </c>
      <c r="L3758">
        <v>3</v>
      </c>
      <c r="M3758">
        <v>2025</v>
      </c>
      <c r="N3758" t="s">
        <v>44</v>
      </c>
      <c r="O3758">
        <v>40</v>
      </c>
      <c r="P3758">
        <v>40</v>
      </c>
      <c r="R3758" s="3" t="str">
        <f>HYPERLINK("https://panda.att.com.mx/ODKServer/view/binaryData?blobKey=FSSuministroFluidosv3%5B%40version%3Dnull+and+%40uiVersion%3Dnull%5D%2Fdata%5B%40key%3Duuid%3A569e7f40-b487-4c39-bdde-bb45ee0a1a3f%5D%2FgroupInfoFuel%5B%40ordinal%3D1%5D%2FpicFuelRecibeInterno","Descargar")</f>
        <v>Descargar</v>
      </c>
    </row>
    <row r="3759" spans="1:18" x14ac:dyDescent="0.3">
      <c r="A3759">
        <v>1500957</v>
      </c>
      <c r="B3759" t="s">
        <v>18</v>
      </c>
      <c r="C3759" t="s">
        <v>19</v>
      </c>
      <c r="D3759" t="s">
        <v>20</v>
      </c>
      <c r="E3759" t="s">
        <v>2985</v>
      </c>
      <c r="F3759" t="s">
        <v>22</v>
      </c>
      <c r="G3759" t="s">
        <v>23</v>
      </c>
      <c r="H3759" t="s">
        <v>24</v>
      </c>
      <c r="I3759" t="s">
        <v>25</v>
      </c>
      <c r="J3759" s="2">
        <v>45700.493495370371</v>
      </c>
      <c r="K3759">
        <v>12</v>
      </c>
      <c r="L3759">
        <v>2</v>
      </c>
      <c r="M3759">
        <v>2025</v>
      </c>
      <c r="N3759" t="s">
        <v>44</v>
      </c>
      <c r="O3759">
        <v>50</v>
      </c>
      <c r="P3759">
        <v>50</v>
      </c>
      <c r="R3759" s="3" t="str">
        <f>HYPERLINK("https://panda.att.com.mx/ODKServer/view/binaryData?blobKey=FSSuministroFluidosv3%5B%40version%3Dnull+and+%40uiVersion%3Dnull%5D%2Fdata%5B%40key%3Duuid%3A60b10b9c-7b8c-4103-bfef-e15d05e048ed%5D%2FgroupInfoFuel%5B%40ordinal%3D1%5D%2FpicFuelRecibeInterno","Descargar")</f>
        <v>Descargar</v>
      </c>
    </row>
    <row r="3760" spans="1:18" x14ac:dyDescent="0.3">
      <c r="A3760">
        <v>1500888</v>
      </c>
      <c r="B3760" t="s">
        <v>18</v>
      </c>
      <c r="C3760" t="s">
        <v>59</v>
      </c>
      <c r="D3760" t="s">
        <v>60</v>
      </c>
      <c r="E3760" t="s">
        <v>2207</v>
      </c>
      <c r="F3760" t="s">
        <v>22</v>
      </c>
      <c r="G3760" t="s">
        <v>23</v>
      </c>
      <c r="H3760" t="s">
        <v>37</v>
      </c>
      <c r="I3760" t="s">
        <v>25</v>
      </c>
      <c r="J3760" s="2">
        <v>45729.957372685189</v>
      </c>
      <c r="K3760">
        <v>13</v>
      </c>
      <c r="L3760">
        <v>3</v>
      </c>
      <c r="M3760">
        <v>2025</v>
      </c>
      <c r="N3760" t="s">
        <v>27</v>
      </c>
      <c r="O3760">
        <v>190</v>
      </c>
      <c r="P3760">
        <v>190</v>
      </c>
      <c r="R3760" s="3" t="str">
        <f>HYPERLINK("https://panda.att.com.mx/ODKServer/view/binaryData?blobKey=FSSuministroFluidosv3%5B%40version%3Dnull+and+%40uiVersion%3Dnull%5D%2Fdata%5B%40key%3Duuid%3A5f2911d9-7814-408f-949c-843171088217%5D%2FgroupInfoFuel%5B%40ordinal%3D1%5D%2FpicFuelRecibeInterno","Descargar")</f>
        <v>Descargar</v>
      </c>
    </row>
    <row r="3761" spans="1:18" x14ac:dyDescent="0.3">
      <c r="A3761">
        <v>1500879</v>
      </c>
      <c r="B3761" t="s">
        <v>18</v>
      </c>
      <c r="C3761" t="s">
        <v>59</v>
      </c>
      <c r="D3761" t="s">
        <v>60</v>
      </c>
      <c r="E3761" t="s">
        <v>2986</v>
      </c>
      <c r="F3761" t="s">
        <v>22</v>
      </c>
      <c r="G3761" t="s">
        <v>23</v>
      </c>
      <c r="H3761" t="s">
        <v>37</v>
      </c>
      <c r="I3761" t="s">
        <v>25</v>
      </c>
      <c r="J3761" s="2">
        <v>45729.371979166674</v>
      </c>
      <c r="K3761">
        <v>13</v>
      </c>
      <c r="L3761">
        <v>3</v>
      </c>
      <c r="M3761">
        <v>2025</v>
      </c>
      <c r="N3761" t="s">
        <v>27</v>
      </c>
      <c r="O3761">
        <v>300</v>
      </c>
      <c r="Q3761">
        <v>300</v>
      </c>
      <c r="R3761" s="3" t="str">
        <f>HYPERLINK("https://panda.att.com.mx/ODKServer/view/binaryData?blobKey=FSSuministroFluidosv3%5B%40version%3Dnull+and+%40uiVersion%3Dnull%5D%2Fdata%5B%40key%3Duuid%3A27ff4bb6-9f2c-4f9e-aee4-f1eaee91f7f4%5D%2FgroupInfoFuel%5B%40ordinal%3D1%5D%2FpicFuelRecibeInterno","Descargar")</f>
        <v>Descargar</v>
      </c>
    </row>
    <row r="3762" spans="1:18" x14ac:dyDescent="0.3">
      <c r="A3762">
        <v>1500876</v>
      </c>
      <c r="B3762" t="s">
        <v>18</v>
      </c>
      <c r="C3762" t="s">
        <v>68</v>
      </c>
      <c r="D3762" t="s">
        <v>762</v>
      </c>
      <c r="E3762" t="s">
        <v>1855</v>
      </c>
      <c r="F3762" t="s">
        <v>22</v>
      </c>
      <c r="G3762" t="s">
        <v>23</v>
      </c>
      <c r="H3762" t="s">
        <v>37</v>
      </c>
      <c r="I3762" t="s">
        <v>25</v>
      </c>
      <c r="J3762" s="2">
        <v>45731.486944444441</v>
      </c>
      <c r="K3762">
        <v>15</v>
      </c>
      <c r="L3762">
        <v>3</v>
      </c>
      <c r="M3762">
        <v>2025</v>
      </c>
      <c r="N3762" t="s">
        <v>27</v>
      </c>
      <c r="O3762">
        <v>250</v>
      </c>
      <c r="Q3762">
        <v>250</v>
      </c>
      <c r="R3762" s="3" t="str">
        <f>HYPERLINK("https://panda.att.com.mx/ODKServer/view/binaryData?blobKey=FSSuministroFluidosv3%5B%40version%3Dnull+and+%40uiVersion%3Dnull%5D%2Fdata%5B%40key%3Duuid%3Ac18e132c-f8f8-4768-9a05-4433b8617671%5D%2FgroupInfoFuel%5B%40ordinal%3D1%5D%2FpicFuelRecibeInterno","Descargar")</f>
        <v>Descargar</v>
      </c>
    </row>
    <row r="3763" spans="1:18" x14ac:dyDescent="0.3">
      <c r="A3763">
        <v>1500871</v>
      </c>
      <c r="B3763" t="s">
        <v>18</v>
      </c>
      <c r="C3763" t="s">
        <v>59</v>
      </c>
      <c r="D3763" t="s">
        <v>60</v>
      </c>
      <c r="E3763" t="s">
        <v>1612</v>
      </c>
      <c r="F3763" t="s">
        <v>22</v>
      </c>
      <c r="G3763" t="s">
        <v>23</v>
      </c>
      <c r="H3763" t="s">
        <v>37</v>
      </c>
      <c r="I3763" t="s">
        <v>25</v>
      </c>
      <c r="J3763" s="2">
        <v>45730.73542824074</v>
      </c>
      <c r="K3763">
        <v>14</v>
      </c>
      <c r="L3763">
        <v>3</v>
      </c>
      <c r="M3763">
        <v>2025</v>
      </c>
      <c r="N3763" t="s">
        <v>27</v>
      </c>
      <c r="O3763">
        <v>50</v>
      </c>
      <c r="P3763">
        <v>50</v>
      </c>
      <c r="R3763" s="3" t="str">
        <f>HYPERLINK("https://panda.att.com.mx/ODKServer/view/binaryData?blobKey=FSSuministroFluidosv3%5B%40version%3Dnull+and+%40uiVersion%3Dnull%5D%2Fdata%5B%40key%3Duuid%3A0ac4f181-510b-4542-8148-ad76f7982de1%5D%2FgroupInfoFuel%5B%40ordinal%3D1%5D%2FpicFuelRecibeInterno","Descargar")</f>
        <v>Descargar</v>
      </c>
    </row>
    <row r="3764" spans="1:18" x14ac:dyDescent="0.3">
      <c r="A3764">
        <v>1500865</v>
      </c>
      <c r="B3764" t="s">
        <v>18</v>
      </c>
      <c r="C3764" t="s">
        <v>28</v>
      </c>
      <c r="D3764" t="s">
        <v>66</v>
      </c>
      <c r="E3764" t="s">
        <v>2267</v>
      </c>
      <c r="F3764" t="s">
        <v>22</v>
      </c>
      <c r="G3764" t="s">
        <v>23</v>
      </c>
      <c r="H3764" t="s">
        <v>24</v>
      </c>
      <c r="I3764" t="s">
        <v>25</v>
      </c>
      <c r="J3764" s="2">
        <v>45731.384895833333</v>
      </c>
      <c r="K3764">
        <v>15</v>
      </c>
      <c r="L3764">
        <v>3</v>
      </c>
      <c r="M3764">
        <v>2025</v>
      </c>
      <c r="N3764" t="s">
        <v>44</v>
      </c>
      <c r="O3764">
        <v>50</v>
      </c>
      <c r="P3764">
        <v>50</v>
      </c>
      <c r="R3764" s="3" t="str">
        <f>HYPERLINK("https://panda.att.com.mx/ODKServer/view/binaryData?blobKey=FSSuministroFluidosv3%5B%40version%3Dnull+and+%40uiVersion%3Dnull%5D%2Fdata%5B%40key%3Duuid%3A1d16bdd3-8eec-4c8c-9c86-9cae4453899b%5D%2FgroupInfoFuel%5B%40ordinal%3D1%5D%2FpicFuelRecibeInterno","Descargar")</f>
        <v>Descargar</v>
      </c>
    </row>
    <row r="3765" spans="1:18" x14ac:dyDescent="0.3">
      <c r="A3765">
        <v>1500846</v>
      </c>
      <c r="B3765" t="s">
        <v>18</v>
      </c>
      <c r="C3765" t="s">
        <v>150</v>
      </c>
      <c r="D3765" t="s">
        <v>230</v>
      </c>
      <c r="E3765" t="s">
        <v>2987</v>
      </c>
      <c r="F3765" t="s">
        <v>22</v>
      </c>
      <c r="G3765" t="s">
        <v>47</v>
      </c>
      <c r="H3765" t="s">
        <v>1781</v>
      </c>
      <c r="I3765" t="s">
        <v>25</v>
      </c>
      <c r="J3765" s="2">
        <v>45731.498657407406</v>
      </c>
      <c r="K3765">
        <v>15</v>
      </c>
      <c r="L3765">
        <v>3</v>
      </c>
      <c r="M3765">
        <v>2025</v>
      </c>
      <c r="N3765" t="s">
        <v>27</v>
      </c>
      <c r="O3765">
        <v>250.03</v>
      </c>
      <c r="P3765">
        <v>250.03</v>
      </c>
      <c r="R3765" s="3" t="str">
        <f>HYPERLINK("https://panda.att.com.mx/ODKServer/view/binaryData?blobKey=FSSuministroFluidosv3%5B%40version%3Dnull+and+%40uiVersion%3Dnull%5D%2Fdata%5B%40key%3Duuid%3A55b4197a-3cae-42cf-aab5-ad37aed4d066%5D%2FgroupInfoFuel%5B%40ordinal%3D1%5D%2FpicFuelRecibeInterno","Descargar")</f>
        <v>Descargar</v>
      </c>
    </row>
    <row r="3766" spans="1:18" x14ac:dyDescent="0.3">
      <c r="A3766">
        <v>1500821</v>
      </c>
      <c r="B3766" t="s">
        <v>18</v>
      </c>
      <c r="C3766" t="s">
        <v>150</v>
      </c>
      <c r="D3766" t="s">
        <v>230</v>
      </c>
      <c r="E3766" t="s">
        <v>2715</v>
      </c>
      <c r="F3766" t="s">
        <v>22</v>
      </c>
      <c r="G3766" t="s">
        <v>47</v>
      </c>
      <c r="H3766" t="s">
        <v>1781</v>
      </c>
      <c r="I3766" t="s">
        <v>25</v>
      </c>
      <c r="J3766" s="2">
        <v>45731.427905092591</v>
      </c>
      <c r="K3766">
        <v>15</v>
      </c>
      <c r="L3766">
        <v>3</v>
      </c>
      <c r="M3766">
        <v>2025</v>
      </c>
      <c r="N3766" t="s">
        <v>44</v>
      </c>
      <c r="O3766">
        <v>50.01</v>
      </c>
      <c r="P3766">
        <v>50.01</v>
      </c>
      <c r="R3766" s="3" t="str">
        <f>HYPERLINK("https://panda.att.com.mx/ODKServer/view/binaryData?blobKey=FSSuministroFluidosv3%5B%40version%3Dnull+and+%40uiVersion%3Dnull%5D%2Fdata%5B%40key%3Duuid%3Af343d1d8-50ad-4e4b-9dca-0a5c11326acc%5D%2FgroupInfoFuel%5B%40ordinal%3D1%5D%2FpicFuelRecibeInterno","Descargar")</f>
        <v>Descargar</v>
      </c>
    </row>
    <row r="3767" spans="1:18" x14ac:dyDescent="0.3">
      <c r="A3767">
        <v>1500794</v>
      </c>
      <c r="B3767" t="s">
        <v>18</v>
      </c>
      <c r="C3767" t="s">
        <v>68</v>
      </c>
      <c r="D3767" t="s">
        <v>113</v>
      </c>
      <c r="E3767" t="s">
        <v>114</v>
      </c>
      <c r="F3767" t="s">
        <v>22</v>
      </c>
      <c r="G3767" t="s">
        <v>23</v>
      </c>
      <c r="H3767" t="s">
        <v>37</v>
      </c>
      <c r="I3767" t="s">
        <v>25</v>
      </c>
      <c r="J3767" s="2">
        <v>45730.510798611111</v>
      </c>
      <c r="K3767">
        <v>14</v>
      </c>
      <c r="L3767">
        <v>3</v>
      </c>
      <c r="M3767">
        <v>2025</v>
      </c>
      <c r="N3767" t="s">
        <v>27</v>
      </c>
      <c r="O3767">
        <v>300</v>
      </c>
      <c r="P3767">
        <v>300</v>
      </c>
      <c r="R3767" s="3" t="str">
        <f>HYPERLINK("https://panda.att.com.mx/ODKServer/view/binaryData?blobKey=FSSuministroFluidosv3%5B%40version%3Dnull+and+%40uiVersion%3Dnull%5D%2Fdata%5B%40key%3Duuid%3A76f6fe11-c0d7-41b5-bff5-c71cf89b8b86%5D%2FgroupInfoFuel%5B%40ordinal%3D1%5D%2FpicFuelRecibeInterno","Descargar")</f>
        <v>Descargar</v>
      </c>
    </row>
    <row r="3768" spans="1:18" x14ac:dyDescent="0.3">
      <c r="A3768">
        <v>1500789</v>
      </c>
      <c r="B3768" t="s">
        <v>18</v>
      </c>
      <c r="C3768" t="s">
        <v>150</v>
      </c>
      <c r="D3768" t="s">
        <v>2224</v>
      </c>
      <c r="E3768" t="s">
        <v>2225</v>
      </c>
      <c r="F3768" t="s">
        <v>22</v>
      </c>
      <c r="G3768" t="s">
        <v>47</v>
      </c>
      <c r="H3768" t="s">
        <v>1781</v>
      </c>
      <c r="I3768" t="s">
        <v>25</v>
      </c>
      <c r="J3768" s="2">
        <v>45731.392314814817</v>
      </c>
      <c r="K3768">
        <v>15</v>
      </c>
      <c r="L3768">
        <v>3</v>
      </c>
      <c r="M3768">
        <v>2025</v>
      </c>
      <c r="N3768" t="s">
        <v>27</v>
      </c>
      <c r="O3768">
        <v>200.01</v>
      </c>
      <c r="P3768">
        <v>200.01</v>
      </c>
      <c r="R3768" s="3" t="str">
        <f>HYPERLINK("https://panda.att.com.mx/ODKServer/view/binaryData?blobKey=FSSuministroFluidosv3%5B%40version%3Dnull+and+%40uiVersion%3Dnull%5D%2Fdata%5B%40key%3Duuid%3A97ab756d-be93-41e4-ac8b-ec4b562aca41%5D%2FgroupInfoFuel%5B%40ordinal%3D1%5D%2FpicFuelRecibeInterno","Descargar")</f>
        <v>Descargar</v>
      </c>
    </row>
    <row r="3769" spans="1:18" x14ac:dyDescent="0.3">
      <c r="A3769">
        <v>1500747</v>
      </c>
      <c r="B3769" t="s">
        <v>18</v>
      </c>
      <c r="C3769" t="s">
        <v>28</v>
      </c>
      <c r="D3769" t="s">
        <v>1036</v>
      </c>
      <c r="E3769" t="s">
        <v>2982</v>
      </c>
      <c r="F3769" t="s">
        <v>22</v>
      </c>
      <c r="G3769" t="s">
        <v>23</v>
      </c>
      <c r="H3769" t="s">
        <v>24</v>
      </c>
      <c r="I3769" t="s">
        <v>25</v>
      </c>
      <c r="J3769" s="2">
        <v>45730.727268518523</v>
      </c>
      <c r="K3769">
        <v>14</v>
      </c>
      <c r="L3769">
        <v>3</v>
      </c>
      <c r="M3769">
        <v>2025</v>
      </c>
      <c r="N3769" t="s">
        <v>27</v>
      </c>
      <c r="O3769">
        <v>50</v>
      </c>
      <c r="P3769">
        <v>50</v>
      </c>
      <c r="R3769" s="3" t="str">
        <f>HYPERLINK("https://panda.att.com.mx/ODKServer/view/binaryData?blobKey=FSSuministroFluidosv3%5B%40version%3Dnull+and+%40uiVersion%3Dnull%5D%2Fdata%5B%40key%3Duuid%3A8776fd63-1820-4967-b8c3-04a3a25b338e%5D%2FgroupInfoFuel%5B%40ordinal%3D1%5D%2FpicFuelRecibeInterno","Descargar")</f>
        <v>Descargar</v>
      </c>
    </row>
    <row r="3770" spans="1:18" x14ac:dyDescent="0.3">
      <c r="A3770">
        <v>1500721</v>
      </c>
      <c r="B3770" t="s">
        <v>18</v>
      </c>
      <c r="C3770" t="s">
        <v>59</v>
      </c>
      <c r="D3770" t="s">
        <v>307</v>
      </c>
      <c r="E3770" t="s">
        <v>1907</v>
      </c>
      <c r="F3770" t="s">
        <v>22</v>
      </c>
      <c r="G3770" t="s">
        <v>23</v>
      </c>
      <c r="H3770" t="s">
        <v>37</v>
      </c>
      <c r="I3770" t="s">
        <v>25</v>
      </c>
      <c r="J3770" s="2">
        <v>45728.433831018519</v>
      </c>
      <c r="K3770">
        <v>12</v>
      </c>
      <c r="L3770">
        <v>3</v>
      </c>
      <c r="M3770">
        <v>2025</v>
      </c>
      <c r="N3770" t="s">
        <v>27</v>
      </c>
      <c r="O3770">
        <v>100</v>
      </c>
      <c r="P3770">
        <v>100</v>
      </c>
      <c r="R3770" s="3" t="str">
        <f>HYPERLINK("https://panda.att.com.mx/ODKServer/view/binaryData?blobKey=FSSuministroFluidosv3%5B%40version%3Dnull+and+%40uiVersion%3Dnull%5D%2Fdata%5B%40key%3Duuid%3A7c201cbc-131d-43d5-b857-086ed99a7fd7%5D%2FgroupInfoFuel%5B%40ordinal%3D1%5D%2FpicFuelRecibeInterno","Descargar")</f>
        <v>Descargar</v>
      </c>
    </row>
    <row r="3771" spans="1:18" x14ac:dyDescent="0.3">
      <c r="A3771">
        <v>1500672</v>
      </c>
      <c r="B3771" t="s">
        <v>18</v>
      </c>
      <c r="C3771" t="s">
        <v>100</v>
      </c>
      <c r="D3771" t="s">
        <v>716</v>
      </c>
      <c r="E3771" t="s">
        <v>717</v>
      </c>
      <c r="F3771" t="s">
        <v>22</v>
      </c>
      <c r="G3771" t="s">
        <v>83</v>
      </c>
      <c r="H3771" t="s">
        <v>1781</v>
      </c>
      <c r="I3771" t="s">
        <v>25</v>
      </c>
      <c r="J3771" s="2">
        <v>45730.857824074083</v>
      </c>
      <c r="K3771">
        <v>14</v>
      </c>
      <c r="L3771">
        <v>3</v>
      </c>
      <c r="M3771">
        <v>2025</v>
      </c>
      <c r="N3771" t="s">
        <v>27</v>
      </c>
      <c r="O3771">
        <v>122</v>
      </c>
      <c r="P3771">
        <v>122</v>
      </c>
      <c r="R3771" s="3" t="str">
        <f>HYPERLINK("https://panda.att.com.mx/ODKServer/view/binaryData?blobKey=FSSuministroFluidosv3%5B%40version%3Dnull+and+%40uiVersion%3Dnull%5D%2Fdata%5B%40key%3Duuid%3Aab0f867f-9261-40b3-a968-9d34f929de37%5D%2FgroupInfoFuel%5B%40ordinal%3D1%5D%2FpicFuelRecibeInterno","Descargar")</f>
        <v>Descargar</v>
      </c>
    </row>
    <row r="3772" spans="1:18" x14ac:dyDescent="0.3">
      <c r="A3772">
        <v>1500603</v>
      </c>
      <c r="B3772" t="s">
        <v>18</v>
      </c>
      <c r="C3772" t="s">
        <v>150</v>
      </c>
      <c r="D3772" t="s">
        <v>230</v>
      </c>
      <c r="E3772" t="s">
        <v>399</v>
      </c>
      <c r="F3772" t="s">
        <v>22</v>
      </c>
      <c r="G3772" t="s">
        <v>47</v>
      </c>
      <c r="H3772" t="s">
        <v>1781</v>
      </c>
      <c r="I3772" t="s">
        <v>25</v>
      </c>
      <c r="J3772" s="2">
        <v>45730.742997685193</v>
      </c>
      <c r="K3772">
        <v>14</v>
      </c>
      <c r="L3772">
        <v>3</v>
      </c>
      <c r="M3772">
        <v>2025</v>
      </c>
      <c r="N3772" t="s">
        <v>27</v>
      </c>
      <c r="O3772">
        <v>300</v>
      </c>
      <c r="P3772">
        <v>300</v>
      </c>
      <c r="R3772" s="3" t="str">
        <f>HYPERLINK("https://panda.att.com.mx/ODKServer/view/binaryData?blobKey=FSSuministroFluidosv3%5B%40version%3Dnull+and+%40uiVersion%3Dnull%5D%2Fdata%5B%40key%3Duuid%3A8a8b4d3b-44f8-47d7-8d8f-f1043b7ba245%5D%2FgroupInfoFuel%5B%40ordinal%3D1%5D%2FpicFuelRecibeInterno","Descargar")</f>
        <v>Descargar</v>
      </c>
    </row>
    <row r="3773" spans="1:18" x14ac:dyDescent="0.3">
      <c r="A3773">
        <v>1500471</v>
      </c>
      <c r="B3773" t="s">
        <v>18</v>
      </c>
      <c r="C3773" t="s">
        <v>55</v>
      </c>
      <c r="D3773" t="s">
        <v>56</v>
      </c>
      <c r="E3773" t="s">
        <v>320</v>
      </c>
      <c r="F3773" t="s">
        <v>22</v>
      </c>
      <c r="G3773" t="s">
        <v>47</v>
      </c>
      <c r="H3773" t="s">
        <v>1763</v>
      </c>
      <c r="I3773" t="s">
        <v>25</v>
      </c>
      <c r="J3773" s="2">
        <v>45724.505636574067</v>
      </c>
      <c r="K3773">
        <v>8</v>
      </c>
      <c r="L3773">
        <v>3</v>
      </c>
      <c r="M3773">
        <v>2025</v>
      </c>
      <c r="N3773" t="s">
        <v>27</v>
      </c>
      <c r="O3773">
        <v>300</v>
      </c>
      <c r="P3773">
        <v>300</v>
      </c>
      <c r="R3773" s="3" t="str">
        <f>HYPERLINK("https://panda.att.com.mx/ODKServer/view/binaryData?blobKey=FSSuministroFluidosv3%5B%40version%3Dnull+and+%40uiVersion%3Dnull%5D%2Fdata%5B%40key%3Duuid%3A7278169a-370a-4df7-a9f1-1e7d6f2b2dce%5D%2FgroupInfoFuel%5B%40ordinal%3D1%5D%2FpicFuelRecibeInterno","Descargar")</f>
        <v>Descargar</v>
      </c>
    </row>
    <row r="3774" spans="1:18" x14ac:dyDescent="0.3">
      <c r="A3774">
        <v>1500423</v>
      </c>
      <c r="B3774" t="s">
        <v>18</v>
      </c>
      <c r="C3774" t="s">
        <v>19</v>
      </c>
      <c r="D3774" t="s">
        <v>45</v>
      </c>
      <c r="E3774" t="s">
        <v>752</v>
      </c>
      <c r="F3774" t="s">
        <v>22</v>
      </c>
      <c r="G3774" t="s">
        <v>23</v>
      </c>
      <c r="H3774" t="s">
        <v>24</v>
      </c>
      <c r="I3774" t="s">
        <v>25</v>
      </c>
      <c r="J3774" s="2">
        <v>45728.20034722222</v>
      </c>
      <c r="K3774">
        <v>12</v>
      </c>
      <c r="L3774">
        <v>3</v>
      </c>
      <c r="M3774">
        <v>2025</v>
      </c>
      <c r="N3774" t="s">
        <v>27</v>
      </c>
      <c r="O3774">
        <v>150</v>
      </c>
      <c r="P3774">
        <v>150</v>
      </c>
      <c r="R3774" s="3" t="str">
        <f>HYPERLINK("https://panda.att.com.mx/ODKServer/view/binaryData?blobKey=FSSuministroFluidosv3%5B%40version%3Dnull+and+%40uiVersion%3Dnull%5D%2Fdata%5B%40key%3Duuid%3A0a677e24-6d2e-4541-861d-a4f64ceb7690%5D%2FgroupInfoFuel%5B%40ordinal%3D1%5D%2FpicFuelRecibeInterno","Descargar")</f>
        <v>Descargar</v>
      </c>
    </row>
    <row r="3775" spans="1:18" x14ac:dyDescent="0.3">
      <c r="A3775">
        <v>1500417</v>
      </c>
      <c r="B3775" t="s">
        <v>18</v>
      </c>
      <c r="C3775" t="s">
        <v>100</v>
      </c>
      <c r="D3775" t="s">
        <v>854</v>
      </c>
      <c r="E3775" t="s">
        <v>993</v>
      </c>
      <c r="F3775" t="s">
        <v>22</v>
      </c>
      <c r="G3775" t="s">
        <v>83</v>
      </c>
      <c r="H3775" t="s">
        <v>1781</v>
      </c>
      <c r="I3775" t="s">
        <v>25</v>
      </c>
      <c r="J3775" s="2">
        <v>45730.540914351863</v>
      </c>
      <c r="K3775">
        <v>14</v>
      </c>
      <c r="L3775">
        <v>3</v>
      </c>
      <c r="M3775">
        <v>2025</v>
      </c>
      <c r="N3775" t="s">
        <v>27</v>
      </c>
      <c r="O3775">
        <v>200</v>
      </c>
      <c r="P3775">
        <v>200</v>
      </c>
      <c r="R3775" s="3" t="str">
        <f>HYPERLINK("https://panda.att.com.mx/ODKServer/view/binaryData?blobKey=FSSuministroFluidosv3%5B%40version%3Dnull+and+%40uiVersion%3Dnull%5D%2Fdata%5B%40key%3Duuid%3A845f2493-baaa-4ab9-9d62-a0790cc7aa7a%5D%2FgroupInfoFuel%5B%40ordinal%3D1%5D%2FpicFuelRecibeInterno","Descargar")</f>
        <v>Descargar</v>
      </c>
    </row>
    <row r="3776" spans="1:18" x14ac:dyDescent="0.3">
      <c r="A3776">
        <v>1500403</v>
      </c>
      <c r="B3776" t="s">
        <v>18</v>
      </c>
      <c r="C3776" t="s">
        <v>55</v>
      </c>
      <c r="D3776" t="s">
        <v>56</v>
      </c>
      <c r="E3776" t="s">
        <v>2988</v>
      </c>
      <c r="F3776" t="s">
        <v>22</v>
      </c>
      <c r="G3776" t="s">
        <v>47</v>
      </c>
      <c r="H3776" t="s">
        <v>1763</v>
      </c>
      <c r="I3776" t="s">
        <v>25</v>
      </c>
      <c r="J3776" s="2">
        <v>45728.736909722233</v>
      </c>
      <c r="K3776">
        <v>12</v>
      </c>
      <c r="L3776">
        <v>3</v>
      </c>
      <c r="M3776">
        <v>2025</v>
      </c>
      <c r="N3776" t="s">
        <v>27</v>
      </c>
      <c r="O3776">
        <v>100</v>
      </c>
      <c r="P3776">
        <v>100</v>
      </c>
      <c r="R3776" s="3" t="str">
        <f>HYPERLINK("https://panda.att.com.mx/ODKServer/view/binaryData?blobKey=FSSuministroFluidosv3%5B%40version%3Dnull+and+%40uiVersion%3Dnull%5D%2Fdata%5B%40key%3Duuid%3A71d6f717-7738-47c3-8b8e-c68ef474abb2%5D%2FgroupInfoFuel%5B%40ordinal%3D1%5D%2FpicFuelRecibeInterno","Descargar")</f>
        <v>Descargar</v>
      </c>
    </row>
    <row r="3777" spans="1:18" x14ac:dyDescent="0.3">
      <c r="A3777">
        <v>1502458</v>
      </c>
      <c r="B3777" t="s">
        <v>18</v>
      </c>
      <c r="C3777" t="s">
        <v>19</v>
      </c>
      <c r="D3777" t="s">
        <v>62</v>
      </c>
      <c r="E3777" t="s">
        <v>1139</v>
      </c>
      <c r="F3777" t="s">
        <v>22</v>
      </c>
      <c r="G3777" t="s">
        <v>23</v>
      </c>
      <c r="H3777" t="s">
        <v>24</v>
      </c>
      <c r="I3777" t="s">
        <v>25</v>
      </c>
      <c r="J3777" s="2">
        <v>45730.451724537037</v>
      </c>
      <c r="K3777">
        <v>14</v>
      </c>
      <c r="L3777">
        <v>3</v>
      </c>
      <c r="M3777">
        <v>2025</v>
      </c>
      <c r="N3777" t="s">
        <v>27</v>
      </c>
      <c r="O3777">
        <v>250</v>
      </c>
      <c r="P3777">
        <v>250</v>
      </c>
      <c r="R3777" s="3" t="str">
        <f>HYPERLINK("https://panda.att.com.mx/ODKServer/view/binaryData?blobKey=FSSuministroFluidosv3%5B%40version%3Dnull+and+%40uiVersion%3Dnull%5D%2Fdata%5B%40key%3Duuid%3Add104b73-cd36-4bcd-904a-016dbfff4a31%5D%2FgroupInfoFuel%5B%40ordinal%3D1%5D%2FpicFuelRecibeInterno","Descargar")</f>
        <v>Descargar</v>
      </c>
    </row>
    <row r="3778" spans="1:18" x14ac:dyDescent="0.3">
      <c r="A3778">
        <v>1502457</v>
      </c>
      <c r="B3778" t="s">
        <v>18</v>
      </c>
      <c r="C3778" t="s">
        <v>19</v>
      </c>
      <c r="D3778" t="s">
        <v>45</v>
      </c>
      <c r="E3778" t="s">
        <v>2278</v>
      </c>
      <c r="F3778" t="s">
        <v>22</v>
      </c>
      <c r="G3778" t="s">
        <v>23</v>
      </c>
      <c r="H3778" t="s">
        <v>24</v>
      </c>
      <c r="I3778" t="s">
        <v>25</v>
      </c>
      <c r="J3778" s="2">
        <v>45735.351875</v>
      </c>
      <c r="K3778">
        <v>19</v>
      </c>
      <c r="L3778">
        <v>3</v>
      </c>
      <c r="M3778">
        <v>2025</v>
      </c>
      <c r="N3778" t="s">
        <v>27</v>
      </c>
      <c r="O3778">
        <v>300</v>
      </c>
      <c r="P3778">
        <v>300</v>
      </c>
      <c r="R3778" s="3" t="str">
        <f>HYPERLINK("https://panda.att.com.mx/ODKServer/view/binaryData?blobKey=FSSuministroFluidosv3%5B%40version%3Dnull+and+%40uiVersion%3Dnull%5D%2Fdata%5B%40key%3Duuid%3A1b5a0538-163d-4e91-8cf4-fc17f57446ac%5D%2FgroupInfoFuel%5B%40ordinal%3D1%5D%2FpicFuelRecibeInterno","Descargar")</f>
        <v>Descargar</v>
      </c>
    </row>
    <row r="3779" spans="1:18" x14ac:dyDescent="0.3">
      <c r="A3779">
        <v>1502450</v>
      </c>
      <c r="B3779" t="s">
        <v>18</v>
      </c>
      <c r="C3779" t="s">
        <v>19</v>
      </c>
      <c r="D3779" t="s">
        <v>200</v>
      </c>
      <c r="E3779" t="s">
        <v>685</v>
      </c>
      <c r="F3779" t="s">
        <v>22</v>
      </c>
      <c r="G3779" t="s">
        <v>23</v>
      </c>
      <c r="H3779" t="s">
        <v>24</v>
      </c>
      <c r="I3779" t="s">
        <v>25</v>
      </c>
      <c r="J3779" s="2">
        <v>45735.380902777782</v>
      </c>
      <c r="K3779">
        <v>19</v>
      </c>
      <c r="L3779">
        <v>3</v>
      </c>
      <c r="M3779">
        <v>2025</v>
      </c>
      <c r="N3779" t="s">
        <v>44</v>
      </c>
      <c r="O3779">
        <v>30</v>
      </c>
      <c r="P3779">
        <v>30</v>
      </c>
      <c r="R3779" s="3" t="str">
        <f>HYPERLINK("https://panda.att.com.mx/ODKServer/view/binaryData?blobKey=FSSuministroFluidosv3%5B%40version%3Dnull+and+%40uiVersion%3Dnull%5D%2Fdata%5B%40key%3Duuid%3A62344ac6-c1f1-4748-b9b9-77003027f01a%5D%2FgroupInfoFuel%5B%40ordinal%3D1%5D%2FpicFuelRecibeInterno","Descargar")</f>
        <v>Descargar</v>
      </c>
    </row>
    <row r="3780" spans="1:18" x14ac:dyDescent="0.3">
      <c r="A3780">
        <v>1502405</v>
      </c>
      <c r="B3780" t="s">
        <v>18</v>
      </c>
      <c r="C3780" t="s">
        <v>19</v>
      </c>
      <c r="D3780" t="s">
        <v>20</v>
      </c>
      <c r="E3780" t="s">
        <v>166</v>
      </c>
      <c r="F3780" t="s">
        <v>22</v>
      </c>
      <c r="G3780" t="s">
        <v>23</v>
      </c>
      <c r="H3780" t="s">
        <v>24</v>
      </c>
      <c r="I3780" t="s">
        <v>25</v>
      </c>
      <c r="J3780" s="2">
        <v>45735.33797453704</v>
      </c>
      <c r="K3780">
        <v>19</v>
      </c>
      <c r="L3780">
        <v>3</v>
      </c>
      <c r="M3780">
        <v>2025</v>
      </c>
      <c r="N3780" t="s">
        <v>27</v>
      </c>
      <c r="O3780">
        <v>250</v>
      </c>
      <c r="P3780">
        <v>250</v>
      </c>
      <c r="R3780" s="3" t="str">
        <f>HYPERLINK("https://panda.att.com.mx/ODKServer/view/binaryData?blobKey=FSSuministroFluidosv3%5B%40version%3Dnull+and+%40uiVersion%3Dnull%5D%2Fdata%5B%40key%3Duuid%3Ae5eabce0-bad1-48f1-aff3-a6f7c68c6fcd%5D%2FgroupInfoFuel%5B%40ordinal%3D1%5D%2FpicFuelRecibeInterno","Descargar")</f>
        <v>Descargar</v>
      </c>
    </row>
    <row r="3781" spans="1:18" x14ac:dyDescent="0.3">
      <c r="A3781">
        <v>1502382</v>
      </c>
      <c r="B3781" t="s">
        <v>18</v>
      </c>
      <c r="C3781" t="s">
        <v>55</v>
      </c>
      <c r="D3781" t="s">
        <v>128</v>
      </c>
      <c r="E3781" t="s">
        <v>2758</v>
      </c>
      <c r="F3781" t="s">
        <v>22</v>
      </c>
      <c r="G3781" t="s">
        <v>23</v>
      </c>
      <c r="H3781" t="s">
        <v>1763</v>
      </c>
      <c r="I3781" t="s">
        <v>25</v>
      </c>
      <c r="J3781" s="2">
        <v>45735.136979166673</v>
      </c>
      <c r="K3781">
        <v>19</v>
      </c>
      <c r="L3781">
        <v>3</v>
      </c>
      <c r="M3781">
        <v>2025</v>
      </c>
      <c r="N3781" t="s">
        <v>27</v>
      </c>
      <c r="O3781">
        <v>350</v>
      </c>
      <c r="P3781">
        <v>350</v>
      </c>
      <c r="R3781" s="3" t="str">
        <f>HYPERLINK("https://panda.att.com.mx/ODKServer/view/binaryData?blobKey=FSSuministroFluidosv3%5B%40version%3Dnull+and+%40uiVersion%3Dnull%5D%2Fdata%5B%40key%3Duuid%3A4bcd57c3-5b63-4ae6-b9ff-0f89d58f8c05%5D%2FgroupInfoFuel%5B%40ordinal%3D1%5D%2FpicFuelRecibeInterno","Descargar")</f>
        <v>Descargar</v>
      </c>
    </row>
    <row r="3782" spans="1:18" x14ac:dyDescent="0.3">
      <c r="A3782">
        <v>1502365</v>
      </c>
      <c r="B3782" t="s">
        <v>18</v>
      </c>
      <c r="C3782" t="s">
        <v>19</v>
      </c>
      <c r="D3782" t="s">
        <v>45</v>
      </c>
      <c r="E3782" t="s">
        <v>752</v>
      </c>
      <c r="F3782" t="s">
        <v>22</v>
      </c>
      <c r="G3782" t="s">
        <v>23</v>
      </c>
      <c r="H3782" t="s">
        <v>24</v>
      </c>
      <c r="I3782" t="s">
        <v>25</v>
      </c>
      <c r="J3782" s="2">
        <v>45733.791805555556</v>
      </c>
      <c r="K3782">
        <v>17</v>
      </c>
      <c r="L3782">
        <v>3</v>
      </c>
      <c r="M3782">
        <v>2025</v>
      </c>
      <c r="N3782" t="s">
        <v>27</v>
      </c>
      <c r="O3782">
        <v>300</v>
      </c>
      <c r="P3782">
        <v>300</v>
      </c>
      <c r="R3782" s="3" t="str">
        <f>HYPERLINK("https://panda.att.com.mx/ODKServer/view/binaryData?blobKey=FSSuministroFluidosv3%5B%40version%3Dnull+and+%40uiVersion%3Dnull%5D%2Fdata%5B%40key%3Duuid%3A545a8d2d-b853-456f-9138-d87708c1f62c%5D%2FgroupInfoFuel%5B%40ordinal%3D1%5D%2FpicFuelRecibeInterno","Descargar")</f>
        <v>Descargar</v>
      </c>
    </row>
    <row r="3783" spans="1:18" x14ac:dyDescent="0.3">
      <c r="A3783">
        <v>1502364</v>
      </c>
      <c r="B3783" t="s">
        <v>18</v>
      </c>
      <c r="C3783" t="s">
        <v>19</v>
      </c>
      <c r="D3783" t="s">
        <v>45</v>
      </c>
      <c r="E3783" t="s">
        <v>752</v>
      </c>
      <c r="F3783" t="s">
        <v>22</v>
      </c>
      <c r="G3783" t="s">
        <v>23</v>
      </c>
      <c r="H3783" t="s">
        <v>24</v>
      </c>
      <c r="I3783" t="s">
        <v>25</v>
      </c>
      <c r="J3783" s="2">
        <v>45730.741469907407</v>
      </c>
      <c r="K3783">
        <v>14</v>
      </c>
      <c r="L3783">
        <v>3</v>
      </c>
      <c r="M3783">
        <v>2025</v>
      </c>
      <c r="N3783" t="s">
        <v>27</v>
      </c>
      <c r="O3783">
        <v>300</v>
      </c>
      <c r="P3783">
        <v>300</v>
      </c>
      <c r="R3783" s="3" t="str">
        <f>HYPERLINK("https://panda.att.com.mx/ODKServer/view/binaryData?blobKey=FSSuministroFluidosv3%5B%40version%3Dnull+and+%40uiVersion%3Dnull%5D%2Fdata%5B%40key%3Duuid%3A94f8d01a-32b6-4bcd-ac5e-a777b30b7b99%5D%2FgroupInfoFuel%5B%40ordinal%3D1%5D%2FpicFuelRecibeInterno","Descargar")</f>
        <v>Descargar</v>
      </c>
    </row>
    <row r="3784" spans="1:18" x14ac:dyDescent="0.3">
      <c r="A3784">
        <v>1502343</v>
      </c>
      <c r="B3784" t="s">
        <v>18</v>
      </c>
      <c r="C3784" t="s">
        <v>59</v>
      </c>
      <c r="D3784" t="s">
        <v>60</v>
      </c>
      <c r="E3784" t="s">
        <v>2738</v>
      </c>
      <c r="F3784" t="s">
        <v>22</v>
      </c>
      <c r="G3784" t="s">
        <v>23</v>
      </c>
      <c r="H3784" t="s">
        <v>37</v>
      </c>
      <c r="I3784" t="s">
        <v>25</v>
      </c>
      <c r="J3784" s="2">
        <v>45734.428680555553</v>
      </c>
      <c r="K3784">
        <v>18</v>
      </c>
      <c r="L3784">
        <v>3</v>
      </c>
      <c r="M3784">
        <v>2025</v>
      </c>
      <c r="N3784" t="s">
        <v>27</v>
      </c>
      <c r="O3784">
        <v>130</v>
      </c>
      <c r="P3784">
        <v>130</v>
      </c>
      <c r="R3784" s="3" t="str">
        <f>HYPERLINK("https://panda.att.com.mx/ODKServer/view/binaryData?blobKey=FSSuministroFluidosv3%5B%40version%3Dnull+and+%40uiVersion%3Dnull%5D%2Fdata%5B%40key%3Duuid%3A1ecc1e41-d169-4f5d-9418-d887268aebe8%5D%2FgroupInfoFuel%5B%40ordinal%3D1%5D%2FpicFuelRecibeInterno","Descargar")</f>
        <v>Descargar</v>
      </c>
    </row>
    <row r="3785" spans="1:18" x14ac:dyDescent="0.3">
      <c r="A3785">
        <v>1502337</v>
      </c>
      <c r="B3785" t="s">
        <v>18</v>
      </c>
      <c r="C3785" t="s">
        <v>59</v>
      </c>
      <c r="D3785" t="s">
        <v>60</v>
      </c>
      <c r="E3785" t="s">
        <v>2738</v>
      </c>
      <c r="F3785" t="s">
        <v>22</v>
      </c>
      <c r="G3785" t="s">
        <v>23</v>
      </c>
      <c r="H3785" t="s">
        <v>37</v>
      </c>
      <c r="I3785" t="s">
        <v>25</v>
      </c>
      <c r="J3785" s="2">
        <v>45732.783182870371</v>
      </c>
      <c r="K3785">
        <v>16</v>
      </c>
      <c r="L3785">
        <v>3</v>
      </c>
      <c r="M3785">
        <v>2025</v>
      </c>
      <c r="N3785" t="s">
        <v>27</v>
      </c>
      <c r="O3785">
        <v>130</v>
      </c>
      <c r="P3785">
        <v>130</v>
      </c>
      <c r="R3785" s="3" t="str">
        <f>HYPERLINK("https://panda.att.com.mx/ODKServer/view/binaryData?blobKey=FSSuministroFluidosv3%5B%40version%3Dnull+and+%40uiVersion%3Dnull%5D%2Fdata%5B%40key%3Duuid%3A3e8da56a-21e5-48a1-a08f-8fb6cd2925f6%5D%2FgroupInfoFuel%5B%40ordinal%3D1%5D%2FpicFuelRecibeInterno","Descargar")</f>
        <v>Descargar</v>
      </c>
    </row>
    <row r="3786" spans="1:18" x14ac:dyDescent="0.3">
      <c r="A3786">
        <v>1502332</v>
      </c>
      <c r="B3786" t="s">
        <v>18</v>
      </c>
      <c r="C3786" t="s">
        <v>59</v>
      </c>
      <c r="D3786" t="s">
        <v>60</v>
      </c>
      <c r="E3786" t="s">
        <v>2738</v>
      </c>
      <c r="F3786" t="s">
        <v>22</v>
      </c>
      <c r="G3786" t="s">
        <v>23</v>
      </c>
      <c r="H3786" t="s">
        <v>37</v>
      </c>
      <c r="I3786" t="s">
        <v>25</v>
      </c>
      <c r="J3786" s="2">
        <v>45731.412893518522</v>
      </c>
      <c r="K3786">
        <v>15</v>
      </c>
      <c r="L3786">
        <v>3</v>
      </c>
      <c r="M3786">
        <v>2025</v>
      </c>
      <c r="N3786" t="s">
        <v>27</v>
      </c>
      <c r="O3786">
        <v>130</v>
      </c>
      <c r="P3786">
        <v>130</v>
      </c>
      <c r="R3786" s="3" t="str">
        <f>HYPERLINK("https://panda.att.com.mx/ODKServer/view/binaryData?blobKey=FSSuministroFluidosv3%5B%40version%3Dnull+and+%40uiVersion%3Dnull%5D%2Fdata%5B%40key%3Duuid%3A4700831b-e20b-4824-915c-bf287182eb2b%5D%2FgroupInfoFuel%5B%40ordinal%3D1%5D%2FpicFuelRecibeInterno","Descargar")</f>
        <v>Descargar</v>
      </c>
    </row>
    <row r="3787" spans="1:18" x14ac:dyDescent="0.3">
      <c r="A3787">
        <v>1502325</v>
      </c>
      <c r="B3787" t="s">
        <v>18</v>
      </c>
      <c r="C3787" t="s">
        <v>59</v>
      </c>
      <c r="D3787" t="s">
        <v>60</v>
      </c>
      <c r="E3787" t="s">
        <v>2738</v>
      </c>
      <c r="F3787" t="s">
        <v>22</v>
      </c>
      <c r="G3787" t="s">
        <v>23</v>
      </c>
      <c r="H3787" t="s">
        <v>37</v>
      </c>
      <c r="I3787" t="s">
        <v>25</v>
      </c>
      <c r="J3787" s="2">
        <v>45729.824687499997</v>
      </c>
      <c r="K3787">
        <v>13</v>
      </c>
      <c r="L3787">
        <v>3</v>
      </c>
      <c r="M3787">
        <v>2025</v>
      </c>
      <c r="N3787" t="s">
        <v>27</v>
      </c>
      <c r="O3787">
        <v>100</v>
      </c>
      <c r="P3787">
        <v>100</v>
      </c>
      <c r="R3787" s="3" t="str">
        <f>HYPERLINK("https://panda.att.com.mx/ODKServer/view/binaryData?blobKey=FSSuministroFluidosv3%5B%40version%3Dnull+and+%40uiVersion%3Dnull%5D%2Fdata%5B%40key%3Duuid%3A684830b4-79e2-4939-91d5-d1871988a50b%5D%2FgroupInfoFuel%5B%40ordinal%3D1%5D%2FpicFuelRecibeInterno","Descargar")</f>
        <v>Descargar</v>
      </c>
    </row>
    <row r="3788" spans="1:18" x14ac:dyDescent="0.3">
      <c r="A3788">
        <v>1502110</v>
      </c>
      <c r="B3788" t="s">
        <v>18</v>
      </c>
      <c r="C3788" t="s">
        <v>150</v>
      </c>
      <c r="D3788" t="s">
        <v>230</v>
      </c>
      <c r="E3788" t="s">
        <v>2715</v>
      </c>
      <c r="F3788" t="s">
        <v>22</v>
      </c>
      <c r="G3788" t="s">
        <v>23</v>
      </c>
      <c r="H3788" t="s">
        <v>1781</v>
      </c>
      <c r="I3788" t="s">
        <v>25</v>
      </c>
      <c r="J3788" s="2">
        <v>45734.6565625</v>
      </c>
      <c r="K3788">
        <v>18</v>
      </c>
      <c r="L3788">
        <v>3</v>
      </c>
      <c r="M3788">
        <v>2025</v>
      </c>
      <c r="N3788" t="s">
        <v>27</v>
      </c>
      <c r="O3788">
        <v>280</v>
      </c>
      <c r="P3788">
        <v>280</v>
      </c>
      <c r="R3788" s="3" t="str">
        <f>HYPERLINK("https://panda.att.com.mx/ODKServer/view/binaryData?blobKey=FSSuministroFluidosv3%5B%40version%3Dnull+and+%40uiVersion%3Dnull%5D%2Fdata%5B%40key%3Duuid%3A895491e6-62c8-4682-b2d5-1eb51b327ade%5D%2FgroupInfoFuel%5B%40ordinal%3D1%5D%2FpicFuelRecibeInterno","Descargar")</f>
        <v>Descargar</v>
      </c>
    </row>
    <row r="3789" spans="1:18" x14ac:dyDescent="0.3">
      <c r="A3789">
        <v>1502075</v>
      </c>
      <c r="B3789" t="s">
        <v>18</v>
      </c>
      <c r="C3789" t="s">
        <v>100</v>
      </c>
      <c r="D3789" t="s">
        <v>101</v>
      </c>
      <c r="E3789" t="s">
        <v>126</v>
      </c>
      <c r="F3789" t="s">
        <v>22</v>
      </c>
      <c r="G3789" t="s">
        <v>23</v>
      </c>
      <c r="H3789" t="s">
        <v>1781</v>
      </c>
      <c r="I3789" t="s">
        <v>25</v>
      </c>
      <c r="J3789" s="2">
        <v>45734.698483796303</v>
      </c>
      <c r="K3789">
        <v>18</v>
      </c>
      <c r="L3789">
        <v>3</v>
      </c>
      <c r="M3789">
        <v>2025</v>
      </c>
      <c r="N3789" t="s">
        <v>27</v>
      </c>
      <c r="O3789">
        <v>300</v>
      </c>
      <c r="P3789">
        <v>300</v>
      </c>
      <c r="R3789" s="3" t="str">
        <f>HYPERLINK("https://panda.att.com.mx/ODKServer/view/binaryData?blobKey=FSSuministroFluidosv3%5B%40version%3Dnull+and+%40uiVersion%3Dnull%5D%2Fdata%5B%40key%3Duuid%3A71ae987a-ba04-4cfc-a1b1-34750ddde801%5D%2FgroupInfoFuel%5B%40ordinal%3D1%5D%2FpicFuelRecibeInterno","Descargar")</f>
        <v>Descargar</v>
      </c>
    </row>
    <row r="3790" spans="1:18" x14ac:dyDescent="0.3">
      <c r="A3790">
        <v>1502058</v>
      </c>
      <c r="B3790" t="s">
        <v>18</v>
      </c>
      <c r="C3790" t="s">
        <v>100</v>
      </c>
      <c r="D3790" t="s">
        <v>651</v>
      </c>
      <c r="E3790" t="s">
        <v>750</v>
      </c>
      <c r="F3790" t="s">
        <v>22</v>
      </c>
      <c r="G3790" t="s">
        <v>83</v>
      </c>
      <c r="H3790" t="s">
        <v>1781</v>
      </c>
      <c r="I3790" t="s">
        <v>25</v>
      </c>
      <c r="J3790" s="2">
        <v>45734.699780092589</v>
      </c>
      <c r="K3790">
        <v>18</v>
      </c>
      <c r="L3790">
        <v>3</v>
      </c>
      <c r="M3790">
        <v>2025</v>
      </c>
      <c r="N3790" t="s">
        <v>27</v>
      </c>
      <c r="O3790">
        <v>114</v>
      </c>
      <c r="P3790">
        <v>114</v>
      </c>
      <c r="R3790" s="3" t="str">
        <f>HYPERLINK("https://panda.att.com.mx/ODKServer/view/binaryData?blobKey=FSSuministroFluidosv3%5B%40version%3Dnull+and+%40uiVersion%3Dnull%5D%2Fdata%5B%40key%3Duuid%3Ace3f2698-842c-433d-84df-e129c7fa7747%5D%2FgroupInfoFuel%5B%40ordinal%3D1%5D%2FpicFuelRecibeInterno","Descargar")</f>
        <v>Descargar</v>
      </c>
    </row>
    <row r="3791" spans="1:18" x14ac:dyDescent="0.3">
      <c r="A3791">
        <v>1502022</v>
      </c>
      <c r="B3791" t="s">
        <v>18</v>
      </c>
      <c r="C3791" t="s">
        <v>28</v>
      </c>
      <c r="D3791" t="s">
        <v>181</v>
      </c>
      <c r="E3791" t="s">
        <v>2989</v>
      </c>
      <c r="F3791" t="s">
        <v>22</v>
      </c>
      <c r="G3791" t="s">
        <v>23</v>
      </c>
      <c r="H3791" t="s">
        <v>24</v>
      </c>
      <c r="I3791" t="s">
        <v>25</v>
      </c>
      <c r="J3791" s="2">
        <v>45715.321828703702</v>
      </c>
      <c r="K3791">
        <v>27</v>
      </c>
      <c r="L3791">
        <v>2</v>
      </c>
      <c r="M3791">
        <v>2025</v>
      </c>
      <c r="N3791" t="s">
        <v>27</v>
      </c>
      <c r="O3791">
        <v>400</v>
      </c>
      <c r="P3791">
        <v>400</v>
      </c>
      <c r="R3791" s="3" t="str">
        <f>HYPERLINK("https://panda.att.com.mx/ODKServer/view/binaryData?blobKey=FSSuministroFluidosv3%5B%40version%3Dnull+and+%40uiVersion%3Dnull%5D%2Fdata%5B%40key%3Duuid%3A8b63ac39-14b9-49fc-90de-153afe11a980%5D%2FgroupInfoFuel%5B%40ordinal%3D1%5D%2FpicFuelRecibeInterno","Descargar")</f>
        <v>Descargar</v>
      </c>
    </row>
    <row r="3792" spans="1:18" x14ac:dyDescent="0.3">
      <c r="A3792">
        <v>1502013</v>
      </c>
      <c r="B3792" t="s">
        <v>18</v>
      </c>
      <c r="C3792" t="s">
        <v>28</v>
      </c>
      <c r="D3792" t="s">
        <v>118</v>
      </c>
      <c r="E3792" t="s">
        <v>361</v>
      </c>
      <c r="F3792" t="s">
        <v>22</v>
      </c>
      <c r="G3792" t="s">
        <v>23</v>
      </c>
      <c r="H3792" t="s">
        <v>24</v>
      </c>
      <c r="I3792" t="s">
        <v>25</v>
      </c>
      <c r="J3792" s="2">
        <v>45734.645127314812</v>
      </c>
      <c r="K3792">
        <v>18</v>
      </c>
      <c r="L3792">
        <v>3</v>
      </c>
      <c r="M3792">
        <v>2025</v>
      </c>
      <c r="N3792" t="s">
        <v>44</v>
      </c>
      <c r="O3792">
        <v>40</v>
      </c>
      <c r="P3792">
        <v>40</v>
      </c>
      <c r="R3792" s="3" t="str">
        <f>HYPERLINK("https://panda.att.com.mx/ODKServer/view/binaryData?blobKey=FSSuministroFluidosv3%5B%40version%3Dnull+and+%40uiVersion%3Dnull%5D%2Fdata%5B%40key%3Duuid%3A6aa9992f-204e-4ef3-8844-1da2aad94db9%5D%2FgroupInfoFuel%5B%40ordinal%3D1%5D%2FpicFuelRecibeInterno","Descargar")</f>
        <v>Descargar</v>
      </c>
    </row>
    <row r="3793" spans="1:18" x14ac:dyDescent="0.3">
      <c r="A3793">
        <v>1502012</v>
      </c>
      <c r="B3793" t="s">
        <v>18</v>
      </c>
      <c r="C3793" t="s">
        <v>28</v>
      </c>
      <c r="D3793" t="s">
        <v>181</v>
      </c>
      <c r="E3793" t="s">
        <v>2989</v>
      </c>
      <c r="F3793" t="s">
        <v>22</v>
      </c>
      <c r="G3793" t="s">
        <v>23</v>
      </c>
      <c r="H3793" t="s">
        <v>24</v>
      </c>
      <c r="I3793" t="s">
        <v>25</v>
      </c>
      <c r="J3793" s="2">
        <v>45719.737199074072</v>
      </c>
      <c r="K3793">
        <v>3</v>
      </c>
      <c r="L3793">
        <v>3</v>
      </c>
      <c r="M3793">
        <v>2025</v>
      </c>
      <c r="N3793" t="s">
        <v>27</v>
      </c>
      <c r="O3793">
        <v>300</v>
      </c>
      <c r="P3793">
        <v>300</v>
      </c>
      <c r="R3793" s="3" t="str">
        <f>HYPERLINK("https://panda.att.com.mx/ODKServer/view/binaryData?blobKey=FSSuministroFluidosv3%5B%40version%3Dnull+and+%40uiVersion%3Dnull%5D%2Fdata%5B%40key%3Duuid%3A0fa6ba70-b10f-4067-9e4f-6acd0810c3ee%5D%2FgroupInfoFuel%5B%40ordinal%3D1%5D%2FpicFuelRecibeInterno","Descargar")</f>
        <v>Descargar</v>
      </c>
    </row>
    <row r="3794" spans="1:18" x14ac:dyDescent="0.3">
      <c r="A3794">
        <v>1502008</v>
      </c>
      <c r="B3794" t="s">
        <v>18</v>
      </c>
      <c r="C3794" t="s">
        <v>167</v>
      </c>
      <c r="D3794" t="s">
        <v>168</v>
      </c>
      <c r="E3794" t="s">
        <v>169</v>
      </c>
      <c r="F3794" t="s">
        <v>22</v>
      </c>
      <c r="G3794" t="s">
        <v>83</v>
      </c>
      <c r="H3794" t="s">
        <v>58</v>
      </c>
      <c r="I3794" t="s">
        <v>25</v>
      </c>
      <c r="J3794" s="2">
        <v>45734.663819444453</v>
      </c>
      <c r="K3794">
        <v>18</v>
      </c>
      <c r="L3794">
        <v>3</v>
      </c>
      <c r="M3794">
        <v>2025</v>
      </c>
      <c r="N3794" t="s">
        <v>27</v>
      </c>
      <c r="O3794">
        <v>450</v>
      </c>
      <c r="P3794">
        <v>450</v>
      </c>
      <c r="R3794" s="3" t="str">
        <f>HYPERLINK("https://panda.att.com.mx/ODKServer/view/binaryData?blobKey=FSSuministroFluidosv3%5B%40version%3Dnull+and+%40uiVersion%3Dnull%5D%2Fdata%5B%40key%3Duuid%3A543bbafb-2d94-4f1d-b8b6-78b584ddc9d9%5D%2FgroupInfoFuel%5B%40ordinal%3D1%5D%2FpicFuelRecibeInterno","Descargar")</f>
        <v>Descargar</v>
      </c>
    </row>
    <row r="3795" spans="1:18" x14ac:dyDescent="0.3">
      <c r="A3795">
        <v>1501989</v>
      </c>
      <c r="B3795" t="s">
        <v>18</v>
      </c>
      <c r="C3795" t="s">
        <v>28</v>
      </c>
      <c r="D3795" t="s">
        <v>1036</v>
      </c>
      <c r="E3795" t="s">
        <v>2982</v>
      </c>
      <c r="F3795" t="s">
        <v>22</v>
      </c>
      <c r="G3795" t="s">
        <v>23</v>
      </c>
      <c r="H3795" t="s">
        <v>24</v>
      </c>
      <c r="I3795" t="s">
        <v>25</v>
      </c>
      <c r="J3795" s="2">
        <v>45733.444074074083</v>
      </c>
      <c r="K3795">
        <v>17</v>
      </c>
      <c r="L3795">
        <v>3</v>
      </c>
      <c r="M3795">
        <v>2025</v>
      </c>
      <c r="N3795" t="s">
        <v>27</v>
      </c>
      <c r="O3795">
        <v>100</v>
      </c>
      <c r="P3795">
        <v>100</v>
      </c>
      <c r="R3795" s="3" t="str">
        <f>HYPERLINK("https://panda.att.com.mx/ODKServer/view/binaryData?blobKey=FSSuministroFluidosv3%5B%40version%3Dnull+and+%40uiVersion%3Dnull%5D%2Fdata%5B%40key%3Duuid%3Af6915b46-d4d0-434d-bc8d-2274f3e52bd3%5D%2FgroupInfoFuel%5B%40ordinal%3D1%5D%2FpicFuelRecibeInterno","Descargar")</f>
        <v>Descargar</v>
      </c>
    </row>
    <row r="3796" spans="1:18" x14ac:dyDescent="0.3">
      <c r="A3796">
        <v>1501988</v>
      </c>
      <c r="B3796" t="s">
        <v>18</v>
      </c>
      <c r="C3796" t="s">
        <v>28</v>
      </c>
      <c r="D3796" t="s">
        <v>1036</v>
      </c>
      <c r="E3796" t="s">
        <v>2982</v>
      </c>
      <c r="F3796" t="s">
        <v>22</v>
      </c>
      <c r="G3796" t="s">
        <v>23</v>
      </c>
      <c r="H3796" t="s">
        <v>24</v>
      </c>
      <c r="I3796" t="s">
        <v>25</v>
      </c>
      <c r="J3796" s="2">
        <v>45734.357118055559</v>
      </c>
      <c r="K3796">
        <v>18</v>
      </c>
      <c r="L3796">
        <v>3</v>
      </c>
      <c r="M3796">
        <v>2025</v>
      </c>
      <c r="N3796" t="s">
        <v>27</v>
      </c>
      <c r="O3796">
        <v>100</v>
      </c>
      <c r="P3796">
        <v>100</v>
      </c>
      <c r="R3796" s="3" t="str">
        <f>HYPERLINK("https://panda.att.com.mx/ODKServer/view/binaryData?blobKey=FSSuministroFluidosv3%5B%40version%3Dnull+and+%40uiVersion%3Dnull%5D%2Fdata%5B%40key%3Duuid%3A882995a5-d0dc-4b25-aea2-0eaaacbd24dd%5D%2FgroupInfoFuel%5B%40ordinal%3D1%5D%2FpicFuelRecibeInterno","Descargar")</f>
        <v>Descargar</v>
      </c>
    </row>
    <row r="3797" spans="1:18" x14ac:dyDescent="0.3">
      <c r="A3797">
        <v>1501979</v>
      </c>
      <c r="B3797" t="s">
        <v>18</v>
      </c>
      <c r="C3797" t="s">
        <v>150</v>
      </c>
      <c r="D3797" t="s">
        <v>2224</v>
      </c>
      <c r="E3797" t="s">
        <v>2225</v>
      </c>
      <c r="F3797" t="s">
        <v>22</v>
      </c>
      <c r="G3797" t="s">
        <v>23</v>
      </c>
      <c r="H3797" t="s">
        <v>1781</v>
      </c>
      <c r="I3797" t="s">
        <v>25</v>
      </c>
      <c r="J3797" s="2">
        <v>45734.483148148152</v>
      </c>
      <c r="K3797">
        <v>18</v>
      </c>
      <c r="L3797">
        <v>3</v>
      </c>
      <c r="M3797">
        <v>2025</v>
      </c>
      <c r="N3797" t="s">
        <v>27</v>
      </c>
      <c r="O3797">
        <v>180.01</v>
      </c>
      <c r="P3797">
        <v>180.01</v>
      </c>
      <c r="R3797" s="3" t="str">
        <f>HYPERLINK("https://panda.att.com.mx/ODKServer/view/binaryData?blobKey=FSSuministroFluidosv3%5B%40version%3Dnull+and+%40uiVersion%3Dnull%5D%2Fdata%5B%40key%3Duuid%3Ab3ec09c6-53f2-4120-894b-a0cffa121f4a%5D%2FgroupInfoFuel%5B%40ordinal%3D1%5D%2FpicFuelRecibeInterno","Descargar")</f>
        <v>Descargar</v>
      </c>
    </row>
    <row r="3798" spans="1:18" x14ac:dyDescent="0.3">
      <c r="A3798">
        <v>1501978</v>
      </c>
      <c r="B3798" t="s">
        <v>18</v>
      </c>
      <c r="C3798" t="s">
        <v>100</v>
      </c>
      <c r="D3798" t="s">
        <v>716</v>
      </c>
      <c r="E3798" t="s">
        <v>717</v>
      </c>
      <c r="F3798" t="s">
        <v>22</v>
      </c>
      <c r="G3798" t="s">
        <v>83</v>
      </c>
      <c r="H3798" t="s">
        <v>1781</v>
      </c>
      <c r="I3798" t="s">
        <v>25</v>
      </c>
      <c r="J3798" s="2">
        <v>45734.632881944453</v>
      </c>
      <c r="K3798">
        <v>18</v>
      </c>
      <c r="L3798">
        <v>3</v>
      </c>
      <c r="M3798">
        <v>2025</v>
      </c>
      <c r="N3798" t="s">
        <v>27</v>
      </c>
      <c r="O3798">
        <v>123</v>
      </c>
      <c r="P3798">
        <v>123</v>
      </c>
      <c r="R3798" s="3" t="str">
        <f>HYPERLINK("https://panda.att.com.mx/ODKServer/view/binaryData?blobKey=FSSuministroFluidosv3%5B%40version%3Dnull+and+%40uiVersion%3Dnull%5D%2Fdata%5B%40key%3Duuid%3A1ecf0258-b81f-4d96-96ce-875e01e6c9b2%5D%2FgroupInfoFuel%5B%40ordinal%3D1%5D%2FpicFuelRecibeInterno","Descargar")</f>
        <v>Descargar</v>
      </c>
    </row>
    <row r="3799" spans="1:18" x14ac:dyDescent="0.3">
      <c r="A3799">
        <v>1501878</v>
      </c>
      <c r="B3799" t="s">
        <v>18</v>
      </c>
      <c r="C3799" t="s">
        <v>150</v>
      </c>
      <c r="D3799" t="s">
        <v>230</v>
      </c>
      <c r="E3799" t="s">
        <v>399</v>
      </c>
      <c r="F3799" t="s">
        <v>22</v>
      </c>
      <c r="G3799" t="s">
        <v>23</v>
      </c>
      <c r="H3799" t="s">
        <v>1781</v>
      </c>
      <c r="I3799" t="s">
        <v>25</v>
      </c>
      <c r="J3799" s="2">
        <v>45734.556712962964</v>
      </c>
      <c r="K3799">
        <v>18</v>
      </c>
      <c r="L3799">
        <v>3</v>
      </c>
      <c r="M3799">
        <v>2025</v>
      </c>
      <c r="N3799" t="s">
        <v>27</v>
      </c>
      <c r="O3799">
        <v>300</v>
      </c>
      <c r="P3799">
        <v>300</v>
      </c>
      <c r="R3799" s="3" t="str">
        <f>HYPERLINK("https://panda.att.com.mx/ODKServer/view/binaryData?blobKey=FSSuministroFluidosv3%5B%40version%3Dnull+and+%40uiVersion%3Dnull%5D%2Fdata%5B%40key%3Duuid%3A4d01377f-036e-43d5-9123-a7b4dbcc97f7%5D%2FgroupInfoFuel%5B%40ordinal%3D1%5D%2FpicFuelRecibeInterno","Descargar")</f>
        <v>Descargar</v>
      </c>
    </row>
    <row r="3800" spans="1:18" x14ac:dyDescent="0.3">
      <c r="A3800">
        <v>1501844</v>
      </c>
      <c r="B3800" t="s">
        <v>18</v>
      </c>
      <c r="C3800" t="s">
        <v>28</v>
      </c>
      <c r="D3800" t="s">
        <v>118</v>
      </c>
      <c r="E3800" t="s">
        <v>361</v>
      </c>
      <c r="F3800" t="s">
        <v>22</v>
      </c>
      <c r="G3800" t="s">
        <v>23</v>
      </c>
      <c r="H3800" t="s">
        <v>24</v>
      </c>
      <c r="I3800" t="s">
        <v>25</v>
      </c>
      <c r="J3800" s="2">
        <v>45734.332754629628</v>
      </c>
      <c r="K3800">
        <v>18</v>
      </c>
      <c r="L3800">
        <v>3</v>
      </c>
      <c r="M3800">
        <v>2025</v>
      </c>
      <c r="N3800" t="s">
        <v>27</v>
      </c>
      <c r="O3800">
        <v>120</v>
      </c>
      <c r="P3800">
        <v>120</v>
      </c>
      <c r="R3800" s="3" t="str">
        <f>HYPERLINK("https://panda.att.com.mx/ODKServer/view/binaryData?blobKey=FSSuministroFluidosv3%5B%40version%3Dnull+and+%40uiVersion%3Dnull%5D%2Fdata%5B%40key%3Duuid%3A3a71b2ee-4d76-4c42-8fa1-490c6d35ea94%5D%2FgroupInfoFuel%5B%40ordinal%3D1%5D%2FpicFuelRecibeInterno","Descargar")</f>
        <v>Descargar</v>
      </c>
    </row>
    <row r="3801" spans="1:18" x14ac:dyDescent="0.3">
      <c r="A3801">
        <v>1501758</v>
      </c>
      <c r="B3801" t="s">
        <v>18</v>
      </c>
      <c r="C3801" t="s">
        <v>55</v>
      </c>
      <c r="D3801" t="s">
        <v>56</v>
      </c>
      <c r="E3801" t="s">
        <v>2988</v>
      </c>
      <c r="F3801" t="s">
        <v>22</v>
      </c>
      <c r="G3801" t="s">
        <v>23</v>
      </c>
      <c r="H3801" t="s">
        <v>1763</v>
      </c>
      <c r="I3801" t="s">
        <v>25</v>
      </c>
      <c r="J3801" s="2">
        <v>45732.572881944441</v>
      </c>
      <c r="K3801">
        <v>16</v>
      </c>
      <c r="L3801">
        <v>3</v>
      </c>
      <c r="M3801">
        <v>2025</v>
      </c>
      <c r="N3801" t="s">
        <v>27</v>
      </c>
      <c r="O3801">
        <v>100</v>
      </c>
      <c r="P3801">
        <v>100</v>
      </c>
      <c r="R3801" s="3" t="str">
        <f>HYPERLINK("https://panda.att.com.mx/ODKServer/view/binaryData?blobKey=FSSuministroFluidosv3%5B%40version%3Dnull+and+%40uiVersion%3Dnull%5D%2Fdata%5B%40key%3Duuid%3A3db1e6a7-1f53-4cfd-8aa5-65102e2edf9c%5D%2FgroupInfoFuel%5B%40ordinal%3D1%5D%2FpicFuelRecibeInterno","Descargar")</f>
        <v>Descargar</v>
      </c>
    </row>
    <row r="3802" spans="1:18" x14ac:dyDescent="0.3">
      <c r="A3802">
        <v>1501748</v>
      </c>
      <c r="B3802" t="s">
        <v>18</v>
      </c>
      <c r="C3802" t="s">
        <v>55</v>
      </c>
      <c r="D3802" t="s">
        <v>56</v>
      </c>
      <c r="E3802" t="s">
        <v>1555</v>
      </c>
      <c r="F3802" t="s">
        <v>22</v>
      </c>
      <c r="G3802" t="s">
        <v>23</v>
      </c>
      <c r="H3802" t="s">
        <v>1763</v>
      </c>
      <c r="I3802" t="s">
        <v>25</v>
      </c>
      <c r="J3802" s="2">
        <v>45732.548472222217</v>
      </c>
      <c r="K3802">
        <v>16</v>
      </c>
      <c r="L3802">
        <v>3</v>
      </c>
      <c r="M3802">
        <v>2025</v>
      </c>
      <c r="N3802" t="s">
        <v>27</v>
      </c>
      <c r="O3802">
        <v>200</v>
      </c>
      <c r="P3802">
        <v>200</v>
      </c>
      <c r="R3802" s="3" t="str">
        <f>HYPERLINK("https://panda.att.com.mx/ODKServer/view/binaryData?blobKey=FSSuministroFluidosv3%5B%40version%3Dnull+and+%40uiVersion%3Dnull%5D%2Fdata%5B%40key%3Duuid%3A697ff9dd-52ab-49ce-b3a0-6fd4a575b62c%5D%2FgroupInfoFuel%5B%40ordinal%3D1%5D%2FpicFuelRecibeInterno","Descargar")</f>
        <v>Descargar</v>
      </c>
    </row>
    <row r="3803" spans="1:18" x14ac:dyDescent="0.3">
      <c r="A3803">
        <v>1501611</v>
      </c>
      <c r="B3803" t="s">
        <v>18</v>
      </c>
      <c r="C3803" t="s">
        <v>59</v>
      </c>
      <c r="D3803" t="s">
        <v>60</v>
      </c>
      <c r="E3803" t="s">
        <v>2126</v>
      </c>
      <c r="F3803" t="s">
        <v>22</v>
      </c>
      <c r="G3803" t="s">
        <v>23</v>
      </c>
      <c r="H3803" t="s">
        <v>37</v>
      </c>
      <c r="I3803" t="s">
        <v>25</v>
      </c>
      <c r="J3803" s="2">
        <v>45732.515833333331</v>
      </c>
      <c r="K3803">
        <v>16</v>
      </c>
      <c r="L3803">
        <v>3</v>
      </c>
      <c r="M3803">
        <v>2025</v>
      </c>
      <c r="N3803" t="s">
        <v>27</v>
      </c>
      <c r="O3803">
        <v>100</v>
      </c>
      <c r="P3803">
        <v>100</v>
      </c>
      <c r="R3803" s="3" t="str">
        <f>HYPERLINK("https://panda.att.com.mx/ODKServer/view/binaryData?blobKey=FSSuministroFluidosv3%5B%40version%3Dnull+and+%40uiVersion%3Dnull%5D%2Fdata%5B%40key%3Duuid%3A45f8393d-1aa6-455c-934a-dfb6df4edc49%5D%2FgroupInfoFuel%5B%40ordinal%3D1%5D%2FpicFuelRecibeInterno","Descargar")</f>
        <v>Descargar</v>
      </c>
    </row>
    <row r="3804" spans="1:18" x14ac:dyDescent="0.3">
      <c r="A3804">
        <v>1501591</v>
      </c>
      <c r="B3804" t="s">
        <v>18</v>
      </c>
      <c r="C3804" t="s">
        <v>59</v>
      </c>
      <c r="D3804" t="s">
        <v>60</v>
      </c>
      <c r="E3804" t="s">
        <v>2990</v>
      </c>
      <c r="F3804" t="s">
        <v>22</v>
      </c>
      <c r="G3804" t="s">
        <v>23</v>
      </c>
      <c r="H3804" t="s">
        <v>37</v>
      </c>
      <c r="I3804" t="s">
        <v>25</v>
      </c>
      <c r="J3804" s="2">
        <v>45733.422013888892</v>
      </c>
      <c r="K3804">
        <v>17</v>
      </c>
      <c r="L3804">
        <v>3</v>
      </c>
      <c r="M3804">
        <v>2025</v>
      </c>
      <c r="N3804" t="s">
        <v>27</v>
      </c>
      <c r="O3804">
        <v>120</v>
      </c>
      <c r="P3804">
        <v>120</v>
      </c>
      <c r="R3804" s="3" t="str">
        <f>HYPERLINK("https://panda.att.com.mx/ODKServer/view/binaryData?blobKey=FSSuministroFluidosv3%5B%40version%3Dnull+and+%40uiVersion%3Dnull%5D%2Fdata%5B%40key%3Duuid%3A373b2ade-8e62-499f-a221-0e9da81eda9e%5D%2FgroupInfoFuel%5B%40ordinal%3D1%5D%2FpicFuelRecibeInterno","Descargar")</f>
        <v>Descargar</v>
      </c>
    </row>
    <row r="3805" spans="1:18" x14ac:dyDescent="0.3">
      <c r="A3805">
        <v>1501586</v>
      </c>
      <c r="B3805" t="s">
        <v>18</v>
      </c>
      <c r="C3805" t="s">
        <v>59</v>
      </c>
      <c r="D3805" t="s">
        <v>60</v>
      </c>
      <c r="E3805" t="s">
        <v>2207</v>
      </c>
      <c r="F3805" t="s">
        <v>22</v>
      </c>
      <c r="G3805" t="s">
        <v>23</v>
      </c>
      <c r="H3805" t="s">
        <v>37</v>
      </c>
      <c r="I3805" t="s">
        <v>25</v>
      </c>
      <c r="J3805" s="2">
        <v>45733.969571759262</v>
      </c>
      <c r="K3805">
        <v>17</v>
      </c>
      <c r="L3805">
        <v>3</v>
      </c>
      <c r="M3805">
        <v>2025</v>
      </c>
      <c r="N3805" t="s">
        <v>27</v>
      </c>
      <c r="O3805">
        <v>184</v>
      </c>
      <c r="P3805">
        <v>184</v>
      </c>
      <c r="R3805" s="3" t="str">
        <f>HYPERLINK("https://panda.att.com.mx/ODKServer/view/binaryData?blobKey=FSSuministroFluidosv3%5B%40version%3Dnull+and+%40uiVersion%3Dnull%5D%2Fdata%5B%40key%3Duuid%3A161dbec7-b158-4956-8f1c-90b3c565f953%5D%2FgroupInfoFuel%5B%40ordinal%3D1%5D%2FpicFuelRecibeInterno","Descargar")</f>
        <v>Descargar</v>
      </c>
    </row>
    <row r="3806" spans="1:18" x14ac:dyDescent="0.3">
      <c r="A3806">
        <v>1501530</v>
      </c>
      <c r="B3806" t="s">
        <v>18</v>
      </c>
      <c r="C3806" t="s">
        <v>150</v>
      </c>
      <c r="D3806" t="s">
        <v>154</v>
      </c>
      <c r="E3806" t="s">
        <v>2714</v>
      </c>
      <c r="F3806" t="s">
        <v>22</v>
      </c>
      <c r="G3806" t="s">
        <v>47</v>
      </c>
      <c r="H3806" t="s">
        <v>1781</v>
      </c>
      <c r="I3806" t="s">
        <v>25</v>
      </c>
      <c r="J3806" s="2">
        <v>45734.377627314818</v>
      </c>
      <c r="K3806">
        <v>18</v>
      </c>
      <c r="L3806">
        <v>3</v>
      </c>
      <c r="M3806">
        <v>2025</v>
      </c>
      <c r="N3806" t="s">
        <v>27</v>
      </c>
      <c r="O3806">
        <v>130.25</v>
      </c>
      <c r="P3806">
        <v>130.25</v>
      </c>
      <c r="R3806" s="3" t="str">
        <f>HYPERLINK("https://panda.att.com.mx/ODKServer/view/binaryData?blobKey=FSSuministroFluidosv3%5B%40version%3Dnull+and+%40uiVersion%3Dnull%5D%2Fdata%5B%40key%3Duuid%3A4dd0a967-1338-4cc7-a028-7df969ead858%5D%2FgroupInfoFuel%5B%40ordinal%3D1%5D%2FpicFuelRecibeInterno","Descargar")</f>
        <v>Descargar</v>
      </c>
    </row>
    <row r="3807" spans="1:18" x14ac:dyDescent="0.3">
      <c r="A3807">
        <v>1501474</v>
      </c>
      <c r="B3807" t="s">
        <v>18</v>
      </c>
      <c r="C3807" t="s">
        <v>55</v>
      </c>
      <c r="D3807" t="s">
        <v>89</v>
      </c>
      <c r="E3807" t="s">
        <v>2991</v>
      </c>
      <c r="F3807" t="s">
        <v>22</v>
      </c>
      <c r="G3807" t="s">
        <v>23</v>
      </c>
      <c r="H3807" t="s">
        <v>1763</v>
      </c>
      <c r="I3807" t="s">
        <v>25</v>
      </c>
      <c r="J3807" s="2">
        <v>45730.0075462963</v>
      </c>
      <c r="K3807">
        <v>14</v>
      </c>
      <c r="L3807">
        <v>3</v>
      </c>
      <c r="M3807">
        <v>2025</v>
      </c>
      <c r="N3807" t="s">
        <v>44</v>
      </c>
      <c r="O3807">
        <v>60</v>
      </c>
      <c r="P3807">
        <v>60</v>
      </c>
      <c r="R3807" s="3" t="str">
        <f>HYPERLINK("https://panda.att.com.mx/ODKServer/view/binaryData?blobKey=FSSuministroFluidosv3%5B%40version%3Dnull+and+%40uiVersion%3Dnull%5D%2Fdata%5B%40key%3Duuid%3A3e1a2bf4-8c30-4d4a-a4ae-bcd08710e939%5D%2FgroupInfoFuel%5B%40ordinal%3D1%5D%2FpicFuelRecibeInterno","Descargar")</f>
        <v>Descargar</v>
      </c>
    </row>
    <row r="3808" spans="1:18" x14ac:dyDescent="0.3">
      <c r="A3808">
        <v>1501455</v>
      </c>
      <c r="B3808" t="s">
        <v>18</v>
      </c>
      <c r="C3808" t="s">
        <v>59</v>
      </c>
      <c r="D3808" t="s">
        <v>1745</v>
      </c>
      <c r="E3808" t="s">
        <v>1969</v>
      </c>
      <c r="F3808" t="s">
        <v>22</v>
      </c>
      <c r="G3808" t="s">
        <v>23</v>
      </c>
      <c r="H3808" t="s">
        <v>24</v>
      </c>
      <c r="I3808" t="s">
        <v>25</v>
      </c>
      <c r="J3808" s="2">
        <v>45733.695208333331</v>
      </c>
      <c r="K3808">
        <v>17</v>
      </c>
      <c r="L3808">
        <v>3</v>
      </c>
      <c r="M3808">
        <v>2025</v>
      </c>
      <c r="N3808" t="s">
        <v>44</v>
      </c>
      <c r="O3808">
        <v>55</v>
      </c>
      <c r="P3808">
        <v>55</v>
      </c>
      <c r="R3808" s="3" t="str">
        <f>HYPERLINK("https://panda.att.com.mx/ODKServer/view/binaryData?blobKey=FSSuministroFluidosv3%5B%40version%3Dnull+and+%40uiVersion%3Dnull%5D%2Fdata%5B%40key%3Duuid%3A1dec4dd7-53b1-4a0f-9d4f-23fda099ef6e%5D%2FgroupInfoFuel%5B%40ordinal%3D1%5D%2FpicFuelRecibeInterno","Descargar")</f>
        <v>Descargar</v>
      </c>
    </row>
    <row r="3809" spans="1:18" x14ac:dyDescent="0.3">
      <c r="A3809">
        <v>1501454</v>
      </c>
      <c r="B3809" t="s">
        <v>18</v>
      </c>
      <c r="C3809" t="s">
        <v>19</v>
      </c>
      <c r="D3809" t="s">
        <v>40</v>
      </c>
      <c r="E3809" t="s">
        <v>2992</v>
      </c>
      <c r="F3809" t="s">
        <v>22</v>
      </c>
      <c r="G3809" t="s">
        <v>23</v>
      </c>
      <c r="H3809" t="s">
        <v>24</v>
      </c>
      <c r="I3809" t="s">
        <v>25</v>
      </c>
      <c r="J3809" s="2">
        <v>45733.693761574083</v>
      </c>
      <c r="K3809">
        <v>17</v>
      </c>
      <c r="L3809">
        <v>3</v>
      </c>
      <c r="M3809">
        <v>2025</v>
      </c>
      <c r="N3809" t="s">
        <v>44</v>
      </c>
      <c r="O3809">
        <v>55</v>
      </c>
      <c r="P3809">
        <v>55</v>
      </c>
      <c r="R3809" s="3" t="str">
        <f>HYPERLINK("https://panda.att.com.mx/ODKServer/view/binaryData?blobKey=FSSuministroFluidosv3%5B%40version%3Dnull+and+%40uiVersion%3Dnull%5D%2Fdata%5B%40key%3Duuid%3A711e5549-c9d2-47c4-a902-3e0c471ab547%5D%2FgroupInfoFuel%5B%40ordinal%3D1%5D%2FpicFuelRecibeInterno","Descargar")</f>
        <v>Descargar</v>
      </c>
    </row>
    <row r="3810" spans="1:18" x14ac:dyDescent="0.3">
      <c r="A3810">
        <v>1501366</v>
      </c>
      <c r="B3810" t="s">
        <v>18</v>
      </c>
      <c r="C3810" t="s">
        <v>100</v>
      </c>
      <c r="D3810" t="s">
        <v>854</v>
      </c>
      <c r="E3810" t="s">
        <v>993</v>
      </c>
      <c r="F3810" t="s">
        <v>22</v>
      </c>
      <c r="G3810" t="s">
        <v>83</v>
      </c>
      <c r="H3810" t="s">
        <v>1781</v>
      </c>
      <c r="I3810" t="s">
        <v>25</v>
      </c>
      <c r="J3810" s="2">
        <v>45733.626944444448</v>
      </c>
      <c r="K3810">
        <v>17</v>
      </c>
      <c r="L3810">
        <v>3</v>
      </c>
      <c r="M3810">
        <v>2025</v>
      </c>
      <c r="N3810" t="s">
        <v>27</v>
      </c>
      <c r="O3810">
        <v>200</v>
      </c>
      <c r="P3810">
        <v>200</v>
      </c>
      <c r="R3810" s="3" t="str">
        <f>HYPERLINK("https://panda.att.com.mx/ODKServer/view/binaryData?blobKey=FSSuministroFluidosv3%5B%40version%3Dnull+and+%40uiVersion%3Dnull%5D%2Fdata%5B%40key%3Duuid%3Aedce4562-76c2-4630-ae21-35b85854346e%5D%2FgroupInfoFuel%5B%40ordinal%3D1%5D%2FpicFuelRecibeInterno","Descargar")</f>
        <v>Descargar</v>
      </c>
    </row>
    <row r="3811" spans="1:18" x14ac:dyDescent="0.3">
      <c r="A3811">
        <v>1501365</v>
      </c>
      <c r="B3811" t="s">
        <v>18</v>
      </c>
      <c r="C3811" t="s">
        <v>100</v>
      </c>
      <c r="D3811" t="s">
        <v>854</v>
      </c>
      <c r="E3811" t="s">
        <v>855</v>
      </c>
      <c r="F3811" t="s">
        <v>22</v>
      </c>
      <c r="G3811" t="s">
        <v>23</v>
      </c>
      <c r="H3811" t="s">
        <v>1781</v>
      </c>
      <c r="I3811" t="s">
        <v>25</v>
      </c>
      <c r="J3811" s="2">
        <v>45733.557557870372</v>
      </c>
      <c r="K3811">
        <v>17</v>
      </c>
      <c r="L3811">
        <v>3</v>
      </c>
      <c r="M3811">
        <v>2025</v>
      </c>
      <c r="N3811" t="s">
        <v>27</v>
      </c>
      <c r="O3811">
        <v>200</v>
      </c>
      <c r="P3811">
        <v>200</v>
      </c>
      <c r="R3811" s="3" t="str">
        <f>HYPERLINK("https://panda.att.com.mx/ODKServer/view/binaryData?blobKey=FSSuministroFluidosv3%5B%40version%3Dnull+and+%40uiVersion%3Dnull%5D%2Fdata%5B%40key%3Duuid%3A15c8a376-3b9e-44b2-8fe5-e8cc73447347%5D%2FgroupInfoFuel%5B%40ordinal%3D1%5D%2FpicFuelRecibeInterno","Descargar")</f>
        <v>Descargar</v>
      </c>
    </row>
    <row r="3812" spans="1:18" x14ac:dyDescent="0.3">
      <c r="A3812">
        <v>1501306</v>
      </c>
      <c r="B3812" t="s">
        <v>18</v>
      </c>
      <c r="C3812" t="s">
        <v>59</v>
      </c>
      <c r="D3812" t="s">
        <v>60</v>
      </c>
      <c r="E3812" t="s">
        <v>2207</v>
      </c>
      <c r="F3812" t="s">
        <v>22</v>
      </c>
      <c r="G3812" t="s">
        <v>23</v>
      </c>
      <c r="H3812" t="s">
        <v>37</v>
      </c>
      <c r="I3812" t="s">
        <v>25</v>
      </c>
      <c r="J3812" s="2">
        <v>45731.978518518517</v>
      </c>
      <c r="K3812">
        <v>15</v>
      </c>
      <c r="L3812">
        <v>3</v>
      </c>
      <c r="M3812">
        <v>2025</v>
      </c>
      <c r="N3812" t="s">
        <v>27</v>
      </c>
      <c r="O3812">
        <v>190</v>
      </c>
      <c r="P3812">
        <v>190</v>
      </c>
      <c r="R3812" s="3" t="str">
        <f>HYPERLINK("https://panda.att.com.mx/ODKServer/view/binaryData?blobKey=FSSuministroFluidosv3%5B%40version%3Dnull+and+%40uiVersion%3Dnull%5D%2Fdata%5B%40key%3Duuid%3A0c822be2-0f0f-4c72-a9c5-7e82bb36533c%5D%2FgroupInfoFuel%5B%40ordinal%3D1%5D%2FpicFuelRecibeInterno","Descargar")</f>
        <v>Descargar</v>
      </c>
    </row>
    <row r="3813" spans="1:18" x14ac:dyDescent="0.3">
      <c r="A3813">
        <v>1501289</v>
      </c>
      <c r="B3813" t="s">
        <v>18</v>
      </c>
      <c r="C3813" t="s">
        <v>150</v>
      </c>
      <c r="D3813" t="s">
        <v>230</v>
      </c>
      <c r="E3813" t="s">
        <v>2993</v>
      </c>
      <c r="F3813" t="s">
        <v>22</v>
      </c>
      <c r="G3813" t="s">
        <v>47</v>
      </c>
      <c r="H3813" t="s">
        <v>1781</v>
      </c>
      <c r="I3813" t="s">
        <v>25</v>
      </c>
      <c r="J3813" s="2">
        <v>45733.552361111113</v>
      </c>
      <c r="K3813">
        <v>17</v>
      </c>
      <c r="L3813">
        <v>3</v>
      </c>
      <c r="M3813">
        <v>2025</v>
      </c>
      <c r="N3813" t="s">
        <v>27</v>
      </c>
      <c r="O3813">
        <v>150.01</v>
      </c>
      <c r="P3813">
        <v>150.01</v>
      </c>
      <c r="R3813" s="3" t="str">
        <f>HYPERLINK("https://panda.att.com.mx/ODKServer/view/binaryData?blobKey=FSSuministroFluidosv3%5B%40version%3Dnull+and+%40uiVersion%3Dnull%5D%2Fdata%5B%40key%3Duuid%3Aa41b1fef-6f17-4d5c-b71f-21073678aa54%5D%2FgroupInfoFuel%5B%40ordinal%3D1%5D%2FpicFuelRecibeInterno","Descargar")</f>
        <v>Descargar</v>
      </c>
    </row>
    <row r="3814" spans="1:18" x14ac:dyDescent="0.3">
      <c r="A3814">
        <v>1501278</v>
      </c>
      <c r="B3814" t="s">
        <v>18</v>
      </c>
      <c r="C3814" t="s">
        <v>28</v>
      </c>
      <c r="D3814" t="s">
        <v>118</v>
      </c>
      <c r="E3814" t="s">
        <v>401</v>
      </c>
      <c r="F3814" t="s">
        <v>22</v>
      </c>
      <c r="G3814" t="s">
        <v>23</v>
      </c>
      <c r="H3814" t="s">
        <v>24</v>
      </c>
      <c r="I3814" t="s">
        <v>25</v>
      </c>
      <c r="J3814" s="2">
        <v>45733.28396990741</v>
      </c>
      <c r="K3814">
        <v>17</v>
      </c>
      <c r="L3814">
        <v>3</v>
      </c>
      <c r="M3814">
        <v>2025</v>
      </c>
      <c r="N3814" t="s">
        <v>44</v>
      </c>
      <c r="O3814">
        <v>40</v>
      </c>
      <c r="P3814">
        <v>40</v>
      </c>
      <c r="R3814" s="3" t="str">
        <f>HYPERLINK("https://panda.att.com.mx/ODKServer/view/binaryData?blobKey=FSSuministroFluidosv3%5B%40version%3Dnull+and+%40uiVersion%3Dnull%5D%2Fdata%5B%40key%3Duuid%3A7ed6a17f-7087-4184-bfef-a3d267ae76f6%5D%2FgroupInfoFuel%5B%40ordinal%3D1%5D%2FpicFuelRecibeInterno","Descargar")</f>
        <v>Descargar</v>
      </c>
    </row>
    <row r="3815" spans="1:18" x14ac:dyDescent="0.3">
      <c r="A3815">
        <v>1501266</v>
      </c>
      <c r="B3815" t="s">
        <v>18</v>
      </c>
      <c r="C3815" t="s">
        <v>100</v>
      </c>
      <c r="D3815" t="s">
        <v>651</v>
      </c>
      <c r="E3815" t="s">
        <v>2081</v>
      </c>
      <c r="F3815" t="s">
        <v>22</v>
      </c>
      <c r="G3815" t="s">
        <v>83</v>
      </c>
      <c r="H3815" t="s">
        <v>1781</v>
      </c>
      <c r="I3815" t="s">
        <v>25</v>
      </c>
      <c r="J3815" s="2">
        <v>45733.499710648153</v>
      </c>
      <c r="K3815">
        <v>17</v>
      </c>
      <c r="L3815">
        <v>3</v>
      </c>
      <c r="M3815">
        <v>2025</v>
      </c>
      <c r="N3815" t="s">
        <v>44</v>
      </c>
      <c r="O3815">
        <v>60</v>
      </c>
      <c r="P3815">
        <v>60</v>
      </c>
      <c r="R3815" s="3" t="str">
        <f>HYPERLINK("https://panda.att.com.mx/ODKServer/view/binaryData?blobKey=FSSuministroFluidosv3%5B%40version%3Dnull+and+%40uiVersion%3Dnull%5D%2Fdata%5B%40key%3Duuid%3A081dd82c-5ee7-4e53-8f73-5d42afb34f15%5D%2FgroupInfoFuel%5B%40ordinal%3D1%5D%2FpicFuelRecibeInterno","Descargar")</f>
        <v>Descargar</v>
      </c>
    </row>
    <row r="3816" spans="1:18" x14ac:dyDescent="0.3">
      <c r="A3816">
        <v>1501259</v>
      </c>
      <c r="B3816" t="s">
        <v>18</v>
      </c>
      <c r="C3816" t="s">
        <v>150</v>
      </c>
      <c r="D3816" t="s">
        <v>230</v>
      </c>
      <c r="E3816" t="s">
        <v>2980</v>
      </c>
      <c r="F3816" t="s">
        <v>22</v>
      </c>
      <c r="G3816" t="s">
        <v>23</v>
      </c>
      <c r="H3816" t="s">
        <v>1781</v>
      </c>
      <c r="I3816" t="s">
        <v>25</v>
      </c>
      <c r="J3816" s="2">
        <v>45733.485555555562</v>
      </c>
      <c r="K3816">
        <v>17</v>
      </c>
      <c r="L3816">
        <v>3</v>
      </c>
      <c r="M3816">
        <v>2025</v>
      </c>
      <c r="N3816" t="s">
        <v>27</v>
      </c>
      <c r="O3816">
        <v>249.99</v>
      </c>
      <c r="P3816">
        <v>249.99</v>
      </c>
      <c r="R3816" s="3" t="str">
        <f>HYPERLINK("https://panda.att.com.mx/ODKServer/view/binaryData?blobKey=FSSuministroFluidosv3%5B%40version%3Dnull+and+%40uiVersion%3Dnull%5D%2Fdata%5B%40key%3Duuid%3A5e14d481-f5c9-4f98-b4db-ad79f604893a%5D%2FgroupInfoFuel%5B%40ordinal%3D1%5D%2FpicFuelRecibeInterno","Descargar")</f>
        <v>Descargar</v>
      </c>
    </row>
    <row r="3817" spans="1:18" x14ac:dyDescent="0.3">
      <c r="A3817">
        <v>1501257</v>
      </c>
      <c r="B3817" t="s">
        <v>18</v>
      </c>
      <c r="C3817" t="s">
        <v>28</v>
      </c>
      <c r="D3817" t="s">
        <v>66</v>
      </c>
      <c r="E3817" t="s">
        <v>1086</v>
      </c>
      <c r="F3817" t="s">
        <v>22</v>
      </c>
      <c r="G3817" t="s">
        <v>23</v>
      </c>
      <c r="H3817" t="s">
        <v>24</v>
      </c>
      <c r="I3817" t="s">
        <v>25</v>
      </c>
      <c r="J3817" s="2">
        <v>45733.487430555557</v>
      </c>
      <c r="K3817">
        <v>17</v>
      </c>
      <c r="L3817">
        <v>3</v>
      </c>
      <c r="M3817">
        <v>2025</v>
      </c>
      <c r="N3817" t="s">
        <v>44</v>
      </c>
      <c r="O3817">
        <v>40</v>
      </c>
      <c r="Q3817">
        <v>40</v>
      </c>
      <c r="R3817" s="3" t="str">
        <f>HYPERLINK("https://panda.att.com.mx/ODKServer/view/binaryData?blobKey=FSSuministroFluidosv3%5B%40version%3Dnull+and+%40uiVersion%3Dnull%5D%2Fdata%5B%40key%3Duuid%3A268cf33d-bee1-44ed-9000-473b444f0ef8%5D%2FgroupInfoFuel%5B%40ordinal%3D1%5D%2FpicFuelRecibeInterno","Descargar")</f>
        <v>Descargar</v>
      </c>
    </row>
    <row r="3818" spans="1:18" x14ac:dyDescent="0.3">
      <c r="A3818">
        <v>1501254</v>
      </c>
      <c r="B3818" t="s">
        <v>18</v>
      </c>
      <c r="C3818" t="s">
        <v>100</v>
      </c>
      <c r="D3818" t="s">
        <v>651</v>
      </c>
      <c r="E3818" t="s">
        <v>750</v>
      </c>
      <c r="F3818" t="s">
        <v>22</v>
      </c>
      <c r="G3818" t="s">
        <v>23</v>
      </c>
      <c r="H3818" t="s">
        <v>1781</v>
      </c>
      <c r="I3818" t="s">
        <v>25</v>
      </c>
      <c r="J3818" s="2">
        <v>45733.502627314818</v>
      </c>
      <c r="K3818">
        <v>17</v>
      </c>
      <c r="L3818">
        <v>3</v>
      </c>
      <c r="M3818">
        <v>2025</v>
      </c>
      <c r="N3818" t="s">
        <v>27</v>
      </c>
      <c r="O3818">
        <v>200</v>
      </c>
      <c r="P3818">
        <v>200</v>
      </c>
      <c r="R3818" s="3" t="str">
        <f>HYPERLINK("https://panda.att.com.mx/ODKServer/view/binaryData?blobKey=FSSuministroFluidosv3%5B%40version%3Dnull+and+%40uiVersion%3Dnull%5D%2Fdata%5B%40key%3Duuid%3A2d18b509-c65a-4b36-8a8f-f11df601647a%5D%2FgroupInfoFuel%5B%40ordinal%3D1%5D%2FpicFuelRecibeInterno","Descargar")</f>
        <v>Descargar</v>
      </c>
    </row>
    <row r="3819" spans="1:18" x14ac:dyDescent="0.3">
      <c r="A3819">
        <v>1501224</v>
      </c>
      <c r="B3819" t="s">
        <v>18</v>
      </c>
      <c r="C3819" t="s">
        <v>55</v>
      </c>
      <c r="D3819" t="s">
        <v>210</v>
      </c>
      <c r="E3819" t="s">
        <v>1100</v>
      </c>
      <c r="F3819" t="s">
        <v>22</v>
      </c>
      <c r="G3819" t="s">
        <v>23</v>
      </c>
      <c r="H3819" t="s">
        <v>1763</v>
      </c>
      <c r="I3819" t="s">
        <v>25</v>
      </c>
      <c r="J3819" s="2">
        <v>45727.473356481481</v>
      </c>
      <c r="K3819">
        <v>11</v>
      </c>
      <c r="L3819">
        <v>3</v>
      </c>
      <c r="M3819">
        <v>2025</v>
      </c>
      <c r="N3819" t="s">
        <v>27</v>
      </c>
      <c r="O3819">
        <v>80</v>
      </c>
      <c r="P3819">
        <v>80</v>
      </c>
      <c r="R3819" s="3" t="str">
        <f>HYPERLINK("https://panda.att.com.mx/ODKServer/view/binaryData?blobKey=FSSuministroFluidosv3%5B%40version%3Dnull+and+%40uiVersion%3Dnull%5D%2Fdata%5B%40key%3Duuid%3A8ab7081d-dcaa-4002-b148-97a9aa88e5b2%5D%2FgroupInfoFuel%5B%40ordinal%3D1%5D%2FpicFuelRecibeInterno","Descargar")</f>
        <v>Descargar</v>
      </c>
    </row>
    <row r="3820" spans="1:18" x14ac:dyDescent="0.3">
      <c r="A3820">
        <v>1501220</v>
      </c>
      <c r="B3820" t="s">
        <v>18</v>
      </c>
      <c r="C3820" t="s">
        <v>28</v>
      </c>
      <c r="D3820" t="s">
        <v>513</v>
      </c>
      <c r="E3820" t="s">
        <v>2963</v>
      </c>
      <c r="F3820" t="s">
        <v>22</v>
      </c>
      <c r="G3820" t="s">
        <v>23</v>
      </c>
      <c r="H3820" t="s">
        <v>24</v>
      </c>
      <c r="I3820" t="s">
        <v>25</v>
      </c>
      <c r="J3820" s="2">
        <v>45728.594965277778</v>
      </c>
      <c r="K3820">
        <v>12</v>
      </c>
      <c r="L3820">
        <v>3</v>
      </c>
      <c r="M3820">
        <v>2025</v>
      </c>
      <c r="N3820" t="s">
        <v>27</v>
      </c>
      <c r="O3820">
        <v>400</v>
      </c>
      <c r="P3820">
        <v>400</v>
      </c>
      <c r="R3820" s="3" t="str">
        <f>HYPERLINK("https://panda.att.com.mx/ODKServer/view/binaryData?blobKey=FSSuministroFluidosv3%5B%40version%3Dnull+and+%40uiVersion%3Dnull%5D%2Fdata%5B%40key%3Duuid%3Af54b11fd-a80e-4ef0-9129-1701b9fb443b%5D%2FgroupInfoFuel%5B%40ordinal%3D1%5D%2FpicFuelRecibeInterno","Descargar")</f>
        <v>Descargar</v>
      </c>
    </row>
    <row r="3821" spans="1:18" x14ac:dyDescent="0.3">
      <c r="A3821">
        <v>1501219</v>
      </c>
      <c r="B3821" t="s">
        <v>18</v>
      </c>
      <c r="C3821" t="s">
        <v>28</v>
      </c>
      <c r="D3821" t="s">
        <v>513</v>
      </c>
      <c r="E3821" t="s">
        <v>2963</v>
      </c>
      <c r="F3821" t="s">
        <v>22</v>
      </c>
      <c r="G3821" t="s">
        <v>23</v>
      </c>
      <c r="H3821" t="s">
        <v>24</v>
      </c>
      <c r="I3821" t="s">
        <v>25</v>
      </c>
      <c r="J3821" s="2">
        <v>45733.373738425929</v>
      </c>
      <c r="K3821">
        <v>17</v>
      </c>
      <c r="L3821">
        <v>3</v>
      </c>
      <c r="M3821">
        <v>2025</v>
      </c>
      <c r="N3821" t="s">
        <v>27</v>
      </c>
      <c r="O3821">
        <v>400</v>
      </c>
      <c r="P3821">
        <v>400</v>
      </c>
      <c r="R3821" s="3" t="str">
        <f>HYPERLINK("https://panda.att.com.mx/ODKServer/view/binaryData?blobKey=FSSuministroFluidosv3%5B%40version%3Dnull+and+%40uiVersion%3Dnull%5D%2Fdata%5B%40key%3Duuid%3A502f319a-32cb-4826-b20e-0692f326e3f9%5D%2FgroupInfoFuel%5B%40ordinal%3D1%5D%2FpicFuelRecibeInterno","Descargar")</f>
        <v>Descargar</v>
      </c>
    </row>
    <row r="3822" spans="1:18" x14ac:dyDescent="0.3">
      <c r="A3822">
        <v>1501212</v>
      </c>
      <c r="B3822" t="s">
        <v>18</v>
      </c>
      <c r="C3822" t="s">
        <v>150</v>
      </c>
      <c r="D3822" t="s">
        <v>230</v>
      </c>
      <c r="E3822" t="s">
        <v>1510</v>
      </c>
      <c r="F3822" t="s">
        <v>22</v>
      </c>
      <c r="G3822" t="s">
        <v>47</v>
      </c>
      <c r="H3822" t="s">
        <v>1781</v>
      </c>
      <c r="I3822" t="s">
        <v>25</v>
      </c>
      <c r="J3822" s="2">
        <v>45733.353148148148</v>
      </c>
      <c r="K3822">
        <v>17</v>
      </c>
      <c r="L3822">
        <v>3</v>
      </c>
      <c r="M3822">
        <v>2025</v>
      </c>
      <c r="N3822" t="s">
        <v>27</v>
      </c>
      <c r="O3822">
        <v>300.02</v>
      </c>
      <c r="P3822">
        <v>300.02</v>
      </c>
      <c r="R3822" s="3" t="str">
        <f>HYPERLINK("https://panda.att.com.mx/ODKServer/view/binaryData?blobKey=FSSuministroFluidosv3%5B%40version%3Dnull+and+%40uiVersion%3Dnull%5D%2Fdata%5B%40key%3Duuid%3A629d30e8-1005-4ac4-a20e-759f9512862a%5D%2FgroupInfoFuel%5B%40ordinal%3D1%5D%2FpicFuelRecibeInterno","Descargar")</f>
        <v>Descargar</v>
      </c>
    </row>
    <row r="3823" spans="1:18" x14ac:dyDescent="0.3">
      <c r="A3823">
        <v>1501183</v>
      </c>
      <c r="B3823" t="s">
        <v>18</v>
      </c>
      <c r="C3823" t="s">
        <v>19</v>
      </c>
      <c r="D3823" t="s">
        <v>45</v>
      </c>
      <c r="E3823" t="s">
        <v>2135</v>
      </c>
      <c r="F3823" t="s">
        <v>22</v>
      </c>
      <c r="G3823" t="s">
        <v>23</v>
      </c>
      <c r="H3823" t="s">
        <v>24</v>
      </c>
      <c r="I3823" t="s">
        <v>25</v>
      </c>
      <c r="J3823" s="2">
        <v>45733.271851851852</v>
      </c>
      <c r="K3823">
        <v>17</v>
      </c>
      <c r="L3823">
        <v>3</v>
      </c>
      <c r="M3823">
        <v>2025</v>
      </c>
      <c r="N3823" t="s">
        <v>27</v>
      </c>
      <c r="O3823">
        <v>100</v>
      </c>
      <c r="Q3823">
        <v>100</v>
      </c>
      <c r="R3823" s="3" t="str">
        <f>HYPERLINK("https://panda.att.com.mx/ODKServer/view/binaryData?blobKey=FSSuministroFluidosv3%5B%40version%3Dnull+and+%40uiVersion%3Dnull%5D%2Fdata%5B%40key%3Duuid%3A7c211e00-26b3-4300-8d9f-75609dec3ccc%5D%2FgroupInfoFuel%5B%40ordinal%3D1%5D%2FpicFuelRecibeInterno","Descargar")</f>
        <v>Descargar</v>
      </c>
    </row>
    <row r="3824" spans="1:18" x14ac:dyDescent="0.3">
      <c r="A3824">
        <v>1501170</v>
      </c>
      <c r="B3824" t="s">
        <v>18</v>
      </c>
      <c r="C3824" t="s">
        <v>100</v>
      </c>
      <c r="D3824" t="s">
        <v>651</v>
      </c>
      <c r="E3824" t="s">
        <v>2081</v>
      </c>
      <c r="F3824" t="s">
        <v>22</v>
      </c>
      <c r="G3824" t="s">
        <v>23</v>
      </c>
      <c r="H3824" t="s">
        <v>1781</v>
      </c>
      <c r="I3824" t="s">
        <v>25</v>
      </c>
      <c r="J3824" s="2">
        <v>45732.797326388893</v>
      </c>
      <c r="K3824">
        <v>16</v>
      </c>
      <c r="L3824">
        <v>3</v>
      </c>
      <c r="M3824">
        <v>2025</v>
      </c>
      <c r="N3824" t="s">
        <v>44</v>
      </c>
      <c r="O3824">
        <v>50</v>
      </c>
      <c r="P3824">
        <v>50</v>
      </c>
      <c r="R3824" s="3" t="str">
        <f>HYPERLINK("https://panda.att.com.mx/ODKServer/view/binaryData?blobKey=FSSuministroFluidosv3%5B%40version%3Dnull+and+%40uiVersion%3Dnull%5D%2Fdata%5B%40key%3Duuid%3A4f153b6b-838f-4e1b-95ee-c29e5e590510%5D%2FgroupInfoFuel%5B%40ordinal%3D1%5D%2FpicFuelRecibeInterno","Descargar")</f>
        <v>Descargar</v>
      </c>
    </row>
    <row r="3825" spans="1:18" x14ac:dyDescent="0.3">
      <c r="A3825">
        <v>1501103</v>
      </c>
      <c r="B3825" t="s">
        <v>18</v>
      </c>
      <c r="C3825" t="s">
        <v>100</v>
      </c>
      <c r="D3825" t="s">
        <v>716</v>
      </c>
      <c r="E3825" t="s">
        <v>717</v>
      </c>
      <c r="F3825" t="s">
        <v>22</v>
      </c>
      <c r="G3825" t="s">
        <v>83</v>
      </c>
      <c r="H3825" t="s">
        <v>1781</v>
      </c>
      <c r="I3825" t="s">
        <v>25</v>
      </c>
      <c r="J3825" s="2">
        <v>45732.597916666673</v>
      </c>
      <c r="K3825">
        <v>16</v>
      </c>
      <c r="L3825">
        <v>3</v>
      </c>
      <c r="M3825">
        <v>2025</v>
      </c>
      <c r="N3825" t="s">
        <v>27</v>
      </c>
      <c r="O3825">
        <v>109</v>
      </c>
      <c r="P3825">
        <v>109</v>
      </c>
      <c r="R3825" s="3" t="str">
        <f>HYPERLINK("https://panda.att.com.mx/ODKServer/view/binaryData?blobKey=FSSuministroFluidosv3%5B%40version%3Dnull+and+%40uiVersion%3Dnull%5D%2Fdata%5B%40key%3Duuid%3Af1cb7b61-4281-4868-ac0d-a9c5bce934b8%5D%2FgroupInfoFuel%5B%40ordinal%3D1%5D%2FpicFuelRecibeInterno","Descargar")</f>
        <v>Descargar</v>
      </c>
    </row>
    <row r="3826" spans="1:18" x14ac:dyDescent="0.3">
      <c r="A3826">
        <v>1501097</v>
      </c>
      <c r="B3826" t="s">
        <v>18</v>
      </c>
      <c r="C3826" t="s">
        <v>34</v>
      </c>
      <c r="D3826" t="s">
        <v>53</v>
      </c>
      <c r="E3826" t="s">
        <v>2994</v>
      </c>
      <c r="F3826" t="s">
        <v>22</v>
      </c>
      <c r="G3826" t="s">
        <v>23</v>
      </c>
      <c r="H3826" t="s">
        <v>37</v>
      </c>
      <c r="I3826" t="s">
        <v>25</v>
      </c>
      <c r="J3826" s="2">
        <v>45730.624201388891</v>
      </c>
      <c r="K3826">
        <v>14</v>
      </c>
      <c r="L3826">
        <v>3</v>
      </c>
      <c r="M3826">
        <v>2025</v>
      </c>
      <c r="N3826" t="s">
        <v>27</v>
      </c>
      <c r="O3826">
        <v>40</v>
      </c>
      <c r="P3826">
        <v>40</v>
      </c>
      <c r="R3826" s="3" t="str">
        <f>HYPERLINK("https://panda.att.com.mx/ODKServer/view/binaryData?blobKey=FSSuministroFluidosv3%5B%40version%3Dnull+and+%40uiVersion%3Dnull%5D%2Fdata%5B%40key%3Duuid%3A424e29ef-3628-4d41-a52f-e407e41c40c8%5D%2FgroupInfoFuel%5B%40ordinal%3D1%5D%2FpicFuelRecibeInterno","Descargar")</f>
        <v>Descargar</v>
      </c>
    </row>
    <row r="3827" spans="1:18" x14ac:dyDescent="0.3">
      <c r="A3827">
        <v>1498932</v>
      </c>
      <c r="B3827" t="s">
        <v>18</v>
      </c>
      <c r="C3827" t="s">
        <v>55</v>
      </c>
      <c r="D3827" t="s">
        <v>56</v>
      </c>
      <c r="E3827" t="s">
        <v>99</v>
      </c>
      <c r="F3827" t="s">
        <v>22</v>
      </c>
      <c r="G3827" t="s">
        <v>47</v>
      </c>
      <c r="H3827" t="s">
        <v>1763</v>
      </c>
      <c r="I3827" t="s">
        <v>25</v>
      </c>
      <c r="J3827" s="2">
        <v>45725.525868055563</v>
      </c>
      <c r="K3827">
        <v>9</v>
      </c>
      <c r="L3827">
        <v>3</v>
      </c>
      <c r="M3827">
        <v>2025</v>
      </c>
      <c r="N3827" t="s">
        <v>27</v>
      </c>
      <c r="O3827">
        <v>1007</v>
      </c>
      <c r="P3827">
        <v>1007</v>
      </c>
      <c r="R3827" s="3" t="str">
        <f>HYPERLINK("https://panda.att.com.mx/ODKServer/view/binaryData?blobKey=FSSuministroFluidosv3%5B%40version%3Dnull+and+%40uiVersion%3Dnull%5D%2Fdata%5B%40key%3Duuid%3A4eb6a121-83cf-486a-970d-f96add7d4c5f%5D%2FgroupInfoFuel%5B%40ordinal%3D1%5D%2FpicFuelRecibeInterno","Descargar")</f>
        <v>Descargar</v>
      </c>
    </row>
    <row r="3828" spans="1:18" x14ac:dyDescent="0.3">
      <c r="A3828">
        <v>1498923</v>
      </c>
      <c r="B3828" t="s">
        <v>18</v>
      </c>
      <c r="C3828" t="s">
        <v>55</v>
      </c>
      <c r="D3828" t="s">
        <v>56</v>
      </c>
      <c r="E3828" t="s">
        <v>2945</v>
      </c>
      <c r="F3828" t="s">
        <v>22</v>
      </c>
      <c r="G3828" t="s">
        <v>47</v>
      </c>
      <c r="H3828" t="s">
        <v>1763</v>
      </c>
      <c r="I3828" t="s">
        <v>25</v>
      </c>
      <c r="J3828" s="2">
        <v>45725.601030092592</v>
      </c>
      <c r="K3828">
        <v>9</v>
      </c>
      <c r="L3828">
        <v>3</v>
      </c>
      <c r="M3828">
        <v>2025</v>
      </c>
      <c r="N3828" t="s">
        <v>27</v>
      </c>
      <c r="O3828">
        <v>100</v>
      </c>
      <c r="P3828">
        <v>100</v>
      </c>
      <c r="R3828" s="3" t="str">
        <f>HYPERLINK("https://panda.att.com.mx/ODKServer/view/binaryData?blobKey=FSSuministroFluidosv3%5B%40version%3Dnull+and+%40uiVersion%3Dnull%5D%2Fdata%5B%40key%3Duuid%3A5f103bc9-d673-44ba-bfe4-d461a27a76c1%5D%2FgroupInfoFuel%5B%40ordinal%3D1%5D%2FpicFuelRecibeInterno","Descargar")</f>
        <v>Descargar</v>
      </c>
    </row>
    <row r="3829" spans="1:18" x14ac:dyDescent="0.3">
      <c r="A3829">
        <v>1498917</v>
      </c>
      <c r="B3829" t="s">
        <v>18</v>
      </c>
      <c r="C3829" t="s">
        <v>55</v>
      </c>
      <c r="D3829" t="s">
        <v>56</v>
      </c>
      <c r="E3829" t="s">
        <v>2945</v>
      </c>
      <c r="F3829" t="s">
        <v>22</v>
      </c>
      <c r="G3829" t="s">
        <v>47</v>
      </c>
      <c r="H3829" t="s">
        <v>1763</v>
      </c>
      <c r="I3829" t="s">
        <v>25</v>
      </c>
      <c r="J3829" s="2">
        <v>45723.610034722216</v>
      </c>
      <c r="K3829">
        <v>7</v>
      </c>
      <c r="L3829">
        <v>3</v>
      </c>
      <c r="M3829">
        <v>2025</v>
      </c>
      <c r="N3829" t="s">
        <v>27</v>
      </c>
      <c r="O3829">
        <v>100</v>
      </c>
      <c r="P3829">
        <v>100</v>
      </c>
      <c r="R3829" s="3" t="str">
        <f>HYPERLINK("https://panda.att.com.mx/ODKServer/view/binaryData?blobKey=FSSuministroFluidosv3%5B%40version%3Dnull+and+%40uiVersion%3Dnull%5D%2Fdata%5B%40key%3Duuid%3A9eec10a8-bb43-452e-9c58-1372fdcd91c8%5D%2FgroupInfoFuel%5B%40ordinal%3D1%5D%2FpicFuelRecibeInterno","Descargar")</f>
        <v>Descargar</v>
      </c>
    </row>
    <row r="3830" spans="1:18" x14ac:dyDescent="0.3">
      <c r="A3830">
        <v>1498900</v>
      </c>
      <c r="B3830" t="s">
        <v>18</v>
      </c>
      <c r="C3830" t="s">
        <v>34</v>
      </c>
      <c r="D3830" t="s">
        <v>53</v>
      </c>
      <c r="E3830" t="s">
        <v>144</v>
      </c>
      <c r="F3830" t="s">
        <v>22</v>
      </c>
      <c r="G3830" t="s">
        <v>23</v>
      </c>
      <c r="H3830" t="s">
        <v>37</v>
      </c>
      <c r="I3830" t="s">
        <v>25</v>
      </c>
      <c r="J3830" s="2">
        <v>45729.440486111111</v>
      </c>
      <c r="K3830">
        <v>13</v>
      </c>
      <c r="L3830">
        <v>3</v>
      </c>
      <c r="M3830">
        <v>2025</v>
      </c>
      <c r="N3830" t="s">
        <v>27</v>
      </c>
      <c r="O3830">
        <v>350</v>
      </c>
      <c r="P3830">
        <v>350</v>
      </c>
      <c r="R3830" s="3" t="str">
        <f>HYPERLINK("https://panda.att.com.mx/ODKServer/view/binaryData?blobKey=FSSuministroFluidosv3%5B%40version%3Dnull+and+%40uiVersion%3Dnull%5D%2Fdata%5B%40key%3Duuid%3A60adfca4-6317-4d53-ae70-2934c0e9967c%5D%2FgroupInfoFuel%5B%40ordinal%3D1%5D%2FpicFuelRecibeInterno","Descargar")</f>
        <v>Descargar</v>
      </c>
    </row>
    <row r="3831" spans="1:18" x14ac:dyDescent="0.3">
      <c r="A3831">
        <v>1498866</v>
      </c>
      <c r="B3831" t="s">
        <v>18</v>
      </c>
      <c r="C3831" t="s">
        <v>150</v>
      </c>
      <c r="D3831" t="s">
        <v>230</v>
      </c>
      <c r="E3831" t="s">
        <v>1510</v>
      </c>
      <c r="F3831" t="s">
        <v>22</v>
      </c>
      <c r="G3831" t="s">
        <v>47</v>
      </c>
      <c r="H3831" t="s">
        <v>1781</v>
      </c>
      <c r="I3831" t="s">
        <v>25</v>
      </c>
      <c r="J3831" s="2">
        <v>45729.37767361111</v>
      </c>
      <c r="K3831">
        <v>13</v>
      </c>
      <c r="L3831">
        <v>3</v>
      </c>
      <c r="M3831">
        <v>2025</v>
      </c>
      <c r="N3831" t="s">
        <v>27</v>
      </c>
      <c r="O3831">
        <v>300.02</v>
      </c>
      <c r="P3831">
        <v>300.02</v>
      </c>
      <c r="R3831" s="3" t="str">
        <f>HYPERLINK("https://panda.att.com.mx/ODKServer/view/binaryData?blobKey=FSSuministroFluidosv3%5B%40version%3Dnull+and+%40uiVersion%3Dnull%5D%2Fdata%5B%40key%3Duuid%3A3b80fb5a-9f70-47f1-9c8f-c8958a107fe8%5D%2FgroupInfoFuel%5B%40ordinal%3D1%5D%2FpicFuelRecibeInterno","Descargar")</f>
        <v>Descargar</v>
      </c>
    </row>
    <row r="3832" spans="1:18" x14ac:dyDescent="0.3">
      <c r="A3832">
        <v>1498778</v>
      </c>
      <c r="B3832" t="s">
        <v>18</v>
      </c>
      <c r="C3832" t="s">
        <v>55</v>
      </c>
      <c r="D3832" t="s">
        <v>56</v>
      </c>
      <c r="E3832" t="s">
        <v>1778</v>
      </c>
      <c r="F3832" t="s">
        <v>22</v>
      </c>
      <c r="G3832" t="s">
        <v>47</v>
      </c>
      <c r="H3832" t="s">
        <v>1763</v>
      </c>
      <c r="I3832" t="s">
        <v>25</v>
      </c>
      <c r="J3832" s="2">
        <v>45727.651562500003</v>
      </c>
      <c r="K3832">
        <v>11</v>
      </c>
      <c r="L3832">
        <v>3</v>
      </c>
      <c r="M3832">
        <v>2025</v>
      </c>
      <c r="N3832" t="s">
        <v>27</v>
      </c>
      <c r="O3832">
        <v>100</v>
      </c>
      <c r="P3832">
        <v>100</v>
      </c>
      <c r="R3832" s="3" t="str">
        <f>HYPERLINK("https://panda.att.com.mx/ODKServer/view/binaryData?blobKey=FSSuministroFluidosv3%5B%40version%3Dnull+and+%40uiVersion%3Dnull%5D%2Fdata%5B%40key%3Duuid%3A45f5d077-05a6-40cd-b719-b89a021049fa%5D%2FgroupInfoFuel%5B%40ordinal%3D1%5D%2FpicFuelRecibeInterno","Descargar")</f>
        <v>Descargar</v>
      </c>
    </row>
    <row r="3833" spans="1:18" x14ac:dyDescent="0.3">
      <c r="A3833">
        <v>1498646</v>
      </c>
      <c r="B3833" t="s">
        <v>18</v>
      </c>
      <c r="C3833" t="s">
        <v>59</v>
      </c>
      <c r="D3833" t="s">
        <v>60</v>
      </c>
      <c r="E3833" t="s">
        <v>2738</v>
      </c>
      <c r="F3833" t="s">
        <v>22</v>
      </c>
      <c r="G3833" t="s">
        <v>23</v>
      </c>
      <c r="H3833" t="s">
        <v>37</v>
      </c>
      <c r="I3833" t="s">
        <v>25</v>
      </c>
      <c r="J3833" s="2">
        <v>45728.539444444446</v>
      </c>
      <c r="K3833">
        <v>12</v>
      </c>
      <c r="L3833">
        <v>3</v>
      </c>
      <c r="M3833">
        <v>2025</v>
      </c>
      <c r="N3833" t="s">
        <v>27</v>
      </c>
      <c r="O3833">
        <v>130</v>
      </c>
      <c r="P3833">
        <v>130</v>
      </c>
      <c r="R3833" s="3" t="str">
        <f>HYPERLINK("https://panda.att.com.mx/ODKServer/view/binaryData?blobKey=FSSuministroFluidosv3%5B%40version%3Dnull+and+%40uiVersion%3Dnull%5D%2Fdata%5B%40key%3Duuid%3A06cd7e43-0f79-4a78-8362-944b8591044f%5D%2FgroupInfoFuel%5B%40ordinal%3D1%5D%2FpicFuelRecibeInterno","Descargar")</f>
        <v>Descargar</v>
      </c>
    </row>
    <row r="3834" spans="1:18" x14ac:dyDescent="0.3">
      <c r="A3834">
        <v>1498645</v>
      </c>
      <c r="B3834" t="s">
        <v>18</v>
      </c>
      <c r="C3834" t="s">
        <v>55</v>
      </c>
      <c r="D3834" t="s">
        <v>56</v>
      </c>
      <c r="E3834" t="s">
        <v>2995</v>
      </c>
      <c r="F3834" t="s">
        <v>22</v>
      </c>
      <c r="G3834" t="s">
        <v>47</v>
      </c>
      <c r="H3834" t="s">
        <v>1763</v>
      </c>
      <c r="I3834" t="s">
        <v>25</v>
      </c>
      <c r="J3834" s="2">
        <v>45722.669085648151</v>
      </c>
      <c r="K3834">
        <v>6</v>
      </c>
      <c r="L3834">
        <v>3</v>
      </c>
      <c r="M3834">
        <v>2025</v>
      </c>
      <c r="N3834" t="s">
        <v>27</v>
      </c>
      <c r="O3834">
        <v>120</v>
      </c>
      <c r="P3834">
        <v>120</v>
      </c>
      <c r="R3834" s="3" t="str">
        <f>HYPERLINK("https://panda.att.com.mx/ODKServer/view/binaryData?blobKey=FSSuministroFluidosv3%5B%40version%3Dnull+and+%40uiVersion%3Dnull%5D%2Fdata%5B%40key%3Duuid%3A2bd835e9-70ec-4aaf-96a3-99dcb18cbdce%5D%2FgroupInfoFuel%5B%40ordinal%3D1%5D%2FpicFuelRecibeInterno","Descargar")</f>
        <v>Descargar</v>
      </c>
    </row>
    <row r="3835" spans="1:18" x14ac:dyDescent="0.3">
      <c r="A3835">
        <v>1498643</v>
      </c>
      <c r="B3835" t="s">
        <v>18</v>
      </c>
      <c r="C3835" t="s">
        <v>55</v>
      </c>
      <c r="D3835" t="s">
        <v>56</v>
      </c>
      <c r="E3835" t="s">
        <v>2996</v>
      </c>
      <c r="F3835" t="s">
        <v>22</v>
      </c>
      <c r="G3835" t="s">
        <v>47</v>
      </c>
      <c r="H3835" t="s">
        <v>1763</v>
      </c>
      <c r="I3835" t="s">
        <v>25</v>
      </c>
      <c r="J3835" s="2">
        <v>45722.562800925924</v>
      </c>
      <c r="K3835">
        <v>6</v>
      </c>
      <c r="L3835">
        <v>3</v>
      </c>
      <c r="M3835">
        <v>2025</v>
      </c>
      <c r="N3835" t="s">
        <v>27</v>
      </c>
      <c r="O3835">
        <v>240</v>
      </c>
      <c r="P3835">
        <v>240</v>
      </c>
      <c r="R3835" s="3" t="str">
        <f>HYPERLINK("https://panda.att.com.mx/ODKServer/view/binaryData?blobKey=FSSuministroFluidosv3%5B%40version%3Dnull+and+%40uiVersion%3Dnull%5D%2Fdata%5B%40key%3Duuid%3Af455eb83-11a2-4999-a0c5-6555cc178da1%5D%2FgroupInfoFuel%5B%40ordinal%3D1%5D%2FpicFuelRecibeInterno","Descargar")</f>
        <v>Descargar</v>
      </c>
    </row>
    <row r="3836" spans="1:18" x14ac:dyDescent="0.3">
      <c r="A3836">
        <v>1498637</v>
      </c>
      <c r="B3836" t="s">
        <v>18</v>
      </c>
      <c r="C3836" t="s">
        <v>59</v>
      </c>
      <c r="D3836" t="s">
        <v>60</v>
      </c>
      <c r="E3836" t="s">
        <v>2738</v>
      </c>
      <c r="F3836" t="s">
        <v>22</v>
      </c>
      <c r="G3836" t="s">
        <v>23</v>
      </c>
      <c r="H3836" t="s">
        <v>37</v>
      </c>
      <c r="I3836" t="s">
        <v>25</v>
      </c>
      <c r="J3836" s="2">
        <v>45726.800717592603</v>
      </c>
      <c r="K3836">
        <v>10</v>
      </c>
      <c r="L3836">
        <v>3</v>
      </c>
      <c r="M3836">
        <v>2025</v>
      </c>
      <c r="N3836" t="s">
        <v>27</v>
      </c>
      <c r="O3836">
        <v>130</v>
      </c>
      <c r="P3836">
        <v>130</v>
      </c>
      <c r="R3836" s="3" t="str">
        <f>HYPERLINK("https://panda.att.com.mx/ODKServer/view/binaryData?blobKey=FSSuministroFluidosv3%5B%40version%3Dnull+and+%40uiVersion%3Dnull%5D%2Fdata%5B%40key%3Duuid%3Adc117130-2326-4420-b067-2746d79f4ec9%5D%2FgroupInfoFuel%5B%40ordinal%3D1%5D%2FpicFuelRecibeInterno","Descargar")</f>
        <v>Descargar</v>
      </c>
    </row>
    <row r="3837" spans="1:18" x14ac:dyDescent="0.3">
      <c r="A3837">
        <v>1498628</v>
      </c>
      <c r="B3837" t="s">
        <v>18</v>
      </c>
      <c r="C3837" t="s">
        <v>59</v>
      </c>
      <c r="D3837" t="s">
        <v>60</v>
      </c>
      <c r="E3837" t="s">
        <v>2738</v>
      </c>
      <c r="F3837" t="s">
        <v>22</v>
      </c>
      <c r="G3837" t="s">
        <v>23</v>
      </c>
      <c r="H3837" t="s">
        <v>37</v>
      </c>
      <c r="I3837" t="s">
        <v>25</v>
      </c>
      <c r="J3837" s="2">
        <v>45725.329340277778</v>
      </c>
      <c r="K3837">
        <v>9</v>
      </c>
      <c r="L3837">
        <v>3</v>
      </c>
      <c r="M3837">
        <v>2025</v>
      </c>
      <c r="N3837" t="s">
        <v>27</v>
      </c>
      <c r="O3837">
        <v>130</v>
      </c>
      <c r="P3837">
        <v>130</v>
      </c>
      <c r="R3837" s="3" t="str">
        <f>HYPERLINK("https://panda.att.com.mx/ODKServer/view/binaryData?blobKey=FSSuministroFluidosv3%5B%40version%3Dnull+and+%40uiVersion%3Dnull%5D%2Fdata%5B%40key%3Duuid%3A3d3a23ff-944a-4475-9f2d-a40bd5c06cb5%5D%2FgroupInfoFuel%5B%40ordinal%3D1%5D%2FpicFuelRecibeInterno","Descargar")</f>
        <v>Descargar</v>
      </c>
    </row>
    <row r="3838" spans="1:18" x14ac:dyDescent="0.3">
      <c r="A3838">
        <v>1498591</v>
      </c>
      <c r="B3838" t="s">
        <v>18</v>
      </c>
      <c r="C3838" t="s">
        <v>100</v>
      </c>
      <c r="D3838" t="s">
        <v>716</v>
      </c>
      <c r="E3838" t="s">
        <v>717</v>
      </c>
      <c r="F3838" t="s">
        <v>22</v>
      </c>
      <c r="G3838" t="s">
        <v>83</v>
      </c>
      <c r="H3838" t="s">
        <v>1781</v>
      </c>
      <c r="I3838" t="s">
        <v>25</v>
      </c>
      <c r="J3838" s="2">
        <v>45728.900497685187</v>
      </c>
      <c r="K3838">
        <v>12</v>
      </c>
      <c r="L3838">
        <v>3</v>
      </c>
      <c r="M3838">
        <v>2025</v>
      </c>
      <c r="N3838" t="s">
        <v>27</v>
      </c>
      <c r="O3838">
        <v>123</v>
      </c>
      <c r="P3838">
        <v>123</v>
      </c>
      <c r="R3838" s="3" t="str">
        <f>HYPERLINK("https://panda.att.com.mx/ODKServer/view/binaryData?blobKey=FSSuministroFluidosv3%5B%40version%3Dnull+and+%40uiVersion%3Dnull%5D%2Fdata%5B%40key%3Duuid%3A72bc139a-389d-4b2c-b82c-24abdc8605d6%5D%2FgroupInfoFuel%5B%40ordinal%3D1%5D%2FpicFuelRecibeInterno","Descargar")</f>
        <v>Descargar</v>
      </c>
    </row>
    <row r="3839" spans="1:18" x14ac:dyDescent="0.3">
      <c r="A3839">
        <v>1498579</v>
      </c>
      <c r="B3839" t="s">
        <v>18</v>
      </c>
      <c r="C3839" t="s">
        <v>68</v>
      </c>
      <c r="D3839" t="s">
        <v>78</v>
      </c>
      <c r="E3839" t="s">
        <v>2997</v>
      </c>
      <c r="F3839" t="s">
        <v>22</v>
      </c>
      <c r="G3839" t="s">
        <v>23</v>
      </c>
      <c r="H3839" t="s">
        <v>37</v>
      </c>
      <c r="I3839" t="s">
        <v>25</v>
      </c>
      <c r="J3839" s="2">
        <v>45728.902928240743</v>
      </c>
      <c r="K3839">
        <v>12</v>
      </c>
      <c r="L3839">
        <v>3</v>
      </c>
      <c r="M3839">
        <v>2025</v>
      </c>
      <c r="N3839" t="s">
        <v>27</v>
      </c>
      <c r="O3839">
        <v>40</v>
      </c>
      <c r="Q3839">
        <v>40</v>
      </c>
      <c r="R3839" s="3" t="str">
        <f>HYPERLINK("https://panda.att.com.mx/ODKServer/view/binaryData?blobKey=FSSuministroFluidosv3%5B%40version%3Dnull+and+%40uiVersion%3Dnull%5D%2Fdata%5B%40key%3Duuid%3A5ecbf04f-5dbd-4eb1-a88b-afc282e09b5d%5D%2FgroupInfoFuel%5B%40ordinal%3D1%5D%2FpicFuelRecibeInterno","Descargar")</f>
        <v>Descargar</v>
      </c>
    </row>
    <row r="3840" spans="1:18" x14ac:dyDescent="0.3">
      <c r="A3840">
        <v>1498568</v>
      </c>
      <c r="B3840" t="s">
        <v>18</v>
      </c>
      <c r="C3840" t="s">
        <v>68</v>
      </c>
      <c r="D3840" t="s">
        <v>78</v>
      </c>
      <c r="E3840" t="s">
        <v>2997</v>
      </c>
      <c r="F3840" t="s">
        <v>22</v>
      </c>
      <c r="G3840" t="s">
        <v>23</v>
      </c>
      <c r="H3840" t="s">
        <v>37</v>
      </c>
      <c r="I3840" t="s">
        <v>25</v>
      </c>
      <c r="J3840" s="2">
        <v>45728.891527777778</v>
      </c>
      <c r="K3840">
        <v>12</v>
      </c>
      <c r="L3840">
        <v>3</v>
      </c>
      <c r="M3840">
        <v>2025</v>
      </c>
      <c r="N3840" t="s">
        <v>27</v>
      </c>
      <c r="O3840">
        <v>170</v>
      </c>
      <c r="Q3840">
        <v>170</v>
      </c>
      <c r="R3840" s="3" t="str">
        <f>HYPERLINK("https://panda.att.com.mx/ODKServer/view/binaryData?blobKey=FSSuministroFluidosv3%5B%40version%3Dnull+and+%40uiVersion%3Dnull%5D%2Fdata%5B%40key%3Duuid%3Afbee1734-dde3-43d5-b5e0-c60e2ed278d3%5D%2FgroupInfoFuel%5B%40ordinal%3D1%5D%2FpicFuelRecibeInterno","Descargar")</f>
        <v>Descargar</v>
      </c>
    </row>
    <row r="3841" spans="1:18" x14ac:dyDescent="0.3">
      <c r="A3841">
        <v>1498535</v>
      </c>
      <c r="B3841" t="s">
        <v>18</v>
      </c>
      <c r="C3841" t="s">
        <v>34</v>
      </c>
      <c r="D3841" t="s">
        <v>292</v>
      </c>
      <c r="E3841" t="s">
        <v>293</v>
      </c>
      <c r="F3841" t="s">
        <v>22</v>
      </c>
      <c r="G3841" t="s">
        <v>23</v>
      </c>
      <c r="H3841" t="s">
        <v>37</v>
      </c>
      <c r="I3841" t="s">
        <v>25</v>
      </c>
      <c r="J3841" s="2">
        <v>45728.819895833331</v>
      </c>
      <c r="K3841">
        <v>12</v>
      </c>
      <c r="L3841">
        <v>3</v>
      </c>
      <c r="M3841">
        <v>2025</v>
      </c>
      <c r="N3841" t="s">
        <v>27</v>
      </c>
      <c r="O3841">
        <v>400</v>
      </c>
      <c r="P3841">
        <v>400</v>
      </c>
      <c r="R3841" s="3" t="str">
        <f>HYPERLINK("https://panda.att.com.mx/ODKServer/view/binaryData?blobKey=FSSuministroFluidosv3%5B%40version%3Dnull+and+%40uiVersion%3Dnull%5D%2Fdata%5B%40key%3Duuid%3A9ce25871-30cb-44e7-b57d-9f48bbee72fc%5D%2FgroupInfoFuel%5B%40ordinal%3D1%5D%2FpicFuelRecibeInterno","Descargar")</f>
        <v>Descargar</v>
      </c>
    </row>
    <row r="3842" spans="1:18" x14ac:dyDescent="0.3">
      <c r="A3842">
        <v>1498420</v>
      </c>
      <c r="B3842" t="s">
        <v>18</v>
      </c>
      <c r="C3842" t="s">
        <v>19</v>
      </c>
      <c r="D3842" t="s">
        <v>62</v>
      </c>
      <c r="E3842" t="s">
        <v>1674</v>
      </c>
      <c r="F3842" t="s">
        <v>22</v>
      </c>
      <c r="G3842" t="s">
        <v>23</v>
      </c>
      <c r="H3842" t="s">
        <v>24</v>
      </c>
      <c r="I3842" t="s">
        <v>25</v>
      </c>
      <c r="J3842" s="2">
        <v>45728.730497685188</v>
      </c>
      <c r="K3842">
        <v>12</v>
      </c>
      <c r="L3842">
        <v>3</v>
      </c>
      <c r="M3842">
        <v>2025</v>
      </c>
      <c r="N3842" t="s">
        <v>44</v>
      </c>
      <c r="O3842">
        <v>20</v>
      </c>
      <c r="P3842">
        <v>20</v>
      </c>
      <c r="R3842" s="3" t="str">
        <f>HYPERLINK("https://panda.att.com.mx/ODKServer/view/binaryData?blobKey=FSSuministroFluidosv3%5B%40version%3Dnull+and+%40uiVersion%3Dnull%5D%2Fdata%5B%40key%3Duuid%3A16e66e9d-bc05-4f29-80ce-3f70dc7cd77d%5D%2FgroupInfoFuel%5B%40ordinal%3D1%5D%2FpicFuelRecibeInterno","Descargar")</f>
        <v>Descargar</v>
      </c>
    </row>
    <row r="3843" spans="1:18" x14ac:dyDescent="0.3">
      <c r="A3843">
        <v>1498354</v>
      </c>
      <c r="B3843" t="s">
        <v>18</v>
      </c>
      <c r="C3843" t="s">
        <v>55</v>
      </c>
      <c r="D3843" t="s">
        <v>107</v>
      </c>
      <c r="E3843" t="s">
        <v>108</v>
      </c>
      <c r="F3843" t="s">
        <v>22</v>
      </c>
      <c r="G3843" t="s">
        <v>47</v>
      </c>
      <c r="H3843" t="s">
        <v>1763</v>
      </c>
      <c r="I3843" t="s">
        <v>25</v>
      </c>
      <c r="J3843" s="2">
        <v>45728.595925925933</v>
      </c>
      <c r="K3843">
        <v>12</v>
      </c>
      <c r="L3843">
        <v>3</v>
      </c>
      <c r="M3843">
        <v>2025</v>
      </c>
      <c r="N3843" t="s">
        <v>27</v>
      </c>
      <c r="O3843">
        <v>250</v>
      </c>
      <c r="P3843">
        <v>250</v>
      </c>
      <c r="R3843" s="3" t="str">
        <f>HYPERLINK("https://panda.att.com.mx/ODKServer/view/binaryData?blobKey=FSSuministroFluidosv3%5B%40version%3Dnull+and+%40uiVersion%3Dnull%5D%2Fdata%5B%40key%3Duuid%3A32b82b9c-aebd-4942-939a-f4cd14480faf%5D%2FgroupInfoFuel%5B%40ordinal%3D1%5D%2FpicFuelRecibeInterno","Descargar")</f>
        <v>Descargar</v>
      </c>
    </row>
    <row r="3844" spans="1:18" x14ac:dyDescent="0.3">
      <c r="A3844">
        <v>1498353</v>
      </c>
      <c r="B3844" t="s">
        <v>18</v>
      </c>
      <c r="C3844" t="s">
        <v>55</v>
      </c>
      <c r="D3844" t="s">
        <v>89</v>
      </c>
      <c r="E3844" t="s">
        <v>2998</v>
      </c>
      <c r="F3844" t="s">
        <v>22</v>
      </c>
      <c r="G3844" t="s">
        <v>47</v>
      </c>
      <c r="H3844" t="s">
        <v>1763</v>
      </c>
      <c r="I3844" t="s">
        <v>25</v>
      </c>
      <c r="J3844" s="2">
        <v>45728.483715277784</v>
      </c>
      <c r="K3844">
        <v>12</v>
      </c>
      <c r="L3844">
        <v>3</v>
      </c>
      <c r="M3844">
        <v>2025</v>
      </c>
      <c r="N3844" t="s">
        <v>27</v>
      </c>
      <c r="O3844">
        <v>250</v>
      </c>
      <c r="P3844">
        <v>250</v>
      </c>
      <c r="R3844" s="3" t="str">
        <f>HYPERLINK("https://panda.att.com.mx/ODKServer/view/binaryData?blobKey=FSSuministroFluidosv3%5B%40version%3Dnull+and+%40uiVersion%3Dnull%5D%2Fdata%5B%40key%3Duuid%3A6fe121fb-d196-4686-bcb2-c07a3659ea7c%5D%2FgroupInfoFuel%5B%40ordinal%3D1%5D%2FpicFuelRecibeInterno","Descargar")</f>
        <v>Descargar</v>
      </c>
    </row>
    <row r="3845" spans="1:18" x14ac:dyDescent="0.3">
      <c r="A3845">
        <v>1498310</v>
      </c>
      <c r="B3845" t="s">
        <v>18</v>
      </c>
      <c r="C3845" t="s">
        <v>34</v>
      </c>
      <c r="D3845" t="s">
        <v>121</v>
      </c>
      <c r="E3845" t="s">
        <v>2999</v>
      </c>
      <c r="F3845" t="s">
        <v>22</v>
      </c>
      <c r="G3845" t="s">
        <v>23</v>
      </c>
      <c r="H3845" t="s">
        <v>37</v>
      </c>
      <c r="I3845" t="s">
        <v>25</v>
      </c>
      <c r="J3845" s="2">
        <v>45728.670347222222</v>
      </c>
      <c r="K3845">
        <v>12</v>
      </c>
      <c r="L3845">
        <v>3</v>
      </c>
      <c r="M3845">
        <v>2025</v>
      </c>
      <c r="N3845" t="s">
        <v>27</v>
      </c>
      <c r="O3845">
        <v>150</v>
      </c>
      <c r="P3845">
        <v>150</v>
      </c>
      <c r="R3845" s="3" t="str">
        <f>HYPERLINK("https://panda.att.com.mx/ODKServer/view/binaryData?blobKey=FSSuministroFluidosv3%5B%40version%3Dnull+and+%40uiVersion%3Dnull%5D%2Fdata%5B%40key%3Duuid%3Ad2f7ae38-7ee4-4a9f-a75b-d189076e8ada%5D%2FgroupInfoFuel%5B%40ordinal%3D1%5D%2FpicFuelRecibeInterno","Descargar")</f>
        <v>Descargar</v>
      </c>
    </row>
    <row r="3846" spans="1:18" x14ac:dyDescent="0.3">
      <c r="A3846">
        <v>1498199</v>
      </c>
      <c r="B3846" t="s">
        <v>18</v>
      </c>
      <c r="C3846" t="s">
        <v>100</v>
      </c>
      <c r="D3846" t="s">
        <v>716</v>
      </c>
      <c r="E3846" t="s">
        <v>1350</v>
      </c>
      <c r="F3846" t="s">
        <v>22</v>
      </c>
      <c r="G3846" t="s">
        <v>23</v>
      </c>
      <c r="H3846" t="s">
        <v>1781</v>
      </c>
      <c r="I3846" t="s">
        <v>25</v>
      </c>
      <c r="J3846" s="2">
        <v>45728.608472222222</v>
      </c>
      <c r="K3846">
        <v>12</v>
      </c>
      <c r="L3846">
        <v>3</v>
      </c>
      <c r="M3846">
        <v>2025</v>
      </c>
      <c r="N3846" t="s">
        <v>27</v>
      </c>
      <c r="O3846">
        <v>100</v>
      </c>
      <c r="P3846">
        <v>100</v>
      </c>
      <c r="R3846" s="3" t="str">
        <f>HYPERLINK("https://panda.att.com.mx/ODKServer/view/binaryData?blobKey=FSSuministroFluidosv3%5B%40version%3Dnull+and+%40uiVersion%3Dnull%5D%2Fdata%5B%40key%3Duuid%3A10829857-429e-43fa-bb5f-a01d7a6736e4%5D%2FgroupInfoFuel%5B%40ordinal%3D1%5D%2FpicFuelRecibeInterno","Descargar")</f>
        <v>Descargar</v>
      </c>
    </row>
    <row r="3847" spans="1:18" x14ac:dyDescent="0.3">
      <c r="A3847">
        <v>1498123</v>
      </c>
      <c r="B3847" t="s">
        <v>18</v>
      </c>
      <c r="C3847" t="s">
        <v>34</v>
      </c>
      <c r="D3847" t="s">
        <v>187</v>
      </c>
      <c r="E3847" t="s">
        <v>3000</v>
      </c>
      <c r="F3847" t="s">
        <v>22</v>
      </c>
      <c r="G3847" t="s">
        <v>23</v>
      </c>
      <c r="H3847" t="s">
        <v>24</v>
      </c>
      <c r="I3847" t="s">
        <v>25</v>
      </c>
      <c r="J3847" s="2">
        <v>45727.427025462966</v>
      </c>
      <c r="K3847">
        <v>11</v>
      </c>
      <c r="L3847">
        <v>3</v>
      </c>
      <c r="M3847">
        <v>2025</v>
      </c>
      <c r="N3847" t="s">
        <v>27</v>
      </c>
      <c r="O3847">
        <v>250</v>
      </c>
      <c r="P3847">
        <v>250</v>
      </c>
      <c r="R3847" s="3" t="str">
        <f>HYPERLINK("https://panda.att.com.mx/ODKServer/view/binaryData?blobKey=FSSuministroFluidosv3%5B%40version%3Dnull+and+%40uiVersion%3Dnull%5D%2Fdata%5B%40key%3Duuid%3Af3ed064c-043b-416e-b390-be17ba90ffe5%5D%2FgroupInfoFuel%5B%40ordinal%3D1%5D%2FpicFuelRecibeInterno","Descargar")</f>
        <v>Descargar</v>
      </c>
    </row>
    <row r="3848" spans="1:18" x14ac:dyDescent="0.3">
      <c r="A3848">
        <v>1498122</v>
      </c>
      <c r="B3848" t="s">
        <v>18</v>
      </c>
      <c r="C3848" t="s">
        <v>34</v>
      </c>
      <c r="D3848" t="s">
        <v>187</v>
      </c>
      <c r="E3848" t="s">
        <v>3001</v>
      </c>
      <c r="F3848" t="s">
        <v>22</v>
      </c>
      <c r="G3848" t="s">
        <v>23</v>
      </c>
      <c r="H3848" t="s">
        <v>24</v>
      </c>
      <c r="I3848" t="s">
        <v>25</v>
      </c>
      <c r="J3848" s="2">
        <v>45727.474733796298</v>
      </c>
      <c r="K3848">
        <v>11</v>
      </c>
      <c r="L3848">
        <v>3</v>
      </c>
      <c r="M3848">
        <v>2025</v>
      </c>
      <c r="N3848" t="s">
        <v>27</v>
      </c>
      <c r="O3848">
        <v>300</v>
      </c>
      <c r="Q3848">
        <v>300</v>
      </c>
      <c r="R3848" s="3" t="str">
        <f>HYPERLINK("https://panda.att.com.mx/ODKServer/view/binaryData?blobKey=FSSuministroFluidosv3%5B%40version%3Dnull+and+%40uiVersion%3Dnull%5D%2Fdata%5B%40key%3Duuid%3Ae546c0b9-cdc7-4198-9d8e-b5d04e9b5877%5D%2FgroupInfoFuel%5B%40ordinal%3D1%5D%2FpicFuelRecibeInterno","Descargar")</f>
        <v>Descargar</v>
      </c>
    </row>
    <row r="3849" spans="1:18" x14ac:dyDescent="0.3">
      <c r="A3849">
        <v>1498008</v>
      </c>
      <c r="B3849" t="s">
        <v>18</v>
      </c>
      <c r="C3849" t="s">
        <v>19</v>
      </c>
      <c r="D3849" t="s">
        <v>45</v>
      </c>
      <c r="E3849" t="s">
        <v>752</v>
      </c>
      <c r="F3849" t="s">
        <v>22</v>
      </c>
      <c r="G3849" t="s">
        <v>23</v>
      </c>
      <c r="H3849" t="s">
        <v>24</v>
      </c>
      <c r="I3849" t="s">
        <v>25</v>
      </c>
      <c r="J3849" s="2">
        <v>45727.399502314824</v>
      </c>
      <c r="K3849">
        <v>11</v>
      </c>
      <c r="L3849">
        <v>3</v>
      </c>
      <c r="M3849">
        <v>2025</v>
      </c>
      <c r="N3849" t="s">
        <v>27</v>
      </c>
      <c r="O3849">
        <v>400</v>
      </c>
      <c r="P3849">
        <v>400</v>
      </c>
      <c r="R3849" s="3" t="str">
        <f>HYPERLINK("https://panda.att.com.mx/ODKServer/view/binaryData?blobKey=FSSuministroFluidosv3%5B%40version%3Dnull+and+%40uiVersion%3Dnull%5D%2Fdata%5B%40key%3Duuid%3Aba0d6fb1-432d-4808-b4f1-0b0133d4edc2%5D%2FgroupInfoFuel%5B%40ordinal%3D1%5D%2FpicFuelRecibeInterno","Descargar")</f>
        <v>Descargar</v>
      </c>
    </row>
    <row r="3850" spans="1:18" x14ac:dyDescent="0.3">
      <c r="A3850">
        <v>1500402</v>
      </c>
      <c r="B3850" t="s">
        <v>18</v>
      </c>
      <c r="C3850" t="s">
        <v>55</v>
      </c>
      <c r="D3850" t="s">
        <v>56</v>
      </c>
      <c r="E3850" t="s">
        <v>2983</v>
      </c>
      <c r="F3850" t="s">
        <v>22</v>
      </c>
      <c r="G3850" t="s">
        <v>47</v>
      </c>
      <c r="H3850" t="s">
        <v>1763</v>
      </c>
      <c r="I3850" t="s">
        <v>25</v>
      </c>
      <c r="J3850" s="2">
        <v>45728.439027777778</v>
      </c>
      <c r="K3850">
        <v>12</v>
      </c>
      <c r="L3850">
        <v>3</v>
      </c>
      <c r="M3850">
        <v>2025</v>
      </c>
      <c r="N3850" t="s">
        <v>27</v>
      </c>
      <c r="O3850">
        <v>100</v>
      </c>
      <c r="P3850">
        <v>100</v>
      </c>
      <c r="R3850" s="3" t="str">
        <f>HYPERLINK("https://panda.att.com.mx/ODKServer/view/binaryData?blobKey=FSSuministroFluidosv3%5B%40version%3Dnull+and+%40uiVersion%3Dnull%5D%2Fdata%5B%40key%3Duuid%3A06f981f9-4a86-4000-963b-cefe8ea9c05d%5D%2FgroupInfoFuel%5B%40ordinal%3D1%5D%2FpicFuelRecibeInterno","Descargar")</f>
        <v>Descargar</v>
      </c>
    </row>
    <row r="3851" spans="1:18" x14ac:dyDescent="0.3">
      <c r="A3851">
        <v>1500401</v>
      </c>
      <c r="B3851" t="s">
        <v>18</v>
      </c>
      <c r="C3851" t="s">
        <v>55</v>
      </c>
      <c r="D3851" t="s">
        <v>56</v>
      </c>
      <c r="E3851" t="s">
        <v>2988</v>
      </c>
      <c r="F3851" t="s">
        <v>22</v>
      </c>
      <c r="G3851" t="s">
        <v>47</v>
      </c>
      <c r="H3851" t="s">
        <v>1763</v>
      </c>
      <c r="I3851" t="s">
        <v>25</v>
      </c>
      <c r="J3851" s="2">
        <v>45727.784282407411</v>
      </c>
      <c r="K3851">
        <v>11</v>
      </c>
      <c r="L3851">
        <v>3</v>
      </c>
      <c r="M3851">
        <v>2025</v>
      </c>
      <c r="N3851" t="s">
        <v>27</v>
      </c>
      <c r="O3851">
        <v>100</v>
      </c>
      <c r="P3851">
        <v>100</v>
      </c>
      <c r="R3851" s="3" t="str">
        <f>HYPERLINK("https://panda.att.com.mx/ODKServer/view/binaryData?blobKey=FSSuministroFluidosv3%5B%40version%3Dnull+and+%40uiVersion%3Dnull%5D%2Fdata%5B%40key%3Duuid%3A048cd8ee-8fd2-48dc-a9ee-793996dee0d3%5D%2FgroupInfoFuel%5B%40ordinal%3D1%5D%2FpicFuelRecibeInterno","Descargar")</f>
        <v>Descargar</v>
      </c>
    </row>
    <row r="3852" spans="1:18" x14ac:dyDescent="0.3">
      <c r="A3852">
        <v>1500400</v>
      </c>
      <c r="B3852" t="s">
        <v>18</v>
      </c>
      <c r="C3852" t="s">
        <v>55</v>
      </c>
      <c r="D3852" t="s">
        <v>56</v>
      </c>
      <c r="E3852" t="s">
        <v>2945</v>
      </c>
      <c r="F3852" t="s">
        <v>22</v>
      </c>
      <c r="G3852" t="s">
        <v>47</v>
      </c>
      <c r="H3852" t="s">
        <v>1763</v>
      </c>
      <c r="I3852" t="s">
        <v>25</v>
      </c>
      <c r="J3852" s="2">
        <v>45721.037083333344</v>
      </c>
      <c r="K3852">
        <v>5</v>
      </c>
      <c r="L3852">
        <v>3</v>
      </c>
      <c r="M3852">
        <v>2025</v>
      </c>
      <c r="N3852" t="s">
        <v>27</v>
      </c>
      <c r="O3852">
        <v>130</v>
      </c>
      <c r="P3852">
        <v>130</v>
      </c>
      <c r="R3852" s="3" t="str">
        <f>HYPERLINK("https://panda.att.com.mx/ODKServer/view/binaryData?blobKey=FSSuministroFluidosv3%5B%40version%3Dnull+and+%40uiVersion%3Dnull%5D%2Fdata%5B%40key%3Duuid%3A03c67c2d-7f0b-4f2d-b338-a0bfc51342c6%5D%2FgroupInfoFuel%5B%40ordinal%3D1%5D%2FpicFuelRecibeInterno","Descargar")</f>
        <v>Descargar</v>
      </c>
    </row>
    <row r="3853" spans="1:18" x14ac:dyDescent="0.3">
      <c r="A3853">
        <v>1500399</v>
      </c>
      <c r="B3853" t="s">
        <v>18</v>
      </c>
      <c r="C3853" t="s">
        <v>55</v>
      </c>
      <c r="D3853" t="s">
        <v>56</v>
      </c>
      <c r="E3853" t="s">
        <v>3002</v>
      </c>
      <c r="F3853" t="s">
        <v>22</v>
      </c>
      <c r="G3853" t="s">
        <v>47</v>
      </c>
      <c r="H3853" t="s">
        <v>1763</v>
      </c>
      <c r="I3853" t="s">
        <v>25</v>
      </c>
      <c r="J3853" s="2">
        <v>45710.447812500002</v>
      </c>
      <c r="K3853">
        <v>22</v>
      </c>
      <c r="L3853">
        <v>2</v>
      </c>
      <c r="M3853">
        <v>2025</v>
      </c>
      <c r="N3853" t="s">
        <v>27</v>
      </c>
      <c r="O3853">
        <v>150</v>
      </c>
      <c r="P3853">
        <v>150</v>
      </c>
      <c r="R3853" s="3" t="str">
        <f>HYPERLINK("https://panda.att.com.mx/ODKServer/view/binaryData?blobKey=FSSuministroFluidosv3%5B%40version%3Dnull+and+%40uiVersion%3Dnull%5D%2Fdata%5B%40key%3Duuid%3A20c6b009-dadb-4532-8ee4-a7c471db65ee%5D%2FgroupInfoFuel%5B%40ordinal%3D1%5D%2FpicFuelRecibeInterno","Descargar")</f>
        <v>Descargar</v>
      </c>
    </row>
    <row r="3854" spans="1:18" x14ac:dyDescent="0.3">
      <c r="A3854">
        <v>1500388</v>
      </c>
      <c r="B3854" t="s">
        <v>18</v>
      </c>
      <c r="C3854" t="s">
        <v>100</v>
      </c>
      <c r="D3854" t="s">
        <v>716</v>
      </c>
      <c r="E3854" t="s">
        <v>1584</v>
      </c>
      <c r="F3854" t="s">
        <v>22</v>
      </c>
      <c r="G3854" t="s">
        <v>23</v>
      </c>
      <c r="H3854" t="s">
        <v>1781</v>
      </c>
      <c r="I3854" t="s">
        <v>25</v>
      </c>
      <c r="J3854" s="2">
        <v>45730.662141203713</v>
      </c>
      <c r="K3854">
        <v>14</v>
      </c>
      <c r="L3854">
        <v>3</v>
      </c>
      <c r="M3854">
        <v>2025</v>
      </c>
      <c r="N3854" t="s">
        <v>27</v>
      </c>
      <c r="O3854">
        <v>200</v>
      </c>
      <c r="P3854">
        <v>200</v>
      </c>
      <c r="R3854" s="3" t="str">
        <f>HYPERLINK("https://panda.att.com.mx/ODKServer/view/binaryData?blobKey=FSSuministroFluidosv3%5B%40version%3Dnull+and+%40uiVersion%3Dnull%5D%2Fdata%5B%40key%3Duuid%3A8ad24327-b9ae-4c64-8b9d-891b4ef1e067%5D%2FgroupInfoFuel%5B%40ordinal%3D1%5D%2FpicFuelRecibeInterno","Descargar")</f>
        <v>Descargar</v>
      </c>
    </row>
    <row r="3855" spans="1:18" x14ac:dyDescent="0.3">
      <c r="A3855">
        <v>1500354</v>
      </c>
      <c r="B3855" t="s">
        <v>18</v>
      </c>
      <c r="C3855" t="s">
        <v>59</v>
      </c>
      <c r="D3855" t="s">
        <v>1242</v>
      </c>
      <c r="E3855" t="s">
        <v>3003</v>
      </c>
      <c r="F3855" t="s">
        <v>22</v>
      </c>
      <c r="G3855" t="s">
        <v>23</v>
      </c>
      <c r="H3855" t="s">
        <v>37</v>
      </c>
      <c r="I3855" t="s">
        <v>25</v>
      </c>
      <c r="J3855" s="2">
        <v>45730.641770833332</v>
      </c>
      <c r="K3855">
        <v>14</v>
      </c>
      <c r="L3855">
        <v>3</v>
      </c>
      <c r="M3855">
        <v>2025</v>
      </c>
      <c r="N3855" t="s">
        <v>27</v>
      </c>
      <c r="O3855">
        <v>50</v>
      </c>
      <c r="P3855">
        <v>50</v>
      </c>
      <c r="R3855" s="3" t="str">
        <f>HYPERLINK("https://panda.att.com.mx/ODKServer/view/binaryData?blobKey=FSSuministroFluidosv3%5B%40version%3Dnull+and+%40uiVersion%3Dnull%5D%2Fdata%5B%40key%3Duuid%3Aaed5ca3a-53c0-4ff0-a561-4ac426aa6516%5D%2FgroupInfoFuel%5B%40ordinal%3D1%5D%2FpicFuelRecibeInterno","Descargar")</f>
        <v>Descargar</v>
      </c>
    </row>
    <row r="3856" spans="1:18" x14ac:dyDescent="0.3">
      <c r="A3856">
        <v>1500307</v>
      </c>
      <c r="B3856" t="s">
        <v>18</v>
      </c>
      <c r="C3856" t="s">
        <v>100</v>
      </c>
      <c r="D3856" t="s">
        <v>101</v>
      </c>
      <c r="E3856" t="s">
        <v>1585</v>
      </c>
      <c r="F3856" t="s">
        <v>22</v>
      </c>
      <c r="G3856" t="s">
        <v>23</v>
      </c>
      <c r="H3856" t="s">
        <v>1781</v>
      </c>
      <c r="I3856" t="s">
        <v>25</v>
      </c>
      <c r="J3856" s="2">
        <v>45730.627743055556</v>
      </c>
      <c r="K3856">
        <v>14</v>
      </c>
      <c r="L3856">
        <v>3</v>
      </c>
      <c r="M3856">
        <v>2025</v>
      </c>
      <c r="N3856" t="s">
        <v>27</v>
      </c>
      <c r="O3856">
        <v>200</v>
      </c>
      <c r="P3856">
        <v>200</v>
      </c>
      <c r="R3856" s="3" t="str">
        <f>HYPERLINK("https://panda.att.com.mx/ODKServer/view/binaryData?blobKey=FSSuministroFluidosv3%5B%40version%3Dnull+and+%40uiVersion%3Dnull%5D%2Fdata%5B%40key%3Duuid%3A03f89511-7a78-4572-88c2-ada397bfefaf%5D%2FgroupInfoFuel%5B%40ordinal%3D1%5D%2FpicFuelRecibeInterno","Descargar")</f>
        <v>Descargar</v>
      </c>
    </row>
    <row r="3857" spans="1:18" x14ac:dyDescent="0.3">
      <c r="A3857">
        <v>1500272</v>
      </c>
      <c r="B3857" t="s">
        <v>18</v>
      </c>
      <c r="C3857" t="s">
        <v>167</v>
      </c>
      <c r="D3857" t="s">
        <v>768</v>
      </c>
      <c r="E3857" t="s">
        <v>998</v>
      </c>
      <c r="F3857" t="s">
        <v>22</v>
      </c>
      <c r="G3857" t="s">
        <v>23</v>
      </c>
      <c r="H3857" t="s">
        <v>58</v>
      </c>
      <c r="I3857" t="s">
        <v>25</v>
      </c>
      <c r="J3857" s="2">
        <v>45730.564513888887</v>
      </c>
      <c r="K3857">
        <v>14</v>
      </c>
      <c r="L3857">
        <v>3</v>
      </c>
      <c r="M3857">
        <v>2025</v>
      </c>
      <c r="N3857" t="s">
        <v>27</v>
      </c>
      <c r="O3857">
        <v>300</v>
      </c>
      <c r="P3857">
        <v>300</v>
      </c>
      <c r="R3857" s="3" t="str">
        <f>HYPERLINK("https://panda.att.com.mx/ODKServer/view/binaryData?blobKey=FSSuministroFluidosv3%5B%40version%3Dnull+and+%40uiVersion%3Dnull%5D%2Fdata%5B%40key%3Duuid%3A7d2ebdbf-c1e0-4e88-a86e-09da5416f41c%5D%2FgroupInfoFuel%5B%40ordinal%3D1%5D%2FpicFuelRecibeInterno","Descargar")</f>
        <v>Descargar</v>
      </c>
    </row>
    <row r="3858" spans="1:18" x14ac:dyDescent="0.3">
      <c r="A3858">
        <v>1500247</v>
      </c>
      <c r="B3858" t="s">
        <v>18</v>
      </c>
      <c r="C3858" t="s">
        <v>150</v>
      </c>
      <c r="D3858" t="s">
        <v>154</v>
      </c>
      <c r="E3858" t="s">
        <v>3004</v>
      </c>
      <c r="F3858" t="s">
        <v>22</v>
      </c>
      <c r="G3858" t="s">
        <v>23</v>
      </c>
      <c r="H3858" t="s">
        <v>1781</v>
      </c>
      <c r="I3858" t="s">
        <v>25</v>
      </c>
      <c r="J3858" s="2">
        <v>45730.551921296297</v>
      </c>
      <c r="K3858">
        <v>14</v>
      </c>
      <c r="L3858">
        <v>3</v>
      </c>
      <c r="M3858">
        <v>2025</v>
      </c>
      <c r="N3858" t="s">
        <v>27</v>
      </c>
      <c r="O3858">
        <v>400</v>
      </c>
      <c r="P3858">
        <v>400</v>
      </c>
      <c r="R3858" s="3" t="str">
        <f>HYPERLINK("https://panda.att.com.mx/ODKServer/view/binaryData?blobKey=FSSuministroFluidosv3%5B%40version%3Dnull+and+%40uiVersion%3Dnull%5D%2Fdata%5B%40key%3Duuid%3A877d02b4-9edc-46de-81ae-4550050c0a7a%5D%2FgroupInfoFuel%5B%40ordinal%3D1%5D%2FpicFuelRecibeInterno","Descargar")</f>
        <v>Descargar</v>
      </c>
    </row>
    <row r="3859" spans="1:18" x14ac:dyDescent="0.3">
      <c r="A3859">
        <v>1500156</v>
      </c>
      <c r="B3859" t="s">
        <v>18</v>
      </c>
      <c r="C3859" t="s">
        <v>100</v>
      </c>
      <c r="D3859" t="s">
        <v>101</v>
      </c>
      <c r="E3859" t="s">
        <v>3005</v>
      </c>
      <c r="F3859" t="s">
        <v>22</v>
      </c>
      <c r="G3859" t="s">
        <v>23</v>
      </c>
      <c r="H3859" t="s">
        <v>1781</v>
      </c>
      <c r="I3859" t="s">
        <v>25</v>
      </c>
      <c r="J3859" s="2">
        <v>45730.541712962957</v>
      </c>
      <c r="K3859">
        <v>14</v>
      </c>
      <c r="L3859">
        <v>3</v>
      </c>
      <c r="M3859">
        <v>2025</v>
      </c>
      <c r="N3859" t="s">
        <v>27</v>
      </c>
      <c r="O3859">
        <v>200</v>
      </c>
      <c r="P3859">
        <v>200</v>
      </c>
      <c r="R3859" s="3" t="str">
        <f>HYPERLINK("https://panda.att.com.mx/ODKServer/view/binaryData?blobKey=FSSuministroFluidosv3%5B%40version%3Dnull+and+%40uiVersion%3Dnull%5D%2Fdata%5B%40key%3Duuid%3A44cdee97-b98c-49cc-a5b3-7251bb490a93%5D%2FgroupInfoFuel%5B%40ordinal%3D1%5D%2FpicFuelRecibeInterno","Descargar")</f>
        <v>Descargar</v>
      </c>
    </row>
    <row r="3860" spans="1:18" x14ac:dyDescent="0.3">
      <c r="A3860">
        <v>1500060</v>
      </c>
      <c r="B3860" t="s">
        <v>18</v>
      </c>
      <c r="C3860" t="s">
        <v>55</v>
      </c>
      <c r="D3860" t="s">
        <v>128</v>
      </c>
      <c r="E3860" t="s">
        <v>2758</v>
      </c>
      <c r="F3860" t="s">
        <v>22</v>
      </c>
      <c r="G3860" t="s">
        <v>47</v>
      </c>
      <c r="H3860" t="s">
        <v>1763</v>
      </c>
      <c r="I3860" t="s">
        <v>25</v>
      </c>
      <c r="J3860" s="2">
        <v>45730.483773148153</v>
      </c>
      <c r="K3860">
        <v>14</v>
      </c>
      <c r="L3860">
        <v>3</v>
      </c>
      <c r="M3860">
        <v>2025</v>
      </c>
      <c r="N3860" t="s">
        <v>27</v>
      </c>
      <c r="O3860">
        <v>300</v>
      </c>
      <c r="P3860">
        <v>300</v>
      </c>
      <c r="R3860" s="3" t="str">
        <f>HYPERLINK("https://panda.att.com.mx/ODKServer/view/binaryData?blobKey=FSSuministroFluidosv3%5B%40version%3Dnull+and+%40uiVersion%3Dnull%5D%2Fdata%5B%40key%3Duuid%3Af55c2a03-9b28-43a3-a4b2-8c0550306a2a%5D%2FgroupInfoFuel%5B%40ordinal%3D1%5D%2FpicFuelRecibeInterno","Descargar")</f>
        <v>Descargar</v>
      </c>
    </row>
    <row r="3861" spans="1:18" x14ac:dyDescent="0.3">
      <c r="A3861">
        <v>1500047</v>
      </c>
      <c r="B3861" t="s">
        <v>18</v>
      </c>
      <c r="C3861" t="s">
        <v>150</v>
      </c>
      <c r="D3861" t="s">
        <v>154</v>
      </c>
      <c r="E3861" t="s">
        <v>2714</v>
      </c>
      <c r="F3861" t="s">
        <v>22</v>
      </c>
      <c r="G3861" t="s">
        <v>47</v>
      </c>
      <c r="H3861" t="s">
        <v>1781</v>
      </c>
      <c r="I3861" t="s">
        <v>25</v>
      </c>
      <c r="J3861" s="2">
        <v>45730.491770833331</v>
      </c>
      <c r="K3861">
        <v>14</v>
      </c>
      <c r="L3861">
        <v>3</v>
      </c>
      <c r="M3861">
        <v>2025</v>
      </c>
      <c r="N3861" t="s">
        <v>27</v>
      </c>
      <c r="O3861">
        <v>424.4</v>
      </c>
      <c r="P3861">
        <v>424.4</v>
      </c>
      <c r="R3861" s="3" t="str">
        <f>HYPERLINK("https://panda.att.com.mx/ODKServer/view/binaryData?blobKey=FSSuministroFluidosv3%5B%40version%3Dnull+and+%40uiVersion%3Dnull%5D%2Fdata%5B%40key%3Duuid%3Acad9de68-ce21-4e9b-9db2-906095ab8059%5D%2FgroupInfoFuel%5B%40ordinal%3D1%5D%2FpicFuelRecibeInterno","Descargar")</f>
        <v>Descargar</v>
      </c>
    </row>
    <row r="3862" spans="1:18" x14ac:dyDescent="0.3">
      <c r="A3862">
        <v>1499589</v>
      </c>
      <c r="B3862" t="s">
        <v>18</v>
      </c>
      <c r="C3862" t="s">
        <v>19</v>
      </c>
      <c r="D3862" t="s">
        <v>109</v>
      </c>
      <c r="E3862" t="s">
        <v>3006</v>
      </c>
      <c r="F3862" t="s">
        <v>22</v>
      </c>
      <c r="G3862" t="s">
        <v>23</v>
      </c>
      <c r="H3862" t="s">
        <v>24</v>
      </c>
      <c r="I3862" t="s">
        <v>25</v>
      </c>
      <c r="J3862" s="2">
        <v>45729.891493055547</v>
      </c>
      <c r="K3862">
        <v>13</v>
      </c>
      <c r="L3862">
        <v>3</v>
      </c>
      <c r="M3862">
        <v>2025</v>
      </c>
      <c r="N3862" t="s">
        <v>27</v>
      </c>
      <c r="O3862">
        <v>200</v>
      </c>
      <c r="P3862">
        <v>200</v>
      </c>
      <c r="R3862" s="3" t="str">
        <f>HYPERLINK("https://panda.att.com.mx/ODKServer/view/binaryData?blobKey=FSSuministroFluidosv3%5B%40version%3Dnull+and+%40uiVersion%3Dnull%5D%2Fdata%5B%40key%3Duuid%3Aa5b8c49f-cfc7-429e-a2cb-dc64dc224d69%5D%2FgroupInfoFuel%5B%40ordinal%3D1%5D%2FpicFuelRecibeInterno","Descargar")</f>
        <v>Descargar</v>
      </c>
    </row>
    <row r="3863" spans="1:18" x14ac:dyDescent="0.3">
      <c r="A3863">
        <v>1499582</v>
      </c>
      <c r="B3863" t="s">
        <v>18</v>
      </c>
      <c r="C3863" t="s">
        <v>19</v>
      </c>
      <c r="D3863" t="s">
        <v>2159</v>
      </c>
      <c r="E3863" t="s">
        <v>2160</v>
      </c>
      <c r="F3863" t="s">
        <v>22</v>
      </c>
      <c r="G3863" t="s">
        <v>23</v>
      </c>
      <c r="H3863" t="s">
        <v>24</v>
      </c>
      <c r="I3863" t="s">
        <v>25</v>
      </c>
      <c r="J3863" s="2">
        <v>45729.883368055547</v>
      </c>
      <c r="K3863">
        <v>13</v>
      </c>
      <c r="L3863">
        <v>3</v>
      </c>
      <c r="M3863">
        <v>2025</v>
      </c>
      <c r="N3863" t="s">
        <v>44</v>
      </c>
      <c r="O3863">
        <v>35</v>
      </c>
      <c r="P3863">
        <v>35</v>
      </c>
      <c r="R3863" s="3" t="str">
        <f>HYPERLINK("https://panda.att.com.mx/ODKServer/view/binaryData?blobKey=FSSuministroFluidosv3%5B%40version%3Dnull+and+%40uiVersion%3Dnull%5D%2Fdata%5B%40key%3Duuid%3Af504f5a9-1e44-470a-9f39-27de2385f98d%5D%2FgroupInfoFuel%5B%40ordinal%3D1%5D%2FpicFuelRecibeInterno","Descargar")</f>
        <v>Descargar</v>
      </c>
    </row>
    <row r="3864" spans="1:18" x14ac:dyDescent="0.3">
      <c r="A3864">
        <v>1499541</v>
      </c>
      <c r="B3864" t="s">
        <v>18</v>
      </c>
      <c r="C3864" t="s">
        <v>55</v>
      </c>
      <c r="D3864" t="s">
        <v>628</v>
      </c>
      <c r="E3864" t="s">
        <v>3007</v>
      </c>
      <c r="F3864" t="s">
        <v>22</v>
      </c>
      <c r="G3864" t="s">
        <v>23</v>
      </c>
      <c r="H3864" t="s">
        <v>1781</v>
      </c>
      <c r="I3864" t="s">
        <v>25</v>
      </c>
      <c r="J3864" s="2">
        <v>45729.760729166657</v>
      </c>
      <c r="K3864">
        <v>13</v>
      </c>
      <c r="L3864">
        <v>3</v>
      </c>
      <c r="M3864">
        <v>2025</v>
      </c>
      <c r="N3864" t="s">
        <v>44</v>
      </c>
      <c r="O3864">
        <v>42.79</v>
      </c>
      <c r="P3864">
        <v>42.79</v>
      </c>
      <c r="R3864" s="3" t="str">
        <f>HYPERLINK("https://panda.att.com.mx/ODKServer/view/binaryData?blobKey=FSSuministroFluidosv3%5B%40version%3Dnull+and+%40uiVersion%3Dnull%5D%2Fdata%5B%40key%3Duuid%3A14a7bd5d-0142-4dc3-8c26-95271512089f%5D%2FgroupInfoFuel%5B%40ordinal%3D1%5D%2FpicFuelRecibeInterno","Descargar")</f>
        <v>Descargar</v>
      </c>
    </row>
    <row r="3865" spans="1:18" x14ac:dyDescent="0.3">
      <c r="A3865">
        <v>1499524</v>
      </c>
      <c r="B3865" t="s">
        <v>18</v>
      </c>
      <c r="C3865" t="s">
        <v>28</v>
      </c>
      <c r="D3865" t="s">
        <v>66</v>
      </c>
      <c r="E3865" t="s">
        <v>104</v>
      </c>
      <c r="F3865" t="s">
        <v>22</v>
      </c>
      <c r="G3865" t="s">
        <v>23</v>
      </c>
      <c r="H3865" t="s">
        <v>24</v>
      </c>
      <c r="I3865" t="s">
        <v>25</v>
      </c>
      <c r="J3865" s="2">
        <v>45728.596064814818</v>
      </c>
      <c r="K3865">
        <v>12</v>
      </c>
      <c r="L3865">
        <v>3</v>
      </c>
      <c r="M3865">
        <v>2025</v>
      </c>
      <c r="N3865" t="s">
        <v>27</v>
      </c>
      <c r="O3865">
        <v>40</v>
      </c>
      <c r="P3865">
        <v>40</v>
      </c>
      <c r="R3865" s="3" t="str">
        <f>HYPERLINK("https://panda.att.com.mx/ODKServer/view/binaryData?blobKey=FSSuministroFluidosv3%5B%40version%3Dnull+and+%40uiVersion%3Dnull%5D%2Fdata%5B%40key%3Duuid%3A00481835-34a3-4bed-8cd3-3858cf600e19%5D%2FgroupInfoFuel%5B%40ordinal%3D1%5D%2FpicFuelRecibeInterno","Descargar")</f>
        <v>Descargar</v>
      </c>
    </row>
    <row r="3866" spans="1:18" x14ac:dyDescent="0.3">
      <c r="A3866">
        <v>1499503</v>
      </c>
      <c r="B3866" t="s">
        <v>18</v>
      </c>
      <c r="C3866" t="s">
        <v>59</v>
      </c>
      <c r="D3866" t="s">
        <v>60</v>
      </c>
      <c r="E3866" t="s">
        <v>2207</v>
      </c>
      <c r="F3866" t="s">
        <v>22</v>
      </c>
      <c r="G3866" t="s">
        <v>23</v>
      </c>
      <c r="H3866" t="s">
        <v>37</v>
      </c>
      <c r="I3866" t="s">
        <v>25</v>
      </c>
      <c r="J3866" s="2">
        <v>45727.961446759262</v>
      </c>
      <c r="K3866">
        <v>11</v>
      </c>
      <c r="L3866">
        <v>3</v>
      </c>
      <c r="M3866">
        <v>2025</v>
      </c>
      <c r="N3866" t="s">
        <v>27</v>
      </c>
      <c r="O3866">
        <v>190</v>
      </c>
      <c r="P3866">
        <v>190</v>
      </c>
      <c r="R3866" s="3" t="str">
        <f>HYPERLINK("https://panda.att.com.mx/ODKServer/view/binaryData?blobKey=FSSuministroFluidosv3%5B%40version%3Dnull+and+%40uiVersion%3Dnull%5D%2Fdata%5B%40key%3Duuid%3A2f094e19-f6d2-4e3b-91fb-70564e681161%5D%2FgroupInfoFuel%5B%40ordinal%3D1%5D%2FpicFuelRecibeInterno","Descargar")</f>
        <v>Descargar</v>
      </c>
    </row>
    <row r="3867" spans="1:18" x14ac:dyDescent="0.3">
      <c r="A3867">
        <v>1499490</v>
      </c>
      <c r="B3867" t="s">
        <v>18</v>
      </c>
      <c r="C3867" t="s">
        <v>28</v>
      </c>
      <c r="D3867" t="s">
        <v>315</v>
      </c>
      <c r="E3867" t="s">
        <v>3008</v>
      </c>
      <c r="F3867" t="s">
        <v>22</v>
      </c>
      <c r="G3867" t="s">
        <v>23</v>
      </c>
      <c r="H3867" t="s">
        <v>24</v>
      </c>
      <c r="I3867" t="s">
        <v>25</v>
      </c>
      <c r="J3867" s="2">
        <v>45729.600624999999</v>
      </c>
      <c r="K3867">
        <v>13</v>
      </c>
      <c r="L3867">
        <v>3</v>
      </c>
      <c r="M3867">
        <v>2025</v>
      </c>
      <c r="N3867" t="s">
        <v>44</v>
      </c>
      <c r="O3867">
        <v>25</v>
      </c>
      <c r="P3867">
        <v>25</v>
      </c>
      <c r="R3867" s="3" t="str">
        <f>HYPERLINK("https://panda.att.com.mx/ODKServer/view/binaryData?blobKey=FSSuministroFluidosv3%5B%40version%3Dnull+and+%40uiVersion%3Dnull%5D%2Fdata%5B%40key%3Duuid%3A515029f4-4345-40a7-bac4-d72d5b8d248a%5D%2FgroupInfoFuel%5B%40ordinal%3D1%5D%2FpicFuelRecibeInterno","Descargar")</f>
        <v>Descargar</v>
      </c>
    </row>
    <row r="3868" spans="1:18" x14ac:dyDescent="0.3">
      <c r="A3868">
        <v>1499420</v>
      </c>
      <c r="B3868" t="s">
        <v>18</v>
      </c>
      <c r="C3868" t="s">
        <v>55</v>
      </c>
      <c r="D3868" t="s">
        <v>56</v>
      </c>
      <c r="E3868" t="s">
        <v>2025</v>
      </c>
      <c r="F3868" t="s">
        <v>22</v>
      </c>
      <c r="G3868" t="s">
        <v>47</v>
      </c>
      <c r="H3868" t="s">
        <v>1763</v>
      </c>
      <c r="I3868" t="s">
        <v>25</v>
      </c>
      <c r="J3868" s="2">
        <v>45717.72996527778</v>
      </c>
      <c r="K3868">
        <v>1</v>
      </c>
      <c r="L3868">
        <v>3</v>
      </c>
      <c r="M3868">
        <v>2025</v>
      </c>
      <c r="N3868" t="s">
        <v>27</v>
      </c>
      <c r="O3868">
        <v>130</v>
      </c>
      <c r="P3868">
        <v>130</v>
      </c>
      <c r="R3868" s="3" t="str">
        <f>HYPERLINK("https://panda.att.com.mx/ODKServer/view/binaryData?blobKey=FSSuministroFluidosv3%5B%40version%3Dnull+and+%40uiVersion%3Dnull%5D%2Fdata%5B%40key%3Duuid%3A66d6aaf5-8077-40ee-8ffd-b2aee39b813d%5D%2FgroupInfoFuel%5B%40ordinal%3D1%5D%2FpicFuelRecibeInterno","Descargar")</f>
        <v>Descargar</v>
      </c>
    </row>
    <row r="3869" spans="1:18" x14ac:dyDescent="0.3">
      <c r="A3869">
        <v>1499299</v>
      </c>
      <c r="B3869" t="s">
        <v>18</v>
      </c>
      <c r="C3869" t="s">
        <v>59</v>
      </c>
      <c r="D3869" t="s">
        <v>574</v>
      </c>
      <c r="E3869" t="s">
        <v>3009</v>
      </c>
      <c r="F3869" t="s">
        <v>22</v>
      </c>
      <c r="G3869" t="s">
        <v>23</v>
      </c>
      <c r="H3869" t="s">
        <v>37</v>
      </c>
      <c r="I3869" t="s">
        <v>25</v>
      </c>
      <c r="J3869" s="2">
        <v>45729.498020833344</v>
      </c>
      <c r="K3869">
        <v>13</v>
      </c>
      <c r="L3869">
        <v>3</v>
      </c>
      <c r="M3869">
        <v>2025</v>
      </c>
      <c r="N3869" t="s">
        <v>27</v>
      </c>
      <c r="O3869">
        <v>150</v>
      </c>
      <c r="P3869">
        <v>150</v>
      </c>
      <c r="R3869" s="3" t="str">
        <f>HYPERLINK("https://panda.att.com.mx/ODKServer/view/binaryData?blobKey=FSSuministroFluidosv3%5B%40version%3Dnull+and+%40uiVersion%3Dnull%5D%2Fdata%5B%40key%3Duuid%3Ae3c38120-8972-429e-8ac6-dcd4e8974a0c%5D%2FgroupInfoFuel%5B%40ordinal%3D1%5D%2FpicFuelRecibeInterno","Descargar")</f>
        <v>Descargar</v>
      </c>
    </row>
    <row r="3870" spans="1:18" x14ac:dyDescent="0.3">
      <c r="A3870">
        <v>1499276</v>
      </c>
      <c r="B3870" t="s">
        <v>18</v>
      </c>
      <c r="C3870" t="s">
        <v>55</v>
      </c>
      <c r="D3870" t="s">
        <v>89</v>
      </c>
      <c r="E3870" t="s">
        <v>2991</v>
      </c>
      <c r="F3870" t="s">
        <v>22</v>
      </c>
      <c r="G3870" t="s">
        <v>47</v>
      </c>
      <c r="H3870" t="s">
        <v>1763</v>
      </c>
      <c r="I3870" t="s">
        <v>25</v>
      </c>
      <c r="J3870" s="2">
        <v>45729.400833333333</v>
      </c>
      <c r="K3870">
        <v>13</v>
      </c>
      <c r="L3870">
        <v>3</v>
      </c>
      <c r="M3870">
        <v>2025</v>
      </c>
      <c r="N3870" t="s">
        <v>44</v>
      </c>
      <c r="O3870">
        <v>60</v>
      </c>
      <c r="P3870">
        <v>60</v>
      </c>
      <c r="R3870" s="3" t="str">
        <f>HYPERLINK("https://panda.att.com.mx/ODKServer/view/binaryData?blobKey=FSSuministroFluidosv3%5B%40version%3Dnull+and+%40uiVersion%3Dnull%5D%2Fdata%5B%40key%3Duuid%3Acec20cfc-ef08-4e0a-943d-4b3b2b71def1%5D%2FgroupInfoFuel%5B%40ordinal%3D1%5D%2FpicFuelRecibeInterno","Descargar")</f>
        <v>Descargar</v>
      </c>
    </row>
    <row r="3871" spans="1:18" x14ac:dyDescent="0.3">
      <c r="A3871">
        <v>1499260</v>
      </c>
      <c r="B3871" t="s">
        <v>18</v>
      </c>
      <c r="C3871" t="s">
        <v>34</v>
      </c>
      <c r="D3871" t="s">
        <v>53</v>
      </c>
      <c r="E3871" t="s">
        <v>3010</v>
      </c>
      <c r="F3871" t="s">
        <v>22</v>
      </c>
      <c r="G3871" t="s">
        <v>23</v>
      </c>
      <c r="H3871" t="s">
        <v>37</v>
      </c>
      <c r="I3871" t="s">
        <v>25</v>
      </c>
      <c r="J3871" s="2">
        <v>45728.309178240743</v>
      </c>
      <c r="K3871">
        <v>12</v>
      </c>
      <c r="L3871">
        <v>3</v>
      </c>
      <c r="M3871">
        <v>2025</v>
      </c>
      <c r="N3871" t="s">
        <v>27</v>
      </c>
      <c r="O3871">
        <v>180</v>
      </c>
      <c r="P3871">
        <v>180</v>
      </c>
      <c r="R3871" s="3" t="str">
        <f>HYPERLINK("https://panda.att.com.mx/ODKServer/view/binaryData?blobKey=FSSuministroFluidosv3%5B%40version%3Dnull+and+%40uiVersion%3Dnull%5D%2Fdata%5B%40key%3Duuid%3Ad012a498-6555-4d6b-b9df-f5855802b5ae%5D%2FgroupInfoFuel%5B%40ordinal%3D1%5D%2FpicFuelRecibeInterno","Descargar")</f>
        <v>Descargar</v>
      </c>
    </row>
    <row r="3872" spans="1:18" x14ac:dyDescent="0.3">
      <c r="A3872">
        <v>1499023</v>
      </c>
      <c r="B3872" t="s">
        <v>18</v>
      </c>
      <c r="C3872" t="s">
        <v>167</v>
      </c>
      <c r="D3872" t="s">
        <v>168</v>
      </c>
      <c r="E3872" t="s">
        <v>266</v>
      </c>
      <c r="F3872" t="s">
        <v>22</v>
      </c>
      <c r="G3872" t="s">
        <v>83</v>
      </c>
      <c r="H3872" t="s">
        <v>58</v>
      </c>
      <c r="I3872" t="s">
        <v>25</v>
      </c>
      <c r="J3872" s="2">
        <v>45729.503946759258</v>
      </c>
      <c r="K3872">
        <v>13</v>
      </c>
      <c r="L3872">
        <v>3</v>
      </c>
      <c r="M3872">
        <v>2025</v>
      </c>
      <c r="N3872" t="s">
        <v>27</v>
      </c>
      <c r="O3872">
        <v>450</v>
      </c>
      <c r="P3872">
        <v>450</v>
      </c>
      <c r="R3872" s="3" t="str">
        <f>HYPERLINK("https://panda.att.com.mx/ODKServer/view/binaryData?blobKey=FSSuministroFluidosv3%5B%40version%3Dnull+and+%40uiVersion%3Dnull%5D%2Fdata%5B%40key%3Duuid%3Ab590d892-7137-4378-8129-861f2774484e%5D%2FgroupInfoFuel%5B%40ordinal%3D1%5D%2FpicFuelRecibeInterno","Descargar")</f>
        <v>Descargar</v>
      </c>
    </row>
    <row r="3873" spans="1:18" x14ac:dyDescent="0.3">
      <c r="A3873">
        <v>1498934</v>
      </c>
      <c r="B3873" t="s">
        <v>18</v>
      </c>
      <c r="C3873" t="s">
        <v>55</v>
      </c>
      <c r="D3873" t="s">
        <v>56</v>
      </c>
      <c r="E3873" t="s">
        <v>3011</v>
      </c>
      <c r="F3873" t="s">
        <v>22</v>
      </c>
      <c r="G3873" t="s">
        <v>47</v>
      </c>
      <c r="H3873" t="s">
        <v>1763</v>
      </c>
      <c r="I3873" t="s">
        <v>25</v>
      </c>
      <c r="J3873" s="2">
        <v>45725.450902777768</v>
      </c>
      <c r="K3873">
        <v>9</v>
      </c>
      <c r="L3873">
        <v>3</v>
      </c>
      <c r="M3873">
        <v>2025</v>
      </c>
      <c r="N3873" t="s">
        <v>27</v>
      </c>
      <c r="O3873">
        <v>100</v>
      </c>
      <c r="P3873">
        <v>100</v>
      </c>
      <c r="R3873" s="3" t="str">
        <f>HYPERLINK("https://panda.att.com.mx/ODKServer/view/binaryData?blobKey=FSSuministroFluidosv3%5B%40version%3Dnull+and+%40uiVersion%3Dnull%5D%2Fdata%5B%40key%3Duuid%3Aa43bb764-6897-4ab9-ae34-17e163f0bbc5%5D%2FgroupInfoFuel%5B%40ordinal%3D1%5D%2FpicFuelRecibeInterno","Descargar")</f>
        <v>Descargar</v>
      </c>
    </row>
    <row r="3874" spans="1:18" x14ac:dyDescent="0.3">
      <c r="A3874">
        <v>1498933</v>
      </c>
      <c r="B3874" t="s">
        <v>3887</v>
      </c>
      <c r="C3874" t="s">
        <v>55</v>
      </c>
      <c r="D3874" t="s">
        <v>56</v>
      </c>
      <c r="E3874" t="s">
        <v>3888</v>
      </c>
      <c r="F3874" t="s">
        <v>22</v>
      </c>
      <c r="G3874" t="s">
        <v>47</v>
      </c>
      <c r="H3874" t="s">
        <v>1763</v>
      </c>
      <c r="I3874" t="s">
        <v>25</v>
      </c>
      <c r="J3874" s="2">
        <v>45724.628657407397</v>
      </c>
      <c r="K3874">
        <v>8</v>
      </c>
      <c r="L3874">
        <v>3</v>
      </c>
      <c r="M3874">
        <v>2025</v>
      </c>
      <c r="N3874" t="s">
        <v>27</v>
      </c>
      <c r="O3874">
        <v>100</v>
      </c>
      <c r="P3874">
        <v>100</v>
      </c>
      <c r="R3874" s="3" t="str">
        <f>HYPERLINK("https://panda.att.com.mx/ODKServer/view/binaryData?blobKey=FSSuministroFluidosv3%5B%40version%3Dnull+and+%40uiVersion%3Dnull%5D%2Fdata%5B%40key%3Duuid%3A85a7f5b7-0d00-480f-bba1-a94575c51abe%5D%2FgroupInfoFuel%5B%40ordinal%3D1%5D%2FpicFuelRecibeInterno","Descargar")</f>
        <v>Descargar</v>
      </c>
    </row>
    <row r="3875" spans="1:18" x14ac:dyDescent="0.3">
      <c r="A3875">
        <v>1493703</v>
      </c>
      <c r="B3875" t="s">
        <v>18</v>
      </c>
      <c r="C3875" t="s">
        <v>19</v>
      </c>
      <c r="D3875" t="s">
        <v>45</v>
      </c>
      <c r="E3875" t="s">
        <v>752</v>
      </c>
      <c r="F3875" t="s">
        <v>22</v>
      </c>
      <c r="G3875" t="s">
        <v>23</v>
      </c>
      <c r="H3875" t="s">
        <v>24</v>
      </c>
      <c r="I3875" t="s">
        <v>25</v>
      </c>
      <c r="J3875" s="2">
        <v>45719.911724537043</v>
      </c>
      <c r="K3875">
        <v>3</v>
      </c>
      <c r="L3875">
        <v>3</v>
      </c>
      <c r="M3875">
        <v>2025</v>
      </c>
      <c r="N3875" t="s">
        <v>27</v>
      </c>
      <c r="O3875">
        <v>119</v>
      </c>
      <c r="P3875">
        <v>119</v>
      </c>
      <c r="R3875" s="3" t="str">
        <f>HYPERLINK("https://panda.att.com.mx/ODKServer/view/binaryData?blobKey=FSSuministroFluidosv3%5B%40version%3Dnull+and+%40uiVersion%3Dnull%5D%2Fdata%5B%40key%3Duuid%3Ae39fddff-0ee9-48c3-ae93-c8c9a872af92%5D%2FgroupInfoFuel%5B%40ordinal%3D1%5D%2FpicFuelRecibeInterno","Descargar")</f>
        <v>Descargar</v>
      </c>
    </row>
    <row r="3876" spans="1:18" x14ac:dyDescent="0.3">
      <c r="A3876">
        <v>1493696</v>
      </c>
      <c r="B3876" t="s">
        <v>18</v>
      </c>
      <c r="C3876" t="s">
        <v>55</v>
      </c>
      <c r="D3876" t="s">
        <v>56</v>
      </c>
      <c r="E3876" t="s">
        <v>3012</v>
      </c>
      <c r="F3876" t="s">
        <v>22</v>
      </c>
      <c r="G3876" t="s">
        <v>47</v>
      </c>
      <c r="H3876" t="s">
        <v>1763</v>
      </c>
      <c r="I3876" t="s">
        <v>25</v>
      </c>
      <c r="J3876" s="2">
        <v>45721.520370370366</v>
      </c>
      <c r="K3876">
        <v>5</v>
      </c>
      <c r="L3876">
        <v>3</v>
      </c>
      <c r="M3876">
        <v>2025</v>
      </c>
      <c r="N3876" t="s">
        <v>27</v>
      </c>
      <c r="O3876">
        <v>100</v>
      </c>
      <c r="P3876">
        <v>100</v>
      </c>
      <c r="R3876" s="3" t="str">
        <f>HYPERLINK("https://panda.att.com.mx/ODKServer/view/binaryData?blobKey=FSSuministroFluidosv3%5B%40version%3Dnull+and+%40uiVersion%3Dnull%5D%2Fdata%5B%40key%3Duuid%3A92bd630c-7aa7-43d8-a2c3-6407fcb2a873%5D%2FgroupInfoFuel%5B%40ordinal%3D1%5D%2FpicFuelRecibeInterno","Descargar")</f>
        <v>Descargar</v>
      </c>
    </row>
    <row r="3877" spans="1:18" x14ac:dyDescent="0.3">
      <c r="A3877">
        <v>1493695</v>
      </c>
      <c r="B3877" t="s">
        <v>18</v>
      </c>
      <c r="C3877" t="s">
        <v>55</v>
      </c>
      <c r="D3877" t="s">
        <v>56</v>
      </c>
      <c r="E3877" t="s">
        <v>3013</v>
      </c>
      <c r="F3877" t="s">
        <v>22</v>
      </c>
      <c r="G3877" t="s">
        <v>47</v>
      </c>
      <c r="H3877" t="s">
        <v>1763</v>
      </c>
      <c r="I3877" t="s">
        <v>25</v>
      </c>
      <c r="J3877" s="2">
        <v>45721.465729166674</v>
      </c>
      <c r="K3877">
        <v>5</v>
      </c>
      <c r="L3877">
        <v>3</v>
      </c>
      <c r="M3877">
        <v>2025</v>
      </c>
      <c r="N3877" t="s">
        <v>27</v>
      </c>
      <c r="O3877">
        <v>100</v>
      </c>
      <c r="P3877">
        <v>100</v>
      </c>
      <c r="R3877" s="3" t="str">
        <f>HYPERLINK("https://panda.att.com.mx/ODKServer/view/binaryData?blobKey=FSSuministroFluidosv3%5B%40version%3Dnull+and+%40uiVersion%3Dnull%5D%2Fdata%5B%40key%3Duuid%3A77352c10-8aa9-42d7-8731-03a884cdcf96%5D%2FgroupInfoFuel%5B%40ordinal%3D1%5D%2FpicFuelRecibeInterno","Descargar")</f>
        <v>Descargar</v>
      </c>
    </row>
    <row r="3878" spans="1:18" x14ac:dyDescent="0.3">
      <c r="A3878">
        <v>1493630</v>
      </c>
      <c r="B3878" t="s">
        <v>18</v>
      </c>
      <c r="C3878" t="s">
        <v>34</v>
      </c>
      <c r="D3878" t="s">
        <v>53</v>
      </c>
      <c r="E3878" t="s">
        <v>3010</v>
      </c>
      <c r="F3878" t="s">
        <v>22</v>
      </c>
      <c r="G3878" t="s">
        <v>23</v>
      </c>
      <c r="H3878" t="s">
        <v>37</v>
      </c>
      <c r="I3878" t="s">
        <v>25</v>
      </c>
      <c r="J3878" s="2">
        <v>45721.856226851851</v>
      </c>
      <c r="K3878">
        <v>5</v>
      </c>
      <c r="L3878">
        <v>3</v>
      </c>
      <c r="M3878">
        <v>2025</v>
      </c>
      <c r="N3878" t="s">
        <v>27</v>
      </c>
      <c r="O3878">
        <v>189.65</v>
      </c>
      <c r="P3878">
        <v>189.65</v>
      </c>
      <c r="R3878" s="3" t="str">
        <f>HYPERLINK("https://panda.att.com.mx/ODKServer/view/binaryData?blobKey=FSSuministroFluidosv3%5B%40version%3Dnull+and+%40uiVersion%3Dnull%5D%2Fdata%5B%40key%3Duuid%3Af07168db-1587-4e5d-be1f-16b3b69783b1%5D%2FgroupInfoFuel%5B%40ordinal%3D1%5D%2FpicFuelRecibeInterno","Descargar")</f>
        <v>Descargar</v>
      </c>
    </row>
    <row r="3879" spans="1:18" x14ac:dyDescent="0.3">
      <c r="A3879">
        <v>1493570</v>
      </c>
      <c r="B3879" t="s">
        <v>18</v>
      </c>
      <c r="C3879" t="s">
        <v>55</v>
      </c>
      <c r="D3879" t="s">
        <v>288</v>
      </c>
      <c r="E3879" t="s">
        <v>3014</v>
      </c>
      <c r="F3879" t="s">
        <v>22</v>
      </c>
      <c r="G3879" t="s">
        <v>47</v>
      </c>
      <c r="H3879" t="s">
        <v>1763</v>
      </c>
      <c r="I3879" t="s">
        <v>25</v>
      </c>
      <c r="J3879" s="2">
        <v>45721.368576388893</v>
      </c>
      <c r="K3879">
        <v>5</v>
      </c>
      <c r="L3879">
        <v>3</v>
      </c>
      <c r="M3879">
        <v>2025</v>
      </c>
      <c r="N3879" t="s">
        <v>44</v>
      </c>
      <c r="O3879">
        <v>55</v>
      </c>
      <c r="P3879">
        <v>55</v>
      </c>
      <c r="R3879" s="3" t="str">
        <f>HYPERLINK("https://panda.att.com.mx/ODKServer/view/binaryData?blobKey=FSSuministroFluidosv3%5B%40version%3Dnull+and+%40uiVersion%3Dnull%5D%2Fdata%5B%40key%3Duuid%3A0e3688d0-1992-4be6-b9dc-67330c641385%5D%2FgroupInfoFuel%5B%40ordinal%3D1%5D%2FpicFuelRecibeInterno","Descargar")</f>
        <v>Descargar</v>
      </c>
    </row>
    <row r="3880" spans="1:18" x14ac:dyDescent="0.3">
      <c r="A3880">
        <v>1493497</v>
      </c>
      <c r="B3880" t="s">
        <v>18</v>
      </c>
      <c r="C3880" t="s">
        <v>19</v>
      </c>
      <c r="D3880" t="s">
        <v>156</v>
      </c>
      <c r="E3880" t="s">
        <v>3015</v>
      </c>
      <c r="F3880" t="s">
        <v>22</v>
      </c>
      <c r="G3880" t="s">
        <v>23</v>
      </c>
      <c r="H3880" t="s">
        <v>24</v>
      </c>
      <c r="I3880" t="s">
        <v>25</v>
      </c>
      <c r="J3880" s="2">
        <v>45719.354837962957</v>
      </c>
      <c r="K3880">
        <v>3</v>
      </c>
      <c r="L3880">
        <v>3</v>
      </c>
      <c r="M3880">
        <v>2025</v>
      </c>
      <c r="N3880" t="s">
        <v>27</v>
      </c>
      <c r="O3880">
        <v>130</v>
      </c>
      <c r="P3880">
        <v>130</v>
      </c>
      <c r="R3880" s="3" t="str">
        <f>HYPERLINK("https://panda.att.com.mx/ODKServer/view/binaryData?blobKey=FSSuministroFluidosv3%5B%40version%3Dnull+and+%40uiVersion%3Dnull%5D%2Fdata%5B%40key%3Duuid%3A801b5e84-7ed5-46f9-9bd9-32238e348728%5D%2FgroupInfoFuel%5B%40ordinal%3D1%5D%2FpicFuelRecibeInterno","Descargar")</f>
        <v>Descargar</v>
      </c>
    </row>
    <row r="3881" spans="1:18" x14ac:dyDescent="0.3">
      <c r="A3881">
        <v>1493411</v>
      </c>
      <c r="B3881" t="s">
        <v>18</v>
      </c>
      <c r="C3881" t="s">
        <v>19</v>
      </c>
      <c r="D3881" t="s">
        <v>347</v>
      </c>
      <c r="E3881" t="s">
        <v>1788</v>
      </c>
      <c r="F3881" t="s">
        <v>22</v>
      </c>
      <c r="G3881" t="s">
        <v>23</v>
      </c>
      <c r="H3881" t="s">
        <v>24</v>
      </c>
      <c r="I3881" t="s">
        <v>25</v>
      </c>
      <c r="J3881" s="2">
        <v>45716.699513888889</v>
      </c>
      <c r="K3881">
        <v>28</v>
      </c>
      <c r="L3881">
        <v>2</v>
      </c>
      <c r="M3881">
        <v>2025</v>
      </c>
      <c r="N3881" t="s">
        <v>27</v>
      </c>
      <c r="O3881">
        <v>150</v>
      </c>
      <c r="P3881">
        <v>150</v>
      </c>
      <c r="R3881" s="3" t="str">
        <f>HYPERLINK("https://panda.att.com.mx/ODKServer/view/binaryData?blobKey=FSSuministroFluidosv3%5B%40version%3Dnull+and+%40uiVersion%3Dnull%5D%2Fdata%5B%40key%3Duuid%3A582aec88-3705-4698-8772-821336e7f784%5D%2FgroupInfoFuel%5B%40ordinal%3D1%5D%2FpicFuelRecibeInterno","Descargar")</f>
        <v>Descargar</v>
      </c>
    </row>
    <row r="3882" spans="1:18" x14ac:dyDescent="0.3">
      <c r="A3882">
        <v>1493402</v>
      </c>
      <c r="B3882" t="s">
        <v>18</v>
      </c>
      <c r="C3882" t="s">
        <v>68</v>
      </c>
      <c r="D3882" t="s">
        <v>69</v>
      </c>
      <c r="E3882" t="s">
        <v>3016</v>
      </c>
      <c r="F3882" t="s">
        <v>22</v>
      </c>
      <c r="G3882" t="s">
        <v>23</v>
      </c>
      <c r="H3882" t="s">
        <v>37</v>
      </c>
      <c r="I3882" t="s">
        <v>25</v>
      </c>
      <c r="J3882" s="2">
        <v>45721.475810185177</v>
      </c>
      <c r="K3882">
        <v>5</v>
      </c>
      <c r="L3882">
        <v>3</v>
      </c>
      <c r="M3882">
        <v>2025</v>
      </c>
      <c r="N3882" t="s">
        <v>27</v>
      </c>
      <c r="O3882">
        <v>200</v>
      </c>
      <c r="P3882">
        <v>200</v>
      </c>
      <c r="R3882" s="3" t="str">
        <f>HYPERLINK("https://panda.att.com.mx/ODKServer/view/binaryData?blobKey=FSSuministroFluidosv3%5B%40version%3Dnull+and+%40uiVersion%3Dnull%5D%2Fdata%5B%40key%3Duuid%3A4b741abe-dbee-4e58-a35a-ad20f6de41bf%5D%2FgroupInfoFuel%5B%40ordinal%3D1%5D%2FpicFuelRecibeInterno","Descargar")</f>
        <v>Descargar</v>
      </c>
    </row>
    <row r="3883" spans="1:18" x14ac:dyDescent="0.3">
      <c r="A3883">
        <v>1493401</v>
      </c>
      <c r="B3883" t="s">
        <v>18</v>
      </c>
      <c r="C3883" t="s">
        <v>68</v>
      </c>
      <c r="D3883" t="s">
        <v>69</v>
      </c>
      <c r="E3883" t="s">
        <v>1128</v>
      </c>
      <c r="F3883" t="s">
        <v>22</v>
      </c>
      <c r="G3883" t="s">
        <v>23</v>
      </c>
      <c r="H3883" t="s">
        <v>37</v>
      </c>
      <c r="I3883" t="s">
        <v>25</v>
      </c>
      <c r="J3883" s="2">
        <v>45721.5940625</v>
      </c>
      <c r="K3883">
        <v>5</v>
      </c>
      <c r="L3883">
        <v>3</v>
      </c>
      <c r="M3883">
        <v>2025</v>
      </c>
      <c r="N3883" t="s">
        <v>27</v>
      </c>
      <c r="O3883">
        <v>200</v>
      </c>
      <c r="Q3883">
        <v>200</v>
      </c>
      <c r="R3883" s="3" t="str">
        <f>HYPERLINK("https://panda.att.com.mx/ODKServer/view/binaryData?blobKey=FSSuministroFluidosv3%5B%40version%3Dnull+and+%40uiVersion%3Dnull%5D%2Fdata%5B%40key%3Duuid%3A14ff5b71-0d83-4450-a723-4f365535c99d%5D%2FgroupInfoFuel%5B%40ordinal%3D1%5D%2FpicFuelRecibeInterno","Descargar")</f>
        <v>Descargar</v>
      </c>
    </row>
    <row r="3884" spans="1:18" x14ac:dyDescent="0.3">
      <c r="A3884">
        <v>1493395</v>
      </c>
      <c r="B3884" t="s">
        <v>18</v>
      </c>
      <c r="C3884" t="s">
        <v>19</v>
      </c>
      <c r="D3884" t="s">
        <v>62</v>
      </c>
      <c r="E3884" t="s">
        <v>1625</v>
      </c>
      <c r="F3884" t="s">
        <v>22</v>
      </c>
      <c r="G3884" t="s">
        <v>23</v>
      </c>
      <c r="H3884" t="s">
        <v>24</v>
      </c>
      <c r="I3884" t="s">
        <v>25</v>
      </c>
      <c r="J3884" s="2">
        <v>45715.560590277782</v>
      </c>
      <c r="K3884">
        <v>27</v>
      </c>
      <c r="L3884">
        <v>2</v>
      </c>
      <c r="M3884">
        <v>2025</v>
      </c>
      <c r="N3884" t="s">
        <v>44</v>
      </c>
      <c r="O3884">
        <v>50</v>
      </c>
      <c r="P3884">
        <v>50</v>
      </c>
      <c r="R3884" s="3" t="str">
        <f>HYPERLINK("https://panda.att.com.mx/ODKServer/view/binaryData?blobKey=FSSuministroFluidosv3%5B%40version%3Dnull+and+%40uiVersion%3Dnull%5D%2Fdata%5B%40key%3Duuid%3A617f594d-08a3-4ce4-87d1-c2eac193ec1f%5D%2FgroupInfoFuel%5B%40ordinal%3D1%5D%2FpicFuelRecibeInterno","Descargar")</f>
        <v>Descargar</v>
      </c>
    </row>
    <row r="3885" spans="1:18" x14ac:dyDescent="0.3">
      <c r="A3885">
        <v>1493367</v>
      </c>
      <c r="B3885" t="s">
        <v>18</v>
      </c>
      <c r="C3885" t="s">
        <v>167</v>
      </c>
      <c r="D3885" t="s">
        <v>253</v>
      </c>
      <c r="E3885" t="s">
        <v>507</v>
      </c>
      <c r="F3885" t="s">
        <v>33</v>
      </c>
      <c r="G3885" t="s">
        <v>23</v>
      </c>
      <c r="H3885" t="s">
        <v>58</v>
      </c>
      <c r="I3885" t="s">
        <v>25</v>
      </c>
      <c r="J3885" s="2">
        <v>45721.637037037042</v>
      </c>
      <c r="K3885">
        <v>5</v>
      </c>
      <c r="L3885">
        <v>3</v>
      </c>
      <c r="M3885">
        <v>2025</v>
      </c>
      <c r="N3885" t="s">
        <v>27</v>
      </c>
      <c r="O3885">
        <v>100</v>
      </c>
      <c r="P3885">
        <v>100</v>
      </c>
      <c r="R3885" s="3" t="str">
        <f>HYPERLINK("https://panda.att.com.mx/ODKServer/view/binaryData?blobKey=FSSuministroFluidosv3%5B%40version%3Dnull+and+%40uiVersion%3Dnull%5D%2Fdata%5B%40key%3Duuid%3A7b96f562-50a8-47c1-9d09-a2a560adc381%5D%2FgroupInfoFuel%5B%40ordinal%3D1%5D%2FpicFuelRecibeInterno","Descargar")</f>
        <v>Descargar</v>
      </c>
    </row>
    <row r="3886" spans="1:18" x14ac:dyDescent="0.3">
      <c r="A3886">
        <v>1493220</v>
      </c>
      <c r="B3886" t="s">
        <v>18</v>
      </c>
      <c r="C3886" t="s">
        <v>68</v>
      </c>
      <c r="D3886" t="s">
        <v>518</v>
      </c>
      <c r="E3886" t="s">
        <v>1775</v>
      </c>
      <c r="F3886" t="s">
        <v>22</v>
      </c>
      <c r="G3886" t="s">
        <v>23</v>
      </c>
      <c r="H3886" t="s">
        <v>37</v>
      </c>
      <c r="I3886" t="s">
        <v>25</v>
      </c>
      <c r="J3886" s="2">
        <v>45720.699687499997</v>
      </c>
      <c r="K3886">
        <v>4</v>
      </c>
      <c r="L3886">
        <v>3</v>
      </c>
      <c r="M3886">
        <v>2025</v>
      </c>
      <c r="N3886" t="s">
        <v>27</v>
      </c>
      <c r="O3886">
        <v>200</v>
      </c>
      <c r="P3886">
        <v>200</v>
      </c>
      <c r="R3886" s="3" t="str">
        <f>HYPERLINK("https://panda.att.com.mx/ODKServer/view/binaryData?blobKey=FSSuministroFluidosv3%5B%40version%3Dnull+and+%40uiVersion%3Dnull%5D%2Fdata%5B%40key%3Duuid%3A2723089a-4c9a-46aa-ac76-03abe7f8835b%5D%2FgroupInfoFuel%5B%40ordinal%3D1%5D%2FpicFuelRecibeInterno","Descargar")</f>
        <v>Descargar</v>
      </c>
    </row>
    <row r="3887" spans="1:18" x14ac:dyDescent="0.3">
      <c r="A3887">
        <v>1493215</v>
      </c>
      <c r="B3887" t="s">
        <v>18</v>
      </c>
      <c r="C3887" t="s">
        <v>100</v>
      </c>
      <c r="D3887" t="s">
        <v>651</v>
      </c>
      <c r="E3887" t="s">
        <v>652</v>
      </c>
      <c r="F3887" t="s">
        <v>22</v>
      </c>
      <c r="G3887" t="s">
        <v>23</v>
      </c>
      <c r="H3887" t="s">
        <v>1781</v>
      </c>
      <c r="I3887" t="s">
        <v>25</v>
      </c>
      <c r="J3887" s="2">
        <v>45721.573391203703</v>
      </c>
      <c r="K3887">
        <v>5</v>
      </c>
      <c r="L3887">
        <v>3</v>
      </c>
      <c r="M3887">
        <v>2025</v>
      </c>
      <c r="N3887" t="s">
        <v>27</v>
      </c>
      <c r="O3887">
        <v>300</v>
      </c>
      <c r="P3887">
        <v>300</v>
      </c>
      <c r="R3887" s="3" t="str">
        <f>HYPERLINK("https://panda.att.com.mx/ODKServer/view/binaryData?blobKey=FSSuministroFluidosv3%5B%40version%3Dnull+and+%40uiVersion%3Dnull%5D%2Fdata%5B%40key%3Duuid%3Ae4b139d0-6526-4bdf-9e77-88a9b73b69f0%5D%2FgroupInfoFuel%5B%40ordinal%3D1%5D%2FpicFuelRecibeInterno","Descargar")</f>
        <v>Descargar</v>
      </c>
    </row>
    <row r="3888" spans="1:18" x14ac:dyDescent="0.3">
      <c r="A3888">
        <v>1493208</v>
      </c>
      <c r="B3888" t="s">
        <v>18</v>
      </c>
      <c r="C3888" t="s">
        <v>55</v>
      </c>
      <c r="D3888" t="s">
        <v>64</v>
      </c>
      <c r="E3888" t="s">
        <v>3017</v>
      </c>
      <c r="F3888" t="s">
        <v>22</v>
      </c>
      <c r="G3888" t="s">
        <v>47</v>
      </c>
      <c r="H3888" t="s">
        <v>1763</v>
      </c>
      <c r="I3888" t="s">
        <v>25</v>
      </c>
      <c r="J3888" s="2">
        <v>45721.520254629628</v>
      </c>
      <c r="K3888">
        <v>5</v>
      </c>
      <c r="L3888">
        <v>3</v>
      </c>
      <c r="M3888">
        <v>2025</v>
      </c>
      <c r="N3888" t="s">
        <v>27</v>
      </c>
      <c r="O3888">
        <v>250</v>
      </c>
      <c r="P3888">
        <v>250</v>
      </c>
      <c r="R3888" s="3" t="str">
        <f>HYPERLINK("https://panda.att.com.mx/ODKServer/view/binaryData?blobKey=FSSuministroFluidosv3%5B%40version%3Dnull+and+%40uiVersion%3Dnull%5D%2Fdata%5B%40key%3Duuid%3A3764a8e2-9909-4e0c-873b-ebc9069f7cd0%5D%2FgroupInfoFuel%5B%40ordinal%3D1%5D%2FpicFuelRecibeInterno","Descargar")</f>
        <v>Descargar</v>
      </c>
    </row>
    <row r="3889" spans="1:18" x14ac:dyDescent="0.3">
      <c r="A3889">
        <v>1493180</v>
      </c>
      <c r="B3889" t="s">
        <v>18</v>
      </c>
      <c r="C3889" t="s">
        <v>19</v>
      </c>
      <c r="D3889" t="s">
        <v>62</v>
      </c>
      <c r="E3889" t="s">
        <v>1625</v>
      </c>
      <c r="F3889" t="s">
        <v>22</v>
      </c>
      <c r="G3889" t="s">
        <v>23</v>
      </c>
      <c r="H3889" t="s">
        <v>24</v>
      </c>
      <c r="I3889" t="s">
        <v>25</v>
      </c>
      <c r="J3889" s="2">
        <v>45721.555023148147</v>
      </c>
      <c r="K3889">
        <v>5</v>
      </c>
      <c r="L3889">
        <v>3</v>
      </c>
      <c r="M3889">
        <v>2025</v>
      </c>
      <c r="N3889" t="s">
        <v>44</v>
      </c>
      <c r="O3889">
        <v>50</v>
      </c>
      <c r="P3889">
        <v>50</v>
      </c>
      <c r="R3889" s="3" t="str">
        <f>HYPERLINK("https://panda.att.com.mx/ODKServer/view/binaryData?blobKey=FSSuministroFluidosv3%5B%40version%3Dnull+and+%40uiVersion%3Dnull%5D%2Fdata%5B%40key%3Duuid%3Abca72dcc-dcaa-44c0-9b62-fd37a2bba58c%5D%2FgroupInfoFuel%5B%40ordinal%3D1%5D%2FpicFuelRecibeInterno","Descargar")</f>
        <v>Descargar</v>
      </c>
    </row>
    <row r="3890" spans="1:18" x14ac:dyDescent="0.3">
      <c r="A3890">
        <v>1493147</v>
      </c>
      <c r="B3890" t="s">
        <v>18</v>
      </c>
      <c r="C3890" t="s">
        <v>19</v>
      </c>
      <c r="D3890" t="s">
        <v>62</v>
      </c>
      <c r="E3890" t="s">
        <v>1625</v>
      </c>
      <c r="F3890" t="s">
        <v>22</v>
      </c>
      <c r="G3890" t="s">
        <v>23</v>
      </c>
      <c r="H3890" t="s">
        <v>24</v>
      </c>
      <c r="I3890" t="s">
        <v>25</v>
      </c>
      <c r="J3890" s="2">
        <v>45721.512060185189</v>
      </c>
      <c r="K3890">
        <v>5</v>
      </c>
      <c r="L3890">
        <v>3</v>
      </c>
      <c r="M3890">
        <v>2025</v>
      </c>
      <c r="N3890" t="s">
        <v>44</v>
      </c>
      <c r="O3890">
        <v>50</v>
      </c>
      <c r="P3890">
        <v>50</v>
      </c>
      <c r="R3890" s="3" t="str">
        <f>HYPERLINK("https://panda.att.com.mx/ODKServer/view/binaryData?blobKey=FSSuministroFluidosv3%5B%40version%3Dnull+and+%40uiVersion%3Dnull%5D%2Fdata%5B%40key%3Duuid%3A8671ac79-cdda-4760-a924-8e08e1839109%5D%2FgroupInfoFuel%5B%40ordinal%3D1%5D%2FpicFuelRecibeInterno","Descargar")</f>
        <v>Descargar</v>
      </c>
    </row>
    <row r="3891" spans="1:18" x14ac:dyDescent="0.3">
      <c r="A3891">
        <v>1493098</v>
      </c>
      <c r="B3891" t="s">
        <v>18</v>
      </c>
      <c r="C3891" t="s">
        <v>150</v>
      </c>
      <c r="D3891" t="s">
        <v>230</v>
      </c>
      <c r="E3891" t="s">
        <v>399</v>
      </c>
      <c r="F3891" t="s">
        <v>22</v>
      </c>
      <c r="G3891" t="s">
        <v>23</v>
      </c>
      <c r="H3891" t="s">
        <v>1781</v>
      </c>
      <c r="I3891" t="s">
        <v>25</v>
      </c>
      <c r="J3891" s="2">
        <v>45721.447615740741</v>
      </c>
      <c r="K3891">
        <v>5</v>
      </c>
      <c r="L3891">
        <v>3</v>
      </c>
      <c r="M3891">
        <v>2025</v>
      </c>
      <c r="N3891" t="s">
        <v>27</v>
      </c>
      <c r="O3891">
        <v>300.02</v>
      </c>
      <c r="P3891">
        <v>300.02</v>
      </c>
      <c r="R3891" s="3" t="str">
        <f>HYPERLINK("https://panda.att.com.mx/ODKServer/view/binaryData?blobKey=FSSuministroFluidosv3%5B%40version%3Dnull+and+%40uiVersion%3Dnull%5D%2Fdata%5B%40key%3Duuid%3Ad1b73009-6352-4e80-8172-8b1429b40486%5D%2FgroupInfoFuel%5B%40ordinal%3D1%5D%2FpicFuelRecibeInterno","Descargar")</f>
        <v>Descargar</v>
      </c>
    </row>
    <row r="3892" spans="1:18" x14ac:dyDescent="0.3">
      <c r="A3892">
        <v>1493072</v>
      </c>
      <c r="B3892" t="s">
        <v>18</v>
      </c>
      <c r="C3892" t="s">
        <v>100</v>
      </c>
      <c r="D3892" t="s">
        <v>504</v>
      </c>
      <c r="E3892" t="s">
        <v>1390</v>
      </c>
      <c r="F3892" t="s">
        <v>22</v>
      </c>
      <c r="G3892" t="s">
        <v>23</v>
      </c>
      <c r="H3892" t="s">
        <v>1781</v>
      </c>
      <c r="I3892" t="s">
        <v>25</v>
      </c>
      <c r="J3892" s="2">
        <v>45721.466678240737</v>
      </c>
      <c r="K3892">
        <v>5</v>
      </c>
      <c r="L3892">
        <v>3</v>
      </c>
      <c r="M3892">
        <v>2025</v>
      </c>
      <c r="N3892" t="s">
        <v>27</v>
      </c>
      <c r="O3892">
        <v>200</v>
      </c>
      <c r="P3892">
        <v>200</v>
      </c>
      <c r="R3892" s="3" t="str">
        <f>HYPERLINK("https://panda.att.com.mx/ODKServer/view/binaryData?blobKey=FSSuministroFluidosv3%5B%40version%3Dnull+and+%40uiVersion%3Dnull%5D%2Fdata%5B%40key%3Duuid%3Af404adbc-6360-43cb-a5e4-cf984c2a8f46%5D%2FgroupInfoFuel%5B%40ordinal%3D1%5D%2FpicFuelRecibeInterno","Descargar")</f>
        <v>Descargar</v>
      </c>
    </row>
    <row r="3893" spans="1:18" x14ac:dyDescent="0.3">
      <c r="A3893">
        <v>1493062</v>
      </c>
      <c r="B3893" t="s">
        <v>18</v>
      </c>
      <c r="C3893" t="s">
        <v>68</v>
      </c>
      <c r="D3893" t="s">
        <v>518</v>
      </c>
      <c r="E3893" t="s">
        <v>3018</v>
      </c>
      <c r="F3893" t="s">
        <v>22</v>
      </c>
      <c r="G3893" t="s">
        <v>23</v>
      </c>
      <c r="H3893" t="s">
        <v>37</v>
      </c>
      <c r="I3893" t="s">
        <v>25</v>
      </c>
      <c r="J3893" s="2">
        <v>45720.563414351847</v>
      </c>
      <c r="K3893">
        <v>4</v>
      </c>
      <c r="L3893">
        <v>3</v>
      </c>
      <c r="M3893">
        <v>2025</v>
      </c>
      <c r="N3893" t="s">
        <v>27</v>
      </c>
      <c r="O3893">
        <v>200</v>
      </c>
      <c r="P3893">
        <v>200</v>
      </c>
      <c r="R3893" s="3" t="str">
        <f>HYPERLINK("https://panda.att.com.mx/ODKServer/view/binaryData?blobKey=FSSuministroFluidosv3%5B%40version%3Dnull+and+%40uiVersion%3Dnull%5D%2Fdata%5B%40key%3Duuid%3Adb617211-67c4-410e-bcda-9a7168b97257%5D%2FgroupInfoFuel%5B%40ordinal%3D1%5D%2FpicFuelRecibeInterno","Descargar")</f>
        <v>Descargar</v>
      </c>
    </row>
    <row r="3894" spans="1:18" x14ac:dyDescent="0.3">
      <c r="A3894">
        <v>1493014</v>
      </c>
      <c r="B3894" t="s">
        <v>18</v>
      </c>
      <c r="C3894" t="s">
        <v>59</v>
      </c>
      <c r="D3894" t="s">
        <v>597</v>
      </c>
      <c r="E3894" t="s">
        <v>3019</v>
      </c>
      <c r="F3894" t="s">
        <v>22</v>
      </c>
      <c r="G3894" t="s">
        <v>23</v>
      </c>
      <c r="H3894" t="s">
        <v>37</v>
      </c>
      <c r="I3894" t="s">
        <v>25</v>
      </c>
      <c r="J3894" s="2">
        <v>45721.4059375</v>
      </c>
      <c r="K3894">
        <v>5</v>
      </c>
      <c r="L3894">
        <v>3</v>
      </c>
      <c r="M3894">
        <v>2025</v>
      </c>
      <c r="N3894" t="s">
        <v>27</v>
      </c>
      <c r="O3894">
        <v>290</v>
      </c>
      <c r="P3894">
        <v>290</v>
      </c>
      <c r="R3894" s="3" t="str">
        <f>HYPERLINK("https://panda.att.com.mx/ODKServer/view/binaryData?blobKey=FSSuministroFluidosv3%5B%40version%3Dnull+and+%40uiVersion%3Dnull%5D%2Fdata%5B%40key%3Duuid%3A4021cf8c-94af-44d4-9e41-6d9df35fc8d4%5D%2FgroupInfoFuel%5B%40ordinal%3D1%5D%2FpicFuelRecibeInterno","Descargar")</f>
        <v>Descargar</v>
      </c>
    </row>
    <row r="3895" spans="1:18" x14ac:dyDescent="0.3">
      <c r="A3895">
        <v>1493000</v>
      </c>
      <c r="B3895" t="s">
        <v>18</v>
      </c>
      <c r="C3895" t="s">
        <v>34</v>
      </c>
      <c r="D3895" t="s">
        <v>53</v>
      </c>
      <c r="E3895" t="s">
        <v>144</v>
      </c>
      <c r="F3895" t="s">
        <v>22</v>
      </c>
      <c r="G3895" t="s">
        <v>23</v>
      </c>
      <c r="H3895" t="s">
        <v>37</v>
      </c>
      <c r="I3895" t="s">
        <v>25</v>
      </c>
      <c r="J3895" s="2">
        <v>45721.420717592591</v>
      </c>
      <c r="K3895">
        <v>5</v>
      </c>
      <c r="L3895">
        <v>3</v>
      </c>
      <c r="M3895">
        <v>2025</v>
      </c>
      <c r="N3895" t="s">
        <v>27</v>
      </c>
      <c r="O3895">
        <v>350</v>
      </c>
      <c r="P3895">
        <v>350</v>
      </c>
      <c r="R3895" s="3" t="str">
        <f>HYPERLINK("https://panda.att.com.mx/ODKServer/view/binaryData?blobKey=FSSuministroFluidosv3%5B%40version%3Dnull+and+%40uiVersion%3Dnull%5D%2Fdata%5B%40key%3Duuid%3Abd0bbeb7-88d7-4abd-89cb-21d9af5b541f%5D%2FgroupInfoFuel%5B%40ordinal%3D1%5D%2FpicFuelRecibeInterno","Descargar")</f>
        <v>Descargar</v>
      </c>
    </row>
    <row r="3896" spans="1:18" x14ac:dyDescent="0.3">
      <c r="A3896">
        <v>1492994</v>
      </c>
      <c r="B3896" t="s">
        <v>18</v>
      </c>
      <c r="C3896" t="s">
        <v>28</v>
      </c>
      <c r="D3896" t="s">
        <v>1952</v>
      </c>
      <c r="E3896" t="s">
        <v>3020</v>
      </c>
      <c r="F3896" t="s">
        <v>22</v>
      </c>
      <c r="G3896" t="s">
        <v>23</v>
      </c>
      <c r="H3896" t="s">
        <v>24</v>
      </c>
      <c r="I3896" t="s">
        <v>25</v>
      </c>
      <c r="J3896" s="2">
        <v>45720.472500000003</v>
      </c>
      <c r="K3896">
        <v>4</v>
      </c>
      <c r="L3896">
        <v>3</v>
      </c>
      <c r="M3896">
        <v>2025</v>
      </c>
      <c r="N3896" t="s">
        <v>27</v>
      </c>
      <c r="O3896">
        <v>350</v>
      </c>
      <c r="P3896">
        <v>350</v>
      </c>
      <c r="R3896" s="3" t="str">
        <f>HYPERLINK("https://panda.att.com.mx/ODKServer/view/binaryData?blobKey=FSSuministroFluidosv3%5B%40version%3Dnull+and+%40uiVersion%3Dnull%5D%2Fdata%5B%40key%3Duuid%3Ab0552041-9691-4bab-8426-c597c32a5690%5D%2FgroupInfoFuel%5B%40ordinal%3D1%5D%2FpicFuelRecibeInterno","Descargar")</f>
        <v>Descargar</v>
      </c>
    </row>
    <row r="3897" spans="1:18" x14ac:dyDescent="0.3">
      <c r="A3897">
        <v>1492988</v>
      </c>
      <c r="B3897" t="s">
        <v>18</v>
      </c>
      <c r="C3897" t="s">
        <v>150</v>
      </c>
      <c r="D3897" t="s">
        <v>2224</v>
      </c>
      <c r="E3897" t="s">
        <v>2225</v>
      </c>
      <c r="F3897" t="s">
        <v>22</v>
      </c>
      <c r="G3897" t="s">
        <v>23</v>
      </c>
      <c r="H3897" t="s">
        <v>1781</v>
      </c>
      <c r="I3897" t="s">
        <v>25</v>
      </c>
      <c r="J3897" s="2">
        <v>45721.374618055554</v>
      </c>
      <c r="K3897">
        <v>5</v>
      </c>
      <c r="L3897">
        <v>3</v>
      </c>
      <c r="M3897">
        <v>2025</v>
      </c>
      <c r="N3897" t="s">
        <v>27</v>
      </c>
      <c r="O3897">
        <v>130.15</v>
      </c>
      <c r="P3897">
        <v>130.15</v>
      </c>
      <c r="R3897" s="3" t="str">
        <f>HYPERLINK("https://panda.att.com.mx/ODKServer/view/binaryData?blobKey=FSSuministroFluidosv3%5B%40version%3Dnull+and+%40uiVersion%3Dnull%5D%2Fdata%5B%40key%3Duuid%3A6242f8d8-5c59-4aae-b10a-3c4c80749cc7%5D%2FgroupInfoFuel%5B%40ordinal%3D1%5D%2FpicFuelRecibeInterno","Descargar")</f>
        <v>Descargar</v>
      </c>
    </row>
    <row r="3898" spans="1:18" x14ac:dyDescent="0.3">
      <c r="A3898">
        <v>1492960</v>
      </c>
      <c r="B3898" t="s">
        <v>18</v>
      </c>
      <c r="C3898" t="s">
        <v>28</v>
      </c>
      <c r="D3898" t="s">
        <v>66</v>
      </c>
      <c r="E3898" t="s">
        <v>485</v>
      </c>
      <c r="F3898" t="s">
        <v>22</v>
      </c>
      <c r="G3898" t="s">
        <v>23</v>
      </c>
      <c r="H3898" t="s">
        <v>24</v>
      </c>
      <c r="I3898" t="s">
        <v>25</v>
      </c>
      <c r="J3898" s="2">
        <v>45719.625127314823</v>
      </c>
      <c r="K3898">
        <v>3</v>
      </c>
      <c r="L3898">
        <v>3</v>
      </c>
      <c r="M3898">
        <v>2025</v>
      </c>
      <c r="N3898" t="s">
        <v>27</v>
      </c>
      <c r="O3898">
        <v>400</v>
      </c>
      <c r="P3898">
        <v>400</v>
      </c>
      <c r="R3898" s="3" t="str">
        <f>HYPERLINK("https://panda.att.com.mx/ODKServer/view/binaryData?blobKey=FSSuministroFluidosv3%5B%40version%3Dnull+and+%40uiVersion%3Dnull%5D%2Fdata%5B%40key%3Duuid%3Ae181ec2c-d80c-4f2d-aa7a-b24b57e3da27%5D%2FgroupInfoFuel%5B%40ordinal%3D1%5D%2FpicFuelRecibeInterno","Descargar")</f>
        <v>Descargar</v>
      </c>
    </row>
    <row r="3899" spans="1:18" x14ac:dyDescent="0.3">
      <c r="A3899">
        <v>1492955</v>
      </c>
      <c r="B3899" t="s">
        <v>18</v>
      </c>
      <c r="C3899" t="s">
        <v>55</v>
      </c>
      <c r="D3899" t="s">
        <v>128</v>
      </c>
      <c r="E3899" t="s">
        <v>2758</v>
      </c>
      <c r="F3899" t="s">
        <v>22</v>
      </c>
      <c r="G3899" t="s">
        <v>47</v>
      </c>
      <c r="H3899" t="s">
        <v>1763</v>
      </c>
      <c r="I3899" t="s">
        <v>25</v>
      </c>
      <c r="J3899" s="2">
        <v>45719.528715277767</v>
      </c>
      <c r="K3899">
        <v>3</v>
      </c>
      <c r="L3899">
        <v>3</v>
      </c>
      <c r="M3899">
        <v>2025</v>
      </c>
      <c r="N3899" t="s">
        <v>27</v>
      </c>
      <c r="O3899">
        <v>300</v>
      </c>
      <c r="P3899">
        <v>300</v>
      </c>
      <c r="R3899" s="3" t="str">
        <f>HYPERLINK("https://panda.att.com.mx/ODKServer/view/binaryData?blobKey=FSSuministroFluidosv3%5B%40version%3Dnull+and+%40uiVersion%3Dnull%5D%2Fdata%5B%40key%3Duuid%3A66309f45-dad8-4a9e-8f55-cd3ccb83198c%5D%2FgroupInfoFuel%5B%40ordinal%3D1%5D%2FpicFuelRecibeInterno","Descargar")</f>
        <v>Descargar</v>
      </c>
    </row>
    <row r="3900" spans="1:18" x14ac:dyDescent="0.3">
      <c r="A3900">
        <v>1492883</v>
      </c>
      <c r="B3900" t="s">
        <v>18</v>
      </c>
      <c r="C3900" t="s">
        <v>59</v>
      </c>
      <c r="D3900" t="s">
        <v>60</v>
      </c>
      <c r="E3900" t="s">
        <v>1380</v>
      </c>
      <c r="F3900" t="s">
        <v>22</v>
      </c>
      <c r="G3900" t="s">
        <v>23</v>
      </c>
      <c r="H3900" t="s">
        <v>37</v>
      </c>
      <c r="I3900" t="s">
        <v>25</v>
      </c>
      <c r="J3900" s="2">
        <v>45720.485983796287</v>
      </c>
      <c r="K3900">
        <v>4</v>
      </c>
      <c r="L3900">
        <v>3</v>
      </c>
      <c r="M3900">
        <v>2025</v>
      </c>
      <c r="N3900" t="s">
        <v>27</v>
      </c>
      <c r="O3900">
        <v>70</v>
      </c>
      <c r="P3900">
        <v>70</v>
      </c>
      <c r="R3900" s="3" t="str">
        <f>HYPERLINK("https://panda.att.com.mx/ODKServer/view/binaryData?blobKey=FSSuministroFluidosv3%5B%40version%3Dnull+and+%40uiVersion%3Dnull%5D%2Fdata%5B%40key%3Duuid%3Af19fb686-2a0c-4857-bb5a-92aa057f3ee9%5D%2FgroupInfoFuel%5B%40ordinal%3D1%5D%2FpicFuelRecibeInterno","Descargar")</f>
        <v>Descargar</v>
      </c>
    </row>
    <row r="3901" spans="1:18" x14ac:dyDescent="0.3">
      <c r="A3901">
        <v>1492882</v>
      </c>
      <c r="B3901" t="s">
        <v>18</v>
      </c>
      <c r="C3901" t="s">
        <v>59</v>
      </c>
      <c r="D3901" t="s">
        <v>60</v>
      </c>
      <c r="E3901" t="s">
        <v>1596</v>
      </c>
      <c r="F3901" t="s">
        <v>22</v>
      </c>
      <c r="G3901" t="s">
        <v>23</v>
      </c>
      <c r="H3901" t="s">
        <v>37</v>
      </c>
      <c r="I3901" t="s">
        <v>25</v>
      </c>
      <c r="J3901" s="2">
        <v>45719.915266203701</v>
      </c>
      <c r="K3901">
        <v>3</v>
      </c>
      <c r="L3901">
        <v>3</v>
      </c>
      <c r="M3901">
        <v>2025</v>
      </c>
      <c r="N3901" t="s">
        <v>27</v>
      </c>
      <c r="O3901">
        <v>100</v>
      </c>
      <c r="P3901">
        <v>100</v>
      </c>
      <c r="R3901" s="3" t="str">
        <f>HYPERLINK("https://panda.att.com.mx/ODKServer/view/binaryData?blobKey=FSSuministroFluidosv3%5B%40version%3Dnull+and+%40uiVersion%3Dnull%5D%2Fdata%5B%40key%3Duuid%3Ae9297cc1-0c2e-4f5c-ade5-ead6d95de375%5D%2FgroupInfoFuel%5B%40ordinal%3D1%5D%2FpicFuelRecibeInterno","Descargar")</f>
        <v>Descargar</v>
      </c>
    </row>
    <row r="3902" spans="1:18" x14ac:dyDescent="0.3">
      <c r="A3902">
        <v>1492721</v>
      </c>
      <c r="B3902" t="s">
        <v>18</v>
      </c>
      <c r="C3902" t="s">
        <v>19</v>
      </c>
      <c r="D3902" t="s">
        <v>42</v>
      </c>
      <c r="E3902" t="s">
        <v>3021</v>
      </c>
      <c r="F3902" t="s">
        <v>22</v>
      </c>
      <c r="G3902" t="s">
        <v>23</v>
      </c>
      <c r="H3902" t="s">
        <v>24</v>
      </c>
      <c r="I3902" t="s">
        <v>25</v>
      </c>
      <c r="J3902" s="2">
        <v>45720.641030092593</v>
      </c>
      <c r="K3902">
        <v>4</v>
      </c>
      <c r="L3902">
        <v>3</v>
      </c>
      <c r="M3902">
        <v>2025</v>
      </c>
      <c r="N3902" t="s">
        <v>44</v>
      </c>
      <c r="O3902">
        <v>30</v>
      </c>
      <c r="P3902">
        <v>30</v>
      </c>
      <c r="R3902" s="3" t="str">
        <f>HYPERLINK("https://panda.att.com.mx/ODKServer/view/binaryData?blobKey=FSSuministroFluidosv3%5B%40version%3Dnull+and+%40uiVersion%3Dnull%5D%2Fdata%5B%40key%3Duuid%3Ab18d0a9f-22e2-45ce-953b-9435efdd48e8%5D%2FgroupInfoFuel%5B%40ordinal%3D1%5D%2FpicFuelRecibeInterno","Descargar")</f>
        <v>Descargar</v>
      </c>
    </row>
    <row r="3903" spans="1:18" x14ac:dyDescent="0.3">
      <c r="A3903">
        <v>1492717</v>
      </c>
      <c r="B3903" t="s">
        <v>18</v>
      </c>
      <c r="C3903" t="s">
        <v>19</v>
      </c>
      <c r="D3903" t="s">
        <v>2159</v>
      </c>
      <c r="E3903" t="s">
        <v>3022</v>
      </c>
      <c r="F3903" t="s">
        <v>22</v>
      </c>
      <c r="G3903" t="s">
        <v>23</v>
      </c>
      <c r="H3903" t="s">
        <v>24</v>
      </c>
      <c r="I3903" t="s">
        <v>25</v>
      </c>
      <c r="J3903" s="2">
        <v>45720.723078703697</v>
      </c>
      <c r="K3903">
        <v>4</v>
      </c>
      <c r="L3903">
        <v>3</v>
      </c>
      <c r="M3903">
        <v>2025</v>
      </c>
      <c r="N3903" t="s">
        <v>44</v>
      </c>
      <c r="O3903">
        <v>30</v>
      </c>
      <c r="P3903">
        <v>30</v>
      </c>
      <c r="R3903" s="3" t="str">
        <f>HYPERLINK("https://panda.att.com.mx/ODKServer/view/binaryData?blobKey=FSSuministroFluidosv3%5B%40version%3Dnull+and+%40uiVersion%3Dnull%5D%2Fdata%5B%40key%3Duuid%3A1e4fcb73-a248-400b-adb8-de1d6f6c69a3%5D%2FgroupInfoFuel%5B%40ordinal%3D1%5D%2FpicFuelRecibeInterno","Descargar")</f>
        <v>Descargar</v>
      </c>
    </row>
    <row r="3904" spans="1:18" x14ac:dyDescent="0.3">
      <c r="A3904">
        <v>1492680</v>
      </c>
      <c r="B3904" t="s">
        <v>18</v>
      </c>
      <c r="C3904" t="s">
        <v>19</v>
      </c>
      <c r="D3904" t="s">
        <v>156</v>
      </c>
      <c r="E3904" t="s">
        <v>3015</v>
      </c>
      <c r="F3904" t="s">
        <v>22</v>
      </c>
      <c r="G3904" t="s">
        <v>23</v>
      </c>
      <c r="H3904" t="s">
        <v>24</v>
      </c>
      <c r="I3904" t="s">
        <v>25</v>
      </c>
      <c r="J3904" s="2">
        <v>45716.548460648148</v>
      </c>
      <c r="K3904">
        <v>28</v>
      </c>
      <c r="L3904">
        <v>2</v>
      </c>
      <c r="M3904">
        <v>2025</v>
      </c>
      <c r="N3904" t="s">
        <v>27</v>
      </c>
      <c r="O3904">
        <v>130</v>
      </c>
      <c r="P3904">
        <v>130</v>
      </c>
      <c r="R3904" s="3" t="str">
        <f>HYPERLINK("https://panda.att.com.mx/ODKServer/view/binaryData?blobKey=FSSuministroFluidosv3%5B%40version%3Dnull+and+%40uiVersion%3Dnull%5D%2Fdata%5B%40key%3Duuid%3A1510a178-2f07-442e-8200-2c3742970553%5D%2FgroupInfoFuel%5B%40ordinal%3D1%5D%2FpicFuelRecibeInterno","Descargar")</f>
        <v>Descargar</v>
      </c>
    </row>
    <row r="3905" spans="1:18" x14ac:dyDescent="0.3">
      <c r="A3905">
        <v>1492434</v>
      </c>
      <c r="B3905" t="s">
        <v>18</v>
      </c>
      <c r="C3905" t="s">
        <v>55</v>
      </c>
      <c r="D3905" t="s">
        <v>56</v>
      </c>
      <c r="E3905" t="s">
        <v>3023</v>
      </c>
      <c r="F3905" t="s">
        <v>22</v>
      </c>
      <c r="G3905" t="s">
        <v>47</v>
      </c>
      <c r="H3905" t="s">
        <v>1763</v>
      </c>
      <c r="I3905" t="s">
        <v>25</v>
      </c>
      <c r="J3905" s="2">
        <v>45699.730347222219</v>
      </c>
      <c r="K3905">
        <v>11</v>
      </c>
      <c r="L3905">
        <v>2</v>
      </c>
      <c r="M3905">
        <v>2025</v>
      </c>
      <c r="N3905" t="s">
        <v>27</v>
      </c>
      <c r="O3905">
        <v>120</v>
      </c>
      <c r="P3905">
        <v>120</v>
      </c>
      <c r="R3905" s="3" t="str">
        <f>HYPERLINK("https://panda.att.com.mx/ODKServer/view/binaryData?blobKey=FSSuministroFluidosv3%5B%40version%3Dnull+and+%40uiVersion%3Dnull%5D%2Fdata%5B%40key%3Duuid%3A900dfad3-1443-4e95-9050-eb363df61c54%5D%2FgroupInfoFuel%5B%40ordinal%3D1%5D%2FpicFuelRecibeInterno","Descargar")</f>
        <v>Descargar</v>
      </c>
    </row>
    <row r="3906" spans="1:18" x14ac:dyDescent="0.3">
      <c r="A3906">
        <v>1492352</v>
      </c>
      <c r="B3906" t="s">
        <v>18</v>
      </c>
      <c r="C3906" t="s">
        <v>68</v>
      </c>
      <c r="D3906" t="s">
        <v>518</v>
      </c>
      <c r="E3906" t="s">
        <v>1777</v>
      </c>
      <c r="F3906" t="s">
        <v>33</v>
      </c>
      <c r="G3906" t="s">
        <v>23</v>
      </c>
      <c r="H3906" t="s">
        <v>37</v>
      </c>
      <c r="I3906" t="s">
        <v>25</v>
      </c>
      <c r="J3906" s="2">
        <v>45720.469363425917</v>
      </c>
      <c r="K3906">
        <v>4</v>
      </c>
      <c r="L3906">
        <v>3</v>
      </c>
      <c r="M3906">
        <v>2025</v>
      </c>
      <c r="N3906" t="s">
        <v>27</v>
      </c>
      <c r="O3906">
        <v>150</v>
      </c>
      <c r="P3906">
        <v>150</v>
      </c>
      <c r="R3906" s="3" t="str">
        <f>HYPERLINK("https://panda.att.com.mx/ODKServer/view/binaryData?blobKey=FSSuministroFluidosv3%5B%40version%3Dnull+and+%40uiVersion%3Dnull%5D%2Fdata%5B%40key%3Duuid%3Acb7a83a5-49fb-4ce3-b879-ecc8ef9ba855%5D%2FgroupInfoFuel%5B%40ordinal%3D1%5D%2FpicFuelRecibeInterno","Descargar")</f>
        <v>Descargar</v>
      </c>
    </row>
    <row r="3907" spans="1:18" x14ac:dyDescent="0.3">
      <c r="A3907">
        <v>1492334</v>
      </c>
      <c r="B3907" t="s">
        <v>18</v>
      </c>
      <c r="C3907" t="s">
        <v>100</v>
      </c>
      <c r="D3907" t="s">
        <v>651</v>
      </c>
      <c r="E3907" t="s">
        <v>3024</v>
      </c>
      <c r="F3907" t="s">
        <v>22</v>
      </c>
      <c r="G3907" t="s">
        <v>23</v>
      </c>
      <c r="H3907" t="s">
        <v>1781</v>
      </c>
      <c r="I3907" t="s">
        <v>25</v>
      </c>
      <c r="J3907" s="2">
        <v>45720.479513888888</v>
      </c>
      <c r="K3907">
        <v>4</v>
      </c>
      <c r="L3907">
        <v>3</v>
      </c>
      <c r="M3907">
        <v>2025</v>
      </c>
      <c r="N3907" t="s">
        <v>44</v>
      </c>
      <c r="O3907">
        <v>50</v>
      </c>
      <c r="P3907">
        <v>50</v>
      </c>
      <c r="R3907" s="3" t="str">
        <f>HYPERLINK("https://panda.att.com.mx/ODKServer/view/binaryData?blobKey=FSSuministroFluidosv3%5B%40version%3Dnull+and+%40uiVersion%3Dnull%5D%2Fdata%5B%40key%3Duuid%3A69826f51-0bbb-4b27-bbce-d9f325130473%5D%2FgroupInfoFuel%5B%40ordinal%3D1%5D%2FpicFuelRecibeInterno","Descargar")</f>
        <v>Descargar</v>
      </c>
    </row>
    <row r="3908" spans="1:18" x14ac:dyDescent="0.3">
      <c r="A3908">
        <v>1492319</v>
      </c>
      <c r="B3908" t="s">
        <v>18</v>
      </c>
      <c r="C3908" t="s">
        <v>19</v>
      </c>
      <c r="D3908" t="s">
        <v>62</v>
      </c>
      <c r="E3908" t="s">
        <v>3025</v>
      </c>
      <c r="F3908" t="s">
        <v>22</v>
      </c>
      <c r="G3908" t="s">
        <v>23</v>
      </c>
      <c r="H3908" t="s">
        <v>24</v>
      </c>
      <c r="I3908" t="s">
        <v>25</v>
      </c>
      <c r="J3908" s="2">
        <v>45720.509942129633</v>
      </c>
      <c r="K3908">
        <v>4</v>
      </c>
      <c r="L3908">
        <v>3</v>
      </c>
      <c r="M3908">
        <v>2025</v>
      </c>
      <c r="N3908" t="s">
        <v>27</v>
      </c>
      <c r="O3908">
        <v>100</v>
      </c>
      <c r="P3908">
        <v>100</v>
      </c>
      <c r="R3908" s="3" t="str">
        <f>HYPERLINK("https://panda.att.com.mx/ODKServer/view/binaryData?blobKey=FSSuministroFluidosv3%5B%40version%3Dnull+and+%40uiVersion%3Dnull%5D%2Fdata%5B%40key%3Duuid%3A747a176c-1767-4ffa-a72d-22be4c8409d0%5D%2FgroupInfoFuel%5B%40ordinal%3D1%5D%2FpicFuelRecibeInterno","Descargar")</f>
        <v>Descargar</v>
      </c>
    </row>
    <row r="3909" spans="1:18" x14ac:dyDescent="0.3">
      <c r="A3909">
        <v>1492211</v>
      </c>
      <c r="B3909" t="s">
        <v>18</v>
      </c>
      <c r="C3909" t="s">
        <v>100</v>
      </c>
      <c r="D3909" t="s">
        <v>716</v>
      </c>
      <c r="E3909" t="s">
        <v>2513</v>
      </c>
      <c r="F3909" t="s">
        <v>22</v>
      </c>
      <c r="G3909" t="s">
        <v>23</v>
      </c>
      <c r="H3909" t="s">
        <v>1781</v>
      </c>
      <c r="I3909" t="s">
        <v>25</v>
      </c>
      <c r="J3909" s="2">
        <v>45720.444039351853</v>
      </c>
      <c r="K3909">
        <v>4</v>
      </c>
      <c r="L3909">
        <v>3</v>
      </c>
      <c r="M3909">
        <v>2025</v>
      </c>
      <c r="N3909" t="s">
        <v>27</v>
      </c>
      <c r="O3909">
        <v>148</v>
      </c>
      <c r="P3909">
        <v>148</v>
      </c>
      <c r="R3909" s="3" t="str">
        <f>HYPERLINK("https://panda.att.com.mx/ODKServer/view/binaryData?blobKey=FSSuministroFluidosv3%5B%40version%3Dnull+and+%40uiVersion%3Dnull%5D%2Fdata%5B%40key%3Duuid%3A26a9487d-29fb-48b2-9fac-f67ce504b3ba%5D%2FgroupInfoFuel%5B%40ordinal%3D1%5D%2FpicFuelRecibeInterno","Descargar")</f>
        <v>Descargar</v>
      </c>
    </row>
    <row r="3910" spans="1:18" x14ac:dyDescent="0.3">
      <c r="A3910">
        <v>1492083</v>
      </c>
      <c r="B3910" t="s">
        <v>18</v>
      </c>
      <c r="C3910" t="s">
        <v>59</v>
      </c>
      <c r="D3910" t="s">
        <v>60</v>
      </c>
      <c r="E3910" t="s">
        <v>2207</v>
      </c>
      <c r="F3910" t="s">
        <v>22</v>
      </c>
      <c r="G3910" t="s">
        <v>23</v>
      </c>
      <c r="H3910" t="s">
        <v>37</v>
      </c>
      <c r="I3910" t="s">
        <v>25</v>
      </c>
      <c r="J3910" s="2">
        <v>45719.521631944437</v>
      </c>
      <c r="K3910">
        <v>3</v>
      </c>
      <c r="L3910">
        <v>3</v>
      </c>
      <c r="M3910">
        <v>2025</v>
      </c>
      <c r="N3910" t="s">
        <v>27</v>
      </c>
      <c r="O3910">
        <v>134</v>
      </c>
      <c r="P3910">
        <v>134</v>
      </c>
      <c r="R3910" s="3" t="str">
        <f>HYPERLINK("https://panda.att.com.mx/ODKServer/view/binaryData?blobKey=FSSuministroFluidosv3%5B%40version%3Dnull+and+%40uiVersion%3Dnull%5D%2Fdata%5B%40key%3Duuid%3A034b1262-3647-47be-aa35-43e522958a04%5D%2FgroupInfoFuel%5B%40ordinal%3D1%5D%2FpicFuelRecibeInterno","Descargar")</f>
        <v>Descargar</v>
      </c>
    </row>
    <row r="3911" spans="1:18" x14ac:dyDescent="0.3">
      <c r="A3911">
        <v>1492065</v>
      </c>
      <c r="B3911" t="s">
        <v>18</v>
      </c>
      <c r="C3911" t="s">
        <v>19</v>
      </c>
      <c r="D3911" t="s">
        <v>2159</v>
      </c>
      <c r="E3911" t="s">
        <v>2160</v>
      </c>
      <c r="F3911" t="s">
        <v>22</v>
      </c>
      <c r="G3911" t="s">
        <v>23</v>
      </c>
      <c r="H3911" t="s">
        <v>24</v>
      </c>
      <c r="I3911" t="s">
        <v>25</v>
      </c>
      <c r="J3911" s="2">
        <v>45719.817893518521</v>
      </c>
      <c r="K3911">
        <v>3</v>
      </c>
      <c r="L3911">
        <v>3</v>
      </c>
      <c r="M3911">
        <v>2025</v>
      </c>
      <c r="N3911" t="s">
        <v>44</v>
      </c>
      <c r="O3911">
        <v>20</v>
      </c>
      <c r="P3911">
        <v>20</v>
      </c>
      <c r="R3911" s="3" t="str">
        <f>HYPERLINK("https://panda.att.com.mx/ODKServer/view/binaryData?blobKey=FSSuministroFluidosv3%5B%40version%3Dnull+and+%40uiVersion%3Dnull%5D%2Fdata%5B%40key%3Duuid%3A9a3547fd-e7b1-4662-87db-52777116fccf%5D%2FgroupInfoFuel%5B%40ordinal%3D1%5D%2FpicFuelRecibeInterno","Descargar")</f>
        <v>Descargar</v>
      </c>
    </row>
    <row r="3912" spans="1:18" x14ac:dyDescent="0.3">
      <c r="A3912">
        <v>1492060</v>
      </c>
      <c r="B3912" t="s">
        <v>18</v>
      </c>
      <c r="C3912" t="s">
        <v>34</v>
      </c>
      <c r="D3912" t="s">
        <v>53</v>
      </c>
      <c r="E3912" t="s">
        <v>1979</v>
      </c>
      <c r="F3912" t="s">
        <v>22</v>
      </c>
      <c r="G3912" t="s">
        <v>23</v>
      </c>
      <c r="H3912" t="s">
        <v>37</v>
      </c>
      <c r="I3912" t="s">
        <v>25</v>
      </c>
      <c r="J3912" s="2">
        <v>45719.937384259261</v>
      </c>
      <c r="K3912">
        <v>3</v>
      </c>
      <c r="L3912">
        <v>3</v>
      </c>
      <c r="M3912">
        <v>2025</v>
      </c>
      <c r="N3912" t="s">
        <v>27</v>
      </c>
      <c r="O3912">
        <v>400</v>
      </c>
      <c r="P3912">
        <v>400</v>
      </c>
      <c r="R3912" s="3" t="str">
        <f>HYPERLINK("https://panda.att.com.mx/ODKServer/view/binaryData?blobKey=FSSuministroFluidosv3%5B%40version%3Dnull+and+%40uiVersion%3Dnull%5D%2Fdata%5B%40key%3Duuid%3A4d7c70fe-4b44-4a13-be1e-0647b516d3dd%5D%2FgroupInfoFuel%5B%40ordinal%3D1%5D%2FpicFuelRecibeInterno","Descargar")</f>
        <v>Descargar</v>
      </c>
    </row>
    <row r="3913" spans="1:18" x14ac:dyDescent="0.3">
      <c r="A3913">
        <v>1492059</v>
      </c>
      <c r="B3913" t="s">
        <v>18</v>
      </c>
      <c r="C3913" t="s">
        <v>34</v>
      </c>
      <c r="D3913" t="s">
        <v>53</v>
      </c>
      <c r="E3913" t="s">
        <v>3010</v>
      </c>
      <c r="F3913" t="s">
        <v>22</v>
      </c>
      <c r="G3913" t="s">
        <v>23</v>
      </c>
      <c r="H3913" t="s">
        <v>37</v>
      </c>
      <c r="I3913" t="s">
        <v>25</v>
      </c>
      <c r="J3913" s="2">
        <v>45719.923854166656</v>
      </c>
      <c r="K3913">
        <v>3</v>
      </c>
      <c r="L3913">
        <v>3</v>
      </c>
      <c r="M3913">
        <v>2025</v>
      </c>
      <c r="N3913" t="s">
        <v>27</v>
      </c>
      <c r="O3913">
        <v>170</v>
      </c>
      <c r="P3913">
        <v>170</v>
      </c>
      <c r="R3913" s="3" t="str">
        <f>HYPERLINK("https://panda.att.com.mx/ODKServer/view/binaryData?blobKey=FSSuministroFluidosv3%5B%40version%3Dnull+and+%40uiVersion%3Dnull%5D%2Fdata%5B%40key%3Duuid%3A5e3dc40a-7f48-4521-94f7-1dfb855ac1ce%5D%2FgroupInfoFuel%5B%40ordinal%3D1%5D%2FpicFuelRecibeInterno","Descargar")</f>
        <v>Descargar</v>
      </c>
    </row>
    <row r="3914" spans="1:18" x14ac:dyDescent="0.3">
      <c r="A3914">
        <v>1492058</v>
      </c>
      <c r="B3914" t="s">
        <v>18</v>
      </c>
      <c r="C3914" t="s">
        <v>34</v>
      </c>
      <c r="D3914" t="s">
        <v>53</v>
      </c>
      <c r="E3914" t="s">
        <v>3026</v>
      </c>
      <c r="F3914" t="s">
        <v>22</v>
      </c>
      <c r="G3914" t="s">
        <v>23</v>
      </c>
      <c r="H3914" t="s">
        <v>37</v>
      </c>
      <c r="I3914" t="s">
        <v>25</v>
      </c>
      <c r="J3914" s="2">
        <v>45719.91642361111</v>
      </c>
      <c r="K3914">
        <v>3</v>
      </c>
      <c r="L3914">
        <v>3</v>
      </c>
      <c r="M3914">
        <v>2025</v>
      </c>
      <c r="N3914" t="s">
        <v>27</v>
      </c>
      <c r="O3914">
        <v>400</v>
      </c>
      <c r="P3914">
        <v>400</v>
      </c>
      <c r="R3914" s="3" t="str">
        <f>HYPERLINK("https://panda.att.com.mx/ODKServer/view/binaryData?blobKey=FSSuministroFluidosv3%5B%40version%3Dnull+and+%40uiVersion%3Dnull%5D%2Fdata%5B%40key%3Duuid%3A10db8774-13a9-4d47-8568-d69cfb2d198b%5D%2FgroupInfoFuel%5B%40ordinal%3D1%5D%2FpicFuelRecibeInterno","Descargar")</f>
        <v>Descargar</v>
      </c>
    </row>
    <row r="3915" spans="1:18" x14ac:dyDescent="0.3">
      <c r="A3915">
        <v>1492027</v>
      </c>
      <c r="B3915" t="s">
        <v>18</v>
      </c>
      <c r="C3915" t="s">
        <v>55</v>
      </c>
      <c r="D3915" t="s">
        <v>56</v>
      </c>
      <c r="E3915" t="s">
        <v>1555</v>
      </c>
      <c r="F3915" t="s">
        <v>22</v>
      </c>
      <c r="G3915" t="s">
        <v>47</v>
      </c>
      <c r="H3915" t="s">
        <v>1763</v>
      </c>
      <c r="I3915" t="s">
        <v>25</v>
      </c>
      <c r="J3915" s="2">
        <v>45719.721064814818</v>
      </c>
      <c r="K3915">
        <v>3</v>
      </c>
      <c r="L3915">
        <v>3</v>
      </c>
      <c r="M3915">
        <v>2025</v>
      </c>
      <c r="N3915" t="s">
        <v>27</v>
      </c>
      <c r="O3915">
        <v>235</v>
      </c>
      <c r="P3915">
        <v>235</v>
      </c>
      <c r="R3915" s="3" t="str">
        <f>HYPERLINK("https://panda.att.com.mx/ODKServer/view/binaryData?blobKey=FSSuministroFluidosv3%5B%40version%3Dnull+and+%40uiVersion%3Dnull%5D%2Fdata%5B%40key%3Duuid%3A11fd9979-77b9-4761-8d90-9709a3718ce7%5D%2FgroupInfoFuel%5B%40ordinal%3D1%5D%2FpicFuelRecibeInterno","Descargar")</f>
        <v>Descargar</v>
      </c>
    </row>
    <row r="3916" spans="1:18" x14ac:dyDescent="0.3">
      <c r="A3916">
        <v>1492026</v>
      </c>
      <c r="B3916" t="s">
        <v>18</v>
      </c>
      <c r="C3916" t="s">
        <v>55</v>
      </c>
      <c r="D3916" t="s">
        <v>56</v>
      </c>
      <c r="E3916" t="s">
        <v>3027</v>
      </c>
      <c r="F3916" t="s">
        <v>22</v>
      </c>
      <c r="G3916" t="s">
        <v>47</v>
      </c>
      <c r="H3916" t="s">
        <v>1763</v>
      </c>
      <c r="I3916" t="s">
        <v>25</v>
      </c>
      <c r="J3916" s="2">
        <v>45719.492210648154</v>
      </c>
      <c r="K3916">
        <v>3</v>
      </c>
      <c r="L3916">
        <v>3</v>
      </c>
      <c r="M3916">
        <v>2025</v>
      </c>
      <c r="N3916" t="s">
        <v>27</v>
      </c>
      <c r="O3916">
        <v>200</v>
      </c>
      <c r="P3916">
        <v>200</v>
      </c>
      <c r="R3916" s="3" t="str">
        <f>HYPERLINK("https://panda.att.com.mx/ODKServer/view/binaryData?blobKey=FSSuministroFluidosv3%5B%40version%3Dnull+and+%40uiVersion%3Dnull%5D%2Fdata%5B%40key%3Duuid%3A947529e0-517d-413f-ae1a-0e7b98d6f00e%5D%2FgroupInfoFuel%5B%40ordinal%3D1%5D%2FpicFuelRecibeInterno","Descargar")</f>
        <v>Descargar</v>
      </c>
    </row>
    <row r="3917" spans="1:18" x14ac:dyDescent="0.3">
      <c r="A3917">
        <v>1491997</v>
      </c>
      <c r="B3917" t="s">
        <v>18</v>
      </c>
      <c r="C3917" t="s">
        <v>100</v>
      </c>
      <c r="D3917" t="s">
        <v>854</v>
      </c>
      <c r="E3917" t="s">
        <v>993</v>
      </c>
      <c r="F3917" t="s">
        <v>22</v>
      </c>
      <c r="G3917" t="s">
        <v>83</v>
      </c>
      <c r="H3917" t="s">
        <v>1781</v>
      </c>
      <c r="I3917" t="s">
        <v>25</v>
      </c>
      <c r="J3917" s="2">
        <v>45719.525717592587</v>
      </c>
      <c r="K3917">
        <v>3</v>
      </c>
      <c r="L3917">
        <v>3</v>
      </c>
      <c r="M3917">
        <v>2025</v>
      </c>
      <c r="N3917" t="s">
        <v>27</v>
      </c>
      <c r="O3917">
        <v>140</v>
      </c>
      <c r="P3917">
        <v>140</v>
      </c>
      <c r="R3917" s="3" t="str">
        <f>HYPERLINK("https://panda.att.com.mx/ODKServer/view/binaryData?blobKey=FSSuministroFluidosv3%5B%40version%3Dnull+and+%40uiVersion%3Dnull%5D%2Fdata%5B%40key%3Duuid%3A6b948412-4f58-4a85-906c-3f269cbe86d4%5D%2FgroupInfoFuel%5B%40ordinal%3D1%5D%2FpicFuelRecibeInterno","Descargar")</f>
        <v>Descargar</v>
      </c>
    </row>
    <row r="3918" spans="1:18" x14ac:dyDescent="0.3">
      <c r="A3918">
        <v>1491983</v>
      </c>
      <c r="B3918" t="s">
        <v>18</v>
      </c>
      <c r="C3918" t="s">
        <v>28</v>
      </c>
      <c r="D3918" t="s">
        <v>66</v>
      </c>
      <c r="E3918" t="s">
        <v>2962</v>
      </c>
      <c r="F3918" t="s">
        <v>22</v>
      </c>
      <c r="G3918" t="s">
        <v>23</v>
      </c>
      <c r="H3918" t="s">
        <v>24</v>
      </c>
      <c r="I3918" t="s">
        <v>25</v>
      </c>
      <c r="J3918" s="2">
        <v>45712.3906712963</v>
      </c>
      <c r="K3918">
        <v>24</v>
      </c>
      <c r="L3918">
        <v>2</v>
      </c>
      <c r="M3918">
        <v>2025</v>
      </c>
      <c r="N3918" t="s">
        <v>27</v>
      </c>
      <c r="O3918">
        <v>120</v>
      </c>
      <c r="P3918">
        <v>120</v>
      </c>
      <c r="R3918" s="3" t="str">
        <f>HYPERLINK("https://panda.att.com.mx/ODKServer/view/binaryData?blobKey=FSSuministroFluidosv3%5B%40version%3Dnull+and+%40uiVersion%3Dnull%5D%2Fdata%5B%40key%3Duuid%3A23e33214-a516-46d3-88c9-f8523b851b44%5D%2FgroupInfoFuel%5B%40ordinal%3D1%5D%2FpicFuelRecibeInterno","Descargar")</f>
        <v>Descargar</v>
      </c>
    </row>
    <row r="3919" spans="1:18" x14ac:dyDescent="0.3">
      <c r="A3919">
        <v>1491918</v>
      </c>
      <c r="B3919" t="s">
        <v>18</v>
      </c>
      <c r="C3919" t="s">
        <v>59</v>
      </c>
      <c r="D3919" t="s">
        <v>446</v>
      </c>
      <c r="E3919" t="s">
        <v>3028</v>
      </c>
      <c r="F3919" t="s">
        <v>22</v>
      </c>
      <c r="G3919" t="s">
        <v>23</v>
      </c>
      <c r="H3919" t="s">
        <v>37</v>
      </c>
      <c r="I3919" t="s">
        <v>25</v>
      </c>
      <c r="J3919" s="2">
        <v>45717.865601851852</v>
      </c>
      <c r="K3919">
        <v>1</v>
      </c>
      <c r="L3919">
        <v>3</v>
      </c>
      <c r="M3919">
        <v>2025</v>
      </c>
      <c r="N3919" t="s">
        <v>27</v>
      </c>
      <c r="O3919">
        <v>500</v>
      </c>
      <c r="P3919">
        <v>500</v>
      </c>
      <c r="R3919" s="3" t="str">
        <f>HYPERLINK("https://panda.att.com.mx/ODKServer/view/binaryData?blobKey=FSSuministroFluidosv3%5B%40version%3Dnull+and+%40uiVersion%3Dnull%5D%2Fdata%5B%40key%3Duuid%3A497a2b26-b6d2-43b9-b2eb-c3822d8710f6%5D%2FgroupInfoFuel%5B%40ordinal%3D1%5D%2FpicFuelRecibeInterno","Descargar")</f>
        <v>Descargar</v>
      </c>
    </row>
    <row r="3920" spans="1:18" x14ac:dyDescent="0.3">
      <c r="A3920">
        <v>1491917</v>
      </c>
      <c r="B3920" t="s">
        <v>18</v>
      </c>
      <c r="C3920" t="s">
        <v>19</v>
      </c>
      <c r="D3920" t="s">
        <v>45</v>
      </c>
      <c r="E3920" t="s">
        <v>752</v>
      </c>
      <c r="F3920" t="s">
        <v>22</v>
      </c>
      <c r="G3920" t="s">
        <v>23</v>
      </c>
      <c r="H3920" t="s">
        <v>24</v>
      </c>
      <c r="I3920" t="s">
        <v>25</v>
      </c>
      <c r="J3920" s="2">
        <v>45717.593645833331</v>
      </c>
      <c r="K3920">
        <v>1</v>
      </c>
      <c r="L3920">
        <v>3</v>
      </c>
      <c r="M3920">
        <v>2025</v>
      </c>
      <c r="N3920" t="s">
        <v>27</v>
      </c>
      <c r="O3920">
        <v>400</v>
      </c>
      <c r="P3920">
        <v>400</v>
      </c>
      <c r="R3920" s="3" t="str">
        <f>HYPERLINK("https://panda.att.com.mx/ODKServer/view/binaryData?blobKey=FSSuministroFluidosv3%5B%40version%3Dnull+and+%40uiVersion%3Dnull%5D%2Fdata%5B%40key%3Duuid%3Adb5817c0-d1f8-438e-8c80-1f9d5549cfb8%5D%2FgroupInfoFuel%5B%40ordinal%3D1%5D%2FpicFuelRecibeInterno","Descargar")</f>
        <v>Descargar</v>
      </c>
    </row>
    <row r="3921" spans="1:18" x14ac:dyDescent="0.3">
      <c r="A3921">
        <v>1491853</v>
      </c>
      <c r="B3921" t="s">
        <v>18</v>
      </c>
      <c r="C3921" t="s">
        <v>34</v>
      </c>
      <c r="D3921" t="s">
        <v>53</v>
      </c>
      <c r="E3921" t="s">
        <v>3029</v>
      </c>
      <c r="F3921" t="s">
        <v>22</v>
      </c>
      <c r="G3921" t="s">
        <v>1980</v>
      </c>
      <c r="H3921" t="s">
        <v>390</v>
      </c>
      <c r="I3921" t="s">
        <v>25</v>
      </c>
      <c r="J3921" s="2">
        <v>45718.466469907413</v>
      </c>
      <c r="K3921">
        <v>2</v>
      </c>
      <c r="L3921">
        <v>3</v>
      </c>
      <c r="M3921">
        <v>2025</v>
      </c>
      <c r="N3921" t="s">
        <v>27</v>
      </c>
      <c r="O3921">
        <v>200</v>
      </c>
      <c r="P3921">
        <v>200</v>
      </c>
      <c r="R3921" s="3" t="str">
        <f>HYPERLINK("https://panda.att.com.mx/ODKServer/view/binaryData?blobKey=FSSuministroFluidosv3%5B%40version%3Dnull+and+%40uiVersion%3Dnull%5D%2Fdata%5B%40key%3Duuid%3A20ba8a18-371c-4c9d-bdb4-11b7e58dcc5f%5D%2FgroupInfoFuel%5B%40ordinal%3D1%5D%2FpicFuelRecibeInterno","Descargar")</f>
        <v>Descargar</v>
      </c>
    </row>
    <row r="3922" spans="1:18" x14ac:dyDescent="0.3">
      <c r="A3922">
        <v>1491790</v>
      </c>
      <c r="B3922" t="s">
        <v>18</v>
      </c>
      <c r="C3922" t="s">
        <v>55</v>
      </c>
      <c r="D3922" t="s">
        <v>56</v>
      </c>
      <c r="E3922" t="s">
        <v>1555</v>
      </c>
      <c r="F3922" t="s">
        <v>22</v>
      </c>
      <c r="G3922" t="s">
        <v>47</v>
      </c>
      <c r="H3922" t="s">
        <v>1763</v>
      </c>
      <c r="I3922" t="s">
        <v>25</v>
      </c>
      <c r="J3922" s="2">
        <v>45717.500081018523</v>
      </c>
      <c r="K3922">
        <v>1</v>
      </c>
      <c r="L3922">
        <v>3</v>
      </c>
      <c r="M3922">
        <v>2025</v>
      </c>
      <c r="N3922" t="s">
        <v>27</v>
      </c>
      <c r="O3922">
        <v>220</v>
      </c>
      <c r="P3922">
        <v>220</v>
      </c>
      <c r="R3922" s="3" t="str">
        <f>HYPERLINK("https://panda.att.com.mx/ODKServer/view/binaryData?blobKey=FSSuministroFluidosv3%5B%40version%3Dnull+and+%40uiVersion%3Dnull%5D%2Fdata%5B%40key%3Duuid%3A7bd41225-6d7e-49a9-9702-dfc2683ee1e7%5D%2FgroupInfoFuel%5B%40ordinal%3D1%5D%2FpicFuelRecibeInterno","Descargar")</f>
        <v>Descargar</v>
      </c>
    </row>
    <row r="3923" spans="1:18" x14ac:dyDescent="0.3">
      <c r="A3923">
        <v>1491722</v>
      </c>
      <c r="B3923" t="s">
        <v>18</v>
      </c>
      <c r="C3923" t="s">
        <v>34</v>
      </c>
      <c r="D3923" t="s">
        <v>53</v>
      </c>
      <c r="E3923" t="s">
        <v>457</v>
      </c>
      <c r="F3923" t="s">
        <v>22</v>
      </c>
      <c r="G3923" t="s">
        <v>83</v>
      </c>
      <c r="H3923" t="s">
        <v>390</v>
      </c>
      <c r="I3923" t="s">
        <v>25</v>
      </c>
      <c r="J3923" s="2">
        <v>45719.532083333332</v>
      </c>
      <c r="K3923">
        <v>3</v>
      </c>
      <c r="L3923">
        <v>3</v>
      </c>
      <c r="M3923">
        <v>2025</v>
      </c>
      <c r="N3923" t="s">
        <v>27</v>
      </c>
      <c r="O3923">
        <v>650</v>
      </c>
      <c r="P3923">
        <v>650</v>
      </c>
      <c r="R3923" s="3" t="str">
        <f>HYPERLINK("https://panda.att.com.mx/ODKServer/view/binaryData?blobKey=FSSuministroFluidosv3%5B%40version%3Dnull+and+%40uiVersion%3Dnull%5D%2Fdata%5B%40key%3Duuid%3A35222944-941d-4451-8065-9a5732453fcf%5D%2FgroupInfoFuel%5B%40ordinal%3D1%5D%2FpicFuelRecibeInterno","Descargar")</f>
        <v>Descargar</v>
      </c>
    </row>
    <row r="3924" spans="1:18" x14ac:dyDescent="0.3">
      <c r="A3924">
        <v>1491721</v>
      </c>
      <c r="B3924" t="s">
        <v>18</v>
      </c>
      <c r="C3924" t="s">
        <v>34</v>
      </c>
      <c r="D3924" t="s">
        <v>53</v>
      </c>
      <c r="E3924" t="s">
        <v>459</v>
      </c>
      <c r="F3924" t="s">
        <v>22</v>
      </c>
      <c r="G3924" t="s">
        <v>83</v>
      </c>
      <c r="H3924" t="s">
        <v>390</v>
      </c>
      <c r="I3924" t="s">
        <v>25</v>
      </c>
      <c r="J3924" s="2">
        <v>45719.469606481478</v>
      </c>
      <c r="K3924">
        <v>3</v>
      </c>
      <c r="L3924">
        <v>3</v>
      </c>
      <c r="M3924">
        <v>2025</v>
      </c>
      <c r="N3924" t="s">
        <v>27</v>
      </c>
      <c r="O3924">
        <v>450</v>
      </c>
      <c r="P3924">
        <v>450</v>
      </c>
      <c r="R3924" s="3" t="str">
        <f>HYPERLINK("https://panda.att.com.mx/ODKServer/view/binaryData?blobKey=FSSuministroFluidosv3%5B%40version%3Dnull+and+%40uiVersion%3Dnull%5D%2Fdata%5B%40key%3Duuid%3Ae0019e40-370e-455d-8257-3e4e3c77bbdd%5D%2FgroupInfoFuel%5B%40ordinal%3D1%5D%2FpicFuelRecibeInterno","Descargar")</f>
        <v>Descargar</v>
      </c>
    </row>
    <row r="3925" spans="1:18" x14ac:dyDescent="0.3">
      <c r="A3925">
        <v>1490945</v>
      </c>
      <c r="B3925" t="s">
        <v>18</v>
      </c>
      <c r="C3925" t="s">
        <v>55</v>
      </c>
      <c r="D3925" t="s">
        <v>366</v>
      </c>
      <c r="E3925" t="s">
        <v>3030</v>
      </c>
      <c r="F3925" t="s">
        <v>22</v>
      </c>
      <c r="G3925" t="s">
        <v>23</v>
      </c>
      <c r="H3925" t="s">
        <v>1781</v>
      </c>
      <c r="I3925" t="s">
        <v>25</v>
      </c>
      <c r="J3925" s="2">
        <v>45716.738206018519</v>
      </c>
      <c r="K3925">
        <v>28</v>
      </c>
      <c r="L3925">
        <v>2</v>
      </c>
      <c r="M3925">
        <v>2025</v>
      </c>
      <c r="N3925" t="s">
        <v>27</v>
      </c>
      <c r="O3925">
        <v>170</v>
      </c>
      <c r="P3925">
        <v>170</v>
      </c>
      <c r="R3925" s="3" t="str">
        <f>HYPERLINK("https://panda.att.com.mx/ODKServer/view/binaryData?blobKey=FSSuministroFluidosv3%5B%40version%3Dnull+and+%40uiVersion%3Dnull%5D%2Fdata%5B%40key%3Duuid%3A496edbee-7f41-4ad7-b8b8-0718b9aefdaf%5D%2FgroupInfoFuel%5B%40ordinal%3D1%5D%2FpicFuelRecibeInterno","Descargar")</f>
        <v>Descargar</v>
      </c>
    </row>
    <row r="3926" spans="1:18" x14ac:dyDescent="0.3">
      <c r="A3926">
        <v>1490916</v>
      </c>
      <c r="B3926" t="s">
        <v>18</v>
      </c>
      <c r="C3926" t="s">
        <v>55</v>
      </c>
      <c r="D3926" t="s">
        <v>56</v>
      </c>
      <c r="E3926" t="s">
        <v>2089</v>
      </c>
      <c r="F3926" t="s">
        <v>22</v>
      </c>
      <c r="G3926" t="s">
        <v>23</v>
      </c>
      <c r="H3926" t="s">
        <v>1763</v>
      </c>
      <c r="I3926" t="s">
        <v>25</v>
      </c>
      <c r="J3926" s="2">
        <v>45708.650671296287</v>
      </c>
      <c r="K3926">
        <v>20</v>
      </c>
      <c r="L3926">
        <v>2</v>
      </c>
      <c r="M3926">
        <v>2025</v>
      </c>
      <c r="N3926" t="s">
        <v>27</v>
      </c>
      <c r="O3926">
        <v>300</v>
      </c>
      <c r="P3926">
        <v>300</v>
      </c>
      <c r="R3926" s="3" t="str">
        <f>HYPERLINK("https://panda.att.com.mx/ODKServer/view/binaryData?blobKey=FSSuministroFluidosv3%5B%40version%3Dnull+and+%40uiVersion%3Dnull%5D%2Fdata%5B%40key%3Duuid%3Acd152e53-c840-4213-ba0e-726ca76f2d0c%5D%2FgroupInfoFuel%5B%40ordinal%3D1%5D%2FpicFuelRecibeInterno","Descargar")</f>
        <v>Descargar</v>
      </c>
    </row>
    <row r="3927" spans="1:18" x14ac:dyDescent="0.3">
      <c r="A3927">
        <v>1490915</v>
      </c>
      <c r="B3927" t="s">
        <v>18</v>
      </c>
      <c r="C3927" t="s">
        <v>55</v>
      </c>
      <c r="D3927" t="s">
        <v>56</v>
      </c>
      <c r="E3927" t="s">
        <v>320</v>
      </c>
      <c r="F3927" t="s">
        <v>22</v>
      </c>
      <c r="G3927" t="s">
        <v>23</v>
      </c>
      <c r="H3927" t="s">
        <v>1763</v>
      </c>
      <c r="I3927" t="s">
        <v>25</v>
      </c>
      <c r="J3927" s="2">
        <v>45708.698321759257</v>
      </c>
      <c r="K3927">
        <v>20</v>
      </c>
      <c r="L3927">
        <v>2</v>
      </c>
      <c r="M3927">
        <v>2025</v>
      </c>
      <c r="N3927" t="s">
        <v>27</v>
      </c>
      <c r="O3927">
        <v>300</v>
      </c>
      <c r="P3927">
        <v>300</v>
      </c>
      <c r="R3927" s="3" t="str">
        <f>HYPERLINK("https://panda.att.com.mx/ODKServer/view/binaryData?blobKey=FSSuministroFluidosv3%5B%40version%3Dnull+and+%40uiVersion%3Dnull%5D%2Fdata%5B%40key%3Duuid%3Acf158552-3739-486a-b186-988037c45843%5D%2FgroupInfoFuel%5B%40ordinal%3D1%5D%2FpicFuelRecibeInterno","Descargar")</f>
        <v>Descargar</v>
      </c>
    </row>
    <row r="3928" spans="1:18" x14ac:dyDescent="0.3">
      <c r="A3928">
        <v>1490914</v>
      </c>
      <c r="B3928" t="s">
        <v>18</v>
      </c>
      <c r="C3928" t="s">
        <v>55</v>
      </c>
      <c r="D3928" t="s">
        <v>56</v>
      </c>
      <c r="E3928" t="s">
        <v>2966</v>
      </c>
      <c r="F3928" t="s">
        <v>22</v>
      </c>
      <c r="G3928" t="s">
        <v>23</v>
      </c>
      <c r="H3928" t="s">
        <v>1763</v>
      </c>
      <c r="I3928" t="s">
        <v>25</v>
      </c>
      <c r="J3928" s="2">
        <v>45709.465497685182</v>
      </c>
      <c r="K3928">
        <v>21</v>
      </c>
      <c r="L3928">
        <v>2</v>
      </c>
      <c r="M3928">
        <v>2025</v>
      </c>
      <c r="N3928" t="s">
        <v>27</v>
      </c>
      <c r="O3928">
        <v>100</v>
      </c>
      <c r="P3928">
        <v>100</v>
      </c>
      <c r="R3928" s="3" t="str">
        <f>HYPERLINK("https://panda.att.com.mx/ODKServer/view/binaryData?blobKey=FSSuministroFluidosv3%5B%40version%3Dnull+and+%40uiVersion%3Dnull%5D%2Fdata%5B%40key%3Duuid%3A6ec256ef-51af-4573-8dee-69f6822f3303%5D%2FgroupInfoFuel%5B%40ordinal%3D1%5D%2FpicFuelRecibeInterno","Descargar")</f>
        <v>Descargar</v>
      </c>
    </row>
    <row r="3929" spans="1:18" x14ac:dyDescent="0.3">
      <c r="A3929">
        <v>1490913</v>
      </c>
      <c r="B3929" t="s">
        <v>18</v>
      </c>
      <c r="C3929" t="s">
        <v>55</v>
      </c>
      <c r="D3929" t="s">
        <v>56</v>
      </c>
      <c r="E3929" t="s">
        <v>3023</v>
      </c>
      <c r="F3929" t="s">
        <v>22</v>
      </c>
      <c r="G3929" t="s">
        <v>23</v>
      </c>
      <c r="H3929" t="s">
        <v>1763</v>
      </c>
      <c r="I3929" t="s">
        <v>25</v>
      </c>
      <c r="J3929" s="2">
        <v>45709.570787037039</v>
      </c>
      <c r="K3929">
        <v>21</v>
      </c>
      <c r="L3929">
        <v>2</v>
      </c>
      <c r="M3929">
        <v>2025</v>
      </c>
      <c r="N3929" t="s">
        <v>27</v>
      </c>
      <c r="O3929">
        <v>300</v>
      </c>
      <c r="P3929">
        <v>300</v>
      </c>
      <c r="R3929" s="3" t="str">
        <f>HYPERLINK("https://panda.att.com.mx/ODKServer/view/binaryData?blobKey=FSSuministroFluidosv3%5B%40version%3Dnull+and+%40uiVersion%3Dnull%5D%2Fdata%5B%40key%3Duuid%3Afbc25108-a585-481c-9639-d5b8775bf245%5D%2FgroupInfoFuel%5B%40ordinal%3D1%5D%2FpicFuelRecibeInterno","Descargar")</f>
        <v>Descargar</v>
      </c>
    </row>
    <row r="3930" spans="1:18" x14ac:dyDescent="0.3">
      <c r="A3930">
        <v>1490912</v>
      </c>
      <c r="B3930" t="s">
        <v>18</v>
      </c>
      <c r="C3930" t="s">
        <v>55</v>
      </c>
      <c r="D3930" t="s">
        <v>56</v>
      </c>
      <c r="E3930" t="s">
        <v>3031</v>
      </c>
      <c r="F3930" t="s">
        <v>22</v>
      </c>
      <c r="G3930" t="s">
        <v>23</v>
      </c>
      <c r="H3930" t="s">
        <v>1763</v>
      </c>
      <c r="I3930" t="s">
        <v>25</v>
      </c>
      <c r="J3930" s="2">
        <v>45709.728587962964</v>
      </c>
      <c r="K3930">
        <v>21</v>
      </c>
      <c r="L3930">
        <v>2</v>
      </c>
      <c r="M3930">
        <v>2025</v>
      </c>
      <c r="N3930" t="s">
        <v>27</v>
      </c>
      <c r="O3930">
        <v>100</v>
      </c>
      <c r="P3930">
        <v>100</v>
      </c>
      <c r="R3930" s="3" t="str">
        <f>HYPERLINK("https://panda.att.com.mx/ODKServer/view/binaryData?blobKey=FSSuministroFluidosv3%5B%40version%3Dnull+and+%40uiVersion%3Dnull%5D%2Fdata%5B%40key%3Duuid%3Af8e82273-50d1-4b45-9ec9-e6abf95d4065%5D%2FgroupInfoFuel%5B%40ordinal%3D1%5D%2FpicFuelRecibeInterno","Descargar")</f>
        <v>Descargar</v>
      </c>
    </row>
    <row r="3931" spans="1:18" x14ac:dyDescent="0.3">
      <c r="A3931">
        <v>1490911</v>
      </c>
      <c r="B3931" t="s">
        <v>18</v>
      </c>
      <c r="C3931" t="s">
        <v>55</v>
      </c>
      <c r="D3931" t="s">
        <v>56</v>
      </c>
      <c r="E3931" t="s">
        <v>2199</v>
      </c>
      <c r="F3931" t="s">
        <v>22</v>
      </c>
      <c r="G3931" t="s">
        <v>23</v>
      </c>
      <c r="H3931" t="s">
        <v>1763</v>
      </c>
      <c r="I3931" t="s">
        <v>25</v>
      </c>
      <c r="J3931" s="2">
        <v>45710.550844907397</v>
      </c>
      <c r="K3931">
        <v>22</v>
      </c>
      <c r="L3931">
        <v>2</v>
      </c>
      <c r="M3931">
        <v>2025</v>
      </c>
      <c r="N3931" t="s">
        <v>27</v>
      </c>
      <c r="O3931">
        <v>100</v>
      </c>
      <c r="P3931">
        <v>100</v>
      </c>
      <c r="R3931" s="3" t="str">
        <f>HYPERLINK("https://panda.att.com.mx/ODKServer/view/binaryData?blobKey=FSSuministroFluidosv3%5B%40version%3Dnull+and+%40uiVersion%3Dnull%5D%2Fdata%5B%40key%3Duuid%3A2b54b3b7-6ec3-40e5-8503-316aa1baa2b6%5D%2FgroupInfoFuel%5B%40ordinal%3D1%5D%2FpicFuelRecibeInterno","Descargar")</f>
        <v>Descargar</v>
      </c>
    </row>
    <row r="3932" spans="1:18" x14ac:dyDescent="0.3">
      <c r="A3932">
        <v>1490910</v>
      </c>
      <c r="B3932" t="s">
        <v>18</v>
      </c>
      <c r="C3932" t="s">
        <v>55</v>
      </c>
      <c r="D3932" t="s">
        <v>56</v>
      </c>
      <c r="E3932" t="s">
        <v>3031</v>
      </c>
      <c r="F3932" t="s">
        <v>22</v>
      </c>
      <c r="G3932" t="s">
        <v>23</v>
      </c>
      <c r="H3932" t="s">
        <v>1763</v>
      </c>
      <c r="I3932" t="s">
        <v>25</v>
      </c>
      <c r="J3932" s="2">
        <v>45710.647083333337</v>
      </c>
      <c r="K3932">
        <v>22</v>
      </c>
      <c r="L3932">
        <v>2</v>
      </c>
      <c r="M3932">
        <v>2025</v>
      </c>
      <c r="N3932" t="s">
        <v>27</v>
      </c>
      <c r="O3932">
        <v>100</v>
      </c>
      <c r="P3932">
        <v>100</v>
      </c>
      <c r="R3932" s="3" t="str">
        <f>HYPERLINK("https://panda.att.com.mx/ODKServer/view/binaryData?blobKey=FSSuministroFluidosv3%5B%40version%3Dnull+and+%40uiVersion%3Dnull%5D%2Fdata%5B%40key%3Duuid%3A2fe15e49-ef71-4464-a291-c90088ddc385%5D%2FgroupInfoFuel%5B%40ordinal%3D1%5D%2FpicFuelRecibeInterno","Descargar")</f>
        <v>Descargar</v>
      </c>
    </row>
    <row r="3933" spans="1:18" x14ac:dyDescent="0.3">
      <c r="A3933">
        <v>1490909</v>
      </c>
      <c r="B3933" t="s">
        <v>18</v>
      </c>
      <c r="C3933" t="s">
        <v>55</v>
      </c>
      <c r="D3933" t="s">
        <v>56</v>
      </c>
      <c r="E3933" t="s">
        <v>2966</v>
      </c>
      <c r="F3933" t="s">
        <v>22</v>
      </c>
      <c r="G3933" t="s">
        <v>23</v>
      </c>
      <c r="H3933" t="s">
        <v>1763</v>
      </c>
      <c r="I3933" t="s">
        <v>25</v>
      </c>
      <c r="J3933" s="2">
        <v>45710.69734953704</v>
      </c>
      <c r="K3933">
        <v>22</v>
      </c>
      <c r="L3933">
        <v>2</v>
      </c>
      <c r="M3933">
        <v>2025</v>
      </c>
      <c r="N3933" t="s">
        <v>27</v>
      </c>
      <c r="O3933">
        <v>100</v>
      </c>
      <c r="P3933">
        <v>100</v>
      </c>
      <c r="R3933" s="3" t="str">
        <f>HYPERLINK("https://panda.att.com.mx/ODKServer/view/binaryData?blobKey=FSSuministroFluidosv3%5B%40version%3Dnull+and+%40uiVersion%3Dnull%5D%2Fdata%5B%40key%3Duuid%3A0c75b5ee-f3ba-4b4d-9e79-cad0e4b01629%5D%2FgroupInfoFuel%5B%40ordinal%3D1%5D%2FpicFuelRecibeInterno","Descargar")</f>
        <v>Descargar</v>
      </c>
    </row>
    <row r="3934" spans="1:18" x14ac:dyDescent="0.3">
      <c r="A3934">
        <v>1490908</v>
      </c>
      <c r="B3934" t="s">
        <v>18</v>
      </c>
      <c r="C3934" t="s">
        <v>59</v>
      </c>
      <c r="D3934" t="s">
        <v>60</v>
      </c>
      <c r="E3934" t="s">
        <v>2738</v>
      </c>
      <c r="F3934" t="s">
        <v>22</v>
      </c>
      <c r="G3934" t="s">
        <v>23</v>
      </c>
      <c r="H3934" t="s">
        <v>37</v>
      </c>
      <c r="I3934" t="s">
        <v>25</v>
      </c>
      <c r="J3934" s="2">
        <v>45716.34983796296</v>
      </c>
      <c r="K3934">
        <v>28</v>
      </c>
      <c r="L3934">
        <v>2</v>
      </c>
      <c r="M3934">
        <v>2025</v>
      </c>
      <c r="N3934" t="s">
        <v>27</v>
      </c>
      <c r="O3934">
        <v>130</v>
      </c>
      <c r="P3934">
        <v>130</v>
      </c>
      <c r="R3934" s="3" t="str">
        <f>HYPERLINK("https://panda.att.com.mx/ODKServer/view/binaryData?blobKey=FSSuministroFluidosv3%5B%40version%3Dnull+and+%40uiVersion%3Dnull%5D%2Fdata%5B%40key%3Duuid%3Ab3cf4d3d-ab12-45a9-8208-fdcaf6d249d0%5D%2FgroupInfoFuel%5B%40ordinal%3D1%5D%2FpicFuelRecibeInterno","Descargar")</f>
        <v>Descargar</v>
      </c>
    </row>
    <row r="3935" spans="1:18" x14ac:dyDescent="0.3">
      <c r="A3935">
        <v>1490857</v>
      </c>
      <c r="B3935" t="s">
        <v>18</v>
      </c>
      <c r="C3935" t="s">
        <v>59</v>
      </c>
      <c r="D3935" t="s">
        <v>60</v>
      </c>
      <c r="E3935" t="s">
        <v>2738</v>
      </c>
      <c r="F3935" t="s">
        <v>22</v>
      </c>
      <c r="G3935" t="s">
        <v>23</v>
      </c>
      <c r="H3935" t="s">
        <v>37</v>
      </c>
      <c r="I3935" t="s">
        <v>25</v>
      </c>
      <c r="J3935" s="2">
        <v>45714.796400462961</v>
      </c>
      <c r="K3935">
        <v>26</v>
      </c>
      <c r="L3935">
        <v>2</v>
      </c>
      <c r="M3935">
        <v>2025</v>
      </c>
      <c r="N3935" t="s">
        <v>27</v>
      </c>
      <c r="O3935">
        <v>120</v>
      </c>
      <c r="P3935">
        <v>120</v>
      </c>
      <c r="R3935" s="3" t="str">
        <f>HYPERLINK("https://panda.att.com.mx/ODKServer/view/binaryData?blobKey=FSSuministroFluidosv3%5B%40version%3Dnull+and+%40uiVersion%3Dnull%5D%2Fdata%5B%40key%3Duuid%3A7765e269-b12f-49f3-b46a-ceae6a569198%5D%2FgroupInfoFuel%5B%40ordinal%3D1%5D%2FpicFuelRecibeInterno","Descargar")</f>
        <v>Descargar</v>
      </c>
    </row>
    <row r="3936" spans="1:18" x14ac:dyDescent="0.3">
      <c r="A3936">
        <v>1490851</v>
      </c>
      <c r="B3936" t="s">
        <v>18</v>
      </c>
      <c r="C3936" t="s">
        <v>55</v>
      </c>
      <c r="D3936" t="s">
        <v>89</v>
      </c>
      <c r="E3936" t="s">
        <v>1532</v>
      </c>
      <c r="F3936" t="s">
        <v>22</v>
      </c>
      <c r="G3936" t="s">
        <v>23</v>
      </c>
      <c r="H3936" t="s">
        <v>1763</v>
      </c>
      <c r="I3936" t="s">
        <v>25</v>
      </c>
      <c r="J3936" s="2">
        <v>45716.675613425927</v>
      </c>
      <c r="K3936">
        <v>28</v>
      </c>
      <c r="L3936">
        <v>2</v>
      </c>
      <c r="M3936">
        <v>2025</v>
      </c>
      <c r="N3936" t="s">
        <v>27</v>
      </c>
      <c r="O3936">
        <v>200</v>
      </c>
      <c r="P3936">
        <v>200</v>
      </c>
      <c r="R3936" s="3" t="str">
        <f>HYPERLINK("https://panda.att.com.mx/ODKServer/view/binaryData?blobKey=FSSuministroFluidosv3%5B%40version%3Dnull+and+%40uiVersion%3Dnull%5D%2Fdata%5B%40key%3Duuid%3A0be54786-ccd5-4686-86d7-8e100275c761%5D%2FgroupInfoFuel%5B%40ordinal%3D1%5D%2FpicFuelRecibeInterno","Descargar")</f>
        <v>Descargar</v>
      </c>
    </row>
    <row r="3937" spans="1:18" x14ac:dyDescent="0.3">
      <c r="A3937">
        <v>1490802</v>
      </c>
      <c r="B3937" t="s">
        <v>18</v>
      </c>
      <c r="C3937" t="s">
        <v>55</v>
      </c>
      <c r="D3937" t="s">
        <v>887</v>
      </c>
      <c r="E3937" t="s">
        <v>888</v>
      </c>
      <c r="F3937" t="s">
        <v>22</v>
      </c>
      <c r="G3937" t="s">
        <v>23</v>
      </c>
      <c r="H3937" t="s">
        <v>1763</v>
      </c>
      <c r="I3937" t="s">
        <v>25</v>
      </c>
      <c r="J3937" s="2">
        <v>45716.641805555562</v>
      </c>
      <c r="K3937">
        <v>28</v>
      </c>
      <c r="L3937">
        <v>2</v>
      </c>
      <c r="M3937">
        <v>2025</v>
      </c>
      <c r="N3937" t="s">
        <v>27</v>
      </c>
      <c r="O3937">
        <v>250</v>
      </c>
      <c r="P3937">
        <v>250</v>
      </c>
      <c r="R3937" s="3" t="str">
        <f>HYPERLINK("https://panda.att.com.mx/ODKServer/view/binaryData?blobKey=FSSuministroFluidosv3%5B%40version%3Dnull+and+%40uiVersion%3Dnull%5D%2Fdata%5B%40key%3Duuid%3A82ad2334-b4f5-4143-8b35-5ed0a3035458%5D%2FgroupInfoFuel%5B%40ordinal%3D1%5D%2FpicFuelRecibeInterno","Descargar")</f>
        <v>Descargar</v>
      </c>
    </row>
    <row r="3938" spans="1:18" x14ac:dyDescent="0.3">
      <c r="A3938">
        <v>1490654</v>
      </c>
      <c r="B3938" t="s">
        <v>18</v>
      </c>
      <c r="C3938" t="s">
        <v>55</v>
      </c>
      <c r="D3938" t="s">
        <v>128</v>
      </c>
      <c r="E3938" t="s">
        <v>2758</v>
      </c>
      <c r="F3938" t="s">
        <v>22</v>
      </c>
      <c r="G3938" t="s">
        <v>23</v>
      </c>
      <c r="H3938" t="s">
        <v>1763</v>
      </c>
      <c r="I3938" t="s">
        <v>25</v>
      </c>
      <c r="J3938" s="2">
        <v>45716.560902777783</v>
      </c>
      <c r="K3938">
        <v>28</v>
      </c>
      <c r="L3938">
        <v>2</v>
      </c>
      <c r="M3938">
        <v>2025</v>
      </c>
      <c r="N3938" t="s">
        <v>27</v>
      </c>
      <c r="O3938">
        <v>300</v>
      </c>
      <c r="P3938">
        <v>300</v>
      </c>
      <c r="R3938" s="3" t="str">
        <f>HYPERLINK("https://panda.att.com.mx/ODKServer/view/binaryData?blobKey=FSSuministroFluidosv3%5B%40version%3Dnull+and+%40uiVersion%3Dnull%5D%2Fdata%5B%40key%3Duuid%3A8db0ca9c-e1cd-4914-8b19-44cdbac2e85b%5D%2FgroupInfoFuel%5B%40ordinal%3D1%5D%2FpicFuelRecibeInterno","Descargar")</f>
        <v>Descargar</v>
      </c>
    </row>
    <row r="3939" spans="1:18" x14ac:dyDescent="0.3">
      <c r="A3939">
        <v>1490622</v>
      </c>
      <c r="B3939" t="s">
        <v>18</v>
      </c>
      <c r="C3939" t="s">
        <v>183</v>
      </c>
      <c r="D3939" t="s">
        <v>1734</v>
      </c>
      <c r="E3939" t="s">
        <v>1735</v>
      </c>
      <c r="F3939" t="s">
        <v>22</v>
      </c>
      <c r="G3939" t="s">
        <v>23</v>
      </c>
      <c r="H3939" t="s">
        <v>37</v>
      </c>
      <c r="I3939" t="s">
        <v>25</v>
      </c>
      <c r="J3939" s="2">
        <v>45716.35769675926</v>
      </c>
      <c r="K3939">
        <v>28</v>
      </c>
      <c r="L3939">
        <v>2</v>
      </c>
      <c r="M3939">
        <v>2025</v>
      </c>
      <c r="N3939" t="s">
        <v>27</v>
      </c>
      <c r="O3939">
        <v>200</v>
      </c>
      <c r="Q3939">
        <v>200</v>
      </c>
      <c r="R3939" s="3" t="str">
        <f>HYPERLINK("https://panda.att.com.mx/ODKServer/view/binaryData?blobKey=FSSuministroFluidosv3%5B%40version%3Dnull+and+%40uiVersion%3Dnull%5D%2Fdata%5B%40key%3Duuid%3Aa43de172-480b-43a4-8a15-d3f599536eb0%5D%2FgroupInfoFuel%5B%40ordinal%3D1%5D%2FpicFuelRecibeInterno","Descargar")</f>
        <v>Descargar</v>
      </c>
    </row>
    <row r="3940" spans="1:18" x14ac:dyDescent="0.3">
      <c r="A3940">
        <v>1490486</v>
      </c>
      <c r="B3940" t="s">
        <v>18</v>
      </c>
      <c r="C3940" t="s">
        <v>68</v>
      </c>
      <c r="D3940" t="s">
        <v>69</v>
      </c>
      <c r="E3940" t="s">
        <v>3032</v>
      </c>
      <c r="F3940" t="s">
        <v>22</v>
      </c>
      <c r="G3940" t="s">
        <v>23</v>
      </c>
      <c r="H3940" t="s">
        <v>37</v>
      </c>
      <c r="I3940" t="s">
        <v>25</v>
      </c>
      <c r="J3940" s="2">
        <v>45715.624120370368</v>
      </c>
      <c r="K3940">
        <v>27</v>
      </c>
      <c r="L3940">
        <v>2</v>
      </c>
      <c r="M3940">
        <v>2025</v>
      </c>
      <c r="N3940" t="s">
        <v>27</v>
      </c>
      <c r="O3940">
        <v>200</v>
      </c>
      <c r="P3940">
        <v>200</v>
      </c>
      <c r="R3940" s="3" t="str">
        <f>HYPERLINK("https://panda.att.com.mx/ODKServer/view/binaryData?blobKey=FSSuministroFluidosv3%5B%40version%3Dnull+and+%40uiVersion%3Dnull%5D%2Fdata%5B%40key%3Duuid%3A516f4dc0-53d6-4222-bcac-ea52b7d44eff%5D%2FgroupInfoFuel%5B%40ordinal%3D1%5D%2FpicFuelRecibeInterno","Descargar")</f>
        <v>Descargar</v>
      </c>
    </row>
    <row r="3941" spans="1:18" x14ac:dyDescent="0.3">
      <c r="A3941">
        <v>1490388</v>
      </c>
      <c r="B3941" t="s">
        <v>18</v>
      </c>
      <c r="C3941" t="s">
        <v>55</v>
      </c>
      <c r="D3941" t="s">
        <v>288</v>
      </c>
      <c r="E3941" t="s">
        <v>3033</v>
      </c>
      <c r="F3941" t="s">
        <v>22</v>
      </c>
      <c r="G3941" t="s">
        <v>23</v>
      </c>
      <c r="H3941" t="s">
        <v>1763</v>
      </c>
      <c r="I3941" t="s">
        <v>25</v>
      </c>
      <c r="J3941" s="2">
        <v>45716.366203703707</v>
      </c>
      <c r="K3941">
        <v>28</v>
      </c>
      <c r="L3941">
        <v>2</v>
      </c>
      <c r="M3941">
        <v>2025</v>
      </c>
      <c r="N3941" t="s">
        <v>44</v>
      </c>
      <c r="O3941">
        <v>55</v>
      </c>
      <c r="P3941">
        <v>55</v>
      </c>
      <c r="R3941" s="3" t="str">
        <f>HYPERLINK("https://panda.att.com.mx/ODKServer/view/binaryData?blobKey=FSSuministroFluidosv3%5B%40version%3Dnull+and+%40uiVersion%3Dnull%5D%2Fdata%5B%40key%3Duuid%3A537fd46b-e209-4f30-86bb-71dbab04896e%5D%2FgroupInfoFuel%5B%40ordinal%3D1%5D%2FpicFuelRecibeInterno","Descargar")</f>
        <v>Descargar</v>
      </c>
    </row>
    <row r="3942" spans="1:18" x14ac:dyDescent="0.3">
      <c r="A3942">
        <v>1490348</v>
      </c>
      <c r="B3942" t="s">
        <v>18</v>
      </c>
      <c r="C3942" t="s">
        <v>55</v>
      </c>
      <c r="D3942" t="s">
        <v>56</v>
      </c>
      <c r="E3942" t="s">
        <v>2089</v>
      </c>
      <c r="F3942" t="s">
        <v>22</v>
      </c>
      <c r="G3942" t="s">
        <v>23</v>
      </c>
      <c r="H3942" t="s">
        <v>1763</v>
      </c>
      <c r="I3942" t="s">
        <v>25</v>
      </c>
      <c r="J3942" s="2">
        <v>45714.842847222222</v>
      </c>
      <c r="K3942">
        <v>26</v>
      </c>
      <c r="L3942">
        <v>2</v>
      </c>
      <c r="M3942">
        <v>2025</v>
      </c>
      <c r="N3942" t="s">
        <v>27</v>
      </c>
      <c r="O3942">
        <v>150</v>
      </c>
      <c r="P3942">
        <v>150</v>
      </c>
      <c r="R3942" s="3" t="str">
        <f>HYPERLINK("https://panda.att.com.mx/ODKServer/view/binaryData?blobKey=FSSuministroFluidosv3%5B%40version%3Dnull+and+%40uiVersion%3Dnull%5D%2Fdata%5B%40key%3Duuid%3A9d1fa31f-2e20-48a8-a89a-087002b3663b%5D%2FgroupInfoFuel%5B%40ordinal%3D1%5D%2FpicFuelRecibeInterno","Descargar")</f>
        <v>Descargar</v>
      </c>
    </row>
    <row r="3943" spans="1:18" x14ac:dyDescent="0.3">
      <c r="A3943">
        <v>1490346</v>
      </c>
      <c r="B3943" t="s">
        <v>18</v>
      </c>
      <c r="C3943" t="s">
        <v>55</v>
      </c>
      <c r="D3943" t="s">
        <v>56</v>
      </c>
      <c r="E3943" t="s">
        <v>320</v>
      </c>
      <c r="F3943" t="s">
        <v>22</v>
      </c>
      <c r="G3943" t="s">
        <v>23</v>
      </c>
      <c r="H3943" t="s">
        <v>1763</v>
      </c>
      <c r="I3943" t="s">
        <v>25</v>
      </c>
      <c r="J3943" s="2">
        <v>45714.791655092587</v>
      </c>
      <c r="K3943">
        <v>26</v>
      </c>
      <c r="L3943">
        <v>2</v>
      </c>
      <c r="M3943">
        <v>2025</v>
      </c>
      <c r="N3943" t="s">
        <v>27</v>
      </c>
      <c r="O3943">
        <v>150</v>
      </c>
      <c r="P3943">
        <v>150</v>
      </c>
      <c r="R3943" s="3" t="str">
        <f>HYPERLINK("https://panda.att.com.mx/ODKServer/view/binaryData?blobKey=FSSuministroFluidosv3%5B%40version%3Dnull+and+%40uiVersion%3Dnull%5D%2Fdata%5B%40key%3Duuid%3A514b50bb-e5e9-4fac-a63c-8d5babe7ef58%5D%2FgroupInfoFuel%5B%40ordinal%3D1%5D%2FpicFuelRecibeInterno","Descargar")</f>
        <v>Descargar</v>
      </c>
    </row>
    <row r="3944" spans="1:18" x14ac:dyDescent="0.3">
      <c r="A3944">
        <v>1490290</v>
      </c>
      <c r="B3944" t="s">
        <v>18</v>
      </c>
      <c r="C3944" t="s">
        <v>19</v>
      </c>
      <c r="D3944" t="s">
        <v>140</v>
      </c>
      <c r="E3944" t="s">
        <v>257</v>
      </c>
      <c r="F3944" t="s">
        <v>22</v>
      </c>
      <c r="G3944" t="s">
        <v>23</v>
      </c>
      <c r="H3944" t="s">
        <v>24</v>
      </c>
      <c r="I3944" t="s">
        <v>25</v>
      </c>
      <c r="J3944" s="2">
        <v>45716.002604166657</v>
      </c>
      <c r="K3944">
        <v>28</v>
      </c>
      <c r="L3944">
        <v>2</v>
      </c>
      <c r="M3944">
        <v>2025</v>
      </c>
      <c r="N3944" t="s">
        <v>27</v>
      </c>
      <c r="O3944">
        <v>200</v>
      </c>
      <c r="P3944">
        <v>200</v>
      </c>
      <c r="R3944" s="3" t="str">
        <f>HYPERLINK("https://panda.att.com.mx/ODKServer/view/binaryData?blobKey=FSSuministroFluidosv3%5B%40version%3Dnull+and+%40uiVersion%3Dnull%5D%2Fdata%5B%40key%3Duuid%3Aa0d85037-b8ce-4db2-8d4b-8a87ea61fdde%5D%2FgroupInfoFuel%5B%40ordinal%3D1%5D%2FpicFuelRecibeInterno","Descargar")</f>
        <v>Descargar</v>
      </c>
    </row>
    <row r="3945" spans="1:18" x14ac:dyDescent="0.3">
      <c r="A3945">
        <v>1490286</v>
      </c>
      <c r="B3945" t="s">
        <v>18</v>
      </c>
      <c r="C3945" t="s">
        <v>19</v>
      </c>
      <c r="D3945" t="s">
        <v>62</v>
      </c>
      <c r="E3945" t="s">
        <v>3034</v>
      </c>
      <c r="F3945" t="s">
        <v>22</v>
      </c>
      <c r="G3945" t="s">
        <v>23</v>
      </c>
      <c r="H3945" t="s">
        <v>24</v>
      </c>
      <c r="I3945" t="s">
        <v>25</v>
      </c>
      <c r="J3945" s="2">
        <v>45713.49291666667</v>
      </c>
      <c r="K3945">
        <v>25</v>
      </c>
      <c r="L3945">
        <v>2</v>
      </c>
      <c r="M3945">
        <v>2025</v>
      </c>
      <c r="N3945" t="s">
        <v>27</v>
      </c>
      <c r="O3945">
        <v>200</v>
      </c>
      <c r="P3945">
        <v>200</v>
      </c>
      <c r="R3945" s="3" t="str">
        <f>HYPERLINK("https://panda.att.com.mx/ODKServer/view/binaryData?blobKey=FSSuministroFluidosv3%5B%40version%3Dnull+and+%40uiVersion%3Dnull%5D%2Fdata%5B%40key%3Duuid%3Aa75b887a-35cf-4544-9fa0-276015678d6c%5D%2FgroupInfoFuel%5B%40ordinal%3D1%5D%2FpicFuelRecibeInterno","Descargar")</f>
        <v>Descargar</v>
      </c>
    </row>
    <row r="3946" spans="1:18" x14ac:dyDescent="0.3">
      <c r="A3946">
        <v>1490256</v>
      </c>
      <c r="B3946" t="s">
        <v>18</v>
      </c>
      <c r="C3946" t="s">
        <v>34</v>
      </c>
      <c r="D3946" t="s">
        <v>53</v>
      </c>
      <c r="E3946" t="s">
        <v>3010</v>
      </c>
      <c r="F3946" t="s">
        <v>22</v>
      </c>
      <c r="G3946" t="s">
        <v>23</v>
      </c>
      <c r="H3946" t="s">
        <v>37</v>
      </c>
      <c r="I3946" t="s">
        <v>25</v>
      </c>
      <c r="J3946" s="2">
        <v>45715.947592592587</v>
      </c>
      <c r="K3946">
        <v>27</v>
      </c>
      <c r="L3946">
        <v>2</v>
      </c>
      <c r="M3946">
        <v>2025</v>
      </c>
      <c r="N3946" t="s">
        <v>27</v>
      </c>
      <c r="O3946">
        <v>180</v>
      </c>
      <c r="P3946">
        <v>180</v>
      </c>
      <c r="R3946" s="3" t="str">
        <f>HYPERLINK("https://panda.att.com.mx/ODKServer/view/binaryData?blobKey=FSSuministroFluidosv3%5B%40version%3Dnull+and+%40uiVersion%3Dnull%5D%2Fdata%5B%40key%3Duuid%3Ab2048654-6289-496c-87ea-ced21ac7b555%5D%2FgroupInfoFuel%5B%40ordinal%3D1%5D%2FpicFuelRecibeInterno","Descargar")</f>
        <v>Descargar</v>
      </c>
    </row>
    <row r="3947" spans="1:18" x14ac:dyDescent="0.3">
      <c r="A3947">
        <v>1490227</v>
      </c>
      <c r="B3947" t="s">
        <v>18</v>
      </c>
      <c r="C3947" t="s">
        <v>59</v>
      </c>
      <c r="D3947" t="s">
        <v>60</v>
      </c>
      <c r="E3947" t="s">
        <v>2207</v>
      </c>
      <c r="F3947" t="s">
        <v>22</v>
      </c>
      <c r="G3947" t="s">
        <v>23</v>
      </c>
      <c r="H3947" t="s">
        <v>37</v>
      </c>
      <c r="I3947" t="s">
        <v>25</v>
      </c>
      <c r="J3947" s="2">
        <v>45714.90662037037</v>
      </c>
      <c r="K3947">
        <v>26</v>
      </c>
      <c r="L3947">
        <v>2</v>
      </c>
      <c r="M3947">
        <v>2025</v>
      </c>
      <c r="N3947" t="s">
        <v>27</v>
      </c>
      <c r="O3947">
        <v>140</v>
      </c>
      <c r="P3947">
        <v>140</v>
      </c>
      <c r="R3947" s="3" t="str">
        <f>HYPERLINK("https://panda.att.com.mx/ODKServer/view/binaryData?blobKey=FSSuministroFluidosv3%5B%40version%3Dnull+and+%40uiVersion%3Dnull%5D%2Fdata%5B%40key%3Duuid%3A39b6ed32-acd5-4e15-a609-312146f2161c%5D%2FgroupInfoFuel%5B%40ordinal%3D1%5D%2FpicFuelRecibeInterno","Descargar")</f>
        <v>Descargar</v>
      </c>
    </row>
    <row r="3948" spans="1:18" x14ac:dyDescent="0.3">
      <c r="A3948">
        <v>1490161</v>
      </c>
      <c r="B3948" t="s">
        <v>18</v>
      </c>
      <c r="C3948" t="s">
        <v>68</v>
      </c>
      <c r="D3948" t="s">
        <v>91</v>
      </c>
      <c r="E3948" t="s">
        <v>1119</v>
      </c>
      <c r="F3948" t="s">
        <v>22</v>
      </c>
      <c r="G3948" t="s">
        <v>23</v>
      </c>
      <c r="H3948" t="s">
        <v>37</v>
      </c>
      <c r="I3948" t="s">
        <v>25</v>
      </c>
      <c r="J3948" s="2">
        <v>45715.754178240742</v>
      </c>
      <c r="K3948">
        <v>27</v>
      </c>
      <c r="L3948">
        <v>2</v>
      </c>
      <c r="M3948">
        <v>2025</v>
      </c>
      <c r="N3948" t="s">
        <v>27</v>
      </c>
      <c r="O3948">
        <v>200</v>
      </c>
      <c r="P3948">
        <v>200</v>
      </c>
      <c r="R3948" s="3" t="str">
        <f>HYPERLINK("https://panda.att.com.mx/ODKServer/view/binaryData?blobKey=FSSuministroFluidosv3%5B%40version%3Dnull+and+%40uiVersion%3Dnull%5D%2Fdata%5B%40key%3Duuid%3A266377ba-9141-4cfd-901b-12562da22391%5D%2FgroupInfoFuel%5B%40ordinal%3D1%5D%2FpicFuelRecibeInterno","Descargar")</f>
        <v>Descargar</v>
      </c>
    </row>
    <row r="3949" spans="1:18" x14ac:dyDescent="0.3">
      <c r="A3949">
        <v>1490156</v>
      </c>
      <c r="B3949" t="s">
        <v>18</v>
      </c>
      <c r="C3949" t="s">
        <v>55</v>
      </c>
      <c r="D3949" t="s">
        <v>56</v>
      </c>
      <c r="E3949" t="s">
        <v>2089</v>
      </c>
      <c r="F3949" t="s">
        <v>22</v>
      </c>
      <c r="G3949" t="s">
        <v>23</v>
      </c>
      <c r="H3949" t="s">
        <v>1763</v>
      </c>
      <c r="I3949" t="s">
        <v>25</v>
      </c>
      <c r="J3949" s="2">
        <v>45715.752824074072</v>
      </c>
      <c r="K3949">
        <v>27</v>
      </c>
      <c r="L3949">
        <v>2</v>
      </c>
      <c r="M3949">
        <v>2025</v>
      </c>
      <c r="N3949" t="s">
        <v>27</v>
      </c>
      <c r="O3949">
        <v>150</v>
      </c>
      <c r="P3949">
        <v>150</v>
      </c>
      <c r="R3949" s="3" t="str">
        <f>HYPERLINK("https://panda.att.com.mx/ODKServer/view/binaryData?blobKey=FSSuministroFluidosv3%5B%40version%3Dnull+and+%40uiVersion%3Dnull%5D%2Fdata%5B%40key%3Duuid%3A233ade58-a042-44ac-b9f8-0396b8f09eac%5D%2FgroupInfoFuel%5B%40ordinal%3D1%5D%2FpicFuelRecibeInterno","Descargar")</f>
        <v>Descargar</v>
      </c>
    </row>
    <row r="3950" spans="1:18" x14ac:dyDescent="0.3">
      <c r="A3950">
        <v>1491608</v>
      </c>
      <c r="B3950" t="s">
        <v>18</v>
      </c>
      <c r="C3950" t="s">
        <v>150</v>
      </c>
      <c r="D3950" t="s">
        <v>230</v>
      </c>
      <c r="E3950" t="s">
        <v>1510</v>
      </c>
      <c r="F3950" t="s">
        <v>22</v>
      </c>
      <c r="G3950" t="s">
        <v>23</v>
      </c>
      <c r="H3950" t="s">
        <v>1781</v>
      </c>
      <c r="I3950" t="s">
        <v>25</v>
      </c>
      <c r="J3950" s="2">
        <v>45719.404351851852</v>
      </c>
      <c r="K3950">
        <v>3</v>
      </c>
      <c r="L3950">
        <v>3</v>
      </c>
      <c r="M3950">
        <v>2025</v>
      </c>
      <c r="N3950" t="s">
        <v>27</v>
      </c>
      <c r="O3950">
        <v>300.04000000000002</v>
      </c>
      <c r="P3950">
        <v>300.04000000000002</v>
      </c>
      <c r="R3950" s="3" t="str">
        <f>HYPERLINK("https://panda.att.com.mx/ODKServer/view/binaryData?blobKey=FSSuministroFluidosv3%5B%40version%3Dnull+and+%40uiVersion%3Dnull%5D%2Fdata%5B%40key%3Duuid%3Ad6042df4-b824-4905-a35f-22242eb41ec7%5D%2FgroupInfoFuel%5B%40ordinal%3D1%5D%2FpicFuelRecibeInterno","Descargar")</f>
        <v>Descargar</v>
      </c>
    </row>
    <row r="3951" spans="1:18" x14ac:dyDescent="0.3">
      <c r="A3951">
        <v>1491606</v>
      </c>
      <c r="B3951" t="s">
        <v>18</v>
      </c>
      <c r="C3951" t="s">
        <v>183</v>
      </c>
      <c r="D3951" t="s">
        <v>305</v>
      </c>
      <c r="E3951" t="s">
        <v>3035</v>
      </c>
      <c r="F3951" t="s">
        <v>22</v>
      </c>
      <c r="G3951" t="s">
        <v>23</v>
      </c>
      <c r="H3951" t="s">
        <v>37</v>
      </c>
      <c r="I3951" t="s">
        <v>25</v>
      </c>
      <c r="J3951" s="2">
        <v>45717.686226851853</v>
      </c>
      <c r="K3951">
        <v>1</v>
      </c>
      <c r="L3951">
        <v>3</v>
      </c>
      <c r="M3951">
        <v>2025</v>
      </c>
      <c r="N3951" t="s">
        <v>44</v>
      </c>
      <c r="O3951">
        <v>50</v>
      </c>
      <c r="P3951">
        <v>50</v>
      </c>
      <c r="R3951" s="3" t="str">
        <f>HYPERLINK("https://panda.att.com.mx/ODKServer/view/binaryData?blobKey=FSSuministroFluidosv3%5B%40version%3Dnull+and+%40uiVersion%3Dnull%5D%2Fdata%5B%40key%3Duuid%3Aac6ec1a7-e26e-449e-a38e-3bf1c4978e6b%5D%2FgroupInfoFuel%5B%40ordinal%3D1%5D%2FpicFuelRecibeInterno","Descargar")</f>
        <v>Descargar</v>
      </c>
    </row>
    <row r="3952" spans="1:18" x14ac:dyDescent="0.3">
      <c r="A3952">
        <v>1491505</v>
      </c>
      <c r="B3952" t="s">
        <v>18</v>
      </c>
      <c r="C3952" t="s">
        <v>100</v>
      </c>
      <c r="D3952" t="s">
        <v>716</v>
      </c>
      <c r="E3952" t="s">
        <v>717</v>
      </c>
      <c r="F3952" t="s">
        <v>22</v>
      </c>
      <c r="G3952" t="s">
        <v>83</v>
      </c>
      <c r="H3952" t="s">
        <v>1781</v>
      </c>
      <c r="I3952" t="s">
        <v>25</v>
      </c>
      <c r="J3952" s="2">
        <v>45718.97415509259</v>
      </c>
      <c r="K3952">
        <v>2</v>
      </c>
      <c r="L3952">
        <v>3</v>
      </c>
      <c r="M3952">
        <v>2025</v>
      </c>
      <c r="N3952" t="s">
        <v>27</v>
      </c>
      <c r="O3952">
        <v>137</v>
      </c>
      <c r="P3952">
        <v>137</v>
      </c>
      <c r="R3952" s="3" t="str">
        <f>HYPERLINK("https://panda.att.com.mx/ODKServer/view/binaryData?blobKey=FSSuministroFluidosv3%5B%40version%3Dnull+and+%40uiVersion%3Dnull%5D%2Fdata%5B%40key%3Duuid%3A233e12ea-1e1e-4602-b1fc-03b5c68f7acd%5D%2FgroupInfoFuel%5B%40ordinal%3D1%5D%2FpicFuelRecibeInterno","Descargar")</f>
        <v>Descargar</v>
      </c>
    </row>
    <row r="3953" spans="1:18" x14ac:dyDescent="0.3">
      <c r="A3953">
        <v>1491500</v>
      </c>
      <c r="B3953" t="s">
        <v>18</v>
      </c>
      <c r="C3953" t="s">
        <v>59</v>
      </c>
      <c r="D3953" t="s">
        <v>60</v>
      </c>
      <c r="E3953" t="s">
        <v>2207</v>
      </c>
      <c r="F3953" t="s">
        <v>22</v>
      </c>
      <c r="G3953" t="s">
        <v>23</v>
      </c>
      <c r="H3953" t="s">
        <v>37</v>
      </c>
      <c r="I3953" t="s">
        <v>25</v>
      </c>
      <c r="J3953" s="2">
        <v>45717.946689814817</v>
      </c>
      <c r="K3953">
        <v>1</v>
      </c>
      <c r="L3953">
        <v>3</v>
      </c>
      <c r="M3953">
        <v>2025</v>
      </c>
      <c r="N3953" t="s">
        <v>27</v>
      </c>
      <c r="O3953">
        <v>140</v>
      </c>
      <c r="P3953">
        <v>140</v>
      </c>
      <c r="R3953" s="3" t="str">
        <f>HYPERLINK("https://panda.att.com.mx/ODKServer/view/binaryData?blobKey=FSSuministroFluidosv3%5B%40version%3Dnull+and+%40uiVersion%3Dnull%5D%2Fdata%5B%40key%3Duuid%3Aadd6cb91-6589-4324-84fe-b6cd93459d17%5D%2FgroupInfoFuel%5B%40ordinal%3D1%5D%2FpicFuelRecibeInterno","Descargar")</f>
        <v>Descargar</v>
      </c>
    </row>
    <row r="3954" spans="1:18" x14ac:dyDescent="0.3">
      <c r="A3954">
        <v>1491498</v>
      </c>
      <c r="B3954" t="s">
        <v>18</v>
      </c>
      <c r="C3954" t="s">
        <v>55</v>
      </c>
      <c r="D3954" t="s">
        <v>366</v>
      </c>
      <c r="E3954" t="s">
        <v>367</v>
      </c>
      <c r="F3954" t="s">
        <v>22</v>
      </c>
      <c r="G3954" t="s">
        <v>23</v>
      </c>
      <c r="H3954" t="s">
        <v>1781</v>
      </c>
      <c r="I3954" t="s">
        <v>25</v>
      </c>
      <c r="J3954" s="2">
        <v>45717.706342592603</v>
      </c>
      <c r="K3954">
        <v>1</v>
      </c>
      <c r="L3954">
        <v>3</v>
      </c>
      <c r="M3954">
        <v>2025</v>
      </c>
      <c r="N3954" t="s">
        <v>27</v>
      </c>
      <c r="O3954">
        <v>150</v>
      </c>
      <c r="P3954">
        <v>150</v>
      </c>
      <c r="R3954" s="3" t="str">
        <f>HYPERLINK("https://panda.att.com.mx/ODKServer/view/binaryData?blobKey=FSSuministroFluidosv3%5B%40version%3Dnull+and+%40uiVersion%3Dnull%5D%2Fdata%5B%40key%3Duuid%3Ad96bc180-54fa-4e63-890a-09d04fdd8209%5D%2FgroupInfoFuel%5B%40ordinal%3D1%5D%2FpicFuelRecibeInterno","Descargar")</f>
        <v>Descargar</v>
      </c>
    </row>
    <row r="3955" spans="1:18" x14ac:dyDescent="0.3">
      <c r="A3955">
        <v>1491482</v>
      </c>
      <c r="B3955" t="s">
        <v>18</v>
      </c>
      <c r="C3955" t="s">
        <v>28</v>
      </c>
      <c r="D3955" t="s">
        <v>513</v>
      </c>
      <c r="E3955" t="s">
        <v>3036</v>
      </c>
      <c r="F3955" t="s">
        <v>22</v>
      </c>
      <c r="G3955" t="s">
        <v>23</v>
      </c>
      <c r="H3955" t="s">
        <v>24</v>
      </c>
      <c r="I3955" t="s">
        <v>25</v>
      </c>
      <c r="J3955" s="2">
        <v>45718.785081018519</v>
      </c>
      <c r="K3955">
        <v>2</v>
      </c>
      <c r="L3955">
        <v>3</v>
      </c>
      <c r="M3955">
        <v>2025</v>
      </c>
      <c r="N3955" t="s">
        <v>44</v>
      </c>
      <c r="O3955">
        <v>50</v>
      </c>
      <c r="P3955">
        <v>50</v>
      </c>
      <c r="R3955" s="3" t="str">
        <f>HYPERLINK("https://panda.att.com.mx/ODKServer/view/binaryData?blobKey=FSSuministroFluidosv3%5B%40version%3Dnull+and+%40uiVersion%3Dnull%5D%2Fdata%5B%40key%3Duuid%3Aece5d6f1-fbb3-4f08-bc9e-63f4b54a7fb9%5D%2FgroupInfoFuel%5B%40ordinal%3D1%5D%2FpicFuelRecibeInterno","Descargar")</f>
        <v>Descargar</v>
      </c>
    </row>
    <row r="3956" spans="1:18" x14ac:dyDescent="0.3">
      <c r="A3956">
        <v>1491451</v>
      </c>
      <c r="B3956" t="s">
        <v>18</v>
      </c>
      <c r="C3956" t="s">
        <v>55</v>
      </c>
      <c r="D3956" t="s">
        <v>56</v>
      </c>
      <c r="E3956" t="s">
        <v>3037</v>
      </c>
      <c r="F3956" t="s">
        <v>22</v>
      </c>
      <c r="G3956" t="s">
        <v>47</v>
      </c>
      <c r="H3956" t="s">
        <v>1763</v>
      </c>
      <c r="I3956" t="s">
        <v>25</v>
      </c>
      <c r="J3956" s="2">
        <v>45701.715601851851</v>
      </c>
      <c r="K3956">
        <v>13</v>
      </c>
      <c r="L3956">
        <v>2</v>
      </c>
      <c r="M3956">
        <v>2025</v>
      </c>
      <c r="N3956" t="s">
        <v>27</v>
      </c>
      <c r="O3956">
        <v>250</v>
      </c>
      <c r="P3956">
        <v>250</v>
      </c>
      <c r="R3956" s="3" t="str">
        <f>HYPERLINK("https://panda.att.com.mx/ODKServer/view/binaryData?blobKey=FSSuministroFluidosv3%5B%40version%3Dnull+and+%40uiVersion%3Dnull%5D%2Fdata%5B%40key%3Duuid%3A79ed57e2-5cd0-4d6d-a312-4b0c6f7e599c%5D%2FgroupInfoFuel%5B%40ordinal%3D1%5D%2FpicFuelRecibeInterno","Descargar")</f>
        <v>Descargar</v>
      </c>
    </row>
    <row r="3957" spans="1:18" x14ac:dyDescent="0.3">
      <c r="A3957">
        <v>1491425</v>
      </c>
      <c r="B3957" t="s">
        <v>18</v>
      </c>
      <c r="C3957" t="s">
        <v>150</v>
      </c>
      <c r="D3957" t="s">
        <v>230</v>
      </c>
      <c r="E3957" t="s">
        <v>399</v>
      </c>
      <c r="F3957" t="s">
        <v>22</v>
      </c>
      <c r="G3957" t="s">
        <v>23</v>
      </c>
      <c r="H3957" t="s">
        <v>1781</v>
      </c>
      <c r="I3957" t="s">
        <v>25</v>
      </c>
      <c r="J3957" s="2">
        <v>45718.312071759261</v>
      </c>
      <c r="K3957">
        <v>2</v>
      </c>
      <c r="L3957">
        <v>3</v>
      </c>
      <c r="M3957">
        <v>2025</v>
      </c>
      <c r="N3957" t="s">
        <v>44</v>
      </c>
      <c r="O3957">
        <v>30</v>
      </c>
      <c r="P3957">
        <v>30</v>
      </c>
      <c r="R3957" s="3" t="str">
        <f>HYPERLINK("https://panda.att.com.mx/ODKServer/view/binaryData?blobKey=FSSuministroFluidosv3%5B%40version%3Dnull+and+%40uiVersion%3Dnull%5D%2Fdata%5B%40key%3Duuid%3Ab1d65747-cb85-46cf-a39d-ab93134215cf%5D%2FgroupInfoFuel%5B%40ordinal%3D1%5D%2FpicFuelRecibeInterno","Descargar")</f>
        <v>Descargar</v>
      </c>
    </row>
    <row r="3958" spans="1:18" x14ac:dyDescent="0.3">
      <c r="A3958">
        <v>1491392</v>
      </c>
      <c r="B3958" t="s">
        <v>18</v>
      </c>
      <c r="C3958" t="s">
        <v>59</v>
      </c>
      <c r="D3958" t="s">
        <v>60</v>
      </c>
      <c r="E3958" t="s">
        <v>2207</v>
      </c>
      <c r="F3958" t="s">
        <v>22</v>
      </c>
      <c r="G3958" t="s">
        <v>23</v>
      </c>
      <c r="H3958" t="s">
        <v>37</v>
      </c>
      <c r="I3958" t="s">
        <v>25</v>
      </c>
      <c r="J3958" s="2">
        <v>45716.366886574076</v>
      </c>
      <c r="K3958">
        <v>28</v>
      </c>
      <c r="L3958">
        <v>2</v>
      </c>
      <c r="M3958">
        <v>2025</v>
      </c>
      <c r="N3958" t="s">
        <v>27</v>
      </c>
      <c r="O3958">
        <v>150</v>
      </c>
      <c r="P3958">
        <v>150</v>
      </c>
      <c r="R3958" s="3" t="str">
        <f>HYPERLINK("https://panda.att.com.mx/ODKServer/view/binaryData?blobKey=FSSuministroFluidosv3%5B%40version%3Dnull+and+%40uiVersion%3Dnull%5D%2Fdata%5B%40key%3Duuid%3A5a7b2de5-2fad-45a0-ba2f-9b96cf380fcb%5D%2FgroupInfoFuel%5B%40ordinal%3D1%5D%2FpicFuelRecibeInterno","Descargar")</f>
        <v>Descargar</v>
      </c>
    </row>
    <row r="3959" spans="1:18" x14ac:dyDescent="0.3">
      <c r="A3959">
        <v>1491373</v>
      </c>
      <c r="B3959" t="s">
        <v>18</v>
      </c>
      <c r="C3959" t="s">
        <v>34</v>
      </c>
      <c r="D3959" t="s">
        <v>53</v>
      </c>
      <c r="E3959" t="s">
        <v>1979</v>
      </c>
      <c r="F3959" t="s">
        <v>22</v>
      </c>
      <c r="G3959" t="s">
        <v>23</v>
      </c>
      <c r="H3959" t="s">
        <v>37</v>
      </c>
      <c r="I3959" t="s">
        <v>25</v>
      </c>
      <c r="J3959" s="2">
        <v>45717.807280092587</v>
      </c>
      <c r="K3959">
        <v>1</v>
      </c>
      <c r="L3959">
        <v>3</v>
      </c>
      <c r="M3959">
        <v>2025</v>
      </c>
      <c r="N3959" t="s">
        <v>27</v>
      </c>
      <c r="O3959">
        <v>200</v>
      </c>
      <c r="P3959">
        <v>200</v>
      </c>
      <c r="R3959" s="3" t="str">
        <f>HYPERLINK("https://panda.att.com.mx/ODKServer/view/binaryData?blobKey=FSSuministroFluidosv3%5B%40version%3Dnull+and+%40uiVersion%3Dnull%5D%2Fdata%5B%40key%3Duuid%3A422ff762-aee3-45d4-a6a2-caedb69b32be%5D%2FgroupInfoFuel%5B%40ordinal%3D1%5D%2FpicFuelRecibeInterno","Descargar")</f>
        <v>Descargar</v>
      </c>
    </row>
    <row r="3960" spans="1:18" x14ac:dyDescent="0.3">
      <c r="A3960">
        <v>1491361</v>
      </c>
      <c r="B3960" t="s">
        <v>18</v>
      </c>
      <c r="C3960" t="s">
        <v>59</v>
      </c>
      <c r="D3960" t="s">
        <v>60</v>
      </c>
      <c r="E3960" t="s">
        <v>2738</v>
      </c>
      <c r="F3960" t="s">
        <v>22</v>
      </c>
      <c r="G3960" t="s">
        <v>23</v>
      </c>
      <c r="H3960" t="s">
        <v>37</v>
      </c>
      <c r="I3960" t="s">
        <v>25</v>
      </c>
      <c r="J3960" s="2">
        <v>45717.760208333333</v>
      </c>
      <c r="K3960">
        <v>1</v>
      </c>
      <c r="L3960">
        <v>3</v>
      </c>
      <c r="M3960">
        <v>2025</v>
      </c>
      <c r="N3960" t="s">
        <v>27</v>
      </c>
      <c r="O3960">
        <v>130</v>
      </c>
      <c r="P3960">
        <v>130</v>
      </c>
      <c r="R3960" s="3" t="str">
        <f>HYPERLINK("https://panda.att.com.mx/ODKServer/view/binaryData?blobKey=FSSuministroFluidosv3%5B%40version%3Dnull+and+%40uiVersion%3Dnull%5D%2Fdata%5B%40key%3Duuid%3A3c17556f-f9df-4e4f-80ad-f1929fa0e17d%5D%2FgroupInfoFuel%5B%40ordinal%3D1%5D%2FpicFuelRecibeInterno","Descargar")</f>
        <v>Descargar</v>
      </c>
    </row>
    <row r="3961" spans="1:18" x14ac:dyDescent="0.3">
      <c r="A3961">
        <v>1491352</v>
      </c>
      <c r="B3961" t="s">
        <v>18</v>
      </c>
      <c r="C3961" t="s">
        <v>34</v>
      </c>
      <c r="D3961" t="s">
        <v>292</v>
      </c>
      <c r="E3961" t="s">
        <v>3038</v>
      </c>
      <c r="F3961" t="s">
        <v>22</v>
      </c>
      <c r="G3961" t="s">
        <v>23</v>
      </c>
      <c r="H3961" t="s">
        <v>37</v>
      </c>
      <c r="I3961" t="s">
        <v>25</v>
      </c>
      <c r="J3961" s="2">
        <v>45717.763101851851</v>
      </c>
      <c r="K3961">
        <v>1</v>
      </c>
      <c r="L3961">
        <v>3</v>
      </c>
      <c r="M3961">
        <v>2025</v>
      </c>
      <c r="N3961" t="s">
        <v>27</v>
      </c>
      <c r="O3961">
        <v>250</v>
      </c>
      <c r="P3961">
        <v>250</v>
      </c>
      <c r="R3961" s="3" t="str">
        <f>HYPERLINK("https://panda.att.com.mx/ODKServer/view/binaryData?blobKey=FSSuministroFluidosv3%5B%40version%3Dnull+and+%40uiVersion%3Dnull%5D%2Fdata%5B%40key%3Duuid%3A6a64f6b1-3385-4abe-8e95-4b0173939701%5D%2FgroupInfoFuel%5B%40ordinal%3D1%5D%2FpicFuelRecibeInterno","Descargar")</f>
        <v>Descargar</v>
      </c>
    </row>
    <row r="3962" spans="1:18" x14ac:dyDescent="0.3">
      <c r="A3962">
        <v>1491349</v>
      </c>
      <c r="B3962" t="s">
        <v>18</v>
      </c>
      <c r="C3962" t="s">
        <v>59</v>
      </c>
      <c r="D3962" t="s">
        <v>233</v>
      </c>
      <c r="E3962" t="s">
        <v>3039</v>
      </c>
      <c r="F3962" t="s">
        <v>22</v>
      </c>
      <c r="G3962" t="s">
        <v>23</v>
      </c>
      <c r="H3962" t="s">
        <v>37</v>
      </c>
      <c r="I3962" t="s">
        <v>25</v>
      </c>
      <c r="J3962" s="2">
        <v>45717.498553240737</v>
      </c>
      <c r="K3962">
        <v>1</v>
      </c>
      <c r="L3962">
        <v>3</v>
      </c>
      <c r="M3962">
        <v>2025</v>
      </c>
      <c r="N3962" t="s">
        <v>27</v>
      </c>
      <c r="O3962">
        <v>300</v>
      </c>
      <c r="P3962">
        <v>300</v>
      </c>
      <c r="R3962" s="3" t="str">
        <f>HYPERLINK("https://panda.att.com.mx/ODKServer/view/binaryData?blobKey=FSSuministroFluidosv3%5B%40version%3Dnull+and+%40uiVersion%3Dnull%5D%2Fdata%5B%40key%3Duuid%3A5cf5fb60-2afb-4a14-8194-66ac27a6621b%5D%2FgroupInfoFuel%5B%40ordinal%3D1%5D%2FpicFuelRecibeInterno","Descargar")</f>
        <v>Descargar</v>
      </c>
    </row>
    <row r="3963" spans="1:18" x14ac:dyDescent="0.3">
      <c r="A3963">
        <v>1491303</v>
      </c>
      <c r="B3963" t="s">
        <v>18</v>
      </c>
      <c r="C3963" t="s">
        <v>34</v>
      </c>
      <c r="D3963" t="s">
        <v>53</v>
      </c>
      <c r="E3963" t="s">
        <v>3010</v>
      </c>
      <c r="F3963" t="s">
        <v>22</v>
      </c>
      <c r="G3963" t="s">
        <v>23</v>
      </c>
      <c r="H3963" t="s">
        <v>37</v>
      </c>
      <c r="I3963" t="s">
        <v>25</v>
      </c>
      <c r="J3963" s="2">
        <v>45717.595370370371</v>
      </c>
      <c r="K3963">
        <v>1</v>
      </c>
      <c r="L3963">
        <v>3</v>
      </c>
      <c r="M3963">
        <v>2025</v>
      </c>
      <c r="N3963" t="s">
        <v>27</v>
      </c>
      <c r="O3963">
        <v>120</v>
      </c>
      <c r="P3963">
        <v>120</v>
      </c>
      <c r="R3963" s="3" t="str">
        <f>HYPERLINK("https://panda.att.com.mx/ODKServer/view/binaryData?blobKey=FSSuministroFluidosv3%5B%40version%3Dnull+and+%40uiVersion%3Dnull%5D%2Fdata%5B%40key%3Duuid%3Ab06311ee-0f10-46e8-a210-656e29d073c8%5D%2FgroupInfoFuel%5B%40ordinal%3D1%5D%2FpicFuelRecibeInterno","Descargar")</f>
        <v>Descargar</v>
      </c>
    </row>
    <row r="3964" spans="1:18" x14ac:dyDescent="0.3">
      <c r="A3964">
        <v>1491289</v>
      </c>
      <c r="B3964" t="s">
        <v>18</v>
      </c>
      <c r="C3964" t="s">
        <v>34</v>
      </c>
      <c r="D3964" t="s">
        <v>53</v>
      </c>
      <c r="E3964" t="s">
        <v>3026</v>
      </c>
      <c r="F3964" t="s">
        <v>22</v>
      </c>
      <c r="G3964" t="s">
        <v>23</v>
      </c>
      <c r="H3964" t="s">
        <v>37</v>
      </c>
      <c r="I3964" t="s">
        <v>25</v>
      </c>
      <c r="J3964" s="2">
        <v>45717.585856481477</v>
      </c>
      <c r="K3964">
        <v>1</v>
      </c>
      <c r="L3964">
        <v>3</v>
      </c>
      <c r="M3964">
        <v>2025</v>
      </c>
      <c r="N3964" t="s">
        <v>27</v>
      </c>
      <c r="O3964">
        <v>300</v>
      </c>
      <c r="P3964">
        <v>300</v>
      </c>
      <c r="R3964" s="3" t="str">
        <f>HYPERLINK("https://panda.att.com.mx/ODKServer/view/binaryData?blobKey=FSSuministroFluidosv3%5B%40version%3Dnull+and+%40uiVersion%3Dnull%5D%2Fdata%5B%40key%3Duuid%3Ac06eeb96-7122-43b1-9ed8-5f4636773e3b%5D%2FgroupInfoFuel%5B%40ordinal%3D1%5D%2FpicFuelRecibeInterno","Descargar")</f>
        <v>Descargar</v>
      </c>
    </row>
    <row r="3965" spans="1:18" x14ac:dyDescent="0.3">
      <c r="A3965">
        <v>1491262</v>
      </c>
      <c r="B3965" t="s">
        <v>18</v>
      </c>
      <c r="C3965" t="s">
        <v>150</v>
      </c>
      <c r="D3965" t="s">
        <v>230</v>
      </c>
      <c r="E3965" t="s">
        <v>399</v>
      </c>
      <c r="F3965" t="s">
        <v>22</v>
      </c>
      <c r="G3965" t="s">
        <v>23</v>
      </c>
      <c r="H3965" t="s">
        <v>1781</v>
      </c>
      <c r="I3965" t="s">
        <v>25</v>
      </c>
      <c r="J3965" s="2">
        <v>45717.365115740737</v>
      </c>
      <c r="K3965">
        <v>1</v>
      </c>
      <c r="L3965">
        <v>3</v>
      </c>
      <c r="M3965">
        <v>2025</v>
      </c>
      <c r="N3965" t="s">
        <v>27</v>
      </c>
      <c r="O3965">
        <v>250</v>
      </c>
      <c r="P3965">
        <v>250</v>
      </c>
      <c r="R3965" s="3" t="str">
        <f>HYPERLINK("https://panda.att.com.mx/ODKServer/view/binaryData?blobKey=FSSuministroFluidosv3%5B%40version%3Dnull+and+%40uiVersion%3Dnull%5D%2Fdata%5B%40key%3Duuid%3Af44dc0df-5504-48df-9078-1782ee651062%5D%2FgroupInfoFuel%5B%40ordinal%3D1%5D%2FpicFuelRecibeInterno","Descargar")</f>
        <v>Descargar</v>
      </c>
    </row>
    <row r="3966" spans="1:18" x14ac:dyDescent="0.3">
      <c r="A3966">
        <v>1491255</v>
      </c>
      <c r="B3966" t="s">
        <v>18</v>
      </c>
      <c r="C3966" t="s">
        <v>150</v>
      </c>
      <c r="D3966" t="s">
        <v>2224</v>
      </c>
      <c r="E3966" t="s">
        <v>2225</v>
      </c>
      <c r="F3966" t="s">
        <v>22</v>
      </c>
      <c r="G3966" t="s">
        <v>23</v>
      </c>
      <c r="H3966" t="s">
        <v>1781</v>
      </c>
      <c r="I3966" t="s">
        <v>25</v>
      </c>
      <c r="J3966" s="2">
        <v>45717.382986111108</v>
      </c>
      <c r="K3966">
        <v>1</v>
      </c>
      <c r="L3966">
        <v>3</v>
      </c>
      <c r="M3966">
        <v>2025</v>
      </c>
      <c r="N3966" t="s">
        <v>27</v>
      </c>
      <c r="O3966">
        <v>250</v>
      </c>
      <c r="P3966">
        <v>250</v>
      </c>
      <c r="R3966" s="3" t="str">
        <f>HYPERLINK("https://panda.att.com.mx/ODKServer/view/binaryData?blobKey=FSSuministroFluidosv3%5B%40version%3Dnull+and+%40uiVersion%3Dnull%5D%2Fdata%5B%40key%3Duuid%3Ae890b7b4-337d-4edc-854b-d25eee4fab73%5D%2FgroupInfoFuel%5B%40ordinal%3D1%5D%2FpicFuelRecibeInterno","Descargar")</f>
        <v>Descargar</v>
      </c>
    </row>
    <row r="3967" spans="1:18" x14ac:dyDescent="0.3">
      <c r="A3967">
        <v>1491238</v>
      </c>
      <c r="B3967" t="s">
        <v>18</v>
      </c>
      <c r="C3967" t="s">
        <v>55</v>
      </c>
      <c r="D3967" t="s">
        <v>89</v>
      </c>
      <c r="E3967" t="s">
        <v>3040</v>
      </c>
      <c r="F3967" t="s">
        <v>22</v>
      </c>
      <c r="G3967" t="s">
        <v>23</v>
      </c>
      <c r="H3967" t="s">
        <v>1763</v>
      </c>
      <c r="I3967" t="s">
        <v>25</v>
      </c>
      <c r="J3967" s="2">
        <v>45717.387395833342</v>
      </c>
      <c r="K3967">
        <v>1</v>
      </c>
      <c r="L3967">
        <v>3</v>
      </c>
      <c r="M3967">
        <v>2025</v>
      </c>
      <c r="N3967" t="s">
        <v>44</v>
      </c>
      <c r="O3967">
        <v>50</v>
      </c>
      <c r="P3967">
        <v>50</v>
      </c>
      <c r="R3967" s="3" t="str">
        <f>HYPERLINK("https://panda.att.com.mx/ODKServer/view/binaryData?blobKey=FSSuministroFluidosv3%5B%40version%3Dnull+and+%40uiVersion%3Dnull%5D%2Fdata%5B%40key%3Duuid%3A09d5e779-b356-4551-8725-05f65172b038%5D%2FgroupInfoFuel%5B%40ordinal%3D1%5D%2FpicFuelRecibeInterno","Descargar")</f>
        <v>Descargar</v>
      </c>
    </row>
    <row r="3968" spans="1:18" x14ac:dyDescent="0.3">
      <c r="A3968">
        <v>1491190</v>
      </c>
      <c r="B3968" t="s">
        <v>18</v>
      </c>
      <c r="C3968" t="s">
        <v>100</v>
      </c>
      <c r="D3968" t="s">
        <v>716</v>
      </c>
      <c r="E3968" t="s">
        <v>717</v>
      </c>
      <c r="F3968" t="s">
        <v>22</v>
      </c>
      <c r="G3968" t="s">
        <v>83</v>
      </c>
      <c r="H3968" t="s">
        <v>1781</v>
      </c>
      <c r="I3968" t="s">
        <v>25</v>
      </c>
      <c r="J3968" s="2">
        <v>45716.963587962957</v>
      </c>
      <c r="K3968">
        <v>28</v>
      </c>
      <c r="L3968">
        <v>2</v>
      </c>
      <c r="M3968">
        <v>2025</v>
      </c>
      <c r="N3968" t="s">
        <v>27</v>
      </c>
      <c r="O3968">
        <v>153</v>
      </c>
      <c r="P3968">
        <v>153</v>
      </c>
      <c r="R3968" s="3" t="str">
        <f>HYPERLINK("https://panda.att.com.mx/ODKServer/view/binaryData?blobKey=FSSuministroFluidosv3%5B%40version%3Dnull+and+%40uiVersion%3Dnull%5D%2Fdata%5B%40key%3Duuid%3A275c79bf-fbe7-415a-8207-21795516c63d%5D%2FgroupInfoFuel%5B%40ordinal%3D1%5D%2FpicFuelRecibeInterno","Descargar")</f>
        <v>Descargar</v>
      </c>
    </row>
    <row r="3969" spans="1:18" x14ac:dyDescent="0.3">
      <c r="A3969">
        <v>1491186</v>
      </c>
      <c r="B3969" t="s">
        <v>18</v>
      </c>
      <c r="C3969" t="s">
        <v>19</v>
      </c>
      <c r="D3969" t="s">
        <v>20</v>
      </c>
      <c r="E3969" t="s">
        <v>275</v>
      </c>
      <c r="F3969" t="s">
        <v>22</v>
      </c>
      <c r="G3969" t="s">
        <v>23</v>
      </c>
      <c r="H3969" t="s">
        <v>24</v>
      </c>
      <c r="I3969" t="s">
        <v>25</v>
      </c>
      <c r="J3969" s="2">
        <v>45716.969097222223</v>
      </c>
      <c r="K3969">
        <v>28</v>
      </c>
      <c r="L3969">
        <v>2</v>
      </c>
      <c r="M3969">
        <v>2025</v>
      </c>
      <c r="N3969" t="s">
        <v>27</v>
      </c>
      <c r="O3969">
        <v>300</v>
      </c>
      <c r="P3969">
        <v>300</v>
      </c>
      <c r="R3969" s="3" t="str">
        <f>HYPERLINK("https://panda.att.com.mx/ODKServer/view/binaryData?blobKey=FSSuministroFluidosv3%5B%40version%3Dnull+and+%40uiVersion%3Dnull%5D%2Fdata%5B%40key%3Duuid%3A98cba523-fbfa-4861-b971-beb77e0fb320%5D%2FgroupInfoFuel%5B%40ordinal%3D1%5D%2FpicFuelRecibeInterno","Descargar")</f>
        <v>Descargar</v>
      </c>
    </row>
    <row r="3970" spans="1:18" x14ac:dyDescent="0.3">
      <c r="A3970">
        <v>1491153</v>
      </c>
      <c r="B3970" t="s">
        <v>18</v>
      </c>
      <c r="C3970" t="s">
        <v>19</v>
      </c>
      <c r="D3970" t="s">
        <v>45</v>
      </c>
      <c r="E3970" t="s">
        <v>905</v>
      </c>
      <c r="F3970" t="s">
        <v>22</v>
      </c>
      <c r="G3970" t="s">
        <v>23</v>
      </c>
      <c r="H3970" t="s">
        <v>24</v>
      </c>
      <c r="I3970" t="s">
        <v>25</v>
      </c>
      <c r="J3970" s="2">
        <v>45706.519432870373</v>
      </c>
      <c r="K3970">
        <v>18</v>
      </c>
      <c r="L3970">
        <v>2</v>
      </c>
      <c r="M3970">
        <v>2025</v>
      </c>
      <c r="N3970" t="s">
        <v>27</v>
      </c>
      <c r="O3970">
        <v>200</v>
      </c>
      <c r="P3970">
        <v>200</v>
      </c>
      <c r="R3970" s="3" t="str">
        <f>HYPERLINK("https://panda.att.com.mx/ODKServer/view/binaryData?blobKey=FSSuministroFluidosv3%5B%40version%3Dnull+and+%40uiVersion%3Dnull%5D%2Fdata%5B%40key%3Duuid%3A09d3990c-dc3f-4f89-aa03-2d234ea17989%5D%2FgroupInfoFuel%5B%40ordinal%3D1%5D%2FpicFuelRecibeInterno","Descargar")</f>
        <v>Descargar</v>
      </c>
    </row>
    <row r="3971" spans="1:18" x14ac:dyDescent="0.3">
      <c r="A3971">
        <v>1491094</v>
      </c>
      <c r="B3971" t="s">
        <v>18</v>
      </c>
      <c r="C3971" t="s">
        <v>100</v>
      </c>
      <c r="D3971" t="s">
        <v>854</v>
      </c>
      <c r="E3971" t="s">
        <v>993</v>
      </c>
      <c r="F3971" t="s">
        <v>22</v>
      </c>
      <c r="G3971" t="s">
        <v>83</v>
      </c>
      <c r="H3971" t="s">
        <v>1781</v>
      </c>
      <c r="I3971" t="s">
        <v>25</v>
      </c>
      <c r="J3971" s="2">
        <v>45716.630127314813</v>
      </c>
      <c r="K3971">
        <v>28</v>
      </c>
      <c r="L3971">
        <v>2</v>
      </c>
      <c r="M3971">
        <v>2025</v>
      </c>
      <c r="N3971" t="s">
        <v>27</v>
      </c>
      <c r="O3971">
        <v>220</v>
      </c>
      <c r="P3971">
        <v>220</v>
      </c>
      <c r="R3971" s="3" t="str">
        <f>HYPERLINK("https://panda.att.com.mx/ODKServer/view/binaryData?blobKey=FSSuministroFluidosv3%5B%40version%3Dnull+and+%40uiVersion%3Dnull%5D%2Fdata%5B%40key%3Duuid%3Ae92d9699-00cd-4d15-82c9-7fc90e11dbea%5D%2FgroupInfoFuel%5B%40ordinal%3D1%5D%2FpicFuelRecibeInterno","Descargar")</f>
        <v>Descargar</v>
      </c>
    </row>
    <row r="3972" spans="1:18" x14ac:dyDescent="0.3">
      <c r="A3972">
        <v>1491069</v>
      </c>
      <c r="B3972" t="s">
        <v>18</v>
      </c>
      <c r="C3972" t="s">
        <v>34</v>
      </c>
      <c r="D3972" t="s">
        <v>53</v>
      </c>
      <c r="E3972" t="s">
        <v>327</v>
      </c>
      <c r="F3972" t="s">
        <v>22</v>
      </c>
      <c r="G3972" t="s">
        <v>23</v>
      </c>
      <c r="H3972" t="s">
        <v>37</v>
      </c>
      <c r="I3972" t="s">
        <v>25</v>
      </c>
      <c r="J3972" s="2">
        <v>45716.52815972222</v>
      </c>
      <c r="K3972">
        <v>28</v>
      </c>
      <c r="L3972">
        <v>2</v>
      </c>
      <c r="M3972">
        <v>2025</v>
      </c>
      <c r="N3972" t="s">
        <v>27</v>
      </c>
      <c r="O3972">
        <v>200</v>
      </c>
      <c r="P3972">
        <v>200</v>
      </c>
      <c r="R3972" s="3" t="str">
        <f>HYPERLINK("https://panda.att.com.mx/ODKServer/view/binaryData?blobKey=FSSuministroFluidosv3%5B%40version%3Dnull+and+%40uiVersion%3Dnull%5D%2Fdata%5B%40key%3Duuid%3A568a90af-c615-424d-b36e-7f8605688130%5D%2FgroupInfoFuel%5B%40ordinal%3D1%5D%2FpicFuelRecibeInterno","Descargar")</f>
        <v>Descargar</v>
      </c>
    </row>
    <row r="3973" spans="1:18" x14ac:dyDescent="0.3">
      <c r="A3973">
        <v>1491051</v>
      </c>
      <c r="B3973" t="s">
        <v>18</v>
      </c>
      <c r="C3973" t="s">
        <v>59</v>
      </c>
      <c r="D3973" t="s">
        <v>1242</v>
      </c>
      <c r="E3973" t="s">
        <v>1513</v>
      </c>
      <c r="F3973" t="s">
        <v>22</v>
      </c>
      <c r="G3973" t="s">
        <v>23</v>
      </c>
      <c r="H3973" t="s">
        <v>37</v>
      </c>
      <c r="I3973" t="s">
        <v>25</v>
      </c>
      <c r="J3973" s="2">
        <v>45716.811493055553</v>
      </c>
      <c r="K3973">
        <v>28</v>
      </c>
      <c r="L3973">
        <v>2</v>
      </c>
      <c r="M3973">
        <v>2025</v>
      </c>
      <c r="N3973" t="s">
        <v>27</v>
      </c>
      <c r="O3973">
        <v>200</v>
      </c>
      <c r="P3973">
        <v>200</v>
      </c>
      <c r="R3973" s="3" t="str">
        <f>HYPERLINK("https://panda.att.com.mx/ODKServer/view/binaryData?blobKey=FSSuministroFluidosv3%5B%40version%3Dnull+and+%40uiVersion%3Dnull%5D%2Fdata%5B%40key%3Duuid%3A6c73e2a3-d2e9-4ddb-b2a4-0a4cdf0b7ac2%5D%2FgroupInfoFuel%5B%40ordinal%3D1%5D%2FpicFuelRecibeInterno","Descargar")</f>
        <v>Descargar</v>
      </c>
    </row>
    <row r="3974" spans="1:18" x14ac:dyDescent="0.3">
      <c r="A3974">
        <v>1491047</v>
      </c>
      <c r="B3974" t="s">
        <v>18</v>
      </c>
      <c r="C3974" t="s">
        <v>34</v>
      </c>
      <c r="D3974" t="s">
        <v>121</v>
      </c>
      <c r="E3974" t="s">
        <v>3041</v>
      </c>
      <c r="F3974" t="s">
        <v>22</v>
      </c>
      <c r="G3974" t="s">
        <v>23</v>
      </c>
      <c r="H3974" t="s">
        <v>37</v>
      </c>
      <c r="I3974" t="s">
        <v>25</v>
      </c>
      <c r="J3974" s="2">
        <v>45716.436689814807</v>
      </c>
      <c r="K3974">
        <v>28</v>
      </c>
      <c r="L3974">
        <v>2</v>
      </c>
      <c r="M3974">
        <v>2025</v>
      </c>
      <c r="N3974" t="s">
        <v>27</v>
      </c>
      <c r="O3974">
        <v>150</v>
      </c>
      <c r="P3974">
        <v>150</v>
      </c>
      <c r="R3974" s="3" t="str">
        <f>HYPERLINK("https://panda.att.com.mx/ODKServer/view/binaryData?blobKey=FSSuministroFluidosv3%5B%40version%3Dnull+and+%40uiVersion%3Dnull%5D%2Fdata%5B%40key%3Duuid%3A69d4e50a-62fa-4d5f-b20b-46242c4d7dfc%5D%2FgroupInfoFuel%5B%40ordinal%3D1%5D%2FpicFuelRecibeInterno","Descargar")</f>
        <v>Descargar</v>
      </c>
    </row>
    <row r="3975" spans="1:18" x14ac:dyDescent="0.3">
      <c r="A3975">
        <v>1490148</v>
      </c>
      <c r="B3975" t="s">
        <v>18</v>
      </c>
      <c r="C3975" t="s">
        <v>55</v>
      </c>
      <c r="D3975" t="s">
        <v>56</v>
      </c>
      <c r="E3975" t="s">
        <v>624</v>
      </c>
      <c r="F3975" t="s">
        <v>22</v>
      </c>
      <c r="G3975" t="s">
        <v>23</v>
      </c>
      <c r="H3975" t="s">
        <v>1763</v>
      </c>
      <c r="I3975" t="s">
        <v>25</v>
      </c>
      <c r="J3975" s="2">
        <v>45715.681168981479</v>
      </c>
      <c r="K3975">
        <v>27</v>
      </c>
      <c r="L3975">
        <v>2</v>
      </c>
      <c r="M3975">
        <v>2025</v>
      </c>
      <c r="N3975" t="s">
        <v>27</v>
      </c>
      <c r="O3975">
        <v>100</v>
      </c>
      <c r="P3975">
        <v>100</v>
      </c>
      <c r="R3975" s="3" t="str">
        <f>HYPERLINK("https://panda.att.com.mx/ODKServer/view/binaryData?blobKey=FSSuministroFluidosv3%5B%40version%3Dnull+and+%40uiVersion%3Dnull%5D%2Fdata%5B%40key%3Duuid%3A7902e424-65c0-4045-ba13-3be16b7396fa%5D%2FgroupInfoFuel%5B%40ordinal%3D1%5D%2FpicFuelRecibeInterno","Descargar")</f>
        <v>Descargar</v>
      </c>
    </row>
    <row r="3976" spans="1:18" x14ac:dyDescent="0.3">
      <c r="A3976">
        <v>1490038</v>
      </c>
      <c r="B3976" t="s">
        <v>18</v>
      </c>
      <c r="C3976" t="s">
        <v>59</v>
      </c>
      <c r="D3976" t="s">
        <v>1242</v>
      </c>
      <c r="E3976" t="s">
        <v>3042</v>
      </c>
      <c r="F3976" t="s">
        <v>22</v>
      </c>
      <c r="G3976" t="s">
        <v>23</v>
      </c>
      <c r="H3976" t="s">
        <v>37</v>
      </c>
      <c r="I3976" t="s">
        <v>25</v>
      </c>
      <c r="J3976" s="2">
        <v>45715.734861111108</v>
      </c>
      <c r="K3976">
        <v>27</v>
      </c>
      <c r="L3976">
        <v>2</v>
      </c>
      <c r="M3976">
        <v>2025</v>
      </c>
      <c r="N3976" t="s">
        <v>27</v>
      </c>
      <c r="O3976">
        <v>150</v>
      </c>
      <c r="P3976">
        <v>150</v>
      </c>
      <c r="R3976" s="3" t="str">
        <f>HYPERLINK("https://panda.att.com.mx/ODKServer/view/binaryData?blobKey=FSSuministroFluidosv3%5B%40version%3Dnull+and+%40uiVersion%3Dnull%5D%2Fdata%5B%40key%3Duuid%3Ae0e2cfaa-fb87-48e1-9881-4cd04d712dc1%5D%2FgroupInfoFuel%5B%40ordinal%3D1%5D%2FpicFuelRecibeInterno","Descargar")</f>
        <v>Descargar</v>
      </c>
    </row>
    <row r="3977" spans="1:18" x14ac:dyDescent="0.3">
      <c r="A3977">
        <v>1490034</v>
      </c>
      <c r="B3977" t="s">
        <v>18</v>
      </c>
      <c r="C3977" t="s">
        <v>100</v>
      </c>
      <c r="D3977" t="s">
        <v>716</v>
      </c>
      <c r="E3977" t="s">
        <v>717</v>
      </c>
      <c r="F3977" t="s">
        <v>22</v>
      </c>
      <c r="G3977" t="s">
        <v>83</v>
      </c>
      <c r="H3977" t="s">
        <v>1781</v>
      </c>
      <c r="I3977" t="s">
        <v>25</v>
      </c>
      <c r="J3977" s="2">
        <v>45705.336145833331</v>
      </c>
      <c r="K3977">
        <v>17</v>
      </c>
      <c r="L3977">
        <v>2</v>
      </c>
      <c r="M3977">
        <v>2025</v>
      </c>
      <c r="N3977" t="s">
        <v>27</v>
      </c>
      <c r="O3977">
        <v>150</v>
      </c>
      <c r="P3977">
        <v>150</v>
      </c>
      <c r="R3977" s="3" t="str">
        <f>HYPERLINK("https://panda.att.com.mx/ODKServer/view/binaryData?blobKey=FSSuministroFluidosv3%5B%40version%3Dnull+and+%40uiVersion%3Dnull%5D%2Fdata%5B%40key%3Duuid%3A96dedf97-fbe6-4c46-bc88-663d39b7964e%5D%2FgroupInfoFuel%5B%40ordinal%3D1%5D%2FpicFuelRecibeInterno","Descargar")</f>
        <v>Descargar</v>
      </c>
    </row>
    <row r="3978" spans="1:18" x14ac:dyDescent="0.3">
      <c r="A3978">
        <v>1490029</v>
      </c>
      <c r="B3978" t="s">
        <v>18</v>
      </c>
      <c r="C3978" t="s">
        <v>28</v>
      </c>
      <c r="D3978" t="s">
        <v>513</v>
      </c>
      <c r="E3978" t="s">
        <v>1797</v>
      </c>
      <c r="F3978" t="s">
        <v>22</v>
      </c>
      <c r="G3978" t="s">
        <v>23</v>
      </c>
      <c r="H3978" t="s">
        <v>24</v>
      </c>
      <c r="I3978" t="s">
        <v>25</v>
      </c>
      <c r="J3978" s="2">
        <v>45715.689675925933</v>
      </c>
      <c r="K3978">
        <v>27</v>
      </c>
      <c r="L3978">
        <v>2</v>
      </c>
      <c r="M3978">
        <v>2025</v>
      </c>
      <c r="N3978" t="s">
        <v>44</v>
      </c>
      <c r="O3978">
        <v>50</v>
      </c>
      <c r="P3978">
        <v>50</v>
      </c>
      <c r="R3978" s="3" t="str">
        <f>HYPERLINK("https://panda.att.com.mx/ODKServer/view/binaryData?blobKey=FSSuministroFluidosv3%5B%40version%3Dnull+and+%40uiVersion%3Dnull%5D%2Fdata%5B%40key%3Duuid%3A4ef18909-444d-4ee4-b21e-937b92a5a3d0%5D%2FgroupInfoFuel%5B%40ordinal%3D1%5D%2FpicFuelRecibeInterno","Descargar")</f>
        <v>Descargar</v>
      </c>
    </row>
    <row r="3979" spans="1:18" x14ac:dyDescent="0.3">
      <c r="A3979">
        <v>1489911</v>
      </c>
      <c r="B3979" t="s">
        <v>18</v>
      </c>
      <c r="C3979" t="s">
        <v>28</v>
      </c>
      <c r="D3979" t="s">
        <v>66</v>
      </c>
      <c r="E3979" t="s">
        <v>3043</v>
      </c>
      <c r="F3979" t="s">
        <v>22</v>
      </c>
      <c r="G3979" t="s">
        <v>23</v>
      </c>
      <c r="H3979" t="s">
        <v>24</v>
      </c>
      <c r="I3979" t="s">
        <v>25</v>
      </c>
      <c r="J3979" s="2">
        <v>45715.597986111112</v>
      </c>
      <c r="K3979">
        <v>27</v>
      </c>
      <c r="L3979">
        <v>2</v>
      </c>
      <c r="M3979">
        <v>2025</v>
      </c>
      <c r="N3979" t="s">
        <v>27</v>
      </c>
      <c r="O3979">
        <v>200</v>
      </c>
      <c r="P3979">
        <v>200</v>
      </c>
      <c r="R3979" s="3" t="str">
        <f>HYPERLINK("https://panda.att.com.mx/ODKServer/view/binaryData?blobKey=FSSuministroFluidosv3%5B%40version%3Dnull+and+%40uiVersion%3Dnull%5D%2Fdata%5B%40key%3Duuid%3Ad1384559-94d3-4e43-8708-69d0803ea28b%5D%2FgroupInfoFuel%5B%40ordinal%3D1%5D%2FpicFuelRecibeInterno","Descargar")</f>
        <v>Descargar</v>
      </c>
    </row>
    <row r="3980" spans="1:18" x14ac:dyDescent="0.3">
      <c r="A3980">
        <v>1489910</v>
      </c>
      <c r="B3980" t="s">
        <v>18</v>
      </c>
      <c r="C3980" t="s">
        <v>28</v>
      </c>
      <c r="D3980" t="s">
        <v>118</v>
      </c>
      <c r="E3980" t="s">
        <v>195</v>
      </c>
      <c r="F3980" t="s">
        <v>22</v>
      </c>
      <c r="G3980" t="s">
        <v>23</v>
      </c>
      <c r="H3980" t="s">
        <v>24</v>
      </c>
      <c r="I3980" t="s">
        <v>25</v>
      </c>
      <c r="J3980" s="2">
        <v>45715.557314814818</v>
      </c>
      <c r="K3980">
        <v>27</v>
      </c>
      <c r="L3980">
        <v>2</v>
      </c>
      <c r="M3980">
        <v>2025</v>
      </c>
      <c r="N3980" t="s">
        <v>27</v>
      </c>
      <c r="O3980">
        <v>300</v>
      </c>
      <c r="P3980">
        <v>300</v>
      </c>
      <c r="R3980" s="3" t="str">
        <f>HYPERLINK("https://panda.att.com.mx/ODKServer/view/binaryData?blobKey=FSSuministroFluidosv3%5B%40version%3Dnull+and+%40uiVersion%3Dnull%5D%2Fdata%5B%40key%3Duuid%3A0d4a6c98-a2c1-4af9-8ff5-ee90d995e8f8%5D%2FgroupInfoFuel%5B%40ordinal%3D1%5D%2FpicFuelRecibeInterno","Descargar")</f>
        <v>Descargar</v>
      </c>
    </row>
    <row r="3981" spans="1:18" x14ac:dyDescent="0.3">
      <c r="A3981">
        <v>1489735</v>
      </c>
      <c r="B3981" t="s">
        <v>18</v>
      </c>
      <c r="C3981" t="s">
        <v>150</v>
      </c>
      <c r="D3981" t="s">
        <v>230</v>
      </c>
      <c r="E3981" t="s">
        <v>1510</v>
      </c>
      <c r="F3981" t="s">
        <v>22</v>
      </c>
      <c r="G3981" t="s">
        <v>23</v>
      </c>
      <c r="H3981" t="s">
        <v>1781</v>
      </c>
      <c r="I3981" t="s">
        <v>25</v>
      </c>
      <c r="J3981" s="2">
        <v>45715.493993055563</v>
      </c>
      <c r="K3981">
        <v>27</v>
      </c>
      <c r="L3981">
        <v>2</v>
      </c>
      <c r="M3981">
        <v>2025</v>
      </c>
      <c r="N3981" t="s">
        <v>27</v>
      </c>
      <c r="O3981">
        <v>300.02</v>
      </c>
      <c r="P3981">
        <v>300.02</v>
      </c>
      <c r="R3981" s="3" t="str">
        <f>HYPERLINK("https://panda.att.com.mx/ODKServer/view/binaryData?blobKey=FSSuministroFluidosv3%5B%40version%3Dnull+and+%40uiVersion%3Dnull%5D%2Fdata%5B%40key%3Duuid%3A2a67fd9d-13b5-4204-990a-810dbe96ba24%5D%2FgroupInfoFuel%5B%40ordinal%3D1%5D%2FpicFuelRecibeInterno","Descargar")</f>
        <v>Descargar</v>
      </c>
    </row>
    <row r="3982" spans="1:18" x14ac:dyDescent="0.3">
      <c r="A3982">
        <v>1489520</v>
      </c>
      <c r="B3982" t="s">
        <v>18</v>
      </c>
      <c r="C3982" t="s">
        <v>59</v>
      </c>
      <c r="D3982" t="s">
        <v>574</v>
      </c>
      <c r="E3982" t="s">
        <v>3044</v>
      </c>
      <c r="F3982" t="s">
        <v>22</v>
      </c>
      <c r="G3982" t="s">
        <v>23</v>
      </c>
      <c r="H3982" t="s">
        <v>37</v>
      </c>
      <c r="I3982" t="s">
        <v>25</v>
      </c>
      <c r="J3982" s="2">
        <v>45713.485023148147</v>
      </c>
      <c r="K3982">
        <v>25</v>
      </c>
      <c r="L3982">
        <v>2</v>
      </c>
      <c r="M3982">
        <v>2025</v>
      </c>
      <c r="N3982" t="s">
        <v>27</v>
      </c>
      <c r="O3982">
        <v>170</v>
      </c>
      <c r="P3982">
        <v>170</v>
      </c>
      <c r="R3982" s="3" t="str">
        <f>HYPERLINK("https://panda.att.com.mx/ODKServer/view/binaryData?blobKey=FSSuministroFluidosv3%5B%40version%3Dnull+and+%40uiVersion%3Dnull%5D%2Fdata%5B%40key%3Duuid%3A3e3e0aad-2e41-4852-87f8-9a1efb505bc9%5D%2FgroupInfoFuel%5B%40ordinal%3D1%5D%2FpicFuelRecibeInterno","Descargar")</f>
        <v>Descargar</v>
      </c>
    </row>
    <row r="3983" spans="1:18" x14ac:dyDescent="0.3">
      <c r="A3983">
        <v>1489519</v>
      </c>
      <c r="B3983" t="s">
        <v>18</v>
      </c>
      <c r="C3983" t="s">
        <v>28</v>
      </c>
      <c r="D3983" t="s">
        <v>280</v>
      </c>
      <c r="E3983" t="s">
        <v>282</v>
      </c>
      <c r="F3983" t="s">
        <v>22</v>
      </c>
      <c r="G3983" t="s">
        <v>23</v>
      </c>
      <c r="H3983" t="s">
        <v>24</v>
      </c>
      <c r="I3983" t="s">
        <v>25</v>
      </c>
      <c r="J3983" s="2">
        <v>45712.649143518523</v>
      </c>
      <c r="K3983">
        <v>24</v>
      </c>
      <c r="L3983">
        <v>2</v>
      </c>
      <c r="M3983">
        <v>2025</v>
      </c>
      <c r="N3983" t="s">
        <v>27</v>
      </c>
      <c r="O3983">
        <v>250</v>
      </c>
      <c r="Q3983">
        <v>250</v>
      </c>
      <c r="R3983" s="3" t="str">
        <f>HYPERLINK("https://panda.att.com.mx/ODKServer/view/binaryData?blobKey=FSSuministroFluidosv3%5B%40version%3Dnull+and+%40uiVersion%3Dnull%5D%2Fdata%5B%40key%3Duuid%3A56ee337d-4948-4b04-b64a-26216cd9f69c%5D%2FgroupInfoFuel%5B%40ordinal%3D1%5D%2FpicFuelRecibeInterno","Descargar")</f>
        <v>Descargar</v>
      </c>
    </row>
    <row r="3984" spans="1:18" x14ac:dyDescent="0.3">
      <c r="A3984">
        <v>1489518</v>
      </c>
      <c r="B3984" t="s">
        <v>18</v>
      </c>
      <c r="C3984" t="s">
        <v>28</v>
      </c>
      <c r="D3984" t="s">
        <v>280</v>
      </c>
      <c r="E3984" t="s">
        <v>3045</v>
      </c>
      <c r="F3984" t="s">
        <v>22</v>
      </c>
      <c r="G3984" t="s">
        <v>23</v>
      </c>
      <c r="H3984" t="s">
        <v>24</v>
      </c>
      <c r="I3984" t="s">
        <v>25</v>
      </c>
      <c r="J3984" s="2">
        <v>45712.56422453704</v>
      </c>
      <c r="K3984">
        <v>24</v>
      </c>
      <c r="L3984">
        <v>2</v>
      </c>
      <c r="M3984">
        <v>2025</v>
      </c>
      <c r="N3984" t="s">
        <v>44</v>
      </c>
      <c r="O3984">
        <v>40</v>
      </c>
      <c r="P3984">
        <v>40</v>
      </c>
      <c r="R3984" s="3" t="str">
        <f>HYPERLINK("https://panda.att.com.mx/ODKServer/view/binaryData?blobKey=FSSuministroFluidosv3%5B%40version%3Dnull+and+%40uiVersion%3Dnull%5D%2Fdata%5B%40key%3Duuid%3Ae51ea5f1-cf94-46bc-b6a6-c79a28de3719%5D%2FgroupInfoFuel%5B%40ordinal%3D1%5D%2FpicFuelRecibeInterno","Descargar")</f>
        <v>Descargar</v>
      </c>
    </row>
    <row r="3985" spans="1:18" x14ac:dyDescent="0.3">
      <c r="A3985">
        <v>1489455</v>
      </c>
      <c r="B3985" t="s">
        <v>18</v>
      </c>
      <c r="C3985" t="s">
        <v>55</v>
      </c>
      <c r="D3985" t="s">
        <v>56</v>
      </c>
      <c r="E3985" t="s">
        <v>3046</v>
      </c>
      <c r="F3985" t="s">
        <v>22</v>
      </c>
      <c r="G3985" t="s">
        <v>23</v>
      </c>
      <c r="H3985" t="s">
        <v>1763</v>
      </c>
      <c r="I3985" t="s">
        <v>25</v>
      </c>
      <c r="J3985" s="2">
        <v>45710.133460648147</v>
      </c>
      <c r="K3985">
        <v>22</v>
      </c>
      <c r="L3985">
        <v>2</v>
      </c>
      <c r="M3985">
        <v>2025</v>
      </c>
      <c r="N3985" t="s">
        <v>27</v>
      </c>
      <c r="O3985">
        <v>60</v>
      </c>
      <c r="P3985">
        <v>60</v>
      </c>
      <c r="R3985" s="3" t="str">
        <f>HYPERLINK("https://panda.att.com.mx/ODKServer/view/binaryData?blobKey=FSSuministroFluidosv3%5B%40version%3Dnull+and+%40uiVersion%3Dnull%5D%2Fdata%5B%40key%3Duuid%3A30c6c85d-1311-4319-bf74-3403a88138d1%5D%2FgroupInfoFuel%5B%40ordinal%3D1%5D%2FpicFuelRecibeInterno","Descargar")</f>
        <v>Descargar</v>
      </c>
    </row>
    <row r="3986" spans="1:18" x14ac:dyDescent="0.3">
      <c r="A3986">
        <v>1489449</v>
      </c>
      <c r="B3986" t="s">
        <v>18</v>
      </c>
      <c r="C3986" t="s">
        <v>19</v>
      </c>
      <c r="D3986" t="s">
        <v>45</v>
      </c>
      <c r="E3986" t="s">
        <v>274</v>
      </c>
      <c r="F3986" t="s">
        <v>22</v>
      </c>
      <c r="G3986" t="s">
        <v>23</v>
      </c>
      <c r="H3986" t="s">
        <v>24</v>
      </c>
      <c r="I3986" t="s">
        <v>25</v>
      </c>
      <c r="J3986" s="2">
        <v>45714.628587962958</v>
      </c>
      <c r="K3986">
        <v>26</v>
      </c>
      <c r="L3986">
        <v>2</v>
      </c>
      <c r="M3986">
        <v>2025</v>
      </c>
      <c r="N3986" t="s">
        <v>27</v>
      </c>
      <c r="O3986">
        <v>100</v>
      </c>
      <c r="P3986">
        <v>100</v>
      </c>
      <c r="R3986" s="3" t="str">
        <f>HYPERLINK("https://panda.att.com.mx/ODKServer/view/binaryData?blobKey=FSSuministroFluidosv3%5B%40version%3Dnull+and+%40uiVersion%3Dnull%5D%2Fdata%5B%40key%3Duuid%3A4d84cd4d-1673-4efc-a86f-feb2fc1c3c03%5D%2FgroupInfoFuel%5B%40ordinal%3D1%5D%2FpicFuelRecibeInterno","Descargar")</f>
        <v>Descargar</v>
      </c>
    </row>
    <row r="3987" spans="1:18" x14ac:dyDescent="0.3">
      <c r="A3987">
        <v>1489431</v>
      </c>
      <c r="B3987" t="s">
        <v>18</v>
      </c>
      <c r="C3987" t="s">
        <v>19</v>
      </c>
      <c r="D3987" t="s">
        <v>45</v>
      </c>
      <c r="E3987" t="s">
        <v>130</v>
      </c>
      <c r="F3987" t="s">
        <v>22</v>
      </c>
      <c r="G3987" t="s">
        <v>23</v>
      </c>
      <c r="H3987" t="s">
        <v>24</v>
      </c>
      <c r="I3987" t="s">
        <v>25</v>
      </c>
      <c r="J3987" s="2">
        <v>45714.582858796297</v>
      </c>
      <c r="K3987">
        <v>26</v>
      </c>
      <c r="L3987">
        <v>2</v>
      </c>
      <c r="M3987">
        <v>2025</v>
      </c>
      <c r="N3987" t="s">
        <v>27</v>
      </c>
      <c r="O3987">
        <v>300</v>
      </c>
      <c r="P3987">
        <v>300</v>
      </c>
      <c r="R3987" s="3" t="str">
        <f>HYPERLINK("https://panda.att.com.mx/ODKServer/view/binaryData?blobKey=FSSuministroFluidosv3%5B%40version%3Dnull+and+%40uiVersion%3Dnull%5D%2Fdata%5B%40key%3Duuid%3A2f00e770-5d71-4c0e-8e47-36d3254ed7f2%5D%2FgroupInfoFuel%5B%40ordinal%3D1%5D%2FpicFuelRecibeInterno","Descargar")</f>
        <v>Descargar</v>
      </c>
    </row>
    <row r="3988" spans="1:18" x14ac:dyDescent="0.3">
      <c r="A3988">
        <v>1489423</v>
      </c>
      <c r="B3988" t="s">
        <v>18</v>
      </c>
      <c r="C3988" t="s">
        <v>28</v>
      </c>
      <c r="D3988" t="s">
        <v>66</v>
      </c>
      <c r="E3988" t="s">
        <v>3047</v>
      </c>
      <c r="F3988" t="s">
        <v>22</v>
      </c>
      <c r="G3988" t="s">
        <v>23</v>
      </c>
      <c r="H3988" t="s">
        <v>24</v>
      </c>
      <c r="I3988" t="s">
        <v>25</v>
      </c>
      <c r="J3988" s="2">
        <v>45714.712384259263</v>
      </c>
      <c r="K3988">
        <v>26</v>
      </c>
      <c r="L3988">
        <v>2</v>
      </c>
      <c r="M3988">
        <v>2025</v>
      </c>
      <c r="N3988" t="s">
        <v>44</v>
      </c>
      <c r="O3988">
        <v>30</v>
      </c>
      <c r="P3988">
        <v>30</v>
      </c>
      <c r="R3988" s="3" t="str">
        <f>HYPERLINK("https://panda.att.com.mx/ODKServer/view/binaryData?blobKey=FSSuministroFluidosv3%5B%40version%3Dnull+and+%40uiVersion%3Dnull%5D%2Fdata%5B%40key%3Duuid%3A8779b5e7-87bb-4dac-9445-d3dfa4742074%5D%2FgroupInfoFuel%5B%40ordinal%3D1%5D%2FpicFuelRecibeInterno","Descargar")</f>
        <v>Descargar</v>
      </c>
    </row>
    <row r="3989" spans="1:18" x14ac:dyDescent="0.3">
      <c r="A3989">
        <v>1489405</v>
      </c>
      <c r="B3989" t="s">
        <v>18</v>
      </c>
      <c r="C3989" t="s">
        <v>28</v>
      </c>
      <c r="D3989" t="s">
        <v>467</v>
      </c>
      <c r="E3989" t="s">
        <v>1772</v>
      </c>
      <c r="F3989" t="s">
        <v>22</v>
      </c>
      <c r="G3989" t="s">
        <v>23</v>
      </c>
      <c r="H3989" t="s">
        <v>24</v>
      </c>
      <c r="I3989" t="s">
        <v>25</v>
      </c>
      <c r="J3989" s="2">
        <v>45709.661817129629</v>
      </c>
      <c r="K3989">
        <v>21</v>
      </c>
      <c r="L3989">
        <v>2</v>
      </c>
      <c r="M3989">
        <v>2025</v>
      </c>
      <c r="N3989" t="s">
        <v>27</v>
      </c>
      <c r="O3989">
        <v>450</v>
      </c>
      <c r="P3989">
        <v>450</v>
      </c>
      <c r="R3989" s="3" t="str">
        <f>HYPERLINK("https://panda.att.com.mx/ODKServer/view/binaryData?blobKey=FSSuministroFluidosv3%5B%40version%3Dnull+and+%40uiVersion%3Dnull%5D%2Fdata%5B%40key%3Duuid%3A3453feb6-e1db-408b-a541-36164bcadc2a%5D%2FgroupInfoFuel%5B%40ordinal%3D1%5D%2FpicFuelRecibeInterno","Descargar")</f>
        <v>Descargar</v>
      </c>
    </row>
    <row r="3990" spans="1:18" x14ac:dyDescent="0.3">
      <c r="A3990">
        <v>1489390</v>
      </c>
      <c r="B3990" t="s">
        <v>18</v>
      </c>
      <c r="C3990" t="s">
        <v>59</v>
      </c>
      <c r="D3990" t="s">
        <v>233</v>
      </c>
      <c r="E3990" t="s">
        <v>1847</v>
      </c>
      <c r="F3990" t="s">
        <v>22</v>
      </c>
      <c r="G3990" t="s">
        <v>23</v>
      </c>
      <c r="H3990" t="s">
        <v>37</v>
      </c>
      <c r="I3990" t="s">
        <v>25</v>
      </c>
      <c r="J3990" s="2">
        <v>45714.404907407406</v>
      </c>
      <c r="K3990">
        <v>26</v>
      </c>
      <c r="L3990">
        <v>2</v>
      </c>
      <c r="M3990">
        <v>2025</v>
      </c>
      <c r="N3990" t="s">
        <v>27</v>
      </c>
      <c r="O3990">
        <v>500</v>
      </c>
      <c r="Q3990">
        <v>500</v>
      </c>
      <c r="R3990" s="3" t="str">
        <f>HYPERLINK("https://panda.att.com.mx/ODKServer/view/binaryData?blobKey=FSSuministroFluidosv3%5B%40version%3Dnull+and+%40uiVersion%3Dnull%5D%2Fdata%5B%40key%3Duuid%3Afb29c0fa-d133-4186-9e82-47f2a672e52c%5D%2FgroupInfoFuel%5B%40ordinal%3D1%5D%2FpicFuelRecibeInterno","Descargar")</f>
        <v>Descargar</v>
      </c>
    </row>
    <row r="3991" spans="1:18" x14ac:dyDescent="0.3">
      <c r="A3991">
        <v>1489378</v>
      </c>
      <c r="B3991" t="s">
        <v>18</v>
      </c>
      <c r="C3991" t="s">
        <v>100</v>
      </c>
      <c r="D3991" t="s">
        <v>716</v>
      </c>
      <c r="E3991" t="s">
        <v>717</v>
      </c>
      <c r="F3991" t="s">
        <v>22</v>
      </c>
      <c r="G3991" t="s">
        <v>83</v>
      </c>
      <c r="H3991" t="s">
        <v>1781</v>
      </c>
      <c r="I3991" t="s">
        <v>25</v>
      </c>
      <c r="J3991" s="2">
        <v>45714.962175925917</v>
      </c>
      <c r="K3991">
        <v>26</v>
      </c>
      <c r="L3991">
        <v>2</v>
      </c>
      <c r="M3991">
        <v>2025</v>
      </c>
      <c r="N3991" t="s">
        <v>27</v>
      </c>
      <c r="O3991">
        <v>170</v>
      </c>
      <c r="P3991">
        <v>170</v>
      </c>
      <c r="R3991" s="3" t="str">
        <f>HYPERLINK("https://panda.att.com.mx/ODKServer/view/binaryData?blobKey=FSSuministroFluidosv3%5B%40version%3Dnull+and+%40uiVersion%3Dnull%5D%2Fdata%5B%40key%3Duuid%3A00a34b5e-2fc4-465c-ad70-6b4177986b07%5D%2FgroupInfoFuel%5B%40ordinal%3D1%5D%2FpicFuelRecibeInterno","Descargar")</f>
        <v>Descargar</v>
      </c>
    </row>
    <row r="3992" spans="1:18" x14ac:dyDescent="0.3">
      <c r="A3992">
        <v>1489377</v>
      </c>
      <c r="B3992" t="s">
        <v>18</v>
      </c>
      <c r="C3992" t="s">
        <v>59</v>
      </c>
      <c r="D3992" t="s">
        <v>1745</v>
      </c>
      <c r="E3992" t="s">
        <v>2234</v>
      </c>
      <c r="F3992" t="s">
        <v>22</v>
      </c>
      <c r="G3992" t="s">
        <v>23</v>
      </c>
      <c r="H3992" t="s">
        <v>24</v>
      </c>
      <c r="I3992" t="s">
        <v>25</v>
      </c>
      <c r="J3992" s="2">
        <v>45711.743807870371</v>
      </c>
      <c r="K3992">
        <v>23</v>
      </c>
      <c r="L3992">
        <v>2</v>
      </c>
      <c r="M3992">
        <v>2025</v>
      </c>
      <c r="N3992" t="s">
        <v>44</v>
      </c>
      <c r="O3992">
        <v>10</v>
      </c>
      <c r="P3992">
        <v>10</v>
      </c>
      <c r="R3992" s="3" t="str">
        <f>HYPERLINK("https://panda.att.com.mx/ODKServer/view/binaryData?blobKey=FSSuministroFluidosv3%5B%40version%3Dnull+and+%40uiVersion%3Dnull%5D%2Fdata%5B%40key%3Duuid%3A6b0e0784-df5b-46a5-9e40-dd10aed8c3d0%5D%2FgroupInfoFuel%5B%40ordinal%3D1%5D%2FpicFuelRecibeInterno","Descargar")</f>
        <v>Descargar</v>
      </c>
    </row>
    <row r="3993" spans="1:18" x14ac:dyDescent="0.3">
      <c r="A3993">
        <v>1489212</v>
      </c>
      <c r="B3993" t="s">
        <v>18</v>
      </c>
      <c r="C3993" t="s">
        <v>55</v>
      </c>
      <c r="D3993" t="s">
        <v>128</v>
      </c>
      <c r="E3993" t="s">
        <v>1360</v>
      </c>
      <c r="F3993" t="s">
        <v>22</v>
      </c>
      <c r="G3993" t="s">
        <v>23</v>
      </c>
      <c r="H3993" t="s">
        <v>1763</v>
      </c>
      <c r="I3993" t="s">
        <v>25</v>
      </c>
      <c r="J3993" s="2">
        <v>45714.81050925926</v>
      </c>
      <c r="K3993">
        <v>26</v>
      </c>
      <c r="L3993">
        <v>2</v>
      </c>
      <c r="M3993">
        <v>2025</v>
      </c>
      <c r="N3993" t="s">
        <v>44</v>
      </c>
      <c r="O3993">
        <v>40</v>
      </c>
      <c r="P3993">
        <v>40</v>
      </c>
      <c r="R3993" s="3" t="str">
        <f>HYPERLINK("https://panda.att.com.mx/ODKServer/view/binaryData?blobKey=FSSuministroFluidosv3%5B%40version%3Dnull+and+%40uiVersion%3Dnull%5D%2Fdata%5B%40key%3Duuid%3Aeec0e410-10b0-4ff3-b6b3-0d4bc982103c%5D%2FgroupInfoFuel%5B%40ordinal%3D1%5D%2FpicFuelRecibeInterno","Descargar")</f>
        <v>Descargar</v>
      </c>
    </row>
    <row r="3994" spans="1:18" x14ac:dyDescent="0.3">
      <c r="A3994">
        <v>1489163</v>
      </c>
      <c r="B3994" t="s">
        <v>18</v>
      </c>
      <c r="C3994" t="s">
        <v>167</v>
      </c>
      <c r="D3994" t="s">
        <v>168</v>
      </c>
      <c r="E3994" t="s">
        <v>266</v>
      </c>
      <c r="F3994" t="s">
        <v>22</v>
      </c>
      <c r="G3994" t="s">
        <v>83</v>
      </c>
      <c r="H3994" t="s">
        <v>58</v>
      </c>
      <c r="I3994" t="s">
        <v>25</v>
      </c>
      <c r="J3994" s="2">
        <v>45714.768125000002</v>
      </c>
      <c r="K3994">
        <v>26</v>
      </c>
      <c r="L3994">
        <v>2</v>
      </c>
      <c r="M3994">
        <v>2025</v>
      </c>
      <c r="N3994" t="s">
        <v>27</v>
      </c>
      <c r="O3994">
        <v>450</v>
      </c>
      <c r="P3994">
        <v>450</v>
      </c>
      <c r="R3994" s="3" t="str">
        <f>HYPERLINK("https://panda.att.com.mx/ODKServer/view/binaryData?blobKey=FSSuministroFluidosv3%5B%40version%3Dnull+and+%40uiVersion%3Dnull%5D%2Fdata%5B%40key%3Duuid%3A66b630e2-bda0-4101-93b0-6e3f95b982ce%5D%2FgroupInfoFuel%5B%40ordinal%3D1%5D%2FpicFuelRecibeInterno","Descargar")</f>
        <v>Descargar</v>
      </c>
    </row>
    <row r="3995" spans="1:18" x14ac:dyDescent="0.3">
      <c r="A3995">
        <v>1489090</v>
      </c>
      <c r="B3995" t="s">
        <v>18</v>
      </c>
      <c r="C3995" t="s">
        <v>100</v>
      </c>
      <c r="D3995" t="s">
        <v>651</v>
      </c>
      <c r="E3995" t="s">
        <v>1833</v>
      </c>
      <c r="F3995" t="s">
        <v>22</v>
      </c>
      <c r="G3995" t="s">
        <v>83</v>
      </c>
      <c r="H3995" t="s">
        <v>1781</v>
      </c>
      <c r="I3995" t="s">
        <v>25</v>
      </c>
      <c r="J3995" s="2">
        <v>45703.578530092593</v>
      </c>
      <c r="K3995">
        <v>15</v>
      </c>
      <c r="L3995">
        <v>2</v>
      </c>
      <c r="M3995">
        <v>2025</v>
      </c>
      <c r="N3995" t="s">
        <v>27</v>
      </c>
      <c r="O3995">
        <v>82</v>
      </c>
      <c r="P3995">
        <v>82</v>
      </c>
      <c r="R3995" s="3" t="str">
        <f>HYPERLINK("https://panda.att.com.mx/ODKServer/view/binaryData?blobKey=FSSuministroFluidosv3%5B%40version%3Dnull+and+%40uiVersion%3Dnull%5D%2Fdata%5B%40key%3Duuid%3A0f213a9a-88d6-4ff6-9250-e7446346fc1e%5D%2FgroupInfoFuel%5B%40ordinal%3D1%5D%2FpicFuelRecibeInterno","Descargar")</f>
        <v>Descargar</v>
      </c>
    </row>
    <row r="3996" spans="1:18" x14ac:dyDescent="0.3">
      <c r="A3996">
        <v>1489039</v>
      </c>
      <c r="B3996" t="s">
        <v>18</v>
      </c>
      <c r="C3996" t="s">
        <v>19</v>
      </c>
      <c r="D3996" t="s">
        <v>42</v>
      </c>
      <c r="E3996" t="s">
        <v>2682</v>
      </c>
      <c r="F3996" t="s">
        <v>22</v>
      </c>
      <c r="G3996" t="s">
        <v>23</v>
      </c>
      <c r="H3996" t="s">
        <v>24</v>
      </c>
      <c r="I3996" t="s">
        <v>25</v>
      </c>
      <c r="J3996" s="2">
        <v>45714.334247685183</v>
      </c>
      <c r="K3996">
        <v>26</v>
      </c>
      <c r="L3996">
        <v>2</v>
      </c>
      <c r="M3996">
        <v>2025</v>
      </c>
      <c r="N3996" t="s">
        <v>44</v>
      </c>
      <c r="O3996">
        <v>45</v>
      </c>
      <c r="P3996">
        <v>45</v>
      </c>
      <c r="R3996" s="3" t="str">
        <f>HYPERLINK("https://panda.att.com.mx/ODKServer/view/binaryData?blobKey=FSSuministroFluidosv3%5B%40version%3Dnull+and+%40uiVersion%3Dnull%5D%2Fdata%5B%40key%3Duuid%3Af2b03e2d-7e6d-4e08-814c-d76cee39d594%5D%2FgroupInfoFuel%5B%40ordinal%3D1%5D%2FpicFuelRecibeInterno","Descargar")</f>
        <v>Descargar</v>
      </c>
    </row>
    <row r="3997" spans="1:18" x14ac:dyDescent="0.3">
      <c r="A3997">
        <v>1489007</v>
      </c>
      <c r="B3997" t="s">
        <v>18</v>
      </c>
      <c r="C3997" t="s">
        <v>100</v>
      </c>
      <c r="D3997" t="s">
        <v>101</v>
      </c>
      <c r="E3997" t="s">
        <v>126</v>
      </c>
      <c r="F3997" t="s">
        <v>22</v>
      </c>
      <c r="G3997" t="s">
        <v>23</v>
      </c>
      <c r="H3997" t="s">
        <v>1781</v>
      </c>
      <c r="I3997" t="s">
        <v>25</v>
      </c>
      <c r="J3997" s="2">
        <v>45714.679930555547</v>
      </c>
      <c r="K3997">
        <v>26</v>
      </c>
      <c r="L3997">
        <v>2</v>
      </c>
      <c r="M3997">
        <v>2025</v>
      </c>
      <c r="N3997" t="s">
        <v>27</v>
      </c>
      <c r="O3997">
        <v>300</v>
      </c>
      <c r="P3997">
        <v>300</v>
      </c>
      <c r="R3997" s="3" t="str">
        <f>HYPERLINK("https://panda.att.com.mx/ODKServer/view/binaryData?blobKey=FSSuministroFluidosv3%5B%40version%3Dnull+and+%40uiVersion%3Dnull%5D%2Fdata%5B%40key%3Duuid%3Aff2ba7e0-8f0a-485e-bb25-784db54e1ad5%5D%2FgroupInfoFuel%5B%40ordinal%3D1%5D%2FpicFuelRecibeInterno","Descargar")</f>
        <v>Descargar</v>
      </c>
    </row>
    <row r="3998" spans="1:18" x14ac:dyDescent="0.3">
      <c r="A3998">
        <v>1488993</v>
      </c>
      <c r="B3998" t="s">
        <v>18</v>
      </c>
      <c r="C3998" t="s">
        <v>55</v>
      </c>
      <c r="D3998" t="s">
        <v>56</v>
      </c>
      <c r="E3998" t="s">
        <v>624</v>
      </c>
      <c r="F3998" t="s">
        <v>22</v>
      </c>
      <c r="G3998" t="s">
        <v>23</v>
      </c>
      <c r="H3998" t="s">
        <v>1781</v>
      </c>
      <c r="I3998" t="s">
        <v>25</v>
      </c>
      <c r="J3998" s="2">
        <v>45714.664907407408</v>
      </c>
      <c r="K3998">
        <v>26</v>
      </c>
      <c r="L3998">
        <v>2</v>
      </c>
      <c r="M3998">
        <v>2025</v>
      </c>
      <c r="N3998" t="s">
        <v>27</v>
      </c>
      <c r="O3998">
        <v>101</v>
      </c>
      <c r="P3998">
        <v>101</v>
      </c>
      <c r="R3998" s="3" t="str">
        <f>HYPERLINK("https://panda.att.com.mx/ODKServer/view/binaryData?blobKey=FSSuministroFluidosv3%5B%40version%3Dnull+and+%40uiVersion%3Dnull%5D%2Fdata%5B%40key%3Duuid%3Ae119c12e-8f0e-45b7-a8d5-a4971fdc2d53%5D%2FgroupInfoFuel%5B%40ordinal%3D1%5D%2FpicFuelRecibeInterno","Descargar")</f>
        <v>Descargar</v>
      </c>
    </row>
    <row r="3999" spans="1:18" x14ac:dyDescent="0.3">
      <c r="A3999">
        <v>1488923</v>
      </c>
      <c r="B3999" t="s">
        <v>18</v>
      </c>
      <c r="C3999" t="s">
        <v>55</v>
      </c>
      <c r="D3999" t="s">
        <v>56</v>
      </c>
      <c r="E3999" t="s">
        <v>3031</v>
      </c>
      <c r="F3999" t="s">
        <v>22</v>
      </c>
      <c r="G3999" t="s">
        <v>23</v>
      </c>
      <c r="H3999" t="s">
        <v>1763</v>
      </c>
      <c r="I3999" t="s">
        <v>25</v>
      </c>
      <c r="J3999" s="2">
        <v>45711.405057870368</v>
      </c>
      <c r="K3999">
        <v>23</v>
      </c>
      <c r="L3999">
        <v>2</v>
      </c>
      <c r="M3999">
        <v>2025</v>
      </c>
      <c r="N3999" t="s">
        <v>27</v>
      </c>
      <c r="O3999">
        <v>100</v>
      </c>
      <c r="P3999">
        <v>100</v>
      </c>
      <c r="R3999" s="3" t="str">
        <f>HYPERLINK("https://panda.att.com.mx/ODKServer/view/binaryData?blobKey=FSSuministroFluidosv3%5B%40version%3Dnull+and+%40uiVersion%3Dnull%5D%2Fdata%5B%40key%3Duuid%3A9e2f7264-d78d-493c-94eb-f5bf85ee1fd9%5D%2FgroupInfoFuel%5B%40ordinal%3D1%5D%2FpicFuelRecibeInterno","Descargar")</f>
        <v>Descargar</v>
      </c>
    </row>
    <row r="4000" spans="1:18" x14ac:dyDescent="0.3">
      <c r="A4000">
        <v>1488918</v>
      </c>
      <c r="B4000" t="s">
        <v>18</v>
      </c>
      <c r="C4000" t="s">
        <v>55</v>
      </c>
      <c r="D4000" t="s">
        <v>56</v>
      </c>
      <c r="E4000" t="s">
        <v>1555</v>
      </c>
      <c r="F4000" t="s">
        <v>22</v>
      </c>
      <c r="G4000" t="s">
        <v>83</v>
      </c>
      <c r="H4000" t="s">
        <v>1781</v>
      </c>
      <c r="I4000" t="s">
        <v>25</v>
      </c>
      <c r="J4000" s="2">
        <v>45714.602083333331</v>
      </c>
      <c r="K4000">
        <v>26</v>
      </c>
      <c r="L4000">
        <v>2</v>
      </c>
      <c r="M4000">
        <v>2025</v>
      </c>
      <c r="N4000" t="s">
        <v>27</v>
      </c>
      <c r="O4000">
        <v>300</v>
      </c>
      <c r="P4000">
        <v>300</v>
      </c>
      <c r="R4000" s="3" t="str">
        <f>HYPERLINK("https://panda.att.com.mx/ODKServer/view/binaryData?blobKey=FSSuministroFluidosv3%5B%40version%3Dnull+and+%40uiVersion%3Dnull%5D%2Fdata%5B%40key%3Duuid%3A818f3bb9-b59c-4591-a562-36662b5b67c8%5D%2FgroupInfoFuel%5B%40ordinal%3D1%5D%2FpicFuelRecibeInterno","Descargar")</f>
        <v>Descargar</v>
      </c>
    </row>
    <row r="4001" spans="1:18" x14ac:dyDescent="0.3">
      <c r="A4001">
        <v>1488821</v>
      </c>
      <c r="B4001" t="s">
        <v>18</v>
      </c>
      <c r="C4001" t="s">
        <v>167</v>
      </c>
      <c r="D4001" t="s">
        <v>168</v>
      </c>
      <c r="E4001" t="s">
        <v>169</v>
      </c>
      <c r="F4001" t="s">
        <v>22</v>
      </c>
      <c r="G4001" t="s">
        <v>83</v>
      </c>
      <c r="H4001" t="s">
        <v>58</v>
      </c>
      <c r="I4001" t="s">
        <v>25</v>
      </c>
      <c r="J4001" s="2">
        <v>45714.531666666669</v>
      </c>
      <c r="K4001">
        <v>26</v>
      </c>
      <c r="L4001">
        <v>2</v>
      </c>
      <c r="M4001">
        <v>2025</v>
      </c>
      <c r="N4001" t="s">
        <v>27</v>
      </c>
      <c r="O4001">
        <v>450</v>
      </c>
      <c r="P4001">
        <v>450</v>
      </c>
      <c r="R4001" s="3" t="str">
        <f>HYPERLINK("https://panda.att.com.mx/ODKServer/view/binaryData?blobKey=FSSuministroFluidosv3%5B%40version%3Dnull+and+%40uiVersion%3Dnull%5D%2Fdata%5B%40key%3Duuid%3A80b841b5-722c-4982-9019-e78e9bc46788%5D%2FgroupInfoFuel%5B%40ordinal%3D1%5D%2FpicFuelRecibeInterno","Descargar")</f>
        <v>Descargar</v>
      </c>
    </row>
    <row r="4002" spans="1:18" x14ac:dyDescent="0.3">
      <c r="A4002">
        <v>1488723</v>
      </c>
      <c r="B4002" t="s">
        <v>18</v>
      </c>
      <c r="C4002" t="s">
        <v>55</v>
      </c>
      <c r="D4002" t="s">
        <v>56</v>
      </c>
      <c r="E4002" t="s">
        <v>3048</v>
      </c>
      <c r="F4002" t="s">
        <v>22</v>
      </c>
      <c r="G4002" t="s">
        <v>23</v>
      </c>
      <c r="H4002" t="s">
        <v>1763</v>
      </c>
      <c r="I4002" t="s">
        <v>25</v>
      </c>
      <c r="J4002" s="2">
        <v>45702.49322916667</v>
      </c>
      <c r="K4002">
        <v>14</v>
      </c>
      <c r="L4002">
        <v>2</v>
      </c>
      <c r="M4002">
        <v>2025</v>
      </c>
      <c r="N4002" t="s">
        <v>27</v>
      </c>
      <c r="O4002">
        <v>140</v>
      </c>
      <c r="P4002">
        <v>140</v>
      </c>
      <c r="R4002" s="3" t="str">
        <f>HYPERLINK("https://panda.att.com.mx/ODKServer/view/binaryData?blobKey=FSSuministroFluidosv3%5B%40version%3Dnull+and+%40uiVersion%3Dnull%5D%2Fdata%5B%40key%3Duuid%3A20b11edb-1fd7-4809-b196-ac2725e9d521%5D%2FgroupInfoFuel%5B%40ordinal%3D1%5D%2FpicFuelRecibeInterno","Descargar")</f>
        <v>Descargar</v>
      </c>
    </row>
    <row r="4003" spans="1:18" x14ac:dyDescent="0.3">
      <c r="A4003">
        <v>1488717</v>
      </c>
      <c r="B4003" t="s">
        <v>18</v>
      </c>
      <c r="C4003" t="s">
        <v>55</v>
      </c>
      <c r="D4003" t="s">
        <v>56</v>
      </c>
      <c r="E4003" t="s">
        <v>3023</v>
      </c>
      <c r="F4003" t="s">
        <v>22</v>
      </c>
      <c r="G4003" t="s">
        <v>23</v>
      </c>
      <c r="H4003" t="s">
        <v>1763</v>
      </c>
      <c r="I4003" t="s">
        <v>25</v>
      </c>
      <c r="J4003" s="2">
        <v>45705.728113425917</v>
      </c>
      <c r="K4003">
        <v>17</v>
      </c>
      <c r="L4003">
        <v>2</v>
      </c>
      <c r="M4003">
        <v>2025</v>
      </c>
      <c r="N4003" t="s">
        <v>27</v>
      </c>
      <c r="O4003">
        <v>100</v>
      </c>
      <c r="P4003">
        <v>100</v>
      </c>
      <c r="R4003" s="3" t="str">
        <f>HYPERLINK("https://panda.att.com.mx/ODKServer/view/binaryData?blobKey=FSSuministroFluidosv3%5B%40version%3Dnull+and+%40uiVersion%3Dnull%5D%2Fdata%5B%40key%3Duuid%3A10c3c6de-3974-45a0-8631-5df6e394a9c7%5D%2FgroupInfoFuel%5B%40ordinal%3D1%5D%2FpicFuelRecibeInterno","Descargar")</f>
        <v>Descargar</v>
      </c>
    </row>
    <row r="4004" spans="1:18" x14ac:dyDescent="0.3">
      <c r="A4004">
        <v>1488686</v>
      </c>
      <c r="B4004" t="s">
        <v>18</v>
      </c>
      <c r="C4004" t="s">
        <v>150</v>
      </c>
      <c r="D4004" t="s">
        <v>230</v>
      </c>
      <c r="E4004" t="s">
        <v>399</v>
      </c>
      <c r="F4004" t="s">
        <v>22</v>
      </c>
      <c r="G4004" t="s">
        <v>23</v>
      </c>
      <c r="H4004" t="s">
        <v>1781</v>
      </c>
      <c r="I4004" t="s">
        <v>25</v>
      </c>
      <c r="J4004" s="2">
        <v>45714.371886574067</v>
      </c>
      <c r="K4004">
        <v>26</v>
      </c>
      <c r="L4004">
        <v>2</v>
      </c>
      <c r="M4004">
        <v>2025</v>
      </c>
      <c r="N4004" t="s">
        <v>27</v>
      </c>
      <c r="O4004">
        <v>300</v>
      </c>
      <c r="P4004">
        <v>300</v>
      </c>
      <c r="R4004" s="3" t="str">
        <f>HYPERLINK("https://panda.att.com.mx/ODKServer/view/binaryData?blobKey=FSSuministroFluidosv3%5B%40version%3Dnull+and+%40uiVersion%3Dnull%5D%2Fdata%5B%40key%3Duuid%3Acc25ec73-4708-483a-98d3-04c4047a14f2%5D%2FgroupInfoFuel%5B%40ordinal%3D1%5D%2FpicFuelRecibeInterno","Descargar")</f>
        <v>Descargar</v>
      </c>
    </row>
    <row r="4005" spans="1:18" x14ac:dyDescent="0.3">
      <c r="A4005">
        <v>1488680</v>
      </c>
      <c r="B4005" t="s">
        <v>18</v>
      </c>
      <c r="C4005" t="s">
        <v>55</v>
      </c>
      <c r="D4005" t="s">
        <v>56</v>
      </c>
      <c r="E4005" t="s">
        <v>3023</v>
      </c>
      <c r="F4005" t="s">
        <v>22</v>
      </c>
      <c r="G4005" t="s">
        <v>23</v>
      </c>
      <c r="H4005" t="s">
        <v>1763</v>
      </c>
      <c r="I4005" t="s">
        <v>25</v>
      </c>
      <c r="J4005" s="2">
        <v>45698.535185185188</v>
      </c>
      <c r="K4005">
        <v>10</v>
      </c>
      <c r="L4005">
        <v>2</v>
      </c>
      <c r="M4005">
        <v>2025</v>
      </c>
      <c r="N4005" t="s">
        <v>27</v>
      </c>
      <c r="O4005">
        <v>140</v>
      </c>
      <c r="P4005">
        <v>140</v>
      </c>
      <c r="R4005" s="3" t="str">
        <f>HYPERLINK("https://panda.att.com.mx/ODKServer/view/binaryData?blobKey=FSSuministroFluidosv3%5B%40version%3Dnull+and+%40uiVersion%3Dnull%5D%2Fdata%5B%40key%3Duuid%3A9c6999bd-5006-46a3-b4b4-85d04b24dfea%5D%2FgroupInfoFuel%5B%40ordinal%3D1%5D%2FpicFuelRecibeInterno","Descargar")</f>
        <v>Descargar</v>
      </c>
    </row>
    <row r="4006" spans="1:18" x14ac:dyDescent="0.3">
      <c r="A4006">
        <v>1488675</v>
      </c>
      <c r="B4006" t="s">
        <v>18</v>
      </c>
      <c r="C4006" t="s">
        <v>55</v>
      </c>
      <c r="D4006" t="s">
        <v>89</v>
      </c>
      <c r="E4006" t="s">
        <v>1532</v>
      </c>
      <c r="F4006" t="s">
        <v>22</v>
      </c>
      <c r="G4006" t="s">
        <v>23</v>
      </c>
      <c r="H4006" t="s">
        <v>1763</v>
      </c>
      <c r="I4006" t="s">
        <v>25</v>
      </c>
      <c r="J4006" s="2">
        <v>45714.368125000001</v>
      </c>
      <c r="K4006">
        <v>26</v>
      </c>
      <c r="L4006">
        <v>2</v>
      </c>
      <c r="M4006">
        <v>2025</v>
      </c>
      <c r="N4006" t="s">
        <v>27</v>
      </c>
      <c r="O4006">
        <v>200</v>
      </c>
      <c r="P4006">
        <v>200</v>
      </c>
      <c r="R4006" s="3" t="str">
        <f>HYPERLINK("https://panda.att.com.mx/ODKServer/view/binaryData?blobKey=FSSuministroFluidosv3%5B%40version%3Dnull+and+%40uiVersion%3Dnull%5D%2Fdata%5B%40key%3Duuid%3A9fd773bf-4a64-415d-bf9f-6b9bcc39eb87%5D%2FgroupInfoFuel%5B%40ordinal%3D1%5D%2FpicFuelRecibeInterno","Descargar")</f>
        <v>Descargar</v>
      </c>
    </row>
    <row r="4007" spans="1:18" x14ac:dyDescent="0.3">
      <c r="A4007">
        <v>1488633</v>
      </c>
      <c r="B4007" t="s">
        <v>18</v>
      </c>
      <c r="C4007" t="s">
        <v>59</v>
      </c>
      <c r="D4007" t="s">
        <v>60</v>
      </c>
      <c r="E4007" t="s">
        <v>2207</v>
      </c>
      <c r="F4007" t="s">
        <v>22</v>
      </c>
      <c r="G4007" t="s">
        <v>23</v>
      </c>
      <c r="H4007" t="s">
        <v>37</v>
      </c>
      <c r="I4007" t="s">
        <v>25</v>
      </c>
      <c r="J4007" s="2">
        <v>45713.440023148149</v>
      </c>
      <c r="K4007">
        <v>25</v>
      </c>
      <c r="L4007">
        <v>2</v>
      </c>
      <c r="M4007">
        <v>2025</v>
      </c>
      <c r="N4007" t="s">
        <v>27</v>
      </c>
      <c r="O4007">
        <v>140</v>
      </c>
      <c r="P4007">
        <v>140</v>
      </c>
      <c r="R4007" s="3" t="str">
        <f>HYPERLINK("https://panda.att.com.mx/ODKServer/view/binaryData?blobKey=FSSuministroFluidosv3%5B%40version%3Dnull+and+%40uiVersion%3Dnull%5D%2Fdata%5B%40key%3Duuid%3A6391a0b7-bccd-47b3-b50e-49363388e46f%5D%2FgroupInfoFuel%5B%40ordinal%3D1%5D%2FpicFuelRecibeInterno","Descargar")</f>
        <v>Descargar</v>
      </c>
    </row>
    <row r="4008" spans="1:18" x14ac:dyDescent="0.3">
      <c r="A4008">
        <v>1488585</v>
      </c>
      <c r="B4008" t="s">
        <v>18</v>
      </c>
      <c r="C4008" t="s">
        <v>55</v>
      </c>
      <c r="D4008" t="s">
        <v>56</v>
      </c>
      <c r="E4008" t="s">
        <v>3031</v>
      </c>
      <c r="F4008" t="s">
        <v>22</v>
      </c>
      <c r="G4008" t="s">
        <v>23</v>
      </c>
      <c r="H4008" t="s">
        <v>1763</v>
      </c>
      <c r="I4008" t="s">
        <v>25</v>
      </c>
      <c r="J4008" s="2">
        <v>45708.711840277778</v>
      </c>
      <c r="K4008">
        <v>20</v>
      </c>
      <c r="L4008">
        <v>2</v>
      </c>
      <c r="M4008">
        <v>2025</v>
      </c>
      <c r="N4008" t="s">
        <v>27</v>
      </c>
      <c r="O4008">
        <v>100</v>
      </c>
      <c r="P4008">
        <v>100</v>
      </c>
      <c r="R4008" s="3" t="str">
        <f>HYPERLINK("https://panda.att.com.mx/ODKServer/view/binaryData?blobKey=FSSuministroFluidosv3%5B%40version%3Dnull+and+%40uiVersion%3Dnull%5D%2Fdata%5B%40key%3Duuid%3Aa90159fb-d7e9-4bda-9354-798f6ac38301%5D%2FgroupInfoFuel%5B%40ordinal%3D1%5D%2FpicFuelRecibeInterno","Descargar")</f>
        <v>Descargar</v>
      </c>
    </row>
    <row r="4009" spans="1:18" x14ac:dyDescent="0.3">
      <c r="A4009">
        <v>1488528</v>
      </c>
      <c r="B4009" t="s">
        <v>18</v>
      </c>
      <c r="C4009" t="s">
        <v>59</v>
      </c>
      <c r="D4009" t="s">
        <v>487</v>
      </c>
      <c r="E4009" t="s">
        <v>488</v>
      </c>
      <c r="F4009" t="s">
        <v>22</v>
      </c>
      <c r="G4009" t="s">
        <v>23</v>
      </c>
      <c r="H4009" t="s">
        <v>37</v>
      </c>
      <c r="I4009" t="s">
        <v>25</v>
      </c>
      <c r="J4009" s="2">
        <v>45712.804351851853</v>
      </c>
      <c r="K4009">
        <v>24</v>
      </c>
      <c r="L4009">
        <v>2</v>
      </c>
      <c r="M4009">
        <v>2025</v>
      </c>
      <c r="N4009" t="s">
        <v>27</v>
      </c>
      <c r="O4009">
        <v>400</v>
      </c>
      <c r="Q4009">
        <v>400</v>
      </c>
      <c r="R4009" s="3" t="str">
        <f>HYPERLINK("https://panda.att.com.mx/ODKServer/view/binaryData?blobKey=FSSuministroFluidosv3%5B%40version%3Dnull+and+%40uiVersion%3Dnull%5D%2Fdata%5B%40key%3Duuid%3A64c47366-eef4-4083-ad25-31eb85a74897%5D%2FgroupInfoFuel%5B%40ordinal%3D1%5D%2FpicFuelRecibeInterno","Descargar")</f>
        <v>Descargar</v>
      </c>
    </row>
    <row r="4010" spans="1:18" x14ac:dyDescent="0.3">
      <c r="A4010">
        <v>1488468</v>
      </c>
      <c r="B4010" t="s">
        <v>18</v>
      </c>
      <c r="C4010" t="s">
        <v>19</v>
      </c>
      <c r="D4010" t="s">
        <v>45</v>
      </c>
      <c r="E4010" t="s">
        <v>1636</v>
      </c>
      <c r="F4010" t="s">
        <v>22</v>
      </c>
      <c r="G4010" t="s">
        <v>23</v>
      </c>
      <c r="H4010" t="s">
        <v>24</v>
      </c>
      <c r="I4010" t="s">
        <v>25</v>
      </c>
      <c r="J4010" s="2">
        <v>45713.810995370368</v>
      </c>
      <c r="K4010">
        <v>25</v>
      </c>
      <c r="L4010">
        <v>2</v>
      </c>
      <c r="M4010">
        <v>2025</v>
      </c>
      <c r="N4010" t="s">
        <v>27</v>
      </c>
      <c r="O4010">
        <v>300</v>
      </c>
      <c r="P4010">
        <v>300</v>
      </c>
      <c r="R4010" s="3" t="str">
        <f>HYPERLINK("https://panda.att.com.mx/ODKServer/view/binaryData?blobKey=FSSuministroFluidosv3%5B%40version%3Dnull+and+%40uiVersion%3Dnull%5D%2Fdata%5B%40key%3Duuid%3Ac00641e6-7410-4089-8ac7-9c6f640814f0%5D%2FgroupInfoFuel%5B%40ordinal%3D1%5D%2FpicFuelRecibeInterno","Descargar")</f>
        <v>Descargar</v>
      </c>
    </row>
    <row r="4011" spans="1:18" x14ac:dyDescent="0.3">
      <c r="A4011">
        <v>1488452</v>
      </c>
      <c r="B4011" t="s">
        <v>18</v>
      </c>
      <c r="C4011" t="s">
        <v>34</v>
      </c>
      <c r="D4011" t="s">
        <v>292</v>
      </c>
      <c r="E4011" t="s">
        <v>293</v>
      </c>
      <c r="F4011" t="s">
        <v>22</v>
      </c>
      <c r="G4011" t="s">
        <v>23</v>
      </c>
      <c r="H4011" t="s">
        <v>37</v>
      </c>
      <c r="I4011" t="s">
        <v>25</v>
      </c>
      <c r="J4011" s="2">
        <v>45713.761805555558</v>
      </c>
      <c r="K4011">
        <v>25</v>
      </c>
      <c r="L4011">
        <v>2</v>
      </c>
      <c r="M4011">
        <v>2025</v>
      </c>
      <c r="N4011" t="s">
        <v>27</v>
      </c>
      <c r="O4011">
        <v>650</v>
      </c>
      <c r="P4011">
        <v>650</v>
      </c>
      <c r="R4011" s="3" t="str">
        <f>HYPERLINK("https://panda.att.com.mx/ODKServer/view/binaryData?blobKey=FSSuministroFluidosv3%5B%40version%3Dnull+and+%40uiVersion%3Dnull%5D%2Fdata%5B%40key%3Duuid%3A78eedb7a-e51b-4a31-98f9-25be82c629bf%5D%2FgroupInfoFuel%5B%40ordinal%3D1%5D%2FpicFuelRecibeInterno","Descargar")</f>
        <v>Descargar</v>
      </c>
    </row>
    <row r="4012" spans="1:18" x14ac:dyDescent="0.3">
      <c r="A4012">
        <v>1488430</v>
      </c>
      <c r="B4012" t="s">
        <v>18</v>
      </c>
      <c r="C4012" t="s">
        <v>59</v>
      </c>
      <c r="D4012" t="s">
        <v>2112</v>
      </c>
      <c r="E4012" t="s">
        <v>2136</v>
      </c>
      <c r="F4012" t="s">
        <v>22</v>
      </c>
      <c r="G4012" t="s">
        <v>23</v>
      </c>
      <c r="H4012" t="s">
        <v>37</v>
      </c>
      <c r="I4012" t="s">
        <v>25</v>
      </c>
      <c r="J4012" s="2">
        <v>45713.653252314813</v>
      </c>
      <c r="K4012">
        <v>25</v>
      </c>
      <c r="L4012">
        <v>2</v>
      </c>
      <c r="M4012">
        <v>2025</v>
      </c>
      <c r="N4012" t="s">
        <v>27</v>
      </c>
      <c r="O4012">
        <v>150</v>
      </c>
      <c r="P4012">
        <v>150</v>
      </c>
      <c r="R4012" s="3" t="str">
        <f>HYPERLINK("https://panda.att.com.mx/ODKServer/view/binaryData?blobKey=FSSuministroFluidosv3%5B%40version%3Dnull+and+%40uiVersion%3Dnull%5D%2Fdata%5B%40key%3Duuid%3A4342c8d9-4ba6-4641-9a98-ba74967ac223%5D%2FgroupInfoFuel%5B%40ordinal%3D1%5D%2FpicFuelRecibeInterno","Descargar")</f>
        <v>Descargar</v>
      </c>
    </row>
    <row r="4013" spans="1:18" x14ac:dyDescent="0.3">
      <c r="A4013">
        <v>1488421</v>
      </c>
      <c r="B4013" t="s">
        <v>18</v>
      </c>
      <c r="C4013" t="s">
        <v>59</v>
      </c>
      <c r="D4013" t="s">
        <v>446</v>
      </c>
      <c r="E4013" t="s">
        <v>3049</v>
      </c>
      <c r="F4013" t="s">
        <v>22</v>
      </c>
      <c r="G4013" t="s">
        <v>23</v>
      </c>
      <c r="H4013" t="s">
        <v>37</v>
      </c>
      <c r="I4013" t="s">
        <v>25</v>
      </c>
      <c r="J4013" s="2">
        <v>45713.582835648151</v>
      </c>
      <c r="K4013">
        <v>25</v>
      </c>
      <c r="L4013">
        <v>2</v>
      </c>
      <c r="M4013">
        <v>2025</v>
      </c>
      <c r="N4013" t="s">
        <v>27</v>
      </c>
      <c r="O4013">
        <v>150</v>
      </c>
      <c r="P4013">
        <v>150</v>
      </c>
      <c r="R4013" s="3" t="str">
        <f>HYPERLINK("https://panda.att.com.mx/ODKServer/view/binaryData?blobKey=FSSuministroFluidosv3%5B%40version%3Dnull+and+%40uiVersion%3Dnull%5D%2Fdata%5B%40key%3Duuid%3A1b284ed9-2c55-4753-839d-c3513d7d4f1a%5D%2FgroupInfoFuel%5B%40ordinal%3D1%5D%2FpicFuelRecibeInterno","Descargar")</f>
        <v>Descargar</v>
      </c>
    </row>
    <row r="4014" spans="1:18" x14ac:dyDescent="0.3">
      <c r="A4014">
        <v>1488406</v>
      </c>
      <c r="B4014" t="s">
        <v>18</v>
      </c>
      <c r="C4014" t="s">
        <v>55</v>
      </c>
      <c r="D4014" t="s">
        <v>288</v>
      </c>
      <c r="E4014" t="s">
        <v>1537</v>
      </c>
      <c r="F4014" t="s">
        <v>22</v>
      </c>
      <c r="G4014" t="s">
        <v>23</v>
      </c>
      <c r="H4014" t="s">
        <v>1763</v>
      </c>
      <c r="I4014" t="s">
        <v>25</v>
      </c>
      <c r="J4014" s="2">
        <v>45713.809687499997</v>
      </c>
      <c r="K4014">
        <v>25</v>
      </c>
      <c r="L4014">
        <v>2</v>
      </c>
      <c r="M4014">
        <v>2025</v>
      </c>
      <c r="N4014" t="s">
        <v>27</v>
      </c>
      <c r="O4014">
        <v>200</v>
      </c>
      <c r="P4014">
        <v>200</v>
      </c>
      <c r="R4014" s="3" t="str">
        <f>HYPERLINK("https://panda.att.com.mx/ODKServer/view/binaryData?blobKey=FSSuministroFluidosv3%5B%40version%3Dnull+and+%40uiVersion%3Dnull%5D%2Fdata%5B%40key%3Duuid%3Aa83afb96-f128-42fb-b952-6ef08c038142%5D%2FgroupInfoFuel%5B%40ordinal%3D1%5D%2FpicFuelRecibeInterno","Descargar")</f>
        <v>Descargar</v>
      </c>
    </row>
    <row r="4015" spans="1:18" x14ac:dyDescent="0.3">
      <c r="A4015">
        <v>1488391</v>
      </c>
      <c r="B4015" t="s">
        <v>18</v>
      </c>
      <c r="C4015" t="s">
        <v>55</v>
      </c>
      <c r="D4015" t="s">
        <v>56</v>
      </c>
      <c r="E4015" t="s">
        <v>320</v>
      </c>
      <c r="F4015" t="s">
        <v>22</v>
      </c>
      <c r="G4015" t="s">
        <v>23</v>
      </c>
      <c r="H4015" t="s">
        <v>1781</v>
      </c>
      <c r="I4015" t="s">
        <v>25</v>
      </c>
      <c r="J4015" s="2">
        <v>45713.7815625</v>
      </c>
      <c r="K4015">
        <v>25</v>
      </c>
      <c r="L4015">
        <v>2</v>
      </c>
      <c r="M4015">
        <v>2025</v>
      </c>
      <c r="N4015" t="s">
        <v>27</v>
      </c>
      <c r="O4015">
        <v>100</v>
      </c>
      <c r="P4015">
        <v>100</v>
      </c>
      <c r="R4015" s="3" t="str">
        <f>HYPERLINK("https://panda.att.com.mx/ODKServer/view/binaryData?blobKey=FSSuministroFluidosv3%5B%40version%3Dnull+and+%40uiVersion%3Dnull%5D%2Fdata%5B%40key%3Duuid%3A9c7a1a24-f999-4985-82a2-78db573ea146%5D%2FgroupInfoFuel%5B%40ordinal%3D1%5D%2FpicFuelRecibeInterno","Descargar")</f>
        <v>Descargar</v>
      </c>
    </row>
    <row r="4016" spans="1:18" x14ac:dyDescent="0.3">
      <c r="A4016">
        <v>1488372</v>
      </c>
      <c r="B4016" t="s">
        <v>18</v>
      </c>
      <c r="C4016" t="s">
        <v>55</v>
      </c>
      <c r="D4016" t="s">
        <v>56</v>
      </c>
      <c r="E4016" t="s">
        <v>2089</v>
      </c>
      <c r="F4016" t="s">
        <v>22</v>
      </c>
      <c r="G4016" t="s">
        <v>23</v>
      </c>
      <c r="H4016" t="s">
        <v>1763</v>
      </c>
      <c r="I4016" t="s">
        <v>25</v>
      </c>
      <c r="J4016" s="2">
        <v>45711.599641203713</v>
      </c>
      <c r="K4016">
        <v>23</v>
      </c>
      <c r="L4016">
        <v>2</v>
      </c>
      <c r="M4016">
        <v>2025</v>
      </c>
      <c r="N4016" t="s">
        <v>27</v>
      </c>
      <c r="O4016">
        <v>180</v>
      </c>
      <c r="P4016">
        <v>180</v>
      </c>
      <c r="R4016" s="3" t="str">
        <f>HYPERLINK("https://panda.att.com.mx/ODKServer/view/binaryData?blobKey=FSSuministroFluidosv3%5B%40version%3Dnull+and+%40uiVersion%3Dnull%5D%2Fdata%5B%40key%3Duuid%3A492a02a6-5adc-4b1d-9248-1dbabeb0ad01%5D%2FgroupInfoFuel%5B%40ordinal%3D1%5D%2FpicFuelRecibeInterno","Descargar")</f>
        <v>Descargar</v>
      </c>
    </row>
    <row r="4017" spans="1:18" x14ac:dyDescent="0.3">
      <c r="A4017">
        <v>1488359</v>
      </c>
      <c r="B4017" t="s">
        <v>18</v>
      </c>
      <c r="C4017" t="s">
        <v>55</v>
      </c>
      <c r="D4017" t="s">
        <v>56</v>
      </c>
      <c r="E4017" t="s">
        <v>3037</v>
      </c>
      <c r="F4017" t="s">
        <v>22</v>
      </c>
      <c r="G4017" t="s">
        <v>23</v>
      </c>
      <c r="H4017" t="s">
        <v>1763</v>
      </c>
      <c r="I4017" t="s">
        <v>25</v>
      </c>
      <c r="J4017" s="2">
        <v>45711.383946759262</v>
      </c>
      <c r="K4017">
        <v>23</v>
      </c>
      <c r="L4017">
        <v>2</v>
      </c>
      <c r="M4017">
        <v>2025</v>
      </c>
      <c r="N4017" t="s">
        <v>27</v>
      </c>
      <c r="O4017">
        <v>100</v>
      </c>
      <c r="P4017">
        <v>100</v>
      </c>
      <c r="R4017" s="3" t="str">
        <f>HYPERLINK("https://panda.att.com.mx/ODKServer/view/binaryData?blobKey=FSSuministroFluidosv3%5B%40version%3Dnull+and+%40uiVersion%3Dnull%5D%2Fdata%5B%40key%3Duuid%3A20c73445-7bcd-4a43-b3b7-fb64690da203%5D%2FgroupInfoFuel%5B%40ordinal%3D1%5D%2FpicFuelRecibeInterno","Descargar")</f>
        <v>Descargar</v>
      </c>
    </row>
    <row r="4018" spans="1:18" x14ac:dyDescent="0.3">
      <c r="A4018">
        <v>1488346</v>
      </c>
      <c r="B4018" t="s">
        <v>18</v>
      </c>
      <c r="C4018" t="s">
        <v>55</v>
      </c>
      <c r="D4018" t="s">
        <v>56</v>
      </c>
      <c r="E4018" t="s">
        <v>320</v>
      </c>
      <c r="F4018" t="s">
        <v>22</v>
      </c>
      <c r="G4018" t="s">
        <v>23</v>
      </c>
      <c r="H4018" t="s">
        <v>1763</v>
      </c>
      <c r="I4018" t="s">
        <v>25</v>
      </c>
      <c r="J4018" s="2">
        <v>45711.665856481479</v>
      </c>
      <c r="K4018">
        <v>23</v>
      </c>
      <c r="L4018">
        <v>2</v>
      </c>
      <c r="M4018">
        <v>2025</v>
      </c>
      <c r="N4018" t="s">
        <v>27</v>
      </c>
      <c r="O4018">
        <v>200</v>
      </c>
      <c r="P4018">
        <v>200</v>
      </c>
      <c r="R4018" s="3" t="str">
        <f>HYPERLINK("https://panda.att.com.mx/ODKServer/view/binaryData?blobKey=FSSuministroFluidosv3%5B%40version%3Dnull+and+%40uiVersion%3Dnull%5D%2Fdata%5B%40key%3Duuid%3Ab0b99c92-9d9a-453e-b356-4b7e1033e386%5D%2FgroupInfoFuel%5B%40ordinal%3D1%5D%2FpicFuelRecibeInterno","Descargar")</f>
        <v>Descargar</v>
      </c>
    </row>
    <row r="4019" spans="1:18" x14ac:dyDescent="0.3">
      <c r="A4019">
        <v>1488321</v>
      </c>
      <c r="B4019" t="s">
        <v>18</v>
      </c>
      <c r="C4019" t="s">
        <v>34</v>
      </c>
      <c r="D4019" t="s">
        <v>53</v>
      </c>
      <c r="E4019" t="s">
        <v>144</v>
      </c>
      <c r="F4019" t="s">
        <v>22</v>
      </c>
      <c r="G4019" t="s">
        <v>23</v>
      </c>
      <c r="H4019" t="s">
        <v>37</v>
      </c>
      <c r="I4019" t="s">
        <v>25</v>
      </c>
      <c r="J4019" s="2">
        <v>45713.767881944441</v>
      </c>
      <c r="K4019">
        <v>25</v>
      </c>
      <c r="L4019">
        <v>2</v>
      </c>
      <c r="M4019">
        <v>2025</v>
      </c>
      <c r="N4019" t="s">
        <v>27</v>
      </c>
      <c r="O4019">
        <v>350</v>
      </c>
      <c r="P4019">
        <v>350</v>
      </c>
      <c r="R4019" s="3" t="str">
        <f>HYPERLINK("https://panda.att.com.mx/ODKServer/view/binaryData?blobKey=FSSuministroFluidosv3%5B%40version%3Dnull+and+%40uiVersion%3Dnull%5D%2Fdata%5B%40key%3Duuid%3A1bb61509-5d67-479b-b231-4399031c8d8f%5D%2FgroupInfoFuel%5B%40ordinal%3D1%5D%2FpicFuelRecibeInterno","Descargar")</f>
        <v>Descargar</v>
      </c>
    </row>
    <row r="4020" spans="1:18" x14ac:dyDescent="0.3">
      <c r="A4020">
        <v>1488320</v>
      </c>
      <c r="B4020" t="s">
        <v>18</v>
      </c>
      <c r="C4020" t="s">
        <v>34</v>
      </c>
      <c r="D4020" t="s">
        <v>53</v>
      </c>
      <c r="E4020" t="s">
        <v>3010</v>
      </c>
      <c r="F4020" t="s">
        <v>22</v>
      </c>
      <c r="G4020" t="s">
        <v>23</v>
      </c>
      <c r="H4020" t="s">
        <v>37</v>
      </c>
      <c r="I4020" t="s">
        <v>25</v>
      </c>
      <c r="J4020" s="2">
        <v>45713.756238425929</v>
      </c>
      <c r="K4020">
        <v>25</v>
      </c>
      <c r="L4020">
        <v>2</v>
      </c>
      <c r="M4020">
        <v>2025</v>
      </c>
      <c r="N4020" t="s">
        <v>27</v>
      </c>
      <c r="O4020">
        <v>200</v>
      </c>
      <c r="P4020">
        <v>200</v>
      </c>
      <c r="R4020" s="3" t="str">
        <f>HYPERLINK("https://panda.att.com.mx/ODKServer/view/binaryData?blobKey=FSSuministroFluidosv3%5B%40version%3Dnull+and+%40uiVersion%3Dnull%5D%2Fdata%5B%40key%3Duuid%3Aa9cc72c1-90f5-41fb-be75-07cee4c1d359%5D%2FgroupInfoFuel%5B%40ordinal%3D1%5D%2FpicFuelRecibeInterno","Descargar")</f>
        <v>Descargar</v>
      </c>
    </row>
    <row r="4021" spans="1:18" x14ac:dyDescent="0.3">
      <c r="A4021">
        <v>1488281</v>
      </c>
      <c r="B4021" t="s">
        <v>18</v>
      </c>
      <c r="C4021" t="s">
        <v>100</v>
      </c>
      <c r="D4021" t="s">
        <v>651</v>
      </c>
      <c r="E4021" t="s">
        <v>1833</v>
      </c>
      <c r="F4021" t="s">
        <v>22</v>
      </c>
      <c r="G4021" t="s">
        <v>83</v>
      </c>
      <c r="H4021" t="s">
        <v>1781</v>
      </c>
      <c r="I4021" t="s">
        <v>25</v>
      </c>
      <c r="J4021" s="2">
        <v>45713.729097222233</v>
      </c>
      <c r="K4021">
        <v>25</v>
      </c>
      <c r="L4021">
        <v>2</v>
      </c>
      <c r="M4021">
        <v>2025</v>
      </c>
      <c r="N4021" t="s">
        <v>27</v>
      </c>
      <c r="O4021">
        <v>167</v>
      </c>
      <c r="P4021">
        <v>167</v>
      </c>
      <c r="R4021" s="3" t="str">
        <f>HYPERLINK("https://panda.att.com.mx/ODKServer/view/binaryData?blobKey=FSSuministroFluidosv3%5B%40version%3Dnull+and+%40uiVersion%3Dnull%5D%2Fdata%5B%40key%3Duuid%3Acc829cd6-9bca-4cdb-b96a-13c57a856748%5D%2FgroupInfoFuel%5B%40ordinal%3D1%5D%2FpicFuelRecibeInterno","Descargar")</f>
        <v>Descargar</v>
      </c>
    </row>
    <row r="4022" spans="1:18" x14ac:dyDescent="0.3">
      <c r="A4022">
        <v>1488268</v>
      </c>
      <c r="B4022" t="s">
        <v>18</v>
      </c>
      <c r="C4022" t="s">
        <v>59</v>
      </c>
      <c r="D4022" t="s">
        <v>60</v>
      </c>
      <c r="E4022" t="s">
        <v>2738</v>
      </c>
      <c r="F4022" t="s">
        <v>22</v>
      </c>
      <c r="G4022" t="s">
        <v>23</v>
      </c>
      <c r="H4022" t="s">
        <v>37</v>
      </c>
      <c r="I4022" t="s">
        <v>25</v>
      </c>
      <c r="J4022" s="2">
        <v>45713.472731481481</v>
      </c>
      <c r="K4022">
        <v>25</v>
      </c>
      <c r="L4022">
        <v>2</v>
      </c>
      <c r="M4022">
        <v>2025</v>
      </c>
      <c r="N4022" t="s">
        <v>27</v>
      </c>
      <c r="O4022">
        <v>130</v>
      </c>
      <c r="P4022">
        <v>130</v>
      </c>
      <c r="R4022" s="3" t="str">
        <f>HYPERLINK("https://panda.att.com.mx/ODKServer/view/binaryData?blobKey=FSSuministroFluidosv3%5B%40version%3Dnull+and+%40uiVersion%3Dnull%5D%2Fdata%5B%40key%3Duuid%3Aa505a2c5-f6c2-4bd2-a430-2efb0c4441e0%5D%2FgroupInfoFuel%5B%40ordinal%3D1%5D%2FpicFuelRecibeInterno","Descargar")</f>
        <v>Descargar</v>
      </c>
    </row>
    <row r="4023" spans="1:18" x14ac:dyDescent="0.3">
      <c r="A4023">
        <v>1488259</v>
      </c>
      <c r="B4023" t="s">
        <v>18</v>
      </c>
      <c r="C4023" t="s">
        <v>55</v>
      </c>
      <c r="D4023" t="s">
        <v>56</v>
      </c>
      <c r="E4023" t="s">
        <v>624</v>
      </c>
      <c r="F4023" t="s">
        <v>22</v>
      </c>
      <c r="G4023" t="s">
        <v>23</v>
      </c>
      <c r="H4023" t="s">
        <v>1781</v>
      </c>
      <c r="I4023" t="s">
        <v>25</v>
      </c>
      <c r="J4023" s="2">
        <v>45713.728819444441</v>
      </c>
      <c r="K4023">
        <v>25</v>
      </c>
      <c r="L4023">
        <v>2</v>
      </c>
      <c r="M4023">
        <v>2025</v>
      </c>
      <c r="N4023" t="s">
        <v>27</v>
      </c>
      <c r="O4023">
        <v>100</v>
      </c>
      <c r="P4023">
        <v>100</v>
      </c>
      <c r="R4023" s="3" t="str">
        <f>HYPERLINK("https://panda.att.com.mx/ODKServer/view/binaryData?blobKey=FSSuministroFluidosv3%5B%40version%3Dnull+and+%40uiVersion%3Dnull%5D%2Fdata%5B%40key%3Duuid%3Aef60dd11-1cef-4b84-9730-9c44aad34391%5D%2FgroupInfoFuel%5B%40ordinal%3D1%5D%2FpicFuelRecibeInterno","Descargar")</f>
        <v>Descargar</v>
      </c>
    </row>
    <row r="4024" spans="1:18" x14ac:dyDescent="0.3">
      <c r="A4024">
        <v>1488225</v>
      </c>
      <c r="B4024" t="s">
        <v>18</v>
      </c>
      <c r="C4024" t="s">
        <v>59</v>
      </c>
      <c r="D4024" t="s">
        <v>60</v>
      </c>
      <c r="E4024" t="s">
        <v>2738</v>
      </c>
      <c r="F4024" t="s">
        <v>22</v>
      </c>
      <c r="G4024" t="s">
        <v>23</v>
      </c>
      <c r="H4024" t="s">
        <v>37</v>
      </c>
      <c r="I4024" t="s">
        <v>25</v>
      </c>
      <c r="J4024" s="2">
        <v>45711.751319444447</v>
      </c>
      <c r="K4024">
        <v>23</v>
      </c>
      <c r="L4024">
        <v>2</v>
      </c>
      <c r="M4024">
        <v>2025</v>
      </c>
      <c r="N4024" t="s">
        <v>27</v>
      </c>
      <c r="O4024">
        <v>130</v>
      </c>
      <c r="P4024">
        <v>130</v>
      </c>
      <c r="R4024" s="3" t="str">
        <f>HYPERLINK("https://panda.att.com.mx/ODKServer/view/binaryData?blobKey=FSSuministroFluidosv3%5B%40version%3Dnull+and+%40uiVersion%3Dnull%5D%2Fdata%5B%40key%3Duuid%3Af4ee6e68-c872-4613-a65d-3a0d24925f36%5D%2FgroupInfoFuel%5B%40ordinal%3D1%5D%2FpicFuelRecibeInterno","Descargar")</f>
        <v>Descargar</v>
      </c>
    </row>
    <row r="4025" spans="1:18" x14ac:dyDescent="0.3">
      <c r="A4025">
        <v>1486716</v>
      </c>
      <c r="B4025" t="s">
        <v>18</v>
      </c>
      <c r="C4025" t="s">
        <v>19</v>
      </c>
      <c r="D4025" t="s">
        <v>189</v>
      </c>
      <c r="E4025" t="s">
        <v>3050</v>
      </c>
      <c r="F4025" t="s">
        <v>22</v>
      </c>
      <c r="G4025" t="s">
        <v>23</v>
      </c>
      <c r="H4025" t="s">
        <v>24</v>
      </c>
      <c r="I4025" t="s">
        <v>25</v>
      </c>
      <c r="J4025" s="2">
        <v>45708.375636574077</v>
      </c>
      <c r="K4025">
        <v>20</v>
      </c>
      <c r="L4025">
        <v>2</v>
      </c>
      <c r="M4025">
        <v>2025</v>
      </c>
      <c r="N4025" t="s">
        <v>27</v>
      </c>
      <c r="O4025">
        <v>300</v>
      </c>
      <c r="P4025">
        <v>300</v>
      </c>
      <c r="R4025" s="3" t="str">
        <f>HYPERLINK("https://panda.att.com.mx/ODKServer/view/binaryData?blobKey=FSSuministroFluidosv3%5B%40version%3Dnull+and+%40uiVersion%3Dnull%5D%2Fdata%5B%40key%3Duuid%3Ab976793e-c5ba-4141-ace4-d2e89a96f54d%5D%2FgroupInfoFuel%5B%40ordinal%3D1%5D%2FpicFuelRecibeInterno","Descargar")</f>
        <v>Descargar</v>
      </c>
    </row>
    <row r="4026" spans="1:18" x14ac:dyDescent="0.3">
      <c r="A4026">
        <v>1486709</v>
      </c>
      <c r="B4026" t="s">
        <v>18</v>
      </c>
      <c r="C4026" t="s">
        <v>19</v>
      </c>
      <c r="D4026" t="s">
        <v>175</v>
      </c>
      <c r="E4026" t="s">
        <v>1368</v>
      </c>
      <c r="F4026" t="s">
        <v>22</v>
      </c>
      <c r="G4026" t="s">
        <v>23</v>
      </c>
      <c r="H4026" t="s">
        <v>24</v>
      </c>
      <c r="I4026" t="s">
        <v>25</v>
      </c>
      <c r="J4026" s="2">
        <v>45708.616215277783</v>
      </c>
      <c r="K4026">
        <v>20</v>
      </c>
      <c r="L4026">
        <v>2</v>
      </c>
      <c r="M4026">
        <v>2025</v>
      </c>
      <c r="N4026" t="s">
        <v>27</v>
      </c>
      <c r="O4026">
        <v>130</v>
      </c>
      <c r="P4026">
        <v>130</v>
      </c>
      <c r="R4026" s="3" t="str">
        <f>HYPERLINK("https://panda.att.com.mx/ODKServer/view/binaryData?blobKey=FSSuministroFluidosv3%5B%40version%3Dnull+and+%40uiVersion%3Dnull%5D%2Fdata%5B%40key%3Duuid%3Aecc59e32-b2ad-40cf-8b55-5cf7228920d9%5D%2FgroupInfoFuel%5B%40ordinal%3D1%5D%2FpicFuelRecibeInterno","Descargar")</f>
        <v>Descargar</v>
      </c>
    </row>
    <row r="4027" spans="1:18" x14ac:dyDescent="0.3">
      <c r="A4027">
        <v>1486708</v>
      </c>
      <c r="B4027" t="s">
        <v>18</v>
      </c>
      <c r="C4027" t="s">
        <v>59</v>
      </c>
      <c r="D4027" t="s">
        <v>60</v>
      </c>
      <c r="E4027" t="s">
        <v>2151</v>
      </c>
      <c r="F4027" t="s">
        <v>22</v>
      </c>
      <c r="G4027" t="s">
        <v>23</v>
      </c>
      <c r="H4027" t="s">
        <v>37</v>
      </c>
      <c r="I4027" t="s">
        <v>25</v>
      </c>
      <c r="J4027" s="2">
        <v>45709.754050925927</v>
      </c>
      <c r="K4027">
        <v>21</v>
      </c>
      <c r="L4027">
        <v>2</v>
      </c>
      <c r="M4027">
        <v>2025</v>
      </c>
      <c r="N4027" t="s">
        <v>27</v>
      </c>
      <c r="O4027">
        <v>100</v>
      </c>
      <c r="P4027">
        <v>100</v>
      </c>
      <c r="R4027" s="3" t="str">
        <f>HYPERLINK("https://panda.att.com.mx/ODKServer/view/binaryData?blobKey=FSSuministroFluidosv3%5B%40version%3Dnull+and+%40uiVersion%3Dnull%5D%2Fdata%5B%40key%3Duuid%3Ac0ff0fc6-a498-411d-baab-7f59118d517e%5D%2FgroupInfoFuel%5B%40ordinal%3D1%5D%2FpicFuelRecibeInterno","Descargar")</f>
        <v>Descargar</v>
      </c>
    </row>
    <row r="4028" spans="1:18" x14ac:dyDescent="0.3">
      <c r="A4028">
        <v>1486699</v>
      </c>
      <c r="B4028" t="s">
        <v>18</v>
      </c>
      <c r="C4028" t="s">
        <v>100</v>
      </c>
      <c r="D4028" t="s">
        <v>651</v>
      </c>
      <c r="E4028" t="s">
        <v>1833</v>
      </c>
      <c r="F4028" t="s">
        <v>22</v>
      </c>
      <c r="G4028" t="s">
        <v>83</v>
      </c>
      <c r="H4028" t="s">
        <v>1781</v>
      </c>
      <c r="I4028" t="s">
        <v>25</v>
      </c>
      <c r="J4028" s="2">
        <v>45710.701863425929</v>
      </c>
      <c r="K4028">
        <v>22</v>
      </c>
      <c r="L4028">
        <v>2</v>
      </c>
      <c r="M4028">
        <v>2025</v>
      </c>
      <c r="N4028" t="s">
        <v>44</v>
      </c>
      <c r="O4028">
        <v>20</v>
      </c>
      <c r="P4028">
        <v>20</v>
      </c>
      <c r="R4028" s="3" t="str">
        <f>HYPERLINK("https://panda.att.com.mx/ODKServer/view/binaryData?blobKey=FSSuministroFluidosv3%5B%40version%3Dnull+and+%40uiVersion%3Dnull%5D%2Fdata%5B%40key%3Duuid%3A2aeef3be-cfc7-4a50-9b46-d9359132dd4e%5D%2FgroupInfoFuel%5B%40ordinal%3D1%5D%2FpicFuelRecibeInterno","Descargar")</f>
        <v>Descargar</v>
      </c>
    </row>
    <row r="4029" spans="1:18" x14ac:dyDescent="0.3">
      <c r="A4029">
        <v>1486657</v>
      </c>
      <c r="B4029" t="s">
        <v>18</v>
      </c>
      <c r="C4029" t="s">
        <v>59</v>
      </c>
      <c r="D4029" t="s">
        <v>233</v>
      </c>
      <c r="E4029" t="s">
        <v>3051</v>
      </c>
      <c r="F4029" t="s">
        <v>22</v>
      </c>
      <c r="G4029" t="s">
        <v>23</v>
      </c>
      <c r="H4029" t="s">
        <v>37</v>
      </c>
      <c r="I4029" t="s">
        <v>25</v>
      </c>
      <c r="J4029" s="2">
        <v>45710.46429398148</v>
      </c>
      <c r="K4029">
        <v>22</v>
      </c>
      <c r="L4029">
        <v>2</v>
      </c>
      <c r="M4029">
        <v>2025</v>
      </c>
      <c r="N4029" t="s">
        <v>27</v>
      </c>
      <c r="O4029">
        <v>250</v>
      </c>
      <c r="P4029">
        <v>250</v>
      </c>
      <c r="R4029" s="3" t="str">
        <f>HYPERLINK("https://panda.att.com.mx/ODKServer/view/binaryData?blobKey=FSSuministroFluidosv3%5B%40version%3Dnull+and+%40uiVersion%3Dnull%5D%2Fdata%5B%40key%3Duuid%3Aa75487fb-7a95-40b8-b0f3-6a03a6304636%5D%2FgroupInfoFuel%5B%40ordinal%3D1%5D%2FpicFuelRecibeInterno","Descargar")</f>
        <v>Descargar</v>
      </c>
    </row>
    <row r="4030" spans="1:18" x14ac:dyDescent="0.3">
      <c r="A4030">
        <v>1486636</v>
      </c>
      <c r="B4030" t="s">
        <v>18</v>
      </c>
      <c r="C4030" t="s">
        <v>55</v>
      </c>
      <c r="D4030" t="s">
        <v>56</v>
      </c>
      <c r="E4030" t="s">
        <v>3031</v>
      </c>
      <c r="F4030" t="s">
        <v>22</v>
      </c>
      <c r="G4030" t="s">
        <v>23</v>
      </c>
      <c r="H4030" t="s">
        <v>1763</v>
      </c>
      <c r="I4030" t="s">
        <v>25</v>
      </c>
      <c r="J4030" s="2">
        <v>45706.728784722232</v>
      </c>
      <c r="K4030">
        <v>18</v>
      </c>
      <c r="L4030">
        <v>2</v>
      </c>
      <c r="M4030">
        <v>2025</v>
      </c>
      <c r="N4030" t="s">
        <v>27</v>
      </c>
      <c r="O4030">
        <v>100</v>
      </c>
      <c r="P4030">
        <v>100</v>
      </c>
      <c r="R4030" s="3" t="str">
        <f>HYPERLINK("https://panda.att.com.mx/ODKServer/view/binaryData?blobKey=FSSuministroFluidosv3%5B%40version%3Dnull+and+%40uiVersion%3Dnull%5D%2Fdata%5B%40key%3Duuid%3A0742b2c8-464f-4f86-afa3-0386207cfd8f%5D%2FgroupInfoFuel%5B%40ordinal%3D1%5D%2FpicFuelRecibeInterno","Descargar")</f>
        <v>Descargar</v>
      </c>
    </row>
    <row r="4031" spans="1:18" x14ac:dyDescent="0.3">
      <c r="A4031">
        <v>1486635</v>
      </c>
      <c r="B4031" t="s">
        <v>18</v>
      </c>
      <c r="C4031" t="s">
        <v>55</v>
      </c>
      <c r="D4031" t="s">
        <v>56</v>
      </c>
      <c r="E4031" t="s">
        <v>3031</v>
      </c>
      <c r="F4031" t="s">
        <v>22</v>
      </c>
      <c r="G4031" t="s">
        <v>23</v>
      </c>
      <c r="H4031" t="s">
        <v>1763</v>
      </c>
      <c r="I4031" t="s">
        <v>25</v>
      </c>
      <c r="J4031" s="2">
        <v>45704.418449074074</v>
      </c>
      <c r="K4031">
        <v>16</v>
      </c>
      <c r="L4031">
        <v>2</v>
      </c>
      <c r="M4031">
        <v>2025</v>
      </c>
      <c r="N4031" t="s">
        <v>27</v>
      </c>
      <c r="O4031">
        <v>100</v>
      </c>
      <c r="P4031">
        <v>100</v>
      </c>
      <c r="R4031" s="3" t="str">
        <f>HYPERLINK("https://panda.att.com.mx/ODKServer/view/binaryData?blobKey=FSSuministroFluidosv3%5B%40version%3Dnull+and+%40uiVersion%3Dnull%5D%2Fdata%5B%40key%3Duuid%3A1771ef9a-897a-445c-a24c-64cbc5519769%5D%2FgroupInfoFuel%5B%40ordinal%3D1%5D%2FpicFuelRecibeInterno","Descargar")</f>
        <v>Descargar</v>
      </c>
    </row>
    <row r="4032" spans="1:18" x14ac:dyDescent="0.3">
      <c r="A4032">
        <v>1486633</v>
      </c>
      <c r="B4032" t="s">
        <v>18</v>
      </c>
      <c r="C4032" t="s">
        <v>55</v>
      </c>
      <c r="D4032" t="s">
        <v>56</v>
      </c>
      <c r="E4032" t="s">
        <v>3031</v>
      </c>
      <c r="F4032" t="s">
        <v>22</v>
      </c>
      <c r="G4032" t="s">
        <v>23</v>
      </c>
      <c r="H4032" t="s">
        <v>1763</v>
      </c>
      <c r="I4032" t="s">
        <v>25</v>
      </c>
      <c r="J4032" s="2">
        <v>45703.426249999997</v>
      </c>
      <c r="K4032">
        <v>15</v>
      </c>
      <c r="L4032">
        <v>2</v>
      </c>
      <c r="M4032">
        <v>2025</v>
      </c>
      <c r="N4032" t="s">
        <v>27</v>
      </c>
      <c r="O4032">
        <v>100</v>
      </c>
      <c r="P4032">
        <v>100</v>
      </c>
      <c r="R4032" s="3" t="str">
        <f>HYPERLINK("https://panda.att.com.mx/ODKServer/view/binaryData?blobKey=FSSuministroFluidosv3%5B%40version%3Dnull+and+%40uiVersion%3Dnull%5D%2Fdata%5B%40key%3Duuid%3A4a8a0d98-a65f-465f-b5d9-34d861b7ca35%5D%2FgroupInfoFuel%5B%40ordinal%3D1%5D%2FpicFuelRecibeInterno","Descargar")</f>
        <v>Descargar</v>
      </c>
    </row>
    <row r="4033" spans="1:18" x14ac:dyDescent="0.3">
      <c r="A4033">
        <v>1486631</v>
      </c>
      <c r="B4033" t="s">
        <v>18</v>
      </c>
      <c r="C4033" t="s">
        <v>34</v>
      </c>
      <c r="D4033" t="s">
        <v>121</v>
      </c>
      <c r="E4033" t="s">
        <v>3052</v>
      </c>
      <c r="F4033" t="s">
        <v>22</v>
      </c>
      <c r="G4033" t="s">
        <v>23</v>
      </c>
      <c r="H4033" t="s">
        <v>37</v>
      </c>
      <c r="I4033" t="s">
        <v>84</v>
      </c>
      <c r="J4033" s="2">
        <v>45709.91920138889</v>
      </c>
      <c r="K4033">
        <v>21</v>
      </c>
      <c r="L4033">
        <v>2</v>
      </c>
      <c r="M4033">
        <v>2025</v>
      </c>
      <c r="N4033" t="s">
        <v>27</v>
      </c>
      <c r="O4033">
        <v>500</v>
      </c>
      <c r="Q4033">
        <v>500</v>
      </c>
      <c r="R4033" s="3" t="str">
        <f>HYPERLINK("https://panda.att.com.mx/ODKServer/view/binaryData?blobKey=FSSuministroFluidosv3%5B%40version%3Dnull+and+%40uiVersion%3Dnull%5D%2Fdata%5B%40key%3Duuid%3A63e2816c-3cf3-47ab-bc08-9888b560f19b%5D%2FgroupInfoFuel%5B%40ordinal%3D1%5D%2FpicFuelRecibeInterno","Descargar")</f>
        <v>Descargar</v>
      </c>
    </row>
    <row r="4034" spans="1:18" x14ac:dyDescent="0.3">
      <c r="A4034">
        <v>1486624</v>
      </c>
      <c r="B4034" t="s">
        <v>18</v>
      </c>
      <c r="C4034" t="s">
        <v>34</v>
      </c>
      <c r="D4034" t="s">
        <v>53</v>
      </c>
      <c r="E4034" t="s">
        <v>1564</v>
      </c>
      <c r="F4034" t="s">
        <v>33</v>
      </c>
      <c r="G4034" t="s">
        <v>23</v>
      </c>
      <c r="H4034" t="s">
        <v>37</v>
      </c>
      <c r="I4034" t="s">
        <v>84</v>
      </c>
      <c r="J4034" s="2">
        <v>45709.871157407397</v>
      </c>
      <c r="K4034">
        <v>21</v>
      </c>
      <c r="L4034">
        <v>2</v>
      </c>
      <c r="M4034">
        <v>2025</v>
      </c>
      <c r="N4034" t="s">
        <v>27</v>
      </c>
      <c r="O4034">
        <v>300</v>
      </c>
      <c r="Q4034">
        <v>300</v>
      </c>
      <c r="R4034" s="3" t="str">
        <f>HYPERLINK("https://panda.att.com.mx/ODKServer/view/binaryData?blobKey=FSSuministroFluidosv3%5B%40version%3Dnull+and+%40uiVersion%3Dnull%5D%2Fdata%5B%40key%3Duuid%3A33b56b4a-cdc1-4053-b877-216a0721d5f5%5D%2FgroupInfoFuel%5B%40ordinal%3D1%5D%2FpicFuelRecibeInterno","Descargar")</f>
        <v>Descargar</v>
      </c>
    </row>
    <row r="4035" spans="1:18" x14ac:dyDescent="0.3">
      <c r="A4035">
        <v>1486621</v>
      </c>
      <c r="B4035" t="s">
        <v>18</v>
      </c>
      <c r="C4035" t="s">
        <v>100</v>
      </c>
      <c r="D4035" t="s">
        <v>716</v>
      </c>
      <c r="E4035" t="s">
        <v>717</v>
      </c>
      <c r="F4035" t="s">
        <v>22</v>
      </c>
      <c r="G4035" t="s">
        <v>83</v>
      </c>
      <c r="H4035" t="s">
        <v>1781</v>
      </c>
      <c r="I4035" t="s">
        <v>25</v>
      </c>
      <c r="J4035" s="2">
        <v>45710.88921296296</v>
      </c>
      <c r="K4035">
        <v>22</v>
      </c>
      <c r="L4035">
        <v>2</v>
      </c>
      <c r="M4035">
        <v>2025</v>
      </c>
      <c r="N4035" t="s">
        <v>27</v>
      </c>
      <c r="O4035">
        <v>100</v>
      </c>
      <c r="P4035">
        <v>100</v>
      </c>
      <c r="R4035" s="3" t="str">
        <f>HYPERLINK("https://panda.att.com.mx/ODKServer/view/binaryData?blobKey=FSSuministroFluidosv3%5B%40version%3Dnull+and+%40uiVersion%3Dnull%5D%2Fdata%5B%40key%3Duuid%3A235197b1-aed0-4c77-a2c6-2a8f711016e9%5D%2FgroupInfoFuel%5B%40ordinal%3D1%5D%2FpicFuelRecibeInterno","Descargar")</f>
        <v>Descargar</v>
      </c>
    </row>
    <row r="4036" spans="1:18" x14ac:dyDescent="0.3">
      <c r="A4036">
        <v>1486619</v>
      </c>
      <c r="B4036" t="s">
        <v>18</v>
      </c>
      <c r="C4036" t="s">
        <v>59</v>
      </c>
      <c r="D4036" t="s">
        <v>60</v>
      </c>
      <c r="E4036" t="s">
        <v>2207</v>
      </c>
      <c r="F4036" t="s">
        <v>22</v>
      </c>
      <c r="G4036" t="s">
        <v>23</v>
      </c>
      <c r="H4036" t="s">
        <v>37</v>
      </c>
      <c r="I4036" t="s">
        <v>25</v>
      </c>
      <c r="J4036" s="2">
        <v>45710.575879629629</v>
      </c>
      <c r="K4036">
        <v>22</v>
      </c>
      <c r="L4036">
        <v>2</v>
      </c>
      <c r="M4036">
        <v>2025</v>
      </c>
      <c r="N4036" t="s">
        <v>27</v>
      </c>
      <c r="O4036">
        <v>130</v>
      </c>
      <c r="P4036">
        <v>130</v>
      </c>
      <c r="R4036" s="3" t="str">
        <f>HYPERLINK("https://panda.att.com.mx/ODKServer/view/binaryData?blobKey=FSSuministroFluidosv3%5B%40version%3Dnull+and+%40uiVersion%3Dnull%5D%2Fdata%5B%40key%3Duuid%3Aeb78e280-f7c7-44e3-b888-abd172982594%5D%2FgroupInfoFuel%5B%40ordinal%3D1%5D%2FpicFuelRecibeInterno","Descargar")</f>
        <v>Descargar</v>
      </c>
    </row>
    <row r="4037" spans="1:18" x14ac:dyDescent="0.3">
      <c r="A4037">
        <v>1486596</v>
      </c>
      <c r="B4037" t="s">
        <v>18</v>
      </c>
      <c r="C4037" t="s">
        <v>34</v>
      </c>
      <c r="D4037" t="s">
        <v>53</v>
      </c>
      <c r="E4037" t="s">
        <v>3010</v>
      </c>
      <c r="F4037" t="s">
        <v>22</v>
      </c>
      <c r="G4037" t="s">
        <v>23</v>
      </c>
      <c r="H4037" t="s">
        <v>37</v>
      </c>
      <c r="I4037" t="s">
        <v>25</v>
      </c>
      <c r="J4037" s="2">
        <v>45710.639224537037</v>
      </c>
      <c r="K4037">
        <v>22</v>
      </c>
      <c r="L4037">
        <v>2</v>
      </c>
      <c r="M4037">
        <v>2025</v>
      </c>
      <c r="N4037" t="s">
        <v>27</v>
      </c>
      <c r="O4037">
        <v>100</v>
      </c>
      <c r="P4037">
        <v>100</v>
      </c>
      <c r="R4037" s="3" t="str">
        <f>HYPERLINK("https://panda.att.com.mx/ODKServer/view/binaryData?blobKey=FSSuministroFluidosv3%5B%40version%3Dnull+and+%40uiVersion%3Dnull%5D%2Fdata%5B%40key%3Duuid%3Ab8725ed7-2fa4-42ac-99da-d7fa8587d98e%5D%2FgroupInfoFuel%5B%40ordinal%3D1%5D%2FpicFuelRecibeInterno","Descargar")</f>
        <v>Descargar</v>
      </c>
    </row>
    <row r="4038" spans="1:18" x14ac:dyDescent="0.3">
      <c r="A4038">
        <v>1486570</v>
      </c>
      <c r="B4038" t="s">
        <v>18</v>
      </c>
      <c r="C4038" t="s">
        <v>55</v>
      </c>
      <c r="D4038" t="s">
        <v>64</v>
      </c>
      <c r="E4038" t="s">
        <v>3053</v>
      </c>
      <c r="F4038" t="s">
        <v>22</v>
      </c>
      <c r="G4038" t="s">
        <v>23</v>
      </c>
      <c r="H4038" t="s">
        <v>1763</v>
      </c>
      <c r="I4038" t="s">
        <v>25</v>
      </c>
      <c r="J4038" s="2">
        <v>45710.470509259263</v>
      </c>
      <c r="K4038">
        <v>22</v>
      </c>
      <c r="L4038">
        <v>2</v>
      </c>
      <c r="M4038">
        <v>2025</v>
      </c>
      <c r="N4038" t="s">
        <v>27</v>
      </c>
      <c r="O4038">
        <v>250</v>
      </c>
      <c r="P4038">
        <v>250</v>
      </c>
      <c r="R4038" s="3" t="str">
        <f>HYPERLINK("https://panda.att.com.mx/ODKServer/view/binaryData?blobKey=FSSuministroFluidosv3%5B%40version%3Dnull+and+%40uiVersion%3Dnull%5D%2Fdata%5B%40key%3Duuid%3A3eaccc1b-d8f3-4760-998a-d143e037ebbe%5D%2FgroupInfoFuel%5B%40ordinal%3D1%5D%2FpicFuelRecibeInterno","Descargar")</f>
        <v>Descargar</v>
      </c>
    </row>
    <row r="4039" spans="1:18" x14ac:dyDescent="0.3">
      <c r="A4039">
        <v>1486490</v>
      </c>
      <c r="B4039" t="s">
        <v>18</v>
      </c>
      <c r="C4039" t="s">
        <v>68</v>
      </c>
      <c r="D4039" t="s">
        <v>116</v>
      </c>
      <c r="E4039" t="s">
        <v>3054</v>
      </c>
      <c r="F4039" t="s">
        <v>22</v>
      </c>
      <c r="G4039" t="s">
        <v>23</v>
      </c>
      <c r="H4039" t="s">
        <v>37</v>
      </c>
      <c r="I4039" t="s">
        <v>84</v>
      </c>
      <c r="J4039" s="2">
        <v>45710.543425925927</v>
      </c>
      <c r="K4039">
        <v>22</v>
      </c>
      <c r="L4039">
        <v>2</v>
      </c>
      <c r="M4039">
        <v>2025</v>
      </c>
      <c r="N4039" t="s">
        <v>27</v>
      </c>
      <c r="O4039">
        <v>250</v>
      </c>
      <c r="P4039">
        <v>250</v>
      </c>
      <c r="R4039" s="3" t="str">
        <f>HYPERLINK("https://panda.att.com.mx/ODKServer/view/binaryData?blobKey=FSSuministroFluidosv3%5B%40version%3Dnull+and+%40uiVersion%3Dnull%5D%2Fdata%5B%40key%3Duuid%3Add5de7d9-ca66-4c75-b894-99e94e4bf816%5D%2FgroupInfoFuel%5B%40ordinal%3D1%5D%2FpicFuelRecibeInterno","Descargar")</f>
        <v>Descargar</v>
      </c>
    </row>
    <row r="4040" spans="1:18" x14ac:dyDescent="0.3">
      <c r="A4040">
        <v>1486488</v>
      </c>
      <c r="B4040" t="s">
        <v>18</v>
      </c>
      <c r="C4040" t="s">
        <v>55</v>
      </c>
      <c r="D4040" t="s">
        <v>56</v>
      </c>
      <c r="E4040" t="s">
        <v>1914</v>
      </c>
      <c r="F4040" t="s">
        <v>22</v>
      </c>
      <c r="G4040" t="s">
        <v>23</v>
      </c>
      <c r="H4040" t="s">
        <v>1763</v>
      </c>
      <c r="I4040" t="s">
        <v>25</v>
      </c>
      <c r="J4040" s="2">
        <v>45707.64947916667</v>
      </c>
      <c r="K4040">
        <v>19</v>
      </c>
      <c r="L4040">
        <v>2</v>
      </c>
      <c r="M4040">
        <v>2025</v>
      </c>
      <c r="N4040" t="s">
        <v>27</v>
      </c>
      <c r="O4040">
        <v>250</v>
      </c>
      <c r="Q4040">
        <v>250</v>
      </c>
      <c r="R4040" s="3" t="str">
        <f>HYPERLINK("https://panda.att.com.mx/ODKServer/view/binaryData?blobKey=FSSuministroFluidosv3%5B%40version%3Dnull+and+%40uiVersion%3Dnull%5D%2Fdata%5B%40key%3Duuid%3A6d0d56b8-6d04-446d-bc77-9cefdd5d7fa4%5D%2FgroupInfoFuel%5B%40ordinal%3D1%5D%2FpicFuelRecibeInterno","Descargar")</f>
        <v>Descargar</v>
      </c>
    </row>
    <row r="4041" spans="1:18" x14ac:dyDescent="0.3">
      <c r="A4041">
        <v>1486465</v>
      </c>
      <c r="B4041" t="s">
        <v>18</v>
      </c>
      <c r="C4041" t="s">
        <v>100</v>
      </c>
      <c r="D4041" t="s">
        <v>854</v>
      </c>
      <c r="E4041" t="s">
        <v>993</v>
      </c>
      <c r="F4041" t="s">
        <v>22</v>
      </c>
      <c r="G4041" t="s">
        <v>83</v>
      </c>
      <c r="H4041" t="s">
        <v>1781</v>
      </c>
      <c r="I4041" t="s">
        <v>25</v>
      </c>
      <c r="J4041" s="2">
        <v>45710.388287037043</v>
      </c>
      <c r="K4041">
        <v>22</v>
      </c>
      <c r="L4041">
        <v>2</v>
      </c>
      <c r="M4041">
        <v>2025</v>
      </c>
      <c r="N4041" t="s">
        <v>27</v>
      </c>
      <c r="O4041">
        <v>180</v>
      </c>
      <c r="P4041">
        <v>180</v>
      </c>
      <c r="R4041" s="3" t="str">
        <f>HYPERLINK("https://panda.att.com.mx/ODKServer/view/binaryData?blobKey=FSSuministroFluidosv3%5B%40version%3Dnull+and+%40uiVersion%3Dnull%5D%2Fdata%5B%40key%3Duuid%3A8f7f9f98-98e2-47fe-9681-68cf2f5a144a%5D%2FgroupInfoFuel%5B%40ordinal%3D1%5D%2FpicFuelRecibeInterno","Descargar")</f>
        <v>Descargar</v>
      </c>
    </row>
    <row r="4042" spans="1:18" x14ac:dyDescent="0.3">
      <c r="A4042">
        <v>1486463</v>
      </c>
      <c r="B4042" t="s">
        <v>18</v>
      </c>
      <c r="C4042" t="s">
        <v>150</v>
      </c>
      <c r="D4042" t="s">
        <v>230</v>
      </c>
      <c r="E4042" t="s">
        <v>399</v>
      </c>
      <c r="F4042" t="s">
        <v>22</v>
      </c>
      <c r="G4042" t="s">
        <v>23</v>
      </c>
      <c r="H4042" t="s">
        <v>1781</v>
      </c>
      <c r="I4042" t="s">
        <v>25</v>
      </c>
      <c r="J4042" s="2">
        <v>45710.498530092591</v>
      </c>
      <c r="K4042">
        <v>22</v>
      </c>
      <c r="L4042">
        <v>2</v>
      </c>
      <c r="M4042">
        <v>2025</v>
      </c>
      <c r="N4042" t="s">
        <v>27</v>
      </c>
      <c r="O4042">
        <v>300</v>
      </c>
      <c r="P4042">
        <v>300</v>
      </c>
      <c r="R4042" s="3" t="str">
        <f>HYPERLINK("https://panda.att.com.mx/ODKServer/view/binaryData?blobKey=FSSuministroFluidosv3%5B%40version%3Dnull+and+%40uiVersion%3Dnull%5D%2Fdata%5B%40key%3Duuid%3A27fd9def-13f7-49bc-b265-6de055c4ba3e%5D%2FgroupInfoFuel%5B%40ordinal%3D1%5D%2FpicFuelRecibeInterno","Descargar")</f>
        <v>Descargar</v>
      </c>
    </row>
    <row r="4043" spans="1:18" x14ac:dyDescent="0.3">
      <c r="A4043">
        <v>1486429</v>
      </c>
      <c r="B4043" t="s">
        <v>18</v>
      </c>
      <c r="C4043" t="s">
        <v>19</v>
      </c>
      <c r="D4043" t="s">
        <v>175</v>
      </c>
      <c r="E4043" t="s">
        <v>3055</v>
      </c>
      <c r="F4043" t="s">
        <v>22</v>
      </c>
      <c r="G4043" t="s">
        <v>23</v>
      </c>
      <c r="H4043" t="s">
        <v>24</v>
      </c>
      <c r="I4043" t="s">
        <v>25</v>
      </c>
      <c r="J4043" s="2">
        <v>45710.381782407407</v>
      </c>
      <c r="K4043">
        <v>22</v>
      </c>
      <c r="L4043">
        <v>2</v>
      </c>
      <c r="M4043">
        <v>2025</v>
      </c>
      <c r="N4043" t="s">
        <v>44</v>
      </c>
      <c r="O4043">
        <v>45</v>
      </c>
      <c r="P4043">
        <v>45</v>
      </c>
      <c r="R4043" s="3" t="str">
        <f>HYPERLINK("https://panda.att.com.mx/ODKServer/view/binaryData?blobKey=FSSuministroFluidosv3%5B%40version%3Dnull+and+%40uiVersion%3Dnull%5D%2Fdata%5B%40key%3Duuid%3Ade3c96e1-c237-474a-8868-041026b1c242%5D%2FgroupInfoFuel%5B%40ordinal%3D1%5D%2FpicFuelRecibeInterno","Descargar")</f>
        <v>Descargar</v>
      </c>
    </row>
    <row r="4044" spans="1:18" x14ac:dyDescent="0.3">
      <c r="A4044">
        <v>1486427</v>
      </c>
      <c r="B4044" t="s">
        <v>18</v>
      </c>
      <c r="C4044" t="s">
        <v>55</v>
      </c>
      <c r="D4044" t="s">
        <v>128</v>
      </c>
      <c r="E4044" t="s">
        <v>1360</v>
      </c>
      <c r="F4044" t="s">
        <v>22</v>
      </c>
      <c r="G4044" t="s">
        <v>23</v>
      </c>
      <c r="H4044" t="s">
        <v>1763</v>
      </c>
      <c r="I4044" t="s">
        <v>25</v>
      </c>
      <c r="J4044" s="2">
        <v>45709.698692129627</v>
      </c>
      <c r="K4044">
        <v>21</v>
      </c>
      <c r="L4044">
        <v>2</v>
      </c>
      <c r="M4044">
        <v>2025</v>
      </c>
      <c r="N4044" t="s">
        <v>44</v>
      </c>
      <c r="O4044">
        <v>30</v>
      </c>
      <c r="P4044">
        <v>30</v>
      </c>
      <c r="R4044" s="3" t="str">
        <f>HYPERLINK("https://panda.att.com.mx/ODKServer/view/binaryData?blobKey=FSSuministroFluidosv3%5B%40version%3Dnull+and+%40uiVersion%3Dnull%5D%2Fdata%5B%40key%3Duuid%3Ac627fafb-0e82-4bbc-8f6f-881514c665b5%5D%2FgroupInfoFuel%5B%40ordinal%3D1%5D%2FpicFuelRecibeInterno","Descargar")</f>
        <v>Descargar</v>
      </c>
    </row>
    <row r="4045" spans="1:18" x14ac:dyDescent="0.3">
      <c r="A4045">
        <v>1486408</v>
      </c>
      <c r="B4045" t="s">
        <v>18</v>
      </c>
      <c r="C4045" t="s">
        <v>28</v>
      </c>
      <c r="D4045" t="s">
        <v>429</v>
      </c>
      <c r="E4045" t="s">
        <v>1695</v>
      </c>
      <c r="F4045" t="s">
        <v>22</v>
      </c>
      <c r="G4045" t="s">
        <v>23</v>
      </c>
      <c r="H4045" t="s">
        <v>24</v>
      </c>
      <c r="I4045" t="s">
        <v>25</v>
      </c>
      <c r="J4045" s="2">
        <v>45709.800023148149</v>
      </c>
      <c r="K4045">
        <v>21</v>
      </c>
      <c r="L4045">
        <v>2</v>
      </c>
      <c r="M4045">
        <v>2025</v>
      </c>
      <c r="N4045" t="s">
        <v>27</v>
      </c>
      <c r="O4045">
        <v>500</v>
      </c>
      <c r="P4045">
        <v>500</v>
      </c>
      <c r="R4045" s="3" t="str">
        <f>HYPERLINK("https://panda.att.com.mx/ODKServer/view/binaryData?blobKey=FSSuministroFluidosv3%5B%40version%3Dnull+and+%40uiVersion%3Dnull%5D%2Fdata%5B%40key%3Duuid%3Aa472f0ab-52b6-445d-95d8-47b06975d12f%5D%2FgroupInfoFuel%5B%40ordinal%3D1%5D%2FpicFuelRecibeInterno","Descargar")</f>
        <v>Descargar</v>
      </c>
    </row>
    <row r="4046" spans="1:18" x14ac:dyDescent="0.3">
      <c r="A4046">
        <v>1486377</v>
      </c>
      <c r="B4046" t="s">
        <v>18</v>
      </c>
      <c r="C4046" t="s">
        <v>59</v>
      </c>
      <c r="D4046" t="s">
        <v>60</v>
      </c>
      <c r="E4046" t="s">
        <v>2207</v>
      </c>
      <c r="F4046" t="s">
        <v>22</v>
      </c>
      <c r="G4046" t="s">
        <v>23</v>
      </c>
      <c r="H4046" t="s">
        <v>37</v>
      </c>
      <c r="I4046" t="s">
        <v>25</v>
      </c>
      <c r="J4046" s="2">
        <v>45709.293854166674</v>
      </c>
      <c r="K4046">
        <v>21</v>
      </c>
      <c r="L4046">
        <v>2</v>
      </c>
      <c r="M4046">
        <v>2025</v>
      </c>
      <c r="N4046" t="s">
        <v>27</v>
      </c>
      <c r="O4046">
        <v>130</v>
      </c>
      <c r="P4046">
        <v>130</v>
      </c>
      <c r="R4046" s="3" t="str">
        <f>HYPERLINK("https://panda.att.com.mx/ODKServer/view/binaryData?blobKey=FSSuministroFluidosv3%5B%40version%3Dnull+and+%40uiVersion%3Dnull%5D%2Fdata%5B%40key%3Duuid%3A8d04dda8-9c08-43d4-a3b2-8077ae30a150%5D%2FgroupInfoFuel%5B%40ordinal%3D1%5D%2FpicFuelRecibeInterno","Descargar")</f>
        <v>Descargar</v>
      </c>
    </row>
    <row r="4047" spans="1:18" x14ac:dyDescent="0.3">
      <c r="A4047">
        <v>1486371</v>
      </c>
      <c r="B4047" t="s">
        <v>18</v>
      </c>
      <c r="C4047" t="s">
        <v>59</v>
      </c>
      <c r="D4047" t="s">
        <v>60</v>
      </c>
      <c r="E4047" t="s">
        <v>3056</v>
      </c>
      <c r="F4047" t="s">
        <v>22</v>
      </c>
      <c r="G4047" t="s">
        <v>23</v>
      </c>
      <c r="H4047" t="s">
        <v>37</v>
      </c>
      <c r="I4047" t="s">
        <v>25</v>
      </c>
      <c r="J4047" s="2">
        <v>45708.913587962961</v>
      </c>
      <c r="K4047">
        <v>20</v>
      </c>
      <c r="L4047">
        <v>2</v>
      </c>
      <c r="M4047">
        <v>2025</v>
      </c>
      <c r="N4047" t="s">
        <v>27</v>
      </c>
      <c r="O4047">
        <v>85.9</v>
      </c>
      <c r="P4047">
        <v>85.9</v>
      </c>
      <c r="R4047" s="3" t="str">
        <f>HYPERLINK("https://panda.att.com.mx/ODKServer/view/binaryData?blobKey=FSSuministroFluidosv3%5B%40version%3Dnull+and+%40uiVersion%3Dnull%5D%2Fdata%5B%40key%3Duuid%3A4f9ceee2-eb8e-4032-a98a-4ac23fe311a9%5D%2FgroupInfoFuel%5B%40ordinal%3D1%5D%2FpicFuelRecibeInterno","Descargar")</f>
        <v>Descargar</v>
      </c>
    </row>
    <row r="4048" spans="1:18" x14ac:dyDescent="0.3">
      <c r="A4048">
        <v>1486369</v>
      </c>
      <c r="B4048" t="s">
        <v>18</v>
      </c>
      <c r="C4048" t="s">
        <v>68</v>
      </c>
      <c r="D4048" t="s">
        <v>91</v>
      </c>
      <c r="E4048" t="s">
        <v>3057</v>
      </c>
      <c r="F4048" t="s">
        <v>22</v>
      </c>
      <c r="G4048" t="s">
        <v>23</v>
      </c>
      <c r="H4048" t="s">
        <v>37</v>
      </c>
      <c r="I4048" t="s">
        <v>25</v>
      </c>
      <c r="J4048" s="2">
        <v>45709.804247685177</v>
      </c>
      <c r="K4048">
        <v>21</v>
      </c>
      <c r="L4048">
        <v>2</v>
      </c>
      <c r="M4048">
        <v>2025</v>
      </c>
      <c r="N4048" t="s">
        <v>27</v>
      </c>
      <c r="O4048">
        <v>200</v>
      </c>
      <c r="P4048">
        <v>200</v>
      </c>
      <c r="R4048" s="3" t="str">
        <f>HYPERLINK("https://panda.att.com.mx/ODKServer/view/binaryData?blobKey=FSSuministroFluidosv3%5B%40version%3Dnull+and+%40uiVersion%3Dnull%5D%2Fdata%5B%40key%3Duuid%3A84c855d4-3427-4f61-8732-765b1091ae25%5D%2FgroupInfoFuel%5B%40ordinal%3D1%5D%2FpicFuelRecibeInterno","Descargar")</f>
        <v>Descargar</v>
      </c>
    </row>
    <row r="4049" spans="1:18" x14ac:dyDescent="0.3">
      <c r="A4049">
        <v>1486327</v>
      </c>
      <c r="B4049" t="s">
        <v>18</v>
      </c>
      <c r="C4049" t="s">
        <v>55</v>
      </c>
      <c r="D4049" t="s">
        <v>56</v>
      </c>
      <c r="E4049" t="s">
        <v>2966</v>
      </c>
      <c r="F4049" t="s">
        <v>22</v>
      </c>
      <c r="G4049" t="s">
        <v>23</v>
      </c>
      <c r="H4049" t="s">
        <v>1763</v>
      </c>
      <c r="I4049" t="s">
        <v>25</v>
      </c>
      <c r="J4049" s="2">
        <v>45708.64702546296</v>
      </c>
      <c r="K4049">
        <v>20</v>
      </c>
      <c r="L4049">
        <v>2</v>
      </c>
      <c r="M4049">
        <v>2025</v>
      </c>
      <c r="N4049" t="s">
        <v>27</v>
      </c>
      <c r="O4049">
        <v>100</v>
      </c>
      <c r="P4049">
        <v>100</v>
      </c>
      <c r="R4049" s="3" t="str">
        <f>HYPERLINK("https://panda.att.com.mx/ODKServer/view/binaryData?blobKey=FSSuministroFluidosv3%5B%40version%3Dnull+and+%40uiVersion%3Dnull%5D%2Fdata%5B%40key%3Duuid%3A69367f92-2a94-4016-8a7a-c98f9f3651a8%5D%2FgroupInfoFuel%5B%40ordinal%3D1%5D%2FpicFuelRecibeInterno","Descargar")</f>
        <v>Descargar</v>
      </c>
    </row>
    <row r="4050" spans="1:18" x14ac:dyDescent="0.3">
      <c r="A4050">
        <v>1488224</v>
      </c>
      <c r="B4050" t="s">
        <v>18</v>
      </c>
      <c r="C4050" t="s">
        <v>19</v>
      </c>
      <c r="D4050" t="s">
        <v>45</v>
      </c>
      <c r="E4050" t="s">
        <v>752</v>
      </c>
      <c r="F4050" t="s">
        <v>22</v>
      </c>
      <c r="G4050" t="s">
        <v>23</v>
      </c>
      <c r="H4050" t="s">
        <v>24</v>
      </c>
      <c r="I4050" t="s">
        <v>25</v>
      </c>
      <c r="J4050" s="2">
        <v>45712.65824074074</v>
      </c>
      <c r="K4050">
        <v>24</v>
      </c>
      <c r="L4050">
        <v>2</v>
      </c>
      <c r="M4050">
        <v>2025</v>
      </c>
      <c r="N4050" t="s">
        <v>27</v>
      </c>
      <c r="O4050">
        <v>400</v>
      </c>
      <c r="P4050">
        <v>400</v>
      </c>
      <c r="R4050" s="3" t="str">
        <f>HYPERLINK("https://panda.att.com.mx/ODKServer/view/binaryData?blobKey=FSSuministroFluidosv3%5B%40version%3Dnull+and+%40uiVersion%3Dnull%5D%2Fdata%5B%40key%3Duuid%3Aa89153e5-58ff-40d8-9eb7-831847420a0a%5D%2FgroupInfoFuel%5B%40ordinal%3D1%5D%2FpicFuelRecibeInterno","Descargar")</f>
        <v>Descargar</v>
      </c>
    </row>
    <row r="4051" spans="1:18" x14ac:dyDescent="0.3">
      <c r="A4051">
        <v>1488212</v>
      </c>
      <c r="B4051" t="s">
        <v>18</v>
      </c>
      <c r="C4051" t="s">
        <v>55</v>
      </c>
      <c r="D4051" t="s">
        <v>56</v>
      </c>
      <c r="E4051" t="s">
        <v>2089</v>
      </c>
      <c r="F4051" t="s">
        <v>22</v>
      </c>
      <c r="G4051" t="s">
        <v>23</v>
      </c>
      <c r="H4051" t="s">
        <v>1781</v>
      </c>
      <c r="I4051" t="s">
        <v>25</v>
      </c>
      <c r="J4051" s="2">
        <v>45713.583067129628</v>
      </c>
      <c r="K4051">
        <v>25</v>
      </c>
      <c r="L4051">
        <v>2</v>
      </c>
      <c r="M4051">
        <v>2025</v>
      </c>
      <c r="N4051" t="s">
        <v>27</v>
      </c>
      <c r="O4051">
        <v>100</v>
      </c>
      <c r="P4051">
        <v>100</v>
      </c>
      <c r="R4051" s="3" t="str">
        <f>HYPERLINK("https://panda.att.com.mx/ODKServer/view/binaryData?blobKey=FSSuministroFluidosv3%5B%40version%3Dnull+and+%40uiVersion%3Dnull%5D%2Fdata%5B%40key%3Duuid%3Aaa0e2744-179c-4b7e-acad-a9a01e228957%5D%2FgroupInfoFuel%5B%40ordinal%3D1%5D%2FpicFuelRecibeInterno","Descargar")</f>
        <v>Descargar</v>
      </c>
    </row>
    <row r="4052" spans="1:18" x14ac:dyDescent="0.3">
      <c r="A4052">
        <v>1488211</v>
      </c>
      <c r="B4052" t="s">
        <v>18</v>
      </c>
      <c r="C4052" t="s">
        <v>100</v>
      </c>
      <c r="D4052" t="s">
        <v>854</v>
      </c>
      <c r="E4052" t="s">
        <v>993</v>
      </c>
      <c r="F4052" t="s">
        <v>22</v>
      </c>
      <c r="G4052" t="s">
        <v>83</v>
      </c>
      <c r="H4052" t="s">
        <v>1781</v>
      </c>
      <c r="I4052" t="s">
        <v>25</v>
      </c>
      <c r="J4052" s="2">
        <v>45713.582789351851</v>
      </c>
      <c r="K4052">
        <v>25</v>
      </c>
      <c r="L4052">
        <v>2</v>
      </c>
      <c r="M4052">
        <v>2025</v>
      </c>
      <c r="N4052" t="s">
        <v>27</v>
      </c>
      <c r="O4052">
        <v>180</v>
      </c>
      <c r="P4052">
        <v>180</v>
      </c>
      <c r="R4052" s="3" t="str">
        <f>HYPERLINK("https://panda.att.com.mx/ODKServer/view/binaryData?blobKey=FSSuministroFluidosv3%5B%40version%3Dnull+and+%40uiVersion%3Dnull%5D%2Fdata%5B%40key%3Duuid%3A1e352ea1-9520-434b-ae59-bdfe4c9ece78%5D%2FgroupInfoFuel%5B%40ordinal%3D1%5D%2FpicFuelRecibeInterno","Descargar")</f>
        <v>Descargar</v>
      </c>
    </row>
    <row r="4053" spans="1:18" x14ac:dyDescent="0.3">
      <c r="A4053">
        <v>1488210</v>
      </c>
      <c r="B4053" t="s">
        <v>18</v>
      </c>
      <c r="C4053" t="s">
        <v>59</v>
      </c>
      <c r="D4053" t="s">
        <v>60</v>
      </c>
      <c r="E4053" t="s">
        <v>2738</v>
      </c>
      <c r="F4053" t="s">
        <v>22</v>
      </c>
      <c r="G4053" t="s">
        <v>23</v>
      </c>
      <c r="H4053" t="s">
        <v>37</v>
      </c>
      <c r="I4053" t="s">
        <v>25</v>
      </c>
      <c r="J4053" s="2">
        <v>45710.397256944438</v>
      </c>
      <c r="K4053">
        <v>22</v>
      </c>
      <c r="L4053">
        <v>2</v>
      </c>
      <c r="M4053">
        <v>2025</v>
      </c>
      <c r="N4053" t="s">
        <v>27</v>
      </c>
      <c r="O4053">
        <v>130</v>
      </c>
      <c r="P4053">
        <v>130</v>
      </c>
      <c r="R4053" s="3" t="str">
        <f>HYPERLINK("https://panda.att.com.mx/ODKServer/view/binaryData?blobKey=FSSuministroFluidosv3%5B%40version%3Dnull+and+%40uiVersion%3Dnull%5D%2Fdata%5B%40key%3Duuid%3Abc422d58-5158-4597-b07f-ff7eb70de127%5D%2FgroupInfoFuel%5B%40ordinal%3D1%5D%2FpicFuelRecibeInterno","Descargar")</f>
        <v>Descargar</v>
      </c>
    </row>
    <row r="4054" spans="1:18" x14ac:dyDescent="0.3">
      <c r="A4054">
        <v>1488205</v>
      </c>
      <c r="B4054" t="s">
        <v>18</v>
      </c>
      <c r="C4054" t="s">
        <v>55</v>
      </c>
      <c r="D4054" t="s">
        <v>56</v>
      </c>
      <c r="E4054" t="s">
        <v>1555</v>
      </c>
      <c r="F4054" t="s">
        <v>22</v>
      </c>
      <c r="G4054" t="s">
        <v>23</v>
      </c>
      <c r="H4054" t="s">
        <v>1781</v>
      </c>
      <c r="I4054" t="s">
        <v>25</v>
      </c>
      <c r="J4054" s="2">
        <v>45713.641284722216</v>
      </c>
      <c r="K4054">
        <v>25</v>
      </c>
      <c r="L4054">
        <v>2</v>
      </c>
      <c r="M4054">
        <v>2025</v>
      </c>
      <c r="N4054" t="s">
        <v>27</v>
      </c>
      <c r="O4054">
        <v>200</v>
      </c>
      <c r="P4054">
        <v>200</v>
      </c>
      <c r="R4054" s="3" t="str">
        <f>HYPERLINK("https://panda.att.com.mx/ODKServer/view/binaryData?blobKey=FSSuministroFluidosv3%5B%40version%3Dnull+and+%40uiVersion%3Dnull%5D%2Fdata%5B%40key%3Duuid%3A60d0e8be-a833-45bb-ae70-7110c84b045b%5D%2FgroupInfoFuel%5B%40ordinal%3D1%5D%2FpicFuelRecibeInterno","Descargar")</f>
        <v>Descargar</v>
      </c>
    </row>
    <row r="4055" spans="1:18" x14ac:dyDescent="0.3">
      <c r="A4055">
        <v>1488190</v>
      </c>
      <c r="B4055" t="s">
        <v>18</v>
      </c>
      <c r="C4055" t="s">
        <v>167</v>
      </c>
      <c r="D4055" t="s">
        <v>253</v>
      </c>
      <c r="E4055" t="s">
        <v>3058</v>
      </c>
      <c r="F4055" t="s">
        <v>22</v>
      </c>
      <c r="G4055" t="s">
        <v>23</v>
      </c>
      <c r="H4055" t="s">
        <v>58</v>
      </c>
      <c r="I4055" t="s">
        <v>25</v>
      </c>
      <c r="J4055" s="2">
        <v>45713.624976851846</v>
      </c>
      <c r="K4055">
        <v>25</v>
      </c>
      <c r="L4055">
        <v>2</v>
      </c>
      <c r="M4055">
        <v>2025</v>
      </c>
      <c r="N4055" t="s">
        <v>27</v>
      </c>
      <c r="O4055">
        <v>352.84</v>
      </c>
      <c r="P4055">
        <v>352.84</v>
      </c>
      <c r="R4055" s="3" t="str">
        <f>HYPERLINK("https://panda.att.com.mx/ODKServer/view/binaryData?blobKey=FSSuministroFluidosv3%5B%40version%3Dnull+and+%40uiVersion%3Dnull%5D%2Fdata%5B%40key%3Duuid%3Ae35aa00c-0f2b-4ab4-91f4-86b9de90158f%5D%2FgroupInfoFuel%5B%40ordinal%3D1%5D%2FpicFuelRecibeInterno","Descargar")</f>
        <v>Descargar</v>
      </c>
    </row>
    <row r="4056" spans="1:18" x14ac:dyDescent="0.3">
      <c r="A4056">
        <v>1488184</v>
      </c>
      <c r="B4056" t="s">
        <v>18</v>
      </c>
      <c r="C4056" t="s">
        <v>19</v>
      </c>
      <c r="D4056" t="s">
        <v>45</v>
      </c>
      <c r="E4056" t="s">
        <v>752</v>
      </c>
      <c r="F4056" t="s">
        <v>22</v>
      </c>
      <c r="G4056" t="s">
        <v>23</v>
      </c>
      <c r="H4056" t="s">
        <v>24</v>
      </c>
      <c r="I4056" t="s">
        <v>25</v>
      </c>
      <c r="J4056" s="2">
        <v>45713.683749999997</v>
      </c>
      <c r="K4056">
        <v>25</v>
      </c>
      <c r="L4056">
        <v>2</v>
      </c>
      <c r="M4056">
        <v>2025</v>
      </c>
      <c r="N4056" t="s">
        <v>27</v>
      </c>
      <c r="O4056">
        <v>400</v>
      </c>
      <c r="P4056">
        <v>400</v>
      </c>
      <c r="R4056" s="3" t="str">
        <f>HYPERLINK("https://panda.att.com.mx/ODKServer/view/binaryData?blobKey=FSSuministroFluidosv3%5B%40version%3Dnull+and+%40uiVersion%3Dnull%5D%2Fdata%5B%40key%3Duuid%3A05901f14-4c22-48d9-9bf8-9cab5e4962ef%5D%2FgroupInfoFuel%5B%40ordinal%3D1%5D%2FpicFuelRecibeInterno","Descargar")</f>
        <v>Descargar</v>
      </c>
    </row>
    <row r="4057" spans="1:18" x14ac:dyDescent="0.3">
      <c r="A4057">
        <v>1488098</v>
      </c>
      <c r="B4057" t="s">
        <v>18</v>
      </c>
      <c r="C4057" t="s">
        <v>167</v>
      </c>
      <c r="D4057" t="s">
        <v>509</v>
      </c>
      <c r="E4057" t="s">
        <v>3059</v>
      </c>
      <c r="F4057" t="s">
        <v>22</v>
      </c>
      <c r="G4057" t="s">
        <v>23</v>
      </c>
      <c r="H4057" t="s">
        <v>58</v>
      </c>
      <c r="I4057" t="s">
        <v>84</v>
      </c>
      <c r="J4057" s="2">
        <v>45710.426249999997</v>
      </c>
      <c r="K4057">
        <v>22</v>
      </c>
      <c r="L4057">
        <v>2</v>
      </c>
      <c r="M4057">
        <v>2025</v>
      </c>
      <c r="N4057" t="s">
        <v>27</v>
      </c>
      <c r="O4057">
        <v>250</v>
      </c>
      <c r="P4057">
        <v>250</v>
      </c>
      <c r="R4057" s="3" t="str">
        <f>HYPERLINK("https://panda.att.com.mx/ODKServer/view/binaryData?blobKey=FSSuministroFluidosv3%5B%40version%3Dnull+and+%40uiVersion%3Dnull%5D%2Fdata%5B%40key%3Duuid%3Ad9e4f5e5-fcd7-49d1-9490-3c6589992467%5D%2FgroupInfoFuel%5B%40ordinal%3D1%5D%2FpicFuelRecibeInterno","Descargar")</f>
        <v>Descargar</v>
      </c>
    </row>
    <row r="4058" spans="1:18" x14ac:dyDescent="0.3">
      <c r="A4058">
        <v>1488036</v>
      </c>
      <c r="B4058" t="s">
        <v>18</v>
      </c>
      <c r="C4058" t="s">
        <v>55</v>
      </c>
      <c r="D4058" t="s">
        <v>56</v>
      </c>
      <c r="E4058" t="s">
        <v>3037</v>
      </c>
      <c r="F4058" t="s">
        <v>22</v>
      </c>
      <c r="G4058" t="s">
        <v>23</v>
      </c>
      <c r="H4058" t="s">
        <v>1763</v>
      </c>
      <c r="I4058" t="s">
        <v>25</v>
      </c>
      <c r="J4058" s="2">
        <v>45698.717592592591</v>
      </c>
      <c r="K4058">
        <v>10</v>
      </c>
      <c r="L4058">
        <v>2</v>
      </c>
      <c r="M4058">
        <v>2025</v>
      </c>
      <c r="N4058" t="s">
        <v>27</v>
      </c>
      <c r="O4058">
        <v>250</v>
      </c>
      <c r="P4058">
        <v>250</v>
      </c>
      <c r="R4058" s="3" t="str">
        <f>HYPERLINK("https://panda.att.com.mx/ODKServer/view/binaryData?blobKey=FSSuministroFluidosv3%5B%40version%3Dnull+and+%40uiVersion%3Dnull%5D%2Fdata%5B%40key%3Duuid%3Ae0cc9db6-d4a2-42eb-9093-837c802c16ed%5D%2FgroupInfoFuel%5B%40ordinal%3D1%5D%2FpicFuelRecibeInterno","Descargar")</f>
        <v>Descargar</v>
      </c>
    </row>
    <row r="4059" spans="1:18" x14ac:dyDescent="0.3">
      <c r="A4059">
        <v>1487980</v>
      </c>
      <c r="B4059" t="s">
        <v>18</v>
      </c>
      <c r="C4059" t="s">
        <v>19</v>
      </c>
      <c r="D4059" t="s">
        <v>45</v>
      </c>
      <c r="E4059" t="s">
        <v>130</v>
      </c>
      <c r="F4059" t="s">
        <v>22</v>
      </c>
      <c r="G4059" t="s">
        <v>23</v>
      </c>
      <c r="H4059" t="s">
        <v>24</v>
      </c>
      <c r="I4059" t="s">
        <v>25</v>
      </c>
      <c r="J4059" t="s">
        <v>3060</v>
      </c>
      <c r="K4059">
        <v>19</v>
      </c>
      <c r="L4059">
        <v>1</v>
      </c>
      <c r="M4059">
        <v>2025</v>
      </c>
      <c r="N4059" t="s">
        <v>27</v>
      </c>
      <c r="O4059">
        <v>200</v>
      </c>
      <c r="P4059">
        <v>200</v>
      </c>
      <c r="R4059" s="3" t="str">
        <f>HYPERLINK("https://panda.att.com.mx/ODKServer/view/binaryData?blobKey=FSSuministroFluidosv3%5B%40version%3Dnull+and+%40uiVersion%3Dnull%5D%2Fdata%5B%40key%3Duuid%3A0049a243-a1d2-4ffd-aae4-b1f5cdc5dd2f%5D%2FgroupInfoFuel%5B%40ordinal%3D1%5D%2FpicFuelRecibeInterno","Descargar")</f>
        <v>Descargar</v>
      </c>
    </row>
    <row r="4060" spans="1:18" x14ac:dyDescent="0.3">
      <c r="A4060">
        <v>1487893</v>
      </c>
      <c r="B4060" t="s">
        <v>18</v>
      </c>
      <c r="C4060" t="s">
        <v>59</v>
      </c>
      <c r="D4060" t="s">
        <v>60</v>
      </c>
      <c r="E4060" t="s">
        <v>1996</v>
      </c>
      <c r="F4060" t="s">
        <v>22</v>
      </c>
      <c r="G4060" t="s">
        <v>23</v>
      </c>
      <c r="H4060" t="s">
        <v>37</v>
      </c>
      <c r="I4060" t="s">
        <v>25</v>
      </c>
      <c r="J4060" s="2">
        <v>45708.64335648148</v>
      </c>
      <c r="K4060">
        <v>20</v>
      </c>
      <c r="L4060">
        <v>2</v>
      </c>
      <c r="M4060">
        <v>2025</v>
      </c>
      <c r="N4060" t="s">
        <v>27</v>
      </c>
      <c r="O4060">
        <v>200</v>
      </c>
      <c r="P4060">
        <v>200</v>
      </c>
      <c r="R4060" s="3" t="str">
        <f>HYPERLINK("https://panda.att.com.mx/ODKServer/view/binaryData?blobKey=FSSuministroFluidosv3%5B%40version%3Dnull+and+%40uiVersion%3Dnull%5D%2Fdata%5B%40key%3Duuid%3A8529bd95-e3e8-4d2a-949c-f6d5171b469d%5D%2FgroupInfoFuel%5B%40ordinal%3D1%5D%2FpicFuelRecibeInterno","Descargar")</f>
        <v>Descargar</v>
      </c>
    </row>
    <row r="4061" spans="1:18" x14ac:dyDescent="0.3">
      <c r="A4061">
        <v>1487856</v>
      </c>
      <c r="B4061" t="s">
        <v>18</v>
      </c>
      <c r="C4061" t="s">
        <v>19</v>
      </c>
      <c r="D4061" t="s">
        <v>347</v>
      </c>
      <c r="E4061" t="s">
        <v>1505</v>
      </c>
      <c r="F4061" t="s">
        <v>22</v>
      </c>
      <c r="G4061" t="s">
        <v>23</v>
      </c>
      <c r="H4061" t="s">
        <v>24</v>
      </c>
      <c r="I4061" t="s">
        <v>25</v>
      </c>
      <c r="J4061" s="2">
        <v>45708.368634259263</v>
      </c>
      <c r="K4061">
        <v>20</v>
      </c>
      <c r="L4061">
        <v>2</v>
      </c>
      <c r="M4061">
        <v>2025</v>
      </c>
      <c r="N4061" t="s">
        <v>27</v>
      </c>
      <c r="O4061">
        <v>100</v>
      </c>
      <c r="P4061">
        <v>100</v>
      </c>
      <c r="R4061" s="3" t="str">
        <f>HYPERLINK("https://panda.att.com.mx/ODKServer/view/binaryData?blobKey=FSSuministroFluidosv3%5B%40version%3Dnull+and+%40uiVersion%3Dnull%5D%2Fdata%5B%40key%3Duuid%3A7924bd26-da7f-4824-b244-89012fb77bc6%5D%2FgroupInfoFuel%5B%40ordinal%3D1%5D%2FpicFuelRecibeInterno","Descargar")</f>
        <v>Descargar</v>
      </c>
    </row>
    <row r="4062" spans="1:18" x14ac:dyDescent="0.3">
      <c r="A4062">
        <v>1487847</v>
      </c>
      <c r="B4062" t="s">
        <v>18</v>
      </c>
      <c r="C4062" t="s">
        <v>28</v>
      </c>
      <c r="D4062" t="s">
        <v>118</v>
      </c>
      <c r="E4062" t="s">
        <v>2977</v>
      </c>
      <c r="F4062" t="s">
        <v>22</v>
      </c>
      <c r="G4062" t="s">
        <v>23</v>
      </c>
      <c r="H4062" t="s">
        <v>24</v>
      </c>
      <c r="I4062" t="s">
        <v>25</v>
      </c>
      <c r="J4062" s="2">
        <v>45713.468113425923</v>
      </c>
      <c r="K4062">
        <v>25</v>
      </c>
      <c r="L4062">
        <v>2</v>
      </c>
      <c r="M4062">
        <v>2025</v>
      </c>
      <c r="N4062" t="s">
        <v>44</v>
      </c>
      <c r="O4062">
        <v>45</v>
      </c>
      <c r="P4062">
        <v>45</v>
      </c>
      <c r="R4062" s="3" t="str">
        <f>HYPERLINK("https://panda.att.com.mx/ODKServer/view/binaryData?blobKey=FSSuministroFluidosv3%5B%40version%3Dnull+and+%40uiVersion%3Dnull%5D%2Fdata%5B%40key%3Duuid%3A67bbda2c-1675-4f42-b63c-a99effe6c4b4%5D%2FgroupInfoFuel%5B%40ordinal%3D1%5D%2FpicFuelRecibeInterno","Descargar")</f>
        <v>Descargar</v>
      </c>
    </row>
    <row r="4063" spans="1:18" x14ac:dyDescent="0.3">
      <c r="A4063">
        <v>1487838</v>
      </c>
      <c r="B4063" t="s">
        <v>18</v>
      </c>
      <c r="C4063" t="s">
        <v>19</v>
      </c>
      <c r="D4063" t="s">
        <v>347</v>
      </c>
      <c r="E4063" t="s">
        <v>3061</v>
      </c>
      <c r="F4063" t="s">
        <v>22</v>
      </c>
      <c r="G4063" t="s">
        <v>23</v>
      </c>
      <c r="H4063" t="s">
        <v>24</v>
      </c>
      <c r="I4063" t="s">
        <v>25</v>
      </c>
      <c r="J4063" s="2">
        <v>45700.704965277779</v>
      </c>
      <c r="K4063">
        <v>12</v>
      </c>
      <c r="L4063">
        <v>2</v>
      </c>
      <c r="M4063">
        <v>2025</v>
      </c>
      <c r="N4063" t="s">
        <v>27</v>
      </c>
      <c r="O4063">
        <v>100</v>
      </c>
      <c r="P4063">
        <v>100</v>
      </c>
      <c r="R4063" s="3" t="str">
        <f>HYPERLINK("https://panda.att.com.mx/ODKServer/view/binaryData?blobKey=FSSuministroFluidosv3%5B%40version%3Dnull+and+%40uiVersion%3Dnull%5D%2Fdata%5B%40key%3Duuid%3Ae8fede75-bc49-43ab-9660-6f52d6cf2632%5D%2FgroupInfoFuel%5B%40ordinal%3D1%5D%2FpicFuelRecibeInterno","Descargar")</f>
        <v>Descargar</v>
      </c>
    </row>
    <row r="4064" spans="1:18" x14ac:dyDescent="0.3">
      <c r="A4064">
        <v>1487819</v>
      </c>
      <c r="B4064" t="s">
        <v>18</v>
      </c>
      <c r="C4064" t="s">
        <v>19</v>
      </c>
      <c r="D4064" t="s">
        <v>42</v>
      </c>
      <c r="E4064" t="s">
        <v>2682</v>
      </c>
      <c r="F4064" t="s">
        <v>22</v>
      </c>
      <c r="G4064" t="s">
        <v>23</v>
      </c>
      <c r="H4064" t="s">
        <v>24</v>
      </c>
      <c r="I4064" t="s">
        <v>25</v>
      </c>
      <c r="J4064" s="2">
        <v>45713.420370370368</v>
      </c>
      <c r="K4064">
        <v>25</v>
      </c>
      <c r="L4064">
        <v>2</v>
      </c>
      <c r="M4064">
        <v>2025</v>
      </c>
      <c r="N4064" t="s">
        <v>44</v>
      </c>
      <c r="O4064">
        <v>35</v>
      </c>
      <c r="P4064">
        <v>35</v>
      </c>
      <c r="R4064" s="3" t="str">
        <f>HYPERLINK("https://panda.att.com.mx/ODKServer/view/binaryData?blobKey=FSSuministroFluidosv3%5B%40version%3Dnull+and+%40uiVersion%3Dnull%5D%2Fdata%5B%40key%3Duuid%3Ad954f670-5022-4c24-9608-8d54faa9a816%5D%2FgroupInfoFuel%5B%40ordinal%3D1%5D%2FpicFuelRecibeInterno","Descargar")</f>
        <v>Descargar</v>
      </c>
    </row>
    <row r="4065" spans="1:18" x14ac:dyDescent="0.3">
      <c r="A4065">
        <v>1487809</v>
      </c>
      <c r="B4065" t="s">
        <v>18</v>
      </c>
      <c r="C4065" t="s">
        <v>28</v>
      </c>
      <c r="D4065" t="s">
        <v>66</v>
      </c>
      <c r="E4065" t="s">
        <v>485</v>
      </c>
      <c r="F4065" t="s">
        <v>22</v>
      </c>
      <c r="G4065" t="s">
        <v>23</v>
      </c>
      <c r="H4065" t="s">
        <v>24</v>
      </c>
      <c r="I4065" t="s">
        <v>25</v>
      </c>
      <c r="J4065" s="2">
        <v>45713.388449074067</v>
      </c>
      <c r="K4065">
        <v>25</v>
      </c>
      <c r="L4065">
        <v>2</v>
      </c>
      <c r="M4065">
        <v>2025</v>
      </c>
      <c r="N4065" t="s">
        <v>27</v>
      </c>
      <c r="O4065">
        <v>500</v>
      </c>
      <c r="P4065">
        <v>500</v>
      </c>
      <c r="R4065" s="3" t="str">
        <f>HYPERLINK("https://panda.att.com.mx/ODKServer/view/binaryData?blobKey=FSSuministroFluidosv3%5B%40version%3Dnull+and+%40uiVersion%3Dnull%5D%2Fdata%5B%40key%3Duuid%3A8a97f1eb-c8c9-4db6-8759-ffad81920829%5D%2FgroupInfoFuel%5B%40ordinal%3D1%5D%2FpicFuelRecibeInterno","Descargar")</f>
        <v>Descargar</v>
      </c>
    </row>
    <row r="4066" spans="1:18" x14ac:dyDescent="0.3">
      <c r="A4066">
        <v>1487808</v>
      </c>
      <c r="B4066" t="s">
        <v>18</v>
      </c>
      <c r="C4066" t="s">
        <v>28</v>
      </c>
      <c r="D4066" t="s">
        <v>66</v>
      </c>
      <c r="E4066" t="s">
        <v>96</v>
      </c>
      <c r="F4066" t="s">
        <v>22</v>
      </c>
      <c r="G4066" t="s">
        <v>47</v>
      </c>
      <c r="H4066" t="s">
        <v>24</v>
      </c>
      <c r="I4066" t="s">
        <v>25</v>
      </c>
      <c r="J4066" s="2">
        <v>45709.323310185187</v>
      </c>
      <c r="K4066">
        <v>21</v>
      </c>
      <c r="L4066">
        <v>2</v>
      </c>
      <c r="M4066">
        <v>2025</v>
      </c>
      <c r="N4066" t="s">
        <v>27</v>
      </c>
      <c r="O4066">
        <v>400</v>
      </c>
      <c r="P4066">
        <v>400</v>
      </c>
      <c r="R4066" s="3" t="str">
        <f>HYPERLINK("https://panda.att.com.mx/ODKServer/view/binaryData?blobKey=FSSuministroFluidosv3%5B%40version%3Dnull+and+%40uiVersion%3Dnull%5D%2Fdata%5B%40key%3Duuid%3A96a91145-28a9-48ce-81b7-37c4de1b6c87%5D%2FgroupInfoFuel%5B%40ordinal%3D1%5D%2FpicFuelRecibeInterno","Descargar")</f>
        <v>Descargar</v>
      </c>
    </row>
    <row r="4067" spans="1:18" x14ac:dyDescent="0.3">
      <c r="A4067">
        <v>1487775</v>
      </c>
      <c r="B4067" t="s">
        <v>18</v>
      </c>
      <c r="C4067" t="s">
        <v>34</v>
      </c>
      <c r="D4067" t="s">
        <v>51</v>
      </c>
      <c r="E4067" t="s">
        <v>631</v>
      </c>
      <c r="F4067" t="s">
        <v>22</v>
      </c>
      <c r="G4067" t="s">
        <v>23</v>
      </c>
      <c r="H4067" t="s">
        <v>24</v>
      </c>
      <c r="I4067" t="s">
        <v>25</v>
      </c>
      <c r="J4067" s="2">
        <v>45712.839189814818</v>
      </c>
      <c r="K4067">
        <v>24</v>
      </c>
      <c r="L4067">
        <v>2</v>
      </c>
      <c r="M4067">
        <v>2025</v>
      </c>
      <c r="N4067" t="s">
        <v>27</v>
      </c>
      <c r="O4067">
        <v>100</v>
      </c>
      <c r="P4067">
        <v>100</v>
      </c>
      <c r="R4067" s="3" t="str">
        <f>HYPERLINK("https://panda.att.com.mx/ODKServer/view/binaryData?blobKey=FSSuministroFluidosv3%5B%40version%3Dnull+and+%40uiVersion%3Dnull%5D%2Fdata%5B%40key%3Duuid%3Aa029ba2b-c8f6-4efd-b3e1-88f2336bc002%5D%2FgroupInfoFuel%5B%40ordinal%3D1%5D%2FpicFuelRecibeInterno","Descargar")</f>
        <v>Descargar</v>
      </c>
    </row>
    <row r="4068" spans="1:18" x14ac:dyDescent="0.3">
      <c r="A4068">
        <v>1487727</v>
      </c>
      <c r="B4068" t="s">
        <v>18</v>
      </c>
      <c r="C4068" t="s">
        <v>100</v>
      </c>
      <c r="D4068" t="s">
        <v>651</v>
      </c>
      <c r="E4068" t="s">
        <v>1833</v>
      </c>
      <c r="F4068" t="s">
        <v>22</v>
      </c>
      <c r="G4068" t="s">
        <v>83</v>
      </c>
      <c r="H4068" t="s">
        <v>1781</v>
      </c>
      <c r="I4068" t="s">
        <v>25</v>
      </c>
      <c r="J4068" s="2">
        <v>45712.021481481483</v>
      </c>
      <c r="K4068">
        <v>24</v>
      </c>
      <c r="L4068">
        <v>2</v>
      </c>
      <c r="M4068">
        <v>2025</v>
      </c>
      <c r="N4068" t="s">
        <v>27</v>
      </c>
      <c r="O4068">
        <v>120</v>
      </c>
      <c r="P4068">
        <v>120</v>
      </c>
      <c r="R4068" s="3" t="str">
        <f>HYPERLINK("https://panda.att.com.mx/ODKServer/view/binaryData?blobKey=FSSuministroFluidosv3%5B%40version%3Dnull+and+%40uiVersion%3Dnull%5D%2Fdata%5B%40key%3Duuid%3Aab1111cb-baea-4165-97eb-c7f8fa4d33c9%5D%2FgroupInfoFuel%5B%40ordinal%3D1%5D%2FpicFuelRecibeInterno","Descargar")</f>
        <v>Descargar</v>
      </c>
    </row>
    <row r="4069" spans="1:18" x14ac:dyDescent="0.3">
      <c r="A4069">
        <v>1487699</v>
      </c>
      <c r="B4069" t="s">
        <v>18</v>
      </c>
      <c r="C4069" t="s">
        <v>55</v>
      </c>
      <c r="D4069" t="s">
        <v>56</v>
      </c>
      <c r="E4069" t="s">
        <v>624</v>
      </c>
      <c r="F4069" t="s">
        <v>22</v>
      </c>
      <c r="G4069" t="s">
        <v>23</v>
      </c>
      <c r="H4069" t="s">
        <v>1763</v>
      </c>
      <c r="I4069" t="s">
        <v>25</v>
      </c>
      <c r="J4069" s="2">
        <v>45709.631550925929</v>
      </c>
      <c r="K4069">
        <v>21</v>
      </c>
      <c r="L4069">
        <v>2</v>
      </c>
      <c r="M4069">
        <v>2025</v>
      </c>
      <c r="N4069" t="s">
        <v>27</v>
      </c>
      <c r="O4069">
        <v>100</v>
      </c>
      <c r="P4069">
        <v>100</v>
      </c>
      <c r="R4069" s="3" t="str">
        <f>HYPERLINK("https://panda.att.com.mx/ODKServer/view/binaryData?blobKey=FSSuministroFluidosv3%5B%40version%3Dnull+and+%40uiVersion%3Dnull%5D%2Fdata%5B%40key%3Duuid%3A4e7cf1e9-52ad-4e61-942a-b1e234b15e9f%5D%2FgroupInfoFuel%5B%40ordinal%3D1%5D%2FpicFuelRecibeInterno","Descargar")</f>
        <v>Descargar</v>
      </c>
    </row>
    <row r="4070" spans="1:18" x14ac:dyDescent="0.3">
      <c r="A4070">
        <v>1487698</v>
      </c>
      <c r="B4070" t="s">
        <v>18</v>
      </c>
      <c r="C4070" t="s">
        <v>55</v>
      </c>
      <c r="D4070" t="s">
        <v>56</v>
      </c>
      <c r="E4070" t="s">
        <v>1713</v>
      </c>
      <c r="F4070" t="s">
        <v>22</v>
      </c>
      <c r="G4070" t="s">
        <v>23</v>
      </c>
      <c r="H4070" t="s">
        <v>1763</v>
      </c>
      <c r="I4070" t="s">
        <v>25</v>
      </c>
      <c r="J4070" s="2">
        <v>45708.527766203697</v>
      </c>
      <c r="K4070">
        <v>20</v>
      </c>
      <c r="L4070">
        <v>2</v>
      </c>
      <c r="M4070">
        <v>2025</v>
      </c>
      <c r="N4070" t="s">
        <v>27</v>
      </c>
      <c r="O4070">
        <v>100</v>
      </c>
      <c r="P4070">
        <v>100</v>
      </c>
      <c r="R4070" s="3" t="str">
        <f>HYPERLINK("https://panda.att.com.mx/ODKServer/view/binaryData?blobKey=FSSuministroFluidosv3%5B%40version%3Dnull+and+%40uiVersion%3Dnull%5D%2Fdata%5B%40key%3Duuid%3Aad053a98-5089-4515-9ca2-54d8ee64d0e8%5D%2FgroupInfoFuel%5B%40ordinal%3D1%5D%2FpicFuelRecibeInterno","Descargar")</f>
        <v>Descargar</v>
      </c>
    </row>
    <row r="4071" spans="1:18" x14ac:dyDescent="0.3">
      <c r="A4071">
        <v>1487697</v>
      </c>
      <c r="B4071" t="s">
        <v>18</v>
      </c>
      <c r="C4071" t="s">
        <v>55</v>
      </c>
      <c r="D4071" t="s">
        <v>56</v>
      </c>
      <c r="E4071" t="s">
        <v>3046</v>
      </c>
      <c r="F4071" t="s">
        <v>22</v>
      </c>
      <c r="G4071" t="s">
        <v>23</v>
      </c>
      <c r="H4071" t="s">
        <v>1763</v>
      </c>
      <c r="I4071" t="s">
        <v>25</v>
      </c>
      <c r="J4071" s="2">
        <v>45708.437800925924</v>
      </c>
      <c r="K4071">
        <v>20</v>
      </c>
      <c r="L4071">
        <v>2</v>
      </c>
      <c r="M4071">
        <v>2025</v>
      </c>
      <c r="N4071" t="s">
        <v>27</v>
      </c>
      <c r="O4071">
        <v>100</v>
      </c>
      <c r="P4071">
        <v>100</v>
      </c>
      <c r="R4071" s="3" t="str">
        <f>HYPERLINK("https://panda.att.com.mx/ODKServer/view/binaryData?blobKey=FSSuministroFluidosv3%5B%40version%3Dnull+and+%40uiVersion%3Dnull%5D%2Fdata%5B%40key%3Duuid%3A40840d37-16a0-414d-b998-450137991730%5D%2FgroupInfoFuel%5B%40ordinal%3D1%5D%2FpicFuelRecibeInterno","Descargar")</f>
        <v>Descargar</v>
      </c>
    </row>
    <row r="4072" spans="1:18" x14ac:dyDescent="0.3">
      <c r="A4072">
        <v>1487696</v>
      </c>
      <c r="B4072" t="s">
        <v>18</v>
      </c>
      <c r="C4072" t="s">
        <v>55</v>
      </c>
      <c r="D4072" t="s">
        <v>56</v>
      </c>
      <c r="E4072" t="s">
        <v>1555</v>
      </c>
      <c r="F4072" t="s">
        <v>22</v>
      </c>
      <c r="G4072" t="s">
        <v>23</v>
      </c>
      <c r="H4072" t="s">
        <v>1763</v>
      </c>
      <c r="I4072" t="s">
        <v>25</v>
      </c>
      <c r="J4072" s="2">
        <v>45707.756874999999</v>
      </c>
      <c r="K4072">
        <v>19</v>
      </c>
      <c r="L4072">
        <v>2</v>
      </c>
      <c r="M4072">
        <v>2025</v>
      </c>
      <c r="N4072" t="s">
        <v>27</v>
      </c>
      <c r="O4072">
        <v>250</v>
      </c>
      <c r="P4072">
        <v>250</v>
      </c>
      <c r="R4072" s="3" t="str">
        <f>HYPERLINK("https://panda.att.com.mx/ODKServer/view/binaryData?blobKey=FSSuministroFluidosv3%5B%40version%3Dnull+and+%40uiVersion%3Dnull%5D%2Fdata%5B%40key%3Duuid%3A2f86176e-ad2c-4b8e-a497-5e202800ca51%5D%2FgroupInfoFuel%5B%40ordinal%3D1%5D%2FpicFuelRecibeInterno","Descargar")</f>
        <v>Descargar</v>
      </c>
    </row>
    <row r="4073" spans="1:18" x14ac:dyDescent="0.3">
      <c r="A4073">
        <v>1487583</v>
      </c>
      <c r="B4073" t="s">
        <v>18</v>
      </c>
      <c r="C4073" t="s">
        <v>59</v>
      </c>
      <c r="D4073" t="s">
        <v>233</v>
      </c>
      <c r="E4073" t="s">
        <v>1174</v>
      </c>
      <c r="F4073" t="s">
        <v>33</v>
      </c>
      <c r="G4073" t="s">
        <v>23</v>
      </c>
      <c r="H4073" t="s">
        <v>37</v>
      </c>
      <c r="I4073" t="s">
        <v>25</v>
      </c>
      <c r="J4073" s="2">
        <v>45712.451863425929</v>
      </c>
      <c r="K4073">
        <v>24</v>
      </c>
      <c r="L4073">
        <v>2</v>
      </c>
      <c r="M4073">
        <v>2025</v>
      </c>
      <c r="N4073" t="s">
        <v>27</v>
      </c>
      <c r="O4073">
        <v>400</v>
      </c>
      <c r="P4073">
        <v>400</v>
      </c>
      <c r="R4073" s="3" t="str">
        <f>HYPERLINK("https://panda.att.com.mx/ODKServer/view/binaryData?blobKey=FSSuministroFluidosv3%5B%40version%3Dnull+and+%40uiVersion%3Dnull%5D%2Fdata%5B%40key%3Duuid%3A823b0163-8b29-4e21-8dbc-bff145803a4c%5D%2FgroupInfoFuel%5B%40ordinal%3D1%5D%2FpicFuelRecibeInterno","Descargar")</f>
        <v>Descargar</v>
      </c>
    </row>
    <row r="4074" spans="1:18" x14ac:dyDescent="0.3">
      <c r="A4074">
        <v>1487551</v>
      </c>
      <c r="B4074" t="s">
        <v>18</v>
      </c>
      <c r="C4074" t="s">
        <v>55</v>
      </c>
      <c r="D4074" t="s">
        <v>56</v>
      </c>
      <c r="E4074" t="s">
        <v>624</v>
      </c>
      <c r="F4074" t="s">
        <v>22</v>
      </c>
      <c r="G4074" t="s">
        <v>23</v>
      </c>
      <c r="H4074" t="s">
        <v>1763</v>
      </c>
      <c r="I4074" t="s">
        <v>25</v>
      </c>
      <c r="J4074" s="2">
        <v>45711.53800925926</v>
      </c>
      <c r="K4074">
        <v>23</v>
      </c>
      <c r="L4074">
        <v>2</v>
      </c>
      <c r="M4074">
        <v>2025</v>
      </c>
      <c r="N4074" t="s">
        <v>27</v>
      </c>
      <c r="O4074">
        <v>100</v>
      </c>
      <c r="P4074">
        <v>100</v>
      </c>
      <c r="R4074" s="3" t="str">
        <f>HYPERLINK("https://panda.att.com.mx/ODKServer/view/binaryData?blobKey=FSSuministroFluidosv3%5B%40version%3Dnull+and+%40uiVersion%3Dnull%5D%2Fdata%5B%40key%3Duuid%3Acd55845f-b959-48de-a2a2-1b8a29e08b5c%5D%2FgroupInfoFuel%5B%40ordinal%3D1%5D%2FpicFuelRecibeInterno","Descargar")</f>
        <v>Descargar</v>
      </c>
    </row>
    <row r="4075" spans="1:18" x14ac:dyDescent="0.3">
      <c r="A4075">
        <v>1487527</v>
      </c>
      <c r="B4075" t="s">
        <v>18</v>
      </c>
      <c r="C4075" t="s">
        <v>59</v>
      </c>
      <c r="D4075" t="s">
        <v>60</v>
      </c>
      <c r="E4075" t="s">
        <v>2207</v>
      </c>
      <c r="F4075" t="s">
        <v>22</v>
      </c>
      <c r="G4075" t="s">
        <v>23</v>
      </c>
      <c r="H4075" t="s">
        <v>37</v>
      </c>
      <c r="I4075" t="s">
        <v>25</v>
      </c>
      <c r="J4075" s="2">
        <v>45711.899212962962</v>
      </c>
      <c r="K4075">
        <v>23</v>
      </c>
      <c r="L4075">
        <v>2</v>
      </c>
      <c r="M4075">
        <v>2025</v>
      </c>
      <c r="N4075" t="s">
        <v>27</v>
      </c>
      <c r="O4075">
        <v>100</v>
      </c>
      <c r="P4075">
        <v>100</v>
      </c>
      <c r="R4075" s="3" t="str">
        <f>HYPERLINK("https://panda.att.com.mx/ODKServer/view/binaryData?blobKey=FSSuministroFluidosv3%5B%40version%3Dnull+and+%40uiVersion%3Dnull%5D%2Fdata%5B%40key%3Duuid%3Abf9cd1bb-bc8c-4f98-bb41-cb4187f11f73%5D%2FgroupInfoFuel%5B%40ordinal%3D1%5D%2FpicFuelRecibeInterno","Descargar")</f>
        <v>Descargar</v>
      </c>
    </row>
    <row r="4076" spans="1:18" x14ac:dyDescent="0.3">
      <c r="A4076">
        <v>1487509</v>
      </c>
      <c r="B4076" t="s">
        <v>18</v>
      </c>
      <c r="C4076" t="s">
        <v>34</v>
      </c>
      <c r="D4076" t="s">
        <v>53</v>
      </c>
      <c r="E4076" t="s">
        <v>327</v>
      </c>
      <c r="F4076" t="s">
        <v>22</v>
      </c>
      <c r="G4076" t="s">
        <v>23</v>
      </c>
      <c r="H4076" t="s">
        <v>37</v>
      </c>
      <c r="I4076" t="s">
        <v>25</v>
      </c>
      <c r="J4076" s="2">
        <v>45712.529710648138</v>
      </c>
      <c r="K4076">
        <v>24</v>
      </c>
      <c r="L4076">
        <v>2</v>
      </c>
      <c r="M4076">
        <v>2025</v>
      </c>
      <c r="N4076" t="s">
        <v>27</v>
      </c>
      <c r="O4076">
        <v>300</v>
      </c>
      <c r="P4076">
        <v>300</v>
      </c>
      <c r="R4076" s="3" t="str">
        <f>HYPERLINK("https://panda.att.com.mx/ODKServer/view/binaryData?blobKey=FSSuministroFluidosv3%5B%40version%3Dnull+and+%40uiVersion%3Dnull%5D%2Fdata%5B%40key%3Duuid%3A3e2f3d22-9c55-41b6-aedf-ca7c8ff6708b%5D%2FgroupInfoFuel%5B%40ordinal%3D1%5D%2FpicFuelRecibeInterno","Descargar")</f>
        <v>Descargar</v>
      </c>
    </row>
    <row r="4077" spans="1:18" x14ac:dyDescent="0.3">
      <c r="A4077">
        <v>1487508</v>
      </c>
      <c r="B4077" t="s">
        <v>18</v>
      </c>
      <c r="C4077" t="s">
        <v>34</v>
      </c>
      <c r="D4077" t="s">
        <v>121</v>
      </c>
      <c r="E4077" t="s">
        <v>3041</v>
      </c>
      <c r="F4077" t="s">
        <v>22</v>
      </c>
      <c r="G4077" t="s">
        <v>23</v>
      </c>
      <c r="H4077" t="s">
        <v>37</v>
      </c>
      <c r="I4077" t="s">
        <v>25</v>
      </c>
      <c r="J4077" s="2">
        <v>45712.435833333337</v>
      </c>
      <c r="K4077">
        <v>24</v>
      </c>
      <c r="L4077">
        <v>2</v>
      </c>
      <c r="M4077">
        <v>2025</v>
      </c>
      <c r="N4077" t="s">
        <v>27</v>
      </c>
      <c r="O4077">
        <v>500</v>
      </c>
      <c r="P4077">
        <v>500</v>
      </c>
      <c r="R4077" s="3" t="str">
        <f>HYPERLINK("https://panda.att.com.mx/ODKServer/view/binaryData?blobKey=FSSuministroFluidosv3%5B%40version%3Dnull+and+%40uiVersion%3Dnull%5D%2Fdata%5B%40key%3Duuid%3Afd78a3d8-a350-4a45-a8c9-2f85eba71df2%5D%2FgroupInfoFuel%5B%40ordinal%3D1%5D%2FpicFuelRecibeInterno","Descargar")</f>
        <v>Descargar</v>
      </c>
    </row>
    <row r="4078" spans="1:18" x14ac:dyDescent="0.3">
      <c r="A4078">
        <v>1487499</v>
      </c>
      <c r="B4078" t="s">
        <v>18</v>
      </c>
      <c r="C4078" t="s">
        <v>19</v>
      </c>
      <c r="D4078" t="s">
        <v>20</v>
      </c>
      <c r="E4078" t="s">
        <v>166</v>
      </c>
      <c r="F4078" t="s">
        <v>22</v>
      </c>
      <c r="G4078" t="s">
        <v>23</v>
      </c>
      <c r="H4078" t="s">
        <v>24</v>
      </c>
      <c r="I4078" t="s">
        <v>25</v>
      </c>
      <c r="J4078" s="2">
        <v>45712.620520833327</v>
      </c>
      <c r="K4078">
        <v>24</v>
      </c>
      <c r="L4078">
        <v>2</v>
      </c>
      <c r="M4078">
        <v>2025</v>
      </c>
      <c r="N4078" t="s">
        <v>27</v>
      </c>
      <c r="O4078">
        <v>200</v>
      </c>
      <c r="P4078">
        <v>200</v>
      </c>
      <c r="R4078" s="3" t="str">
        <f>HYPERLINK("https://panda.att.com.mx/ODKServer/view/binaryData?blobKey=FSSuministroFluidosv3%5B%40version%3Dnull+and+%40uiVersion%3Dnull%5D%2Fdata%5B%40key%3Duuid%3A159dbde2-abf0-471c-90d9-6d58f52d70dc%5D%2FgroupInfoFuel%5B%40ordinal%3D1%5D%2FpicFuelRecibeInterno","Descargar")</f>
        <v>Descargar</v>
      </c>
    </row>
    <row r="4079" spans="1:18" x14ac:dyDescent="0.3">
      <c r="A4079">
        <v>1487201</v>
      </c>
      <c r="B4079" t="s">
        <v>18</v>
      </c>
      <c r="C4079" t="s">
        <v>55</v>
      </c>
      <c r="D4079" t="s">
        <v>56</v>
      </c>
      <c r="E4079" t="s">
        <v>2199</v>
      </c>
      <c r="F4079" t="s">
        <v>22</v>
      </c>
      <c r="G4079" t="s">
        <v>23</v>
      </c>
      <c r="H4079" t="s">
        <v>1763</v>
      </c>
      <c r="I4079" t="s">
        <v>25</v>
      </c>
      <c r="J4079" s="2">
        <v>45711.481249999997</v>
      </c>
      <c r="K4079">
        <v>23</v>
      </c>
      <c r="L4079">
        <v>2</v>
      </c>
      <c r="M4079">
        <v>2025</v>
      </c>
      <c r="N4079" t="s">
        <v>27</v>
      </c>
      <c r="O4079">
        <v>100</v>
      </c>
      <c r="P4079">
        <v>100</v>
      </c>
      <c r="R4079" s="3" t="str">
        <f>HYPERLINK("https://panda.att.com.mx/ODKServer/view/binaryData?blobKey=FSSuministroFluidosv3%5B%40version%3Dnull+and+%40uiVersion%3Dnull%5D%2Fdata%5B%40key%3Duuid%3Ad8d53011-c1dc-490f-8fe1-68b0b6eb1b5a%5D%2FgroupInfoFuel%5B%40ordinal%3D1%5D%2FpicFuelRecibeInterno","Descargar")</f>
        <v>Descargar</v>
      </c>
    </row>
    <row r="4080" spans="1:18" x14ac:dyDescent="0.3">
      <c r="A4080">
        <v>1487194</v>
      </c>
      <c r="B4080" t="s">
        <v>18</v>
      </c>
      <c r="C4080" t="s">
        <v>55</v>
      </c>
      <c r="D4080" t="s">
        <v>56</v>
      </c>
      <c r="E4080" t="s">
        <v>1555</v>
      </c>
      <c r="F4080" t="s">
        <v>22</v>
      </c>
      <c r="G4080" t="s">
        <v>23</v>
      </c>
      <c r="H4080" t="s">
        <v>1763</v>
      </c>
      <c r="I4080" t="s">
        <v>25</v>
      </c>
      <c r="J4080" s="2">
        <v>45696.548206018517</v>
      </c>
      <c r="K4080">
        <v>8</v>
      </c>
      <c r="L4080">
        <v>2</v>
      </c>
      <c r="M4080">
        <v>2025</v>
      </c>
      <c r="N4080" t="s">
        <v>27</v>
      </c>
      <c r="O4080">
        <v>300</v>
      </c>
      <c r="P4080">
        <v>300</v>
      </c>
      <c r="R4080" s="3" t="str">
        <f>HYPERLINK("https://panda.att.com.mx/ODKServer/view/binaryData?blobKey=FSSuministroFluidosv3%5B%40version%3Dnull+and+%40uiVersion%3Dnull%5D%2Fdata%5B%40key%3Duuid%3A2a03b502-1bfc-4ad8-863b-b371dac714df%5D%2FgroupInfoFuel%5B%40ordinal%3D1%5D%2FpicFuelRecibeInterno","Descargar")</f>
        <v>Descargar</v>
      </c>
    </row>
    <row r="4081" spans="1:18" x14ac:dyDescent="0.3">
      <c r="A4081">
        <v>1487152</v>
      </c>
      <c r="B4081" t="s">
        <v>18</v>
      </c>
      <c r="C4081" t="s">
        <v>19</v>
      </c>
      <c r="D4081" t="s">
        <v>42</v>
      </c>
      <c r="E4081" t="s">
        <v>2281</v>
      </c>
      <c r="F4081" t="s">
        <v>22</v>
      </c>
      <c r="G4081" t="s">
        <v>23</v>
      </c>
      <c r="H4081" t="s">
        <v>24</v>
      </c>
      <c r="I4081" t="s">
        <v>25</v>
      </c>
      <c r="J4081" s="2">
        <v>45712.5471875</v>
      </c>
      <c r="K4081">
        <v>24</v>
      </c>
      <c r="L4081">
        <v>2</v>
      </c>
      <c r="M4081">
        <v>2025</v>
      </c>
      <c r="N4081" t="s">
        <v>44</v>
      </c>
      <c r="O4081">
        <v>30</v>
      </c>
      <c r="P4081">
        <v>30</v>
      </c>
      <c r="R4081" s="3" t="str">
        <f>HYPERLINK("https://panda.att.com.mx/ODKServer/view/binaryData?blobKey=FSSuministroFluidosv3%5B%40version%3Dnull+and+%40uiVersion%3Dnull%5D%2Fdata%5B%40key%3Duuid%3Aab688c49-9dad-4438-82fc-2f8ca48b2bed%5D%2FgroupInfoFuel%5B%40ordinal%3D1%5D%2FpicFuelRecibeInterno","Descargar")</f>
        <v>Descargar</v>
      </c>
    </row>
    <row r="4082" spans="1:18" x14ac:dyDescent="0.3">
      <c r="A4082">
        <v>1487151</v>
      </c>
      <c r="B4082" t="s">
        <v>18</v>
      </c>
      <c r="C4082" t="s">
        <v>19</v>
      </c>
      <c r="D4082" t="s">
        <v>3062</v>
      </c>
      <c r="E4082" t="s">
        <v>3063</v>
      </c>
      <c r="F4082" t="s">
        <v>22</v>
      </c>
      <c r="G4082" t="s">
        <v>23</v>
      </c>
      <c r="H4082" t="s">
        <v>24</v>
      </c>
      <c r="I4082" t="s">
        <v>25</v>
      </c>
      <c r="J4082" s="2">
        <v>45711.819004629629</v>
      </c>
      <c r="K4082">
        <v>23</v>
      </c>
      <c r="L4082">
        <v>2</v>
      </c>
      <c r="M4082">
        <v>2025</v>
      </c>
      <c r="N4082" t="s">
        <v>44</v>
      </c>
      <c r="O4082">
        <v>40</v>
      </c>
      <c r="P4082">
        <v>40</v>
      </c>
      <c r="R4082" s="3" t="str">
        <f>HYPERLINK("https://panda.att.com.mx/ODKServer/view/binaryData?blobKey=FSSuministroFluidosv3%5B%40version%3Dnull+and+%40uiVersion%3Dnull%5D%2Fdata%5B%40key%3Duuid%3Ab5d973b7-27a6-47d3-9f9a-21167569c747%5D%2FgroupInfoFuel%5B%40ordinal%3D1%5D%2FpicFuelRecibeInterno","Descargar")</f>
        <v>Descargar</v>
      </c>
    </row>
    <row r="4083" spans="1:18" x14ac:dyDescent="0.3">
      <c r="A4083">
        <v>1487150</v>
      </c>
      <c r="B4083" t="s">
        <v>18</v>
      </c>
      <c r="C4083" t="s">
        <v>59</v>
      </c>
      <c r="D4083" t="s">
        <v>1745</v>
      </c>
      <c r="E4083" t="s">
        <v>2439</v>
      </c>
      <c r="F4083" t="s">
        <v>22</v>
      </c>
      <c r="G4083" t="s">
        <v>23</v>
      </c>
      <c r="H4083" t="s">
        <v>24</v>
      </c>
      <c r="I4083" t="s">
        <v>25</v>
      </c>
      <c r="J4083" s="2">
        <v>45711.811851851853</v>
      </c>
      <c r="K4083">
        <v>23</v>
      </c>
      <c r="L4083">
        <v>2</v>
      </c>
      <c r="M4083">
        <v>2025</v>
      </c>
      <c r="N4083" t="s">
        <v>44</v>
      </c>
      <c r="O4083">
        <v>30</v>
      </c>
      <c r="P4083">
        <v>30</v>
      </c>
      <c r="R4083" s="3" t="str">
        <f>HYPERLINK("https://panda.att.com.mx/ODKServer/view/binaryData?blobKey=FSSuministroFluidosv3%5B%40version%3Dnull+and+%40uiVersion%3Dnull%5D%2Fdata%5B%40key%3Duuid%3Ac3754681-a68c-4c89-9be0-b3069a8b61d7%5D%2FgroupInfoFuel%5B%40ordinal%3D1%5D%2FpicFuelRecibeInterno","Descargar")</f>
        <v>Descargar</v>
      </c>
    </row>
    <row r="4084" spans="1:18" x14ac:dyDescent="0.3">
      <c r="A4084">
        <v>1487149</v>
      </c>
      <c r="B4084" t="s">
        <v>18</v>
      </c>
      <c r="C4084" t="s">
        <v>59</v>
      </c>
      <c r="D4084" t="s">
        <v>1745</v>
      </c>
      <c r="E4084" t="s">
        <v>1969</v>
      </c>
      <c r="F4084" t="s">
        <v>22</v>
      </c>
      <c r="G4084" t="s">
        <v>23</v>
      </c>
      <c r="H4084" t="s">
        <v>24</v>
      </c>
      <c r="I4084" t="s">
        <v>25</v>
      </c>
      <c r="J4084" s="2">
        <v>45711.803715277783</v>
      </c>
      <c r="K4084">
        <v>23</v>
      </c>
      <c r="L4084">
        <v>2</v>
      </c>
      <c r="M4084">
        <v>2025</v>
      </c>
      <c r="N4084" t="s">
        <v>44</v>
      </c>
      <c r="O4084">
        <v>30</v>
      </c>
      <c r="P4084">
        <v>30</v>
      </c>
      <c r="R4084" s="3" t="str">
        <f>HYPERLINK("https://panda.att.com.mx/ODKServer/view/binaryData?blobKey=FSSuministroFluidosv3%5B%40version%3Dnull+and+%40uiVersion%3Dnull%5D%2Fdata%5B%40key%3Duuid%3A667d01b2-5790-451f-a44d-c60855a415c2%5D%2FgroupInfoFuel%5B%40ordinal%3D1%5D%2FpicFuelRecibeInterno","Descargar")</f>
        <v>Descargar</v>
      </c>
    </row>
    <row r="4085" spans="1:18" x14ac:dyDescent="0.3">
      <c r="A4085">
        <v>1487148</v>
      </c>
      <c r="B4085" t="s">
        <v>18</v>
      </c>
      <c r="C4085" t="s">
        <v>59</v>
      </c>
      <c r="D4085" t="s">
        <v>1745</v>
      </c>
      <c r="E4085" t="s">
        <v>1969</v>
      </c>
      <c r="F4085" t="s">
        <v>22</v>
      </c>
      <c r="G4085" t="s">
        <v>23</v>
      </c>
      <c r="H4085" t="s">
        <v>24</v>
      </c>
      <c r="I4085" t="s">
        <v>25</v>
      </c>
      <c r="J4085" s="2">
        <v>45711.603946759264</v>
      </c>
      <c r="K4085">
        <v>23</v>
      </c>
      <c r="L4085">
        <v>2</v>
      </c>
      <c r="M4085">
        <v>2025</v>
      </c>
      <c r="N4085" t="s">
        <v>44</v>
      </c>
      <c r="O4085">
        <v>40</v>
      </c>
      <c r="P4085">
        <v>40</v>
      </c>
      <c r="R4085" s="3" t="str">
        <f>HYPERLINK("https://panda.att.com.mx/ODKServer/view/binaryData?blobKey=FSSuministroFluidosv3%5B%40version%3Dnull+and+%40uiVersion%3Dnull%5D%2Fdata%5B%40key%3Duuid%3A2b367371-20f7-4669-996f-b3cfe1feb60a%5D%2FgroupInfoFuel%5B%40ordinal%3D1%5D%2FpicFuelRecibeInterno","Descargar")</f>
        <v>Descargar</v>
      </c>
    </row>
    <row r="4086" spans="1:18" x14ac:dyDescent="0.3">
      <c r="A4086">
        <v>1487076</v>
      </c>
      <c r="B4086" t="s">
        <v>18</v>
      </c>
      <c r="C4086" t="s">
        <v>150</v>
      </c>
      <c r="D4086" t="s">
        <v>230</v>
      </c>
      <c r="E4086" t="s">
        <v>1510</v>
      </c>
      <c r="F4086" t="s">
        <v>22</v>
      </c>
      <c r="G4086" t="s">
        <v>23</v>
      </c>
      <c r="H4086" t="s">
        <v>1781</v>
      </c>
      <c r="I4086" t="s">
        <v>25</v>
      </c>
      <c r="J4086" s="2">
        <v>45712.373055555552</v>
      </c>
      <c r="K4086">
        <v>24</v>
      </c>
      <c r="L4086">
        <v>2</v>
      </c>
      <c r="M4086">
        <v>2025</v>
      </c>
      <c r="N4086" t="s">
        <v>27</v>
      </c>
      <c r="O4086">
        <v>300.02999999999997</v>
      </c>
      <c r="P4086">
        <v>300.02999999999997</v>
      </c>
      <c r="R4086" s="3" t="str">
        <f>HYPERLINK("https://panda.att.com.mx/ODKServer/view/binaryData?blobKey=FSSuministroFluidosv3%5B%40version%3Dnull+and+%40uiVersion%3Dnull%5D%2Fdata%5B%40key%3Duuid%3A0659feff-6c8c-40f6-8d6a-9ca51e23ff98%5D%2FgroupInfoFuel%5B%40ordinal%3D1%5D%2FpicFuelRecibeInterno","Descargar")</f>
        <v>Descargar</v>
      </c>
    </row>
    <row r="4087" spans="1:18" x14ac:dyDescent="0.3">
      <c r="A4087">
        <v>1486966</v>
      </c>
      <c r="B4087" t="s">
        <v>18</v>
      </c>
      <c r="C4087" t="s">
        <v>59</v>
      </c>
      <c r="D4087" t="s">
        <v>409</v>
      </c>
      <c r="E4087" t="s">
        <v>3064</v>
      </c>
      <c r="F4087" t="s">
        <v>22</v>
      </c>
      <c r="G4087" t="s">
        <v>23</v>
      </c>
      <c r="H4087" t="s">
        <v>37</v>
      </c>
      <c r="I4087" t="s">
        <v>25</v>
      </c>
      <c r="J4087" s="2">
        <v>45709.572465277779</v>
      </c>
      <c r="K4087">
        <v>21</v>
      </c>
      <c r="L4087">
        <v>2</v>
      </c>
      <c r="M4087">
        <v>2025</v>
      </c>
      <c r="N4087" t="s">
        <v>27</v>
      </c>
      <c r="O4087">
        <v>150</v>
      </c>
      <c r="P4087">
        <v>150</v>
      </c>
      <c r="R4087" s="3" t="str">
        <f>HYPERLINK("https://panda.att.com.mx/ODKServer/view/binaryData?blobKey=FSSuministroFluidosv3%5B%40version%3Dnull+and+%40uiVersion%3Dnull%5D%2Fdata%5B%40key%3Duuid%3Acd9fe959-53b5-4a10-85ab-f2d45b9f40a8%5D%2FgroupInfoFuel%5B%40ordinal%3D1%5D%2FpicFuelRecibeInterno","Descargar")</f>
        <v>Descargar</v>
      </c>
    </row>
    <row r="4088" spans="1:18" x14ac:dyDescent="0.3">
      <c r="A4088">
        <v>1486916</v>
      </c>
      <c r="B4088" t="s">
        <v>18</v>
      </c>
      <c r="C4088" t="s">
        <v>19</v>
      </c>
      <c r="D4088" t="s">
        <v>45</v>
      </c>
      <c r="E4088" t="s">
        <v>905</v>
      </c>
      <c r="F4088" t="s">
        <v>22</v>
      </c>
      <c r="G4088" t="s">
        <v>23</v>
      </c>
      <c r="H4088" t="s">
        <v>24</v>
      </c>
      <c r="I4088" t="s">
        <v>25</v>
      </c>
      <c r="J4088" s="2">
        <v>45710.502662037034</v>
      </c>
      <c r="K4088">
        <v>22</v>
      </c>
      <c r="L4088">
        <v>2</v>
      </c>
      <c r="M4088">
        <v>2025</v>
      </c>
      <c r="N4088" t="s">
        <v>27</v>
      </c>
      <c r="O4088">
        <v>200</v>
      </c>
      <c r="P4088">
        <v>200</v>
      </c>
      <c r="R4088" s="3" t="str">
        <f>HYPERLINK("https://panda.att.com.mx/ODKServer/view/binaryData?blobKey=FSSuministroFluidosv3%5B%40version%3Dnull+and+%40uiVersion%3Dnull%5D%2Fdata%5B%40key%3Duuid%3A8d5e61db-b027-4ee4-8731-6a71b087f8c0%5D%2FgroupInfoFuel%5B%40ordinal%3D1%5D%2FpicFuelRecibeInterno","Descargar")</f>
        <v>Descargar</v>
      </c>
    </row>
    <row r="4089" spans="1:18" x14ac:dyDescent="0.3">
      <c r="A4089">
        <v>1486899</v>
      </c>
      <c r="B4089" t="s">
        <v>18</v>
      </c>
      <c r="C4089" t="s">
        <v>19</v>
      </c>
      <c r="D4089" t="s">
        <v>175</v>
      </c>
      <c r="E4089" t="s">
        <v>263</v>
      </c>
      <c r="F4089" t="s">
        <v>22</v>
      </c>
      <c r="G4089" t="s">
        <v>47</v>
      </c>
      <c r="H4089" t="s">
        <v>24</v>
      </c>
      <c r="I4089" t="s">
        <v>25</v>
      </c>
      <c r="J4089" s="2">
        <v>45712.353391203702</v>
      </c>
      <c r="K4089">
        <v>24</v>
      </c>
      <c r="L4089">
        <v>2</v>
      </c>
      <c r="M4089">
        <v>2025</v>
      </c>
      <c r="N4089" t="s">
        <v>44</v>
      </c>
      <c r="O4089">
        <v>41</v>
      </c>
      <c r="P4089">
        <v>41</v>
      </c>
      <c r="R4089" s="3" t="str">
        <f>HYPERLINK("https://panda.att.com.mx/ODKServer/view/binaryData?blobKey=FSSuministroFluidosv3%5B%40version%3Dnull+and+%40uiVersion%3Dnull%5D%2Fdata%5B%40key%3Duuid%3A24703f4c-55d7-4b76-b85d-89fc728b4974%5D%2FgroupInfoFuel%5B%40ordinal%3D1%5D%2FpicFuelRecibeInterno","Descargar")</f>
        <v>Descargar</v>
      </c>
    </row>
    <row r="4090" spans="1:18" x14ac:dyDescent="0.3">
      <c r="A4090">
        <v>1486894</v>
      </c>
      <c r="B4090" t="s">
        <v>18</v>
      </c>
      <c r="C4090" t="s">
        <v>55</v>
      </c>
      <c r="D4090" t="s">
        <v>288</v>
      </c>
      <c r="E4090" t="s">
        <v>3065</v>
      </c>
      <c r="F4090" t="s">
        <v>22</v>
      </c>
      <c r="G4090" t="s">
        <v>23</v>
      </c>
      <c r="H4090" t="s">
        <v>1763</v>
      </c>
      <c r="I4090" t="s">
        <v>25</v>
      </c>
      <c r="J4090" s="2">
        <v>45712.369722222233</v>
      </c>
      <c r="K4090">
        <v>24</v>
      </c>
      <c r="L4090">
        <v>2</v>
      </c>
      <c r="M4090">
        <v>2025</v>
      </c>
      <c r="N4090" t="s">
        <v>27</v>
      </c>
      <c r="O4090">
        <v>200</v>
      </c>
      <c r="P4090">
        <v>200</v>
      </c>
      <c r="R4090" s="3" t="str">
        <f>HYPERLINK("https://panda.att.com.mx/ODKServer/view/binaryData?blobKey=FSSuministroFluidosv3%5B%40version%3Dnull+and+%40uiVersion%3Dnull%5D%2Fdata%5B%40key%3Duuid%3A899cba58-e961-4844-9dc5-d64214564ddd%5D%2FgroupInfoFuel%5B%40ordinal%3D1%5D%2FpicFuelRecibeInterno","Descargar")</f>
        <v>Descargar</v>
      </c>
    </row>
    <row r="4091" spans="1:18" x14ac:dyDescent="0.3">
      <c r="A4091">
        <v>1486882</v>
      </c>
      <c r="B4091" t="s">
        <v>18</v>
      </c>
      <c r="C4091" t="s">
        <v>55</v>
      </c>
      <c r="D4091" t="s">
        <v>64</v>
      </c>
      <c r="E4091" t="s">
        <v>3053</v>
      </c>
      <c r="F4091" t="s">
        <v>22</v>
      </c>
      <c r="G4091" t="s">
        <v>23</v>
      </c>
      <c r="H4091" t="s">
        <v>1763</v>
      </c>
      <c r="I4091" t="s">
        <v>25</v>
      </c>
      <c r="J4091" s="2">
        <v>45712.344259259262</v>
      </c>
      <c r="K4091">
        <v>24</v>
      </c>
      <c r="L4091">
        <v>2</v>
      </c>
      <c r="M4091">
        <v>2025</v>
      </c>
      <c r="N4091" t="s">
        <v>27</v>
      </c>
      <c r="O4091">
        <v>250</v>
      </c>
      <c r="P4091">
        <v>250</v>
      </c>
      <c r="R4091" s="3" t="str">
        <f>HYPERLINK("https://panda.att.com.mx/ODKServer/view/binaryData?blobKey=FSSuministroFluidosv3%5B%40version%3Dnull+and+%40uiVersion%3Dnull%5D%2Fdata%5B%40key%3Duuid%3A5f72b9f5-e02a-41f4-829c-2eecb5ce27c8%5D%2FgroupInfoFuel%5B%40ordinal%3D1%5D%2FpicFuelRecibeInterno","Descargar")</f>
        <v>Descargar</v>
      </c>
    </row>
    <row r="4092" spans="1:18" x14ac:dyDescent="0.3">
      <c r="A4092">
        <v>1486881</v>
      </c>
      <c r="B4092" t="s">
        <v>18</v>
      </c>
      <c r="C4092" t="s">
        <v>55</v>
      </c>
      <c r="D4092" t="s">
        <v>288</v>
      </c>
      <c r="E4092" t="s">
        <v>3066</v>
      </c>
      <c r="F4092" t="s">
        <v>22</v>
      </c>
      <c r="G4092" t="s">
        <v>23</v>
      </c>
      <c r="H4092" t="s">
        <v>1763</v>
      </c>
      <c r="I4092" t="s">
        <v>25</v>
      </c>
      <c r="J4092" s="2">
        <v>45712.34847222222</v>
      </c>
      <c r="K4092">
        <v>24</v>
      </c>
      <c r="L4092">
        <v>2</v>
      </c>
      <c r="M4092">
        <v>2025</v>
      </c>
      <c r="N4092" t="s">
        <v>27</v>
      </c>
      <c r="O4092">
        <v>300</v>
      </c>
      <c r="P4092">
        <v>300</v>
      </c>
      <c r="R4092" s="3" t="str">
        <f>HYPERLINK("https://panda.att.com.mx/ODKServer/view/binaryData?blobKey=FSSuministroFluidosv3%5B%40version%3Dnull+and+%40uiVersion%3Dnull%5D%2Fdata%5B%40key%3Duuid%3A317decfb-b725-448e-a6d2-506f67aa5f5e%5D%2FgroupInfoFuel%5B%40ordinal%3D1%5D%2FpicFuelRecibeInterno","Descargar")</f>
        <v>Descargar</v>
      </c>
    </row>
    <row r="4093" spans="1:18" x14ac:dyDescent="0.3">
      <c r="A4093">
        <v>1486851</v>
      </c>
      <c r="B4093" t="s">
        <v>18</v>
      </c>
      <c r="C4093" t="s">
        <v>100</v>
      </c>
      <c r="D4093" t="s">
        <v>716</v>
      </c>
      <c r="E4093" t="s">
        <v>717</v>
      </c>
      <c r="F4093" t="s">
        <v>22</v>
      </c>
      <c r="G4093" t="s">
        <v>83</v>
      </c>
      <c r="H4093" t="s">
        <v>1781</v>
      </c>
      <c r="I4093" t="s">
        <v>25</v>
      </c>
      <c r="J4093" s="2">
        <v>45712.017870370371</v>
      </c>
      <c r="K4093">
        <v>24</v>
      </c>
      <c r="L4093">
        <v>2</v>
      </c>
      <c r="M4093">
        <v>2025</v>
      </c>
      <c r="N4093" t="s">
        <v>27</v>
      </c>
      <c r="O4093">
        <v>127</v>
      </c>
      <c r="P4093">
        <v>127</v>
      </c>
      <c r="R4093" s="3" t="str">
        <f>HYPERLINK("https://panda.att.com.mx/ODKServer/view/binaryData?blobKey=FSSuministroFluidosv3%5B%40version%3Dnull+and+%40uiVersion%3Dnull%5D%2Fdata%5B%40key%3Duuid%3A8fe3da5a-44db-49fe-94e7-a4c8a5e93f2a%5D%2FgroupInfoFuel%5B%40ordinal%3D1%5D%2FpicFuelRecibeInterno","Descargar")</f>
        <v>Descargar</v>
      </c>
    </row>
    <row r="4094" spans="1:18" x14ac:dyDescent="0.3">
      <c r="A4094">
        <v>1486755</v>
      </c>
      <c r="B4094" t="s">
        <v>18</v>
      </c>
      <c r="C4094" t="s">
        <v>19</v>
      </c>
      <c r="D4094" t="s">
        <v>45</v>
      </c>
      <c r="E4094" t="s">
        <v>130</v>
      </c>
      <c r="F4094" t="s">
        <v>22</v>
      </c>
      <c r="G4094" t="s">
        <v>23</v>
      </c>
      <c r="H4094" t="s">
        <v>24</v>
      </c>
      <c r="I4094" t="s">
        <v>25</v>
      </c>
      <c r="J4094" s="2">
        <v>45711.624050925922</v>
      </c>
      <c r="K4094">
        <v>23</v>
      </c>
      <c r="L4094">
        <v>2</v>
      </c>
      <c r="M4094">
        <v>2025</v>
      </c>
      <c r="N4094" t="s">
        <v>27</v>
      </c>
      <c r="O4094">
        <v>200</v>
      </c>
      <c r="P4094">
        <v>200</v>
      </c>
      <c r="R4094" s="3" t="str">
        <f>HYPERLINK("https://panda.att.com.mx/ODKServer/view/binaryData?blobKey=FSSuministroFluidosv3%5B%40version%3Dnull+and+%40uiVersion%3Dnull%5D%2Fdata%5B%40key%3Duuid%3A19664fac-14b6-4ca1-ae52-dd3e0f541d5d%5D%2FgroupInfoFuel%5B%40ordinal%3D1%5D%2FpicFuelRecibeInterno","Descargar")</f>
        <v>Descargar</v>
      </c>
    </row>
    <row r="4095" spans="1:18" x14ac:dyDescent="0.3">
      <c r="A4095">
        <v>1486747</v>
      </c>
      <c r="B4095" t="s">
        <v>18</v>
      </c>
      <c r="C4095" t="s">
        <v>19</v>
      </c>
      <c r="D4095" t="s">
        <v>45</v>
      </c>
      <c r="E4095" t="s">
        <v>1636</v>
      </c>
      <c r="F4095" t="s">
        <v>22</v>
      </c>
      <c r="G4095" t="s">
        <v>23</v>
      </c>
      <c r="H4095" t="s">
        <v>24</v>
      </c>
      <c r="I4095" t="s">
        <v>25</v>
      </c>
      <c r="J4095" s="2">
        <v>45711.620891203696</v>
      </c>
      <c r="K4095">
        <v>23</v>
      </c>
      <c r="L4095">
        <v>2</v>
      </c>
      <c r="M4095">
        <v>2025</v>
      </c>
      <c r="N4095" t="s">
        <v>27</v>
      </c>
      <c r="O4095">
        <v>200</v>
      </c>
      <c r="P4095">
        <v>200</v>
      </c>
      <c r="R4095" s="3" t="str">
        <f>HYPERLINK("https://panda.att.com.mx/ODKServer/view/binaryData?blobKey=FSSuministroFluidosv3%5B%40version%3Dnull+and+%40uiVersion%3Dnull%5D%2Fdata%5B%40key%3Duuid%3A5287a81b-ac07-4f7a-97db-9c6b41855b46%5D%2FgroupInfoFuel%5B%40ordinal%3D1%5D%2FpicFuelRecibeInterno","Descargar")</f>
        <v>Descargar</v>
      </c>
    </row>
    <row r="4096" spans="1:18" x14ac:dyDescent="0.3">
      <c r="A4096">
        <v>1486737</v>
      </c>
      <c r="B4096" t="s">
        <v>18</v>
      </c>
      <c r="C4096" t="s">
        <v>100</v>
      </c>
      <c r="D4096" t="s">
        <v>651</v>
      </c>
      <c r="E4096" t="s">
        <v>1833</v>
      </c>
      <c r="F4096" t="s">
        <v>22</v>
      </c>
      <c r="G4096" t="s">
        <v>83</v>
      </c>
      <c r="H4096" t="s">
        <v>1781</v>
      </c>
      <c r="I4096" t="s">
        <v>25</v>
      </c>
      <c r="J4096" s="2">
        <v>45711.513009259259</v>
      </c>
      <c r="K4096">
        <v>23</v>
      </c>
      <c r="L4096">
        <v>2</v>
      </c>
      <c r="M4096">
        <v>2025</v>
      </c>
      <c r="N4096" t="s">
        <v>44</v>
      </c>
      <c r="O4096">
        <v>60</v>
      </c>
      <c r="P4096">
        <v>60</v>
      </c>
      <c r="R4096" s="3" t="str">
        <f>HYPERLINK("https://panda.att.com.mx/ODKServer/view/binaryData?blobKey=FSSuministroFluidosv3%5B%40version%3Dnull+and+%40uiVersion%3Dnull%5D%2Fdata%5B%40key%3Duuid%3A120146c8-f8de-4557-9d7d-4d6ff4dcc46e%5D%2FgroupInfoFuel%5B%40ordinal%3D1%5D%2FpicFuelRecibeInterno","Descargar")</f>
        <v>Descargar</v>
      </c>
    </row>
    <row r="4097" spans="1:18" x14ac:dyDescent="0.3">
      <c r="A4097">
        <v>1486735</v>
      </c>
      <c r="B4097" t="s">
        <v>18</v>
      </c>
      <c r="C4097" t="s">
        <v>28</v>
      </c>
      <c r="D4097" t="s">
        <v>181</v>
      </c>
      <c r="E4097" t="s">
        <v>3067</v>
      </c>
      <c r="F4097" t="s">
        <v>22</v>
      </c>
      <c r="G4097" t="s">
        <v>23</v>
      </c>
      <c r="H4097" t="s">
        <v>24</v>
      </c>
      <c r="I4097" t="s">
        <v>25</v>
      </c>
      <c r="J4097" s="2">
        <v>45692.92931712963</v>
      </c>
      <c r="K4097">
        <v>4</v>
      </c>
      <c r="L4097">
        <v>2</v>
      </c>
      <c r="M4097">
        <v>2025</v>
      </c>
      <c r="N4097" t="s">
        <v>44</v>
      </c>
      <c r="O4097">
        <v>50</v>
      </c>
      <c r="P4097">
        <v>50</v>
      </c>
      <c r="R4097" s="3" t="str">
        <f>HYPERLINK("https://panda.att.com.mx/ODKServer/view/binaryData?blobKey=FSSuministroFluidosv3%5B%40version%3Dnull+and+%40uiVersion%3Dnull%5D%2Fdata%5B%40key%3Duuid%3A40461f97-17ba-429b-9784-b90825a92ed2%5D%2FgroupInfoFuel%5B%40ordinal%3D1%5D%2FpicFuelRecibeInterno","Descargar")</f>
        <v>Descargar</v>
      </c>
    </row>
    <row r="4098" spans="1:18" x14ac:dyDescent="0.3">
      <c r="A4098">
        <v>1486730</v>
      </c>
      <c r="B4098" t="s">
        <v>18</v>
      </c>
      <c r="C4098" t="s">
        <v>19</v>
      </c>
      <c r="D4098" t="s">
        <v>175</v>
      </c>
      <c r="E4098" t="s">
        <v>263</v>
      </c>
      <c r="F4098" t="s">
        <v>22</v>
      </c>
      <c r="G4098" t="s">
        <v>47</v>
      </c>
      <c r="H4098" t="s">
        <v>24</v>
      </c>
      <c r="I4098" t="s">
        <v>25</v>
      </c>
      <c r="J4098" s="2">
        <v>45709.887812499997</v>
      </c>
      <c r="K4098">
        <v>21</v>
      </c>
      <c r="L4098">
        <v>2</v>
      </c>
      <c r="M4098">
        <v>2025</v>
      </c>
      <c r="N4098" t="s">
        <v>44</v>
      </c>
      <c r="O4098">
        <v>30</v>
      </c>
      <c r="P4098">
        <v>30</v>
      </c>
      <c r="R4098" s="3" t="str">
        <f>HYPERLINK("https://panda.att.com.mx/ODKServer/view/binaryData?blobKey=FSSuministroFluidosv3%5B%40version%3Dnull+and+%40uiVersion%3Dnull%5D%2Fdata%5B%40key%3Duuid%3Abf95034f-d6ed-47e7-85c9-e5872cb34c89%5D%2FgroupInfoFuel%5B%40ordinal%3D1%5D%2FpicFuelRecibeInterno","Descargar")</f>
        <v>Descargar</v>
      </c>
    </row>
    <row r="4099" spans="1:18" x14ac:dyDescent="0.3">
      <c r="A4099">
        <v>1486717</v>
      </c>
      <c r="B4099" t="s">
        <v>18</v>
      </c>
      <c r="C4099" t="s">
        <v>19</v>
      </c>
      <c r="D4099" t="s">
        <v>189</v>
      </c>
      <c r="E4099" t="s">
        <v>3050</v>
      </c>
      <c r="F4099" t="s">
        <v>22</v>
      </c>
      <c r="G4099" t="s">
        <v>23</v>
      </c>
      <c r="H4099" t="s">
        <v>24</v>
      </c>
      <c r="I4099" t="s">
        <v>25</v>
      </c>
      <c r="J4099" s="2">
        <v>45710.483310185176</v>
      </c>
      <c r="K4099">
        <v>22</v>
      </c>
      <c r="L4099">
        <v>2</v>
      </c>
      <c r="M4099">
        <v>2025</v>
      </c>
      <c r="N4099" t="s">
        <v>27</v>
      </c>
      <c r="O4099">
        <v>300</v>
      </c>
      <c r="P4099">
        <v>300</v>
      </c>
      <c r="R4099" s="3" t="str">
        <f>HYPERLINK("https://panda.att.com.mx/ODKServer/view/binaryData?blobKey=FSSuministroFluidosv3%5B%40version%3Dnull+and+%40uiVersion%3Dnull%5D%2Fdata%5B%40key%3Duuid%3A37f9a27d-0ac4-406a-b66e-81df35f5e4cb%5D%2FgroupInfoFuel%5B%40ordinal%3D1%5D%2FpicFuelRecibeInterno","Descargar")</f>
        <v>Descargar</v>
      </c>
    </row>
    <row r="4100" spans="1:18" x14ac:dyDescent="0.3">
      <c r="A4100">
        <v>1486160</v>
      </c>
      <c r="B4100" t="s">
        <v>18</v>
      </c>
      <c r="C4100" t="s">
        <v>68</v>
      </c>
      <c r="D4100" t="s">
        <v>116</v>
      </c>
      <c r="E4100" t="s">
        <v>3068</v>
      </c>
      <c r="G4100" t="s">
        <v>83</v>
      </c>
      <c r="H4100" t="s">
        <v>37</v>
      </c>
      <c r="I4100" t="s">
        <v>25</v>
      </c>
      <c r="J4100" s="2">
        <v>45709.412743055553</v>
      </c>
      <c r="K4100">
        <v>21</v>
      </c>
      <c r="L4100">
        <v>2</v>
      </c>
      <c r="M4100">
        <v>2025</v>
      </c>
      <c r="N4100" t="s">
        <v>27</v>
      </c>
      <c r="O4100">
        <v>400</v>
      </c>
      <c r="Q4100">
        <v>400</v>
      </c>
      <c r="R4100" s="3" t="str">
        <f>HYPERLINK("https://panda.att.com.mx/ODKServer/view/binaryData?blobKey=FSSuministroFluidosv3%5B%40version%3Dnull+and+%40uiVersion%3Dnull%5D%2Fdata%5B%40key%3Duuid%3Adff4f341-b493-40b8-a700-afb06033f975%5D%2FgroupInfoFuel%5B%40ordinal%3D1%5D%2FpicFuelRecibeInterno","Descargar")</f>
        <v>Descargar</v>
      </c>
    </row>
    <row r="4101" spans="1:18" x14ac:dyDescent="0.3">
      <c r="A4101">
        <v>1486125</v>
      </c>
      <c r="B4101" t="s">
        <v>18</v>
      </c>
      <c r="C4101" t="s">
        <v>34</v>
      </c>
      <c r="D4101" t="s">
        <v>53</v>
      </c>
      <c r="E4101" t="s">
        <v>3069</v>
      </c>
      <c r="F4101" t="s">
        <v>22</v>
      </c>
      <c r="G4101" t="s">
        <v>23</v>
      </c>
      <c r="H4101" t="s">
        <v>37</v>
      </c>
      <c r="I4101" t="s">
        <v>25</v>
      </c>
      <c r="J4101" s="2">
        <v>45709.492013888892</v>
      </c>
      <c r="K4101">
        <v>21</v>
      </c>
      <c r="L4101">
        <v>2</v>
      </c>
      <c r="M4101">
        <v>2025</v>
      </c>
      <c r="N4101" t="s">
        <v>27</v>
      </c>
      <c r="O4101">
        <v>250</v>
      </c>
      <c r="P4101">
        <v>250</v>
      </c>
      <c r="R4101" s="3" t="str">
        <f>HYPERLINK("https://panda.att.com.mx/ODKServer/view/binaryData?blobKey=FSSuministroFluidosv3%5B%40version%3Dnull+and+%40uiVersion%3Dnull%5D%2Fdata%5B%40key%3Duuid%3A1574d6aa-f173-4d13-8666-1ecd6df1237a%5D%2FgroupInfoFuel%5B%40ordinal%3D1%5D%2FpicFuelRecibeInterno","Descargar")</f>
        <v>Descargar</v>
      </c>
    </row>
    <row r="4102" spans="1:18" x14ac:dyDescent="0.3">
      <c r="A4102">
        <v>1486069</v>
      </c>
      <c r="B4102" t="s">
        <v>18</v>
      </c>
      <c r="C4102" t="s">
        <v>28</v>
      </c>
      <c r="D4102" t="s">
        <v>513</v>
      </c>
      <c r="E4102" t="s">
        <v>3070</v>
      </c>
      <c r="F4102" t="s">
        <v>22</v>
      </c>
      <c r="G4102" t="s">
        <v>23</v>
      </c>
      <c r="H4102" t="s">
        <v>24</v>
      </c>
      <c r="I4102" t="s">
        <v>25</v>
      </c>
      <c r="J4102" s="2">
        <v>45709.398460648154</v>
      </c>
      <c r="K4102">
        <v>21</v>
      </c>
      <c r="L4102">
        <v>2</v>
      </c>
      <c r="M4102">
        <v>2025</v>
      </c>
      <c r="N4102" t="s">
        <v>27</v>
      </c>
      <c r="O4102">
        <v>350</v>
      </c>
      <c r="P4102">
        <v>350</v>
      </c>
      <c r="R4102" s="3" t="str">
        <f>HYPERLINK("https://panda.att.com.mx/ODKServer/view/binaryData?blobKey=FSSuministroFluidosv3%5B%40version%3Dnull+and+%40uiVersion%3Dnull%5D%2Fdata%5B%40key%3Duuid%3Aec59d5d3-42e0-47a6-bce7-f6d3be67cfc6%5D%2FgroupInfoFuel%5B%40ordinal%3D1%5D%2FpicFuelRecibeInterno","Descargar")</f>
        <v>Descargar</v>
      </c>
    </row>
    <row r="4103" spans="1:18" x14ac:dyDescent="0.3">
      <c r="A4103">
        <v>1486010</v>
      </c>
      <c r="B4103" t="s">
        <v>18</v>
      </c>
      <c r="C4103" t="s">
        <v>28</v>
      </c>
      <c r="D4103" t="s">
        <v>66</v>
      </c>
      <c r="E4103" t="s">
        <v>655</v>
      </c>
      <c r="F4103" t="s">
        <v>22</v>
      </c>
      <c r="G4103" t="s">
        <v>47</v>
      </c>
      <c r="H4103" t="s">
        <v>24</v>
      </c>
      <c r="I4103" t="s">
        <v>25</v>
      </c>
      <c r="J4103" s="2">
        <v>45709.512349537043</v>
      </c>
      <c r="K4103">
        <v>21</v>
      </c>
      <c r="L4103">
        <v>2</v>
      </c>
      <c r="M4103">
        <v>2025</v>
      </c>
      <c r="N4103" t="s">
        <v>44</v>
      </c>
      <c r="O4103">
        <v>40</v>
      </c>
      <c r="P4103">
        <v>40</v>
      </c>
      <c r="R4103" s="3" t="str">
        <f>HYPERLINK("https://panda.att.com.mx/ODKServer/view/binaryData?blobKey=FSSuministroFluidosv3%5B%40version%3Dnull+and+%40uiVersion%3Dnull%5D%2Fdata%5B%40key%3Duuid%3Aeb3e080e-de8b-4730-afa1-2626887ef6ed%5D%2FgroupInfoFuel%5B%40ordinal%3D1%5D%2FpicFuelRecibeInterno","Descargar")</f>
        <v>Descargar</v>
      </c>
    </row>
    <row r="4104" spans="1:18" x14ac:dyDescent="0.3">
      <c r="A4104">
        <v>1486004</v>
      </c>
      <c r="B4104" t="s">
        <v>18</v>
      </c>
      <c r="C4104" t="s">
        <v>100</v>
      </c>
      <c r="D4104" t="s">
        <v>651</v>
      </c>
      <c r="E4104" t="s">
        <v>1833</v>
      </c>
      <c r="F4104" t="s">
        <v>22</v>
      </c>
      <c r="G4104" t="s">
        <v>83</v>
      </c>
      <c r="H4104" t="s">
        <v>1781</v>
      </c>
      <c r="I4104" t="s">
        <v>25</v>
      </c>
      <c r="J4104" s="2">
        <v>45709.575312499997</v>
      </c>
      <c r="K4104">
        <v>21</v>
      </c>
      <c r="L4104">
        <v>2</v>
      </c>
      <c r="M4104">
        <v>2025</v>
      </c>
      <c r="N4104" t="s">
        <v>27</v>
      </c>
      <c r="O4104">
        <v>200</v>
      </c>
      <c r="P4104">
        <v>200</v>
      </c>
      <c r="R4104" s="3" t="str">
        <f>HYPERLINK("https://panda.att.com.mx/ODKServer/view/binaryData?blobKey=FSSuministroFluidosv3%5B%40version%3Dnull+and+%40uiVersion%3Dnull%5D%2Fdata%5B%40key%3Duuid%3Aad9728e6-06c4-4c7a-9cfa-df88dcb64e82%5D%2FgroupInfoFuel%5B%40ordinal%3D1%5D%2FpicFuelRecibeInterno","Descargar")</f>
        <v>Descargar</v>
      </c>
    </row>
    <row r="4105" spans="1:18" x14ac:dyDescent="0.3">
      <c r="A4105">
        <v>1485977</v>
      </c>
      <c r="B4105" t="s">
        <v>18</v>
      </c>
      <c r="C4105" t="s">
        <v>150</v>
      </c>
      <c r="D4105" t="s">
        <v>230</v>
      </c>
      <c r="E4105" t="s">
        <v>3071</v>
      </c>
      <c r="F4105" t="s">
        <v>22</v>
      </c>
      <c r="G4105" t="s">
        <v>23</v>
      </c>
      <c r="H4105" t="s">
        <v>1781</v>
      </c>
      <c r="I4105" t="s">
        <v>25</v>
      </c>
      <c r="J4105" s="2">
        <v>45709.553506944438</v>
      </c>
      <c r="K4105">
        <v>21</v>
      </c>
      <c r="L4105">
        <v>2</v>
      </c>
      <c r="M4105">
        <v>2025</v>
      </c>
      <c r="N4105" t="s">
        <v>27</v>
      </c>
      <c r="O4105">
        <v>80</v>
      </c>
      <c r="P4105">
        <v>80</v>
      </c>
      <c r="R4105" s="3" t="str">
        <f>HYPERLINK("https://panda.att.com.mx/ODKServer/view/binaryData?blobKey=FSSuministroFluidosv3%5B%40version%3Dnull+and+%40uiVersion%3Dnull%5D%2Fdata%5B%40key%3Duuid%3A2df04966-dc4b-4c14-aa98-a95b101f4ac9%5D%2FgroupInfoFuel%5B%40ordinal%3D1%5D%2FpicFuelRecibeInterno","Descargar")</f>
        <v>Descargar</v>
      </c>
    </row>
    <row r="4106" spans="1:18" x14ac:dyDescent="0.3">
      <c r="A4106">
        <v>1485969</v>
      </c>
      <c r="B4106" t="s">
        <v>18</v>
      </c>
      <c r="C4106" t="s">
        <v>28</v>
      </c>
      <c r="D4106" t="s">
        <v>66</v>
      </c>
      <c r="E4106" t="s">
        <v>3047</v>
      </c>
      <c r="F4106" t="s">
        <v>22</v>
      </c>
      <c r="G4106" t="s">
        <v>47</v>
      </c>
      <c r="H4106" t="s">
        <v>24</v>
      </c>
      <c r="I4106" t="s">
        <v>25</v>
      </c>
      <c r="J4106" s="2">
        <v>45709.513437499998</v>
      </c>
      <c r="K4106">
        <v>21</v>
      </c>
      <c r="L4106">
        <v>2</v>
      </c>
      <c r="M4106">
        <v>2025</v>
      </c>
      <c r="N4106" t="s">
        <v>44</v>
      </c>
      <c r="O4106">
        <v>40</v>
      </c>
      <c r="P4106">
        <v>40</v>
      </c>
      <c r="R4106" s="3" t="str">
        <f>HYPERLINK("https://panda.att.com.mx/ODKServer/view/binaryData?blobKey=FSSuministroFluidosv3%5B%40version%3Dnull+and+%40uiVersion%3Dnull%5D%2Fdata%5B%40key%3Duuid%3Acfe8388d-832a-48fb-803f-35a0e790096e%5D%2FgroupInfoFuel%5B%40ordinal%3D1%5D%2FpicFuelRecibeInterno","Descargar")</f>
        <v>Descargar</v>
      </c>
    </row>
    <row r="4107" spans="1:18" x14ac:dyDescent="0.3">
      <c r="A4107">
        <v>1485947</v>
      </c>
      <c r="B4107" t="s">
        <v>18</v>
      </c>
      <c r="C4107" t="s">
        <v>150</v>
      </c>
      <c r="D4107" t="s">
        <v>230</v>
      </c>
      <c r="E4107" t="s">
        <v>1509</v>
      </c>
      <c r="F4107" t="s">
        <v>22</v>
      </c>
      <c r="G4107" t="s">
        <v>23</v>
      </c>
      <c r="H4107" t="s">
        <v>1781</v>
      </c>
      <c r="I4107" t="s">
        <v>25</v>
      </c>
      <c r="J4107" s="2">
        <v>45709.469270833331</v>
      </c>
      <c r="K4107">
        <v>21</v>
      </c>
      <c r="L4107">
        <v>2</v>
      </c>
      <c r="M4107">
        <v>2025</v>
      </c>
      <c r="N4107" t="s">
        <v>27</v>
      </c>
      <c r="O4107">
        <v>150.04</v>
      </c>
      <c r="P4107">
        <v>150.04</v>
      </c>
      <c r="R4107" s="3" t="str">
        <f>HYPERLINK("https://panda.att.com.mx/ODKServer/view/binaryData?blobKey=FSSuministroFluidosv3%5B%40version%3Dnull+and+%40uiVersion%3Dnull%5D%2Fdata%5B%40key%3Duuid%3A5be8599e-5b36-4f6e-ad1d-b8e6006e39c1%5D%2FgroupInfoFuel%5B%40ordinal%3D1%5D%2FpicFuelRecibeInterno","Descargar")</f>
        <v>Descargar</v>
      </c>
    </row>
    <row r="4108" spans="1:18" x14ac:dyDescent="0.3">
      <c r="A4108">
        <v>1485879</v>
      </c>
      <c r="B4108" t="s">
        <v>18</v>
      </c>
      <c r="C4108" t="s">
        <v>34</v>
      </c>
      <c r="D4108" t="s">
        <v>121</v>
      </c>
      <c r="E4108" t="s">
        <v>3041</v>
      </c>
      <c r="F4108" t="s">
        <v>22</v>
      </c>
      <c r="G4108" t="s">
        <v>23</v>
      </c>
      <c r="H4108" t="s">
        <v>37</v>
      </c>
      <c r="I4108" t="s">
        <v>25</v>
      </c>
      <c r="J4108" s="2">
        <v>45709.428576388891</v>
      </c>
      <c r="K4108">
        <v>21</v>
      </c>
      <c r="L4108">
        <v>2</v>
      </c>
      <c r="M4108">
        <v>2025</v>
      </c>
      <c r="N4108" t="s">
        <v>27</v>
      </c>
      <c r="O4108">
        <v>150</v>
      </c>
      <c r="P4108">
        <v>150</v>
      </c>
      <c r="R4108" s="3" t="str">
        <f>HYPERLINK("https://panda.att.com.mx/ODKServer/view/binaryData?blobKey=FSSuministroFluidosv3%5B%40version%3Dnull+and+%40uiVersion%3Dnull%5D%2Fdata%5B%40key%3Duuid%3A34d4d321-4c5f-493f-b66f-0495aef8eccd%5D%2FgroupInfoFuel%5B%40ordinal%3D1%5D%2FpicFuelRecibeInterno","Descargar")</f>
        <v>Descargar</v>
      </c>
    </row>
    <row r="4109" spans="1:18" x14ac:dyDescent="0.3">
      <c r="A4109">
        <v>1485838</v>
      </c>
      <c r="B4109" t="s">
        <v>18</v>
      </c>
      <c r="C4109" t="s">
        <v>28</v>
      </c>
      <c r="D4109" t="s">
        <v>66</v>
      </c>
      <c r="E4109" t="s">
        <v>931</v>
      </c>
      <c r="F4109" t="s">
        <v>22</v>
      </c>
      <c r="G4109" t="s">
        <v>47</v>
      </c>
      <c r="H4109" t="s">
        <v>24</v>
      </c>
      <c r="I4109" t="s">
        <v>25</v>
      </c>
      <c r="J4109" s="2">
        <v>45709.290462962963</v>
      </c>
      <c r="K4109">
        <v>21</v>
      </c>
      <c r="L4109">
        <v>2</v>
      </c>
      <c r="M4109">
        <v>2025</v>
      </c>
      <c r="N4109" t="s">
        <v>27</v>
      </c>
      <c r="O4109">
        <v>600</v>
      </c>
      <c r="P4109">
        <v>600</v>
      </c>
      <c r="R4109" s="3" t="str">
        <f>HYPERLINK("https://panda.att.com.mx/ODKServer/view/binaryData?blobKey=FSSuministroFluidosv3%5B%40version%3Dnull+and+%40uiVersion%3Dnull%5D%2Fdata%5B%40key%3Duuid%3Abad3e159-68c2-4279-af14-ea80a67f992e%5D%2FgroupInfoFuel%5B%40ordinal%3D1%5D%2FpicFuelRecibeInterno","Descargar")</f>
        <v>Descargar</v>
      </c>
    </row>
    <row r="4110" spans="1:18" x14ac:dyDescent="0.3">
      <c r="A4110">
        <v>1485802</v>
      </c>
      <c r="B4110" t="s">
        <v>18</v>
      </c>
      <c r="C4110" t="s">
        <v>59</v>
      </c>
      <c r="D4110" t="s">
        <v>60</v>
      </c>
      <c r="E4110" t="s">
        <v>2207</v>
      </c>
      <c r="F4110" t="s">
        <v>22</v>
      </c>
      <c r="G4110" t="s">
        <v>23</v>
      </c>
      <c r="H4110" t="s">
        <v>37</v>
      </c>
      <c r="I4110" t="s">
        <v>25</v>
      </c>
      <c r="J4110" s="2">
        <v>45707.788761574076</v>
      </c>
      <c r="K4110">
        <v>19</v>
      </c>
      <c r="L4110">
        <v>2</v>
      </c>
      <c r="M4110">
        <v>2025</v>
      </c>
      <c r="N4110" t="s">
        <v>27</v>
      </c>
      <c r="O4110">
        <v>130</v>
      </c>
      <c r="P4110">
        <v>130</v>
      </c>
      <c r="R4110" s="3" t="str">
        <f>HYPERLINK("https://panda.att.com.mx/ODKServer/view/binaryData?blobKey=FSSuministroFluidosv3%5B%40version%3Dnull+and+%40uiVersion%3Dnull%5D%2Fdata%5B%40key%3Duuid%3A32a7f3b7-0832-4d4e-b83a-3c2e27cd24de%5D%2FgroupInfoFuel%5B%40ordinal%3D1%5D%2FpicFuelRecibeInterno","Descargar")</f>
        <v>Descargar</v>
      </c>
    </row>
    <row r="4111" spans="1:18" x14ac:dyDescent="0.3">
      <c r="A4111">
        <v>1485781</v>
      </c>
      <c r="B4111" t="s">
        <v>18</v>
      </c>
      <c r="C4111" t="s">
        <v>150</v>
      </c>
      <c r="D4111" t="s">
        <v>230</v>
      </c>
      <c r="E4111" t="s">
        <v>1510</v>
      </c>
      <c r="F4111" t="s">
        <v>22</v>
      </c>
      <c r="G4111" t="s">
        <v>23</v>
      </c>
      <c r="H4111" t="s">
        <v>1781</v>
      </c>
      <c r="I4111" t="s">
        <v>25</v>
      </c>
      <c r="J4111" s="2">
        <v>45709.387719907398</v>
      </c>
      <c r="K4111">
        <v>21</v>
      </c>
      <c r="L4111">
        <v>2</v>
      </c>
      <c r="M4111">
        <v>2025</v>
      </c>
      <c r="N4111" t="s">
        <v>27</v>
      </c>
      <c r="O4111">
        <v>250</v>
      </c>
      <c r="P4111">
        <v>250</v>
      </c>
      <c r="R4111" s="3" t="str">
        <f>HYPERLINK("https://panda.att.com.mx/ODKServer/view/binaryData?blobKey=FSSuministroFluidosv3%5B%40version%3Dnull+and+%40uiVersion%3Dnull%5D%2Fdata%5B%40key%3Duuid%3A680cc55c-ce38-43e6-ab7e-396c09497602%5D%2FgroupInfoFuel%5B%40ordinal%3D1%5D%2FpicFuelRecibeInterno","Descargar")</f>
        <v>Descargar</v>
      </c>
    </row>
    <row r="4112" spans="1:18" x14ac:dyDescent="0.3">
      <c r="A4112">
        <v>1485761</v>
      </c>
      <c r="B4112" t="s">
        <v>18</v>
      </c>
      <c r="C4112" t="s">
        <v>59</v>
      </c>
      <c r="D4112" t="s">
        <v>60</v>
      </c>
      <c r="E4112" t="s">
        <v>2738</v>
      </c>
      <c r="F4112" t="s">
        <v>22</v>
      </c>
      <c r="G4112" t="s">
        <v>23</v>
      </c>
      <c r="H4112" t="s">
        <v>37</v>
      </c>
      <c r="I4112" t="s">
        <v>25</v>
      </c>
      <c r="J4112" s="2">
        <v>45708.835451388892</v>
      </c>
      <c r="K4112">
        <v>20</v>
      </c>
      <c r="L4112">
        <v>2</v>
      </c>
      <c r="M4112">
        <v>2025</v>
      </c>
      <c r="N4112" t="s">
        <v>27</v>
      </c>
      <c r="O4112">
        <v>130</v>
      </c>
      <c r="P4112">
        <v>130</v>
      </c>
      <c r="R4112" s="3" t="str">
        <f>HYPERLINK("https://panda.att.com.mx/ODKServer/view/binaryData?blobKey=FSSuministroFluidosv3%5B%40version%3Dnull+and+%40uiVersion%3Dnull%5D%2Fdata%5B%40key%3Duuid%3A79d12a74-5832-4d56-b5c9-878611f7823f%5D%2FgroupInfoFuel%5B%40ordinal%3D1%5D%2FpicFuelRecibeInterno","Descargar")</f>
        <v>Descargar</v>
      </c>
    </row>
    <row r="4113" spans="1:18" x14ac:dyDescent="0.3">
      <c r="A4113">
        <v>1485757</v>
      </c>
      <c r="B4113" t="s">
        <v>18</v>
      </c>
      <c r="C4113" t="s">
        <v>55</v>
      </c>
      <c r="D4113" t="s">
        <v>56</v>
      </c>
      <c r="E4113" t="s">
        <v>2966</v>
      </c>
      <c r="F4113" t="s">
        <v>22</v>
      </c>
      <c r="G4113" t="s">
        <v>23</v>
      </c>
      <c r="H4113" t="s">
        <v>1763</v>
      </c>
      <c r="I4113" t="s">
        <v>25</v>
      </c>
      <c r="J4113" s="2">
        <v>45700.828298611108</v>
      </c>
      <c r="K4113">
        <v>12</v>
      </c>
      <c r="L4113">
        <v>2</v>
      </c>
      <c r="M4113">
        <v>2025</v>
      </c>
      <c r="N4113" t="s">
        <v>27</v>
      </c>
      <c r="O4113">
        <v>120</v>
      </c>
      <c r="P4113">
        <v>120</v>
      </c>
      <c r="R4113" s="3" t="str">
        <f>HYPERLINK("https://panda.att.com.mx/ODKServer/view/binaryData?blobKey=FSSuministroFluidosv3%5B%40version%3Dnull+and+%40uiVersion%3Dnull%5D%2Fdata%5B%40key%3Duuid%3A0c106c4e-15d7-45d7-b680-cc689024fe3b%5D%2FgroupInfoFuel%5B%40ordinal%3D1%5D%2FpicFuelRecibeInterno","Descargar")</f>
        <v>Descargar</v>
      </c>
    </row>
    <row r="4114" spans="1:18" x14ac:dyDescent="0.3">
      <c r="A4114">
        <v>1485742</v>
      </c>
      <c r="B4114" t="s">
        <v>18</v>
      </c>
      <c r="C4114" t="s">
        <v>55</v>
      </c>
      <c r="D4114" t="s">
        <v>56</v>
      </c>
      <c r="E4114" t="s">
        <v>3023</v>
      </c>
      <c r="F4114" t="s">
        <v>22</v>
      </c>
      <c r="G4114" t="s">
        <v>23</v>
      </c>
      <c r="H4114" t="s">
        <v>1763</v>
      </c>
      <c r="I4114" t="s">
        <v>25</v>
      </c>
      <c r="J4114" s="2">
        <v>45701.597824074073</v>
      </c>
      <c r="K4114">
        <v>13</v>
      </c>
      <c r="L4114">
        <v>2</v>
      </c>
      <c r="M4114">
        <v>2025</v>
      </c>
      <c r="N4114" t="s">
        <v>27</v>
      </c>
      <c r="O4114">
        <v>120</v>
      </c>
      <c r="P4114">
        <v>120</v>
      </c>
      <c r="R4114" s="3" t="str">
        <f>HYPERLINK("https://panda.att.com.mx/ODKServer/view/binaryData?blobKey=FSSuministroFluidosv3%5B%40version%3Dnull+and+%40uiVersion%3Dnull%5D%2Fdata%5B%40key%3Duuid%3Aaea69f47-03e5-48fc-8304-6e71e3f9f722%5D%2FgroupInfoFuel%5B%40ordinal%3D1%5D%2FpicFuelRecibeInterno","Descargar")</f>
        <v>Descargar</v>
      </c>
    </row>
    <row r="4115" spans="1:18" x14ac:dyDescent="0.3">
      <c r="A4115">
        <v>1485741</v>
      </c>
      <c r="B4115" t="s">
        <v>18</v>
      </c>
      <c r="C4115" t="s">
        <v>55</v>
      </c>
      <c r="D4115" t="s">
        <v>56</v>
      </c>
      <c r="E4115" t="s">
        <v>3023</v>
      </c>
      <c r="F4115" t="s">
        <v>22</v>
      </c>
      <c r="G4115" t="s">
        <v>23</v>
      </c>
      <c r="H4115" t="s">
        <v>1763</v>
      </c>
      <c r="I4115" t="s">
        <v>25</v>
      </c>
      <c r="J4115" s="2">
        <v>45702.703067129631</v>
      </c>
      <c r="K4115">
        <v>14</v>
      </c>
      <c r="L4115">
        <v>2</v>
      </c>
      <c r="M4115">
        <v>2025</v>
      </c>
      <c r="N4115" t="s">
        <v>27</v>
      </c>
      <c r="O4115">
        <v>100</v>
      </c>
      <c r="P4115">
        <v>100</v>
      </c>
      <c r="R4115" s="3" t="str">
        <f>HYPERLINK("https://panda.att.com.mx/ODKServer/view/binaryData?blobKey=FSSuministroFluidosv3%5B%40version%3Dnull+and+%40uiVersion%3Dnull%5D%2Fdata%5B%40key%3Duuid%3A76689bcd-1c47-4d37-845e-1860437a78fc%5D%2FgroupInfoFuel%5B%40ordinal%3D1%5D%2FpicFuelRecibeInterno","Descargar")</f>
        <v>Descargar</v>
      </c>
    </row>
    <row r="4116" spans="1:18" x14ac:dyDescent="0.3">
      <c r="A4116">
        <v>1485735</v>
      </c>
      <c r="B4116" t="s">
        <v>18</v>
      </c>
      <c r="C4116" t="s">
        <v>28</v>
      </c>
      <c r="D4116" t="s">
        <v>148</v>
      </c>
      <c r="E4116" t="s">
        <v>2968</v>
      </c>
      <c r="F4116" t="s">
        <v>22</v>
      </c>
      <c r="G4116" t="s">
        <v>23</v>
      </c>
      <c r="H4116" t="s">
        <v>24</v>
      </c>
      <c r="I4116" t="s">
        <v>25</v>
      </c>
      <c r="J4116" s="2">
        <v>45708.723333333342</v>
      </c>
      <c r="K4116">
        <v>20</v>
      </c>
      <c r="L4116">
        <v>2</v>
      </c>
      <c r="M4116">
        <v>2025</v>
      </c>
      <c r="N4116" t="s">
        <v>44</v>
      </c>
      <c r="O4116">
        <v>40</v>
      </c>
      <c r="P4116">
        <v>40</v>
      </c>
      <c r="R4116" s="3" t="str">
        <f>HYPERLINK("https://panda.att.com.mx/ODKServer/view/binaryData?blobKey=FSSuministroFluidosv3%5B%40version%3Dnull+and+%40uiVersion%3Dnull%5D%2Fdata%5B%40key%3Duuid%3A8f81ff78-158f-4483-8161-7c3d3067ac4d%5D%2FgroupInfoFuel%5B%40ordinal%3D1%5D%2FpicFuelRecibeInterno","Descargar")</f>
        <v>Descargar</v>
      </c>
    </row>
    <row r="4117" spans="1:18" x14ac:dyDescent="0.3">
      <c r="A4117">
        <v>1485716</v>
      </c>
      <c r="B4117" t="s">
        <v>18</v>
      </c>
      <c r="C4117" t="s">
        <v>55</v>
      </c>
      <c r="D4117" t="s">
        <v>56</v>
      </c>
      <c r="E4117" t="s">
        <v>624</v>
      </c>
      <c r="F4117" t="s">
        <v>22</v>
      </c>
      <c r="G4117" t="s">
        <v>23</v>
      </c>
      <c r="H4117" t="s">
        <v>1763</v>
      </c>
      <c r="I4117" t="s">
        <v>25</v>
      </c>
      <c r="J4117" s="2">
        <v>45708.482048611113</v>
      </c>
      <c r="K4117">
        <v>20</v>
      </c>
      <c r="L4117">
        <v>2</v>
      </c>
      <c r="M4117">
        <v>2025</v>
      </c>
      <c r="N4117" t="s">
        <v>27</v>
      </c>
      <c r="O4117">
        <v>100</v>
      </c>
      <c r="P4117">
        <v>100</v>
      </c>
      <c r="R4117" s="3" t="str">
        <f>HYPERLINK("https://panda.att.com.mx/ODKServer/view/binaryData?blobKey=FSSuministroFluidosv3%5B%40version%3Dnull+and+%40uiVersion%3Dnull%5D%2Fdata%5B%40key%3Duuid%3A2581390b-94bf-48ca-8122-f1782e1a5043%5D%2FgroupInfoFuel%5B%40ordinal%3D1%5D%2FpicFuelRecibeInterno","Descargar")</f>
        <v>Descargar</v>
      </c>
    </row>
    <row r="4118" spans="1:18" x14ac:dyDescent="0.3">
      <c r="A4118">
        <v>1485605</v>
      </c>
      <c r="B4118" t="s">
        <v>18</v>
      </c>
      <c r="C4118" t="s">
        <v>34</v>
      </c>
      <c r="D4118" t="s">
        <v>53</v>
      </c>
      <c r="E4118" t="s">
        <v>3010</v>
      </c>
      <c r="F4118" t="s">
        <v>22</v>
      </c>
      <c r="G4118" t="s">
        <v>23</v>
      </c>
      <c r="H4118" t="s">
        <v>37</v>
      </c>
      <c r="I4118" t="s">
        <v>25</v>
      </c>
      <c r="J4118" s="2">
        <v>45708.821712962963</v>
      </c>
      <c r="K4118">
        <v>20</v>
      </c>
      <c r="L4118">
        <v>2</v>
      </c>
      <c r="M4118">
        <v>2025</v>
      </c>
      <c r="N4118" t="s">
        <v>27</v>
      </c>
      <c r="O4118">
        <v>200</v>
      </c>
      <c r="P4118">
        <v>200</v>
      </c>
      <c r="R4118" s="3" t="str">
        <f>HYPERLINK("https://panda.att.com.mx/ODKServer/view/binaryData?blobKey=FSSuministroFluidosv3%5B%40version%3Dnull+and+%40uiVersion%3Dnull%5D%2Fdata%5B%40key%3Duuid%3Ab0d03e23-07e5-460f-a41b-b37c217e63dd%5D%2FgroupInfoFuel%5B%40ordinal%3D1%5D%2FpicFuelRecibeInterno","Descargar")</f>
        <v>Descargar</v>
      </c>
    </row>
    <row r="4119" spans="1:18" x14ac:dyDescent="0.3">
      <c r="A4119">
        <v>1485594</v>
      </c>
      <c r="B4119" t="s">
        <v>18</v>
      </c>
      <c r="C4119" t="s">
        <v>28</v>
      </c>
      <c r="D4119" t="s">
        <v>66</v>
      </c>
      <c r="E4119" t="s">
        <v>1213</v>
      </c>
      <c r="F4119" t="s">
        <v>22</v>
      </c>
      <c r="G4119" t="s">
        <v>47</v>
      </c>
      <c r="H4119" t="s">
        <v>24</v>
      </c>
      <c r="I4119" t="s">
        <v>25</v>
      </c>
      <c r="J4119" s="2">
        <v>45708.642129629632</v>
      </c>
      <c r="K4119">
        <v>20</v>
      </c>
      <c r="L4119">
        <v>2</v>
      </c>
      <c r="M4119">
        <v>2025</v>
      </c>
      <c r="N4119" t="s">
        <v>44</v>
      </c>
      <c r="O4119">
        <v>40</v>
      </c>
      <c r="P4119">
        <v>40</v>
      </c>
      <c r="R4119" s="3" t="str">
        <f>HYPERLINK("https://panda.att.com.mx/ODKServer/view/binaryData?blobKey=FSSuministroFluidosv3%5B%40version%3Dnull+and+%40uiVersion%3Dnull%5D%2Fdata%5B%40key%3Duuid%3A3a8b3cb5-242a-4274-b86c-ebca9c471ec3%5D%2FgroupInfoFuel%5B%40ordinal%3D1%5D%2FpicFuelRecibeInterno","Descargar")</f>
        <v>Descargar</v>
      </c>
    </row>
    <row r="4120" spans="1:18" x14ac:dyDescent="0.3">
      <c r="A4120">
        <v>1485584</v>
      </c>
      <c r="B4120" t="s">
        <v>18</v>
      </c>
      <c r="C4120" t="s">
        <v>28</v>
      </c>
      <c r="D4120" t="s">
        <v>181</v>
      </c>
      <c r="E4120" t="s">
        <v>1631</v>
      </c>
      <c r="F4120" t="s">
        <v>22</v>
      </c>
      <c r="G4120" t="s">
        <v>23</v>
      </c>
      <c r="H4120" t="s">
        <v>24</v>
      </c>
      <c r="I4120" t="s">
        <v>25</v>
      </c>
      <c r="J4120" s="2">
        <v>45707.604363425933</v>
      </c>
      <c r="K4120">
        <v>19</v>
      </c>
      <c r="L4120">
        <v>2</v>
      </c>
      <c r="M4120">
        <v>2025</v>
      </c>
      <c r="N4120" t="s">
        <v>27</v>
      </c>
      <c r="O4120">
        <v>200</v>
      </c>
      <c r="P4120">
        <v>200</v>
      </c>
      <c r="R4120" s="3" t="str">
        <f>HYPERLINK("https://panda.att.com.mx/ODKServer/view/binaryData?blobKey=FSSuministroFluidosv3%5B%40version%3Dnull+and+%40uiVersion%3Dnull%5D%2Fdata%5B%40key%3Duuid%3A782370eb-7d20-46b7-a574-4ed3fa212a11%5D%2FgroupInfoFuel%5B%40ordinal%3D1%5D%2FpicFuelRecibeInterno","Descargar")</f>
        <v>Descargar</v>
      </c>
    </row>
    <row r="4121" spans="1:18" x14ac:dyDescent="0.3">
      <c r="A4121">
        <v>1485581</v>
      </c>
      <c r="B4121" t="s">
        <v>18</v>
      </c>
      <c r="C4121" t="s">
        <v>28</v>
      </c>
      <c r="D4121" t="s">
        <v>181</v>
      </c>
      <c r="E4121" t="s">
        <v>1609</v>
      </c>
      <c r="F4121" t="s">
        <v>22</v>
      </c>
      <c r="G4121" t="s">
        <v>47</v>
      </c>
      <c r="H4121" t="s">
        <v>24</v>
      </c>
      <c r="I4121" t="s">
        <v>25</v>
      </c>
      <c r="J4121" s="2">
        <v>45707.85428240741</v>
      </c>
      <c r="K4121">
        <v>19</v>
      </c>
      <c r="L4121">
        <v>2</v>
      </c>
      <c r="M4121">
        <v>2025</v>
      </c>
      <c r="N4121" t="s">
        <v>27</v>
      </c>
      <c r="O4121">
        <v>300</v>
      </c>
      <c r="P4121">
        <v>300</v>
      </c>
      <c r="R4121" s="3" t="str">
        <f>HYPERLINK("https://panda.att.com.mx/ODKServer/view/binaryData?blobKey=FSSuministroFluidosv3%5B%40version%3Dnull+and+%40uiVersion%3Dnull%5D%2Fdata%5B%40key%3Duuid%3A1ad4c9ea-2c7a-4a87-8b97-c972deab13e2%5D%2FgroupInfoFuel%5B%40ordinal%3D1%5D%2FpicFuelRecibeInterno","Descargar")</f>
        <v>Descargar</v>
      </c>
    </row>
    <row r="4122" spans="1:18" x14ac:dyDescent="0.3">
      <c r="A4122">
        <v>1485461</v>
      </c>
      <c r="B4122" t="s">
        <v>18</v>
      </c>
      <c r="C4122" t="s">
        <v>19</v>
      </c>
      <c r="D4122" t="s">
        <v>42</v>
      </c>
      <c r="E4122" t="s">
        <v>3072</v>
      </c>
      <c r="F4122" t="s">
        <v>22</v>
      </c>
      <c r="G4122" t="s">
        <v>23</v>
      </c>
      <c r="H4122" t="s">
        <v>24</v>
      </c>
      <c r="I4122" t="s">
        <v>25</v>
      </c>
      <c r="J4122" s="2">
        <v>45708.578842592593</v>
      </c>
      <c r="K4122">
        <v>20</v>
      </c>
      <c r="L4122">
        <v>2</v>
      </c>
      <c r="M4122">
        <v>2025</v>
      </c>
      <c r="N4122" t="s">
        <v>44</v>
      </c>
      <c r="O4122">
        <v>35</v>
      </c>
      <c r="P4122">
        <v>35</v>
      </c>
      <c r="R4122" s="3" t="str">
        <f>HYPERLINK("https://panda.att.com.mx/ODKServer/view/binaryData?blobKey=FSSuministroFluidosv3%5B%40version%3Dnull+and+%40uiVersion%3Dnull%5D%2Fdata%5B%40key%3Duuid%3A1b68c10e-2b96-4d76-a4d4-4a70f69e8061%5D%2FgroupInfoFuel%5B%40ordinal%3D1%5D%2FpicFuelRecibeInterno","Descargar")</f>
        <v>Descargar</v>
      </c>
    </row>
    <row r="4123" spans="1:18" x14ac:dyDescent="0.3">
      <c r="A4123">
        <v>1485451</v>
      </c>
      <c r="B4123" t="s">
        <v>18</v>
      </c>
      <c r="C4123" t="s">
        <v>100</v>
      </c>
      <c r="D4123" t="s">
        <v>854</v>
      </c>
      <c r="E4123" t="s">
        <v>993</v>
      </c>
      <c r="F4123" t="s">
        <v>22</v>
      </c>
      <c r="G4123" t="s">
        <v>83</v>
      </c>
      <c r="H4123" t="s">
        <v>1781</v>
      </c>
      <c r="I4123" t="s">
        <v>25</v>
      </c>
      <c r="J4123" s="2">
        <v>45707.785243055558</v>
      </c>
      <c r="K4123">
        <v>19</v>
      </c>
      <c r="L4123">
        <v>2</v>
      </c>
      <c r="M4123">
        <v>2025</v>
      </c>
      <c r="N4123" t="s">
        <v>27</v>
      </c>
      <c r="O4123">
        <v>150</v>
      </c>
      <c r="P4123">
        <v>150</v>
      </c>
      <c r="R4123" s="3" t="str">
        <f>HYPERLINK("https://panda.att.com.mx/ODKServer/view/binaryData?blobKey=FSSuministroFluidosv3%5B%40version%3Dnull+and+%40uiVersion%3Dnull%5D%2Fdata%5B%40key%3Duuid%3A08bc93da-933a-4862-84fb-7610b0aed006%5D%2FgroupInfoFuel%5B%40ordinal%3D1%5D%2FpicFuelRecibeInterno","Descargar")</f>
        <v>Descargar</v>
      </c>
    </row>
    <row r="4124" spans="1:18" x14ac:dyDescent="0.3">
      <c r="A4124">
        <v>1485387</v>
      </c>
      <c r="B4124" t="s">
        <v>18</v>
      </c>
      <c r="C4124" t="s">
        <v>55</v>
      </c>
      <c r="D4124" t="s">
        <v>128</v>
      </c>
      <c r="E4124" t="s">
        <v>1360</v>
      </c>
      <c r="F4124" t="s">
        <v>22</v>
      </c>
      <c r="G4124" t="s">
        <v>23</v>
      </c>
      <c r="H4124" t="s">
        <v>1763</v>
      </c>
      <c r="I4124" t="s">
        <v>25</v>
      </c>
      <c r="J4124" s="2">
        <v>45708.637719907398</v>
      </c>
      <c r="K4124">
        <v>20</v>
      </c>
      <c r="L4124">
        <v>2</v>
      </c>
      <c r="M4124">
        <v>2025</v>
      </c>
      <c r="N4124" t="s">
        <v>44</v>
      </c>
      <c r="O4124">
        <v>35</v>
      </c>
      <c r="P4124">
        <v>35</v>
      </c>
      <c r="R4124" s="3" t="str">
        <f>HYPERLINK("https://panda.att.com.mx/ODKServer/view/binaryData?blobKey=FSSuministroFluidosv3%5B%40version%3Dnull+and+%40uiVersion%3Dnull%5D%2Fdata%5B%40key%3Duuid%3Aa0248827-ac7f-44e6-a418-bc2cc5826aa1%5D%2FgroupInfoFuel%5B%40ordinal%3D1%5D%2FpicFuelRecibeInterno","Descargar")</f>
        <v>Descargar</v>
      </c>
    </row>
    <row r="4125" spans="1:18" x14ac:dyDescent="0.3">
      <c r="A4125">
        <v>1485386</v>
      </c>
      <c r="B4125" t="s">
        <v>18</v>
      </c>
      <c r="C4125" t="s">
        <v>19</v>
      </c>
      <c r="D4125" t="s">
        <v>20</v>
      </c>
      <c r="E4125" t="s">
        <v>166</v>
      </c>
      <c r="F4125" t="s">
        <v>22</v>
      </c>
      <c r="G4125" t="s">
        <v>47</v>
      </c>
      <c r="H4125" t="s">
        <v>24</v>
      </c>
      <c r="I4125" t="s">
        <v>25</v>
      </c>
      <c r="J4125" s="2">
        <v>45707.482129629629</v>
      </c>
      <c r="K4125">
        <v>19</v>
      </c>
      <c r="L4125">
        <v>2</v>
      </c>
      <c r="M4125">
        <v>2025</v>
      </c>
      <c r="N4125" t="s">
        <v>27</v>
      </c>
      <c r="O4125">
        <v>400</v>
      </c>
      <c r="P4125">
        <v>400</v>
      </c>
      <c r="R4125" s="3" t="str">
        <f>HYPERLINK("https://panda.att.com.mx/ODKServer/view/binaryData?blobKey=FSSuministroFluidosv3%5B%40version%3Dnull+and+%40uiVersion%3Dnull%5D%2Fdata%5B%40key%3Duuid%3A239da2d7-d2e3-48ab-824a-887b09b1feab%5D%2FgroupInfoFuel%5B%40ordinal%3D1%5D%2FpicFuelRecibeInterno","Descargar")</f>
        <v>Descargar</v>
      </c>
    </row>
    <row r="4126" spans="1:18" x14ac:dyDescent="0.3">
      <c r="A4126">
        <v>1485364</v>
      </c>
      <c r="B4126" t="s">
        <v>18</v>
      </c>
      <c r="C4126" t="s">
        <v>19</v>
      </c>
      <c r="D4126" t="s">
        <v>45</v>
      </c>
      <c r="E4126" t="s">
        <v>905</v>
      </c>
      <c r="F4126" t="s">
        <v>22</v>
      </c>
      <c r="G4126" t="s">
        <v>23</v>
      </c>
      <c r="H4126" t="s">
        <v>24</v>
      </c>
      <c r="I4126" t="s">
        <v>25</v>
      </c>
      <c r="J4126" s="2">
        <v>45708.373182870368</v>
      </c>
      <c r="K4126">
        <v>20</v>
      </c>
      <c r="L4126">
        <v>2</v>
      </c>
      <c r="M4126">
        <v>2025</v>
      </c>
      <c r="N4126" t="s">
        <v>27</v>
      </c>
      <c r="O4126">
        <v>400</v>
      </c>
      <c r="P4126">
        <v>400</v>
      </c>
      <c r="R4126" s="3" t="str">
        <f>HYPERLINK("https://panda.att.com.mx/ODKServer/view/binaryData?blobKey=FSSuministroFluidosv3%5B%40version%3Dnull+and+%40uiVersion%3Dnull%5D%2Fdata%5B%40key%3Duuid%3Af6b0fc9b-c644-461d-84cb-64ce13481d36%5D%2FgroupInfoFuel%5B%40ordinal%3D1%5D%2FpicFuelRecibeInterno","Descargar")</f>
        <v>Descargar</v>
      </c>
    </row>
    <row r="4127" spans="1:18" x14ac:dyDescent="0.3">
      <c r="A4127">
        <v>1485309</v>
      </c>
      <c r="B4127" t="s">
        <v>18</v>
      </c>
      <c r="C4127" t="s">
        <v>28</v>
      </c>
      <c r="D4127" t="s">
        <v>66</v>
      </c>
      <c r="E4127" t="s">
        <v>3047</v>
      </c>
      <c r="F4127" t="s">
        <v>22</v>
      </c>
      <c r="G4127" t="s">
        <v>47</v>
      </c>
      <c r="H4127" t="s">
        <v>24</v>
      </c>
      <c r="I4127" t="s">
        <v>25</v>
      </c>
      <c r="J4127" s="2">
        <v>45708.570520833331</v>
      </c>
      <c r="K4127">
        <v>20</v>
      </c>
      <c r="L4127">
        <v>2</v>
      </c>
      <c r="M4127">
        <v>2025</v>
      </c>
      <c r="N4127" t="s">
        <v>44</v>
      </c>
      <c r="O4127">
        <v>25</v>
      </c>
      <c r="P4127">
        <v>25</v>
      </c>
      <c r="R4127" s="3" t="str">
        <f>HYPERLINK("https://panda.att.com.mx/ODKServer/view/binaryData?blobKey=FSSuministroFluidosv3%5B%40version%3Dnull+and+%40uiVersion%3Dnull%5D%2Fdata%5B%40key%3Duuid%3A90986821-9c77-4c7d-bc11-f0afeda861f9%5D%2FgroupInfoFuel%5B%40ordinal%3D1%5D%2FpicFuelRecibeInterno","Descargar")</f>
        <v>Descargar</v>
      </c>
    </row>
    <row r="4128" spans="1:18" x14ac:dyDescent="0.3">
      <c r="A4128">
        <v>1485300</v>
      </c>
      <c r="B4128" t="s">
        <v>18</v>
      </c>
      <c r="C4128" t="s">
        <v>34</v>
      </c>
      <c r="D4128" t="s">
        <v>53</v>
      </c>
      <c r="E4128" t="s">
        <v>327</v>
      </c>
      <c r="F4128" t="s">
        <v>22</v>
      </c>
      <c r="G4128" t="s">
        <v>23</v>
      </c>
      <c r="H4128" t="s">
        <v>37</v>
      </c>
      <c r="I4128" t="s">
        <v>25</v>
      </c>
      <c r="J4128" s="2">
        <v>45708.478865740741</v>
      </c>
      <c r="K4128">
        <v>20</v>
      </c>
      <c r="L4128">
        <v>2</v>
      </c>
      <c r="M4128">
        <v>2025</v>
      </c>
      <c r="N4128" t="s">
        <v>27</v>
      </c>
      <c r="O4128">
        <v>250</v>
      </c>
      <c r="P4128">
        <v>250</v>
      </c>
      <c r="R4128" s="3" t="str">
        <f>HYPERLINK("https://panda.att.com.mx/ODKServer/view/binaryData?blobKey=FSSuministroFluidosv3%5B%40version%3Dnull+and+%40uiVersion%3Dnull%5D%2Fdata%5B%40key%3Duuid%3A6289d0f0-954e-4ba2-9f54-124b11d5d512%5D%2FgroupInfoFuel%5B%40ordinal%3D1%5D%2FpicFuelRecibeInterno","Descargar")</f>
        <v>Descargar</v>
      </c>
    </row>
    <row r="4129" spans="1:18" x14ac:dyDescent="0.3">
      <c r="A4129">
        <v>1485220</v>
      </c>
      <c r="B4129" t="s">
        <v>18</v>
      </c>
      <c r="C4129" t="s">
        <v>150</v>
      </c>
      <c r="D4129" t="s">
        <v>230</v>
      </c>
      <c r="E4129" t="s">
        <v>3073</v>
      </c>
      <c r="F4129" t="s">
        <v>22</v>
      </c>
      <c r="G4129" t="s">
        <v>23</v>
      </c>
      <c r="H4129" t="s">
        <v>1781</v>
      </c>
      <c r="I4129" t="s">
        <v>25</v>
      </c>
      <c r="J4129" s="2">
        <v>45708.431111111109</v>
      </c>
      <c r="K4129">
        <v>20</v>
      </c>
      <c r="L4129">
        <v>2</v>
      </c>
      <c r="M4129">
        <v>2025</v>
      </c>
      <c r="N4129" t="s">
        <v>27</v>
      </c>
      <c r="O4129">
        <v>80.010000000000005</v>
      </c>
      <c r="P4129">
        <v>80.010000000000005</v>
      </c>
      <c r="R4129" s="3" t="str">
        <f>HYPERLINK("https://panda.att.com.mx/ODKServer/view/binaryData?blobKey=FSSuministroFluidosv3%5B%40version%3Dnull+and+%40uiVersion%3Dnull%5D%2Fdata%5B%40key%3Duuid%3A7484608d-117c-4d4a-8879-9d7df095d701%5D%2FgroupInfoFuel%5B%40ordinal%3D1%5D%2FpicFuelRecibeInterno","Descargar")</f>
        <v>Descargar</v>
      </c>
    </row>
    <row r="4130" spans="1:18" x14ac:dyDescent="0.3">
      <c r="A4130">
        <v>1485181</v>
      </c>
      <c r="B4130" t="s">
        <v>18</v>
      </c>
      <c r="C4130" t="s">
        <v>55</v>
      </c>
      <c r="D4130" t="s">
        <v>56</v>
      </c>
      <c r="E4130" t="s">
        <v>2966</v>
      </c>
      <c r="F4130" t="s">
        <v>22</v>
      </c>
      <c r="G4130" t="s">
        <v>23</v>
      </c>
      <c r="H4130" t="s">
        <v>1763</v>
      </c>
      <c r="I4130" t="s">
        <v>25</v>
      </c>
      <c r="J4130" s="2">
        <v>45703.661932870367</v>
      </c>
      <c r="K4130">
        <v>15</v>
      </c>
      <c r="L4130">
        <v>2</v>
      </c>
      <c r="M4130">
        <v>2025</v>
      </c>
      <c r="N4130" t="s">
        <v>27</v>
      </c>
      <c r="O4130">
        <v>100</v>
      </c>
      <c r="P4130">
        <v>100</v>
      </c>
      <c r="R4130" s="3" t="str">
        <f>HYPERLINK("https://panda.att.com.mx/ODKServer/view/binaryData?blobKey=FSSuministroFluidosv3%5B%40version%3Dnull+and+%40uiVersion%3Dnull%5D%2Fdata%5B%40key%3Duuid%3A64cf30a3-5b18-4ef0-9a4c-a603d1fcc374%5D%2FgroupInfoFuel%5B%40ordinal%3D1%5D%2FpicFuelRecibeInterno","Descargar")</f>
        <v>Descargar</v>
      </c>
    </row>
    <row r="4131" spans="1:18" x14ac:dyDescent="0.3">
      <c r="A4131">
        <v>1485177</v>
      </c>
      <c r="B4131" t="s">
        <v>18</v>
      </c>
      <c r="C4131" t="s">
        <v>55</v>
      </c>
      <c r="D4131" t="s">
        <v>56</v>
      </c>
      <c r="E4131" t="s">
        <v>2966</v>
      </c>
      <c r="F4131" t="s">
        <v>22</v>
      </c>
      <c r="G4131" t="s">
        <v>23</v>
      </c>
      <c r="H4131" t="s">
        <v>1763</v>
      </c>
      <c r="I4131" t="s">
        <v>25</v>
      </c>
      <c r="J4131" s="2">
        <v>45704.51221064815</v>
      </c>
      <c r="K4131">
        <v>16</v>
      </c>
      <c r="L4131">
        <v>2</v>
      </c>
      <c r="M4131">
        <v>2025</v>
      </c>
      <c r="N4131" t="s">
        <v>27</v>
      </c>
      <c r="O4131">
        <v>100</v>
      </c>
      <c r="P4131">
        <v>100</v>
      </c>
      <c r="R4131" s="3" t="str">
        <f>HYPERLINK("https://panda.att.com.mx/ODKServer/view/binaryData?blobKey=FSSuministroFluidosv3%5B%40version%3Dnull+and+%40uiVersion%3Dnull%5D%2Fdata%5B%40key%3Duuid%3A3bb13341-b54c-4e15-8374-ba618458b2fc%5D%2FgroupInfoFuel%5B%40ordinal%3D1%5D%2FpicFuelRecibeInterno","Descargar")</f>
        <v>Descargar</v>
      </c>
    </row>
    <row r="4132" spans="1:18" x14ac:dyDescent="0.3">
      <c r="A4132">
        <v>1485172</v>
      </c>
      <c r="B4132" t="s">
        <v>18</v>
      </c>
      <c r="C4132" t="s">
        <v>55</v>
      </c>
      <c r="D4132" t="s">
        <v>56</v>
      </c>
      <c r="E4132" t="s">
        <v>3023</v>
      </c>
      <c r="F4132" t="s">
        <v>22</v>
      </c>
      <c r="G4132" t="s">
        <v>23</v>
      </c>
      <c r="H4132" t="s">
        <v>1763</v>
      </c>
      <c r="I4132" t="s">
        <v>25</v>
      </c>
      <c r="J4132" s="2">
        <v>45697.476111111107</v>
      </c>
      <c r="K4132">
        <v>9</v>
      </c>
      <c r="L4132">
        <v>2</v>
      </c>
      <c r="M4132">
        <v>2025</v>
      </c>
      <c r="N4132" t="s">
        <v>27</v>
      </c>
      <c r="O4132">
        <v>110</v>
      </c>
      <c r="P4132">
        <v>110</v>
      </c>
      <c r="R4132" s="3" t="str">
        <f>HYPERLINK("https://panda.att.com.mx/ODKServer/view/binaryData?blobKey=FSSuministroFluidosv3%5B%40version%3Dnull+and+%40uiVersion%3Dnull%5D%2Fdata%5B%40key%3Duuid%3Ac0ef7e69-226a-48ec-9f0e-19de6243edad%5D%2FgroupInfoFuel%5B%40ordinal%3D1%5D%2FpicFuelRecibeInterno","Descargar")</f>
        <v>Descargar</v>
      </c>
    </row>
    <row r="4133" spans="1:18" x14ac:dyDescent="0.3">
      <c r="A4133">
        <v>1485171</v>
      </c>
      <c r="B4133" t="s">
        <v>18</v>
      </c>
      <c r="C4133" t="s">
        <v>55</v>
      </c>
      <c r="D4133" t="s">
        <v>56</v>
      </c>
      <c r="E4133" t="s">
        <v>3023</v>
      </c>
      <c r="F4133" t="s">
        <v>22</v>
      </c>
      <c r="G4133" t="s">
        <v>23</v>
      </c>
      <c r="H4133" t="s">
        <v>1763</v>
      </c>
      <c r="I4133" t="s">
        <v>25</v>
      </c>
      <c r="J4133" s="2">
        <v>45703.582962962973</v>
      </c>
      <c r="K4133">
        <v>15</v>
      </c>
      <c r="L4133">
        <v>2</v>
      </c>
      <c r="M4133">
        <v>2025</v>
      </c>
      <c r="N4133" t="s">
        <v>27</v>
      </c>
      <c r="O4133">
        <v>90</v>
      </c>
      <c r="P4133">
        <v>90</v>
      </c>
      <c r="R4133" s="3" t="str">
        <f>HYPERLINK("https://panda.att.com.mx/ODKServer/view/binaryData?blobKey=FSSuministroFluidosv3%5B%40version%3Dnull+and+%40uiVersion%3Dnull%5D%2Fdata%5B%40key%3Duuid%3Af1b9a2ad-e9ea-4971-9919-c61b7f3efc82%5D%2FgroupInfoFuel%5B%40ordinal%3D1%5D%2FpicFuelRecibeInterno","Descargar")</f>
        <v>Descargar</v>
      </c>
    </row>
    <row r="4134" spans="1:18" x14ac:dyDescent="0.3">
      <c r="A4134">
        <v>1485145</v>
      </c>
      <c r="B4134" t="s">
        <v>18</v>
      </c>
      <c r="C4134" t="s">
        <v>34</v>
      </c>
      <c r="D4134" t="s">
        <v>53</v>
      </c>
      <c r="E4134" t="s">
        <v>327</v>
      </c>
      <c r="F4134" t="s">
        <v>22</v>
      </c>
      <c r="G4134" t="s">
        <v>23</v>
      </c>
      <c r="H4134" t="s">
        <v>37</v>
      </c>
      <c r="I4134" t="s">
        <v>25</v>
      </c>
      <c r="J4134" s="2">
        <v>45702.473217592589</v>
      </c>
      <c r="K4134">
        <v>14</v>
      </c>
      <c r="L4134">
        <v>2</v>
      </c>
      <c r="M4134">
        <v>2025</v>
      </c>
      <c r="N4134" t="s">
        <v>27</v>
      </c>
      <c r="O4134">
        <v>200</v>
      </c>
      <c r="P4134">
        <v>200</v>
      </c>
      <c r="R4134" s="3" t="str">
        <f>HYPERLINK("https://panda.att.com.mx/ODKServer/view/binaryData?blobKey=FSSuministroFluidosv3%5B%40version%3Dnull+and+%40uiVersion%3Dnull%5D%2Fdata%5B%40key%3Duuid%3Acfa5710b-c1c9-488f-bbd7-9cf871747030%5D%2FgroupInfoFuel%5B%40ordinal%3D1%5D%2FpicFuelRecibeInterno","Descargar")</f>
        <v>Descargar</v>
      </c>
    </row>
    <row r="4135" spans="1:18" x14ac:dyDescent="0.3">
      <c r="A4135">
        <v>1485127</v>
      </c>
      <c r="B4135" t="s">
        <v>18</v>
      </c>
      <c r="C4135" t="s">
        <v>59</v>
      </c>
      <c r="D4135" t="s">
        <v>60</v>
      </c>
      <c r="E4135" t="s">
        <v>3074</v>
      </c>
      <c r="F4135" t="s">
        <v>22</v>
      </c>
      <c r="G4135" t="s">
        <v>23</v>
      </c>
      <c r="H4135" t="s">
        <v>1816</v>
      </c>
      <c r="I4135" t="s">
        <v>25</v>
      </c>
      <c r="J4135" s="2">
        <v>45702.554398148153</v>
      </c>
      <c r="K4135">
        <v>14</v>
      </c>
      <c r="L4135">
        <v>2</v>
      </c>
      <c r="M4135">
        <v>2025</v>
      </c>
      <c r="N4135" t="s">
        <v>27</v>
      </c>
      <c r="O4135">
        <v>200</v>
      </c>
      <c r="P4135">
        <v>200</v>
      </c>
      <c r="R4135" s="3" t="str">
        <f>HYPERLINK("https://panda.att.com.mx/ODKServer/view/binaryData?blobKey=FSSuministroFluidosv3%5B%40version%3Dnull+and+%40uiVersion%3Dnull%5D%2Fdata%5B%40key%3Duuid%3A7129836c-52c6-46b6-a6ff-1fa7e451ee18%5D%2FgroupInfoFuel%5B%40ordinal%3D1%5D%2FpicFuelRecibeInterno","Descargar")</f>
        <v>Descargar</v>
      </c>
    </row>
    <row r="4136" spans="1:18" x14ac:dyDescent="0.3">
      <c r="A4136">
        <v>1485112</v>
      </c>
      <c r="B4136" t="s">
        <v>18</v>
      </c>
      <c r="C4136" t="s">
        <v>19</v>
      </c>
      <c r="D4136" t="s">
        <v>62</v>
      </c>
      <c r="E4136" t="s">
        <v>2090</v>
      </c>
      <c r="F4136" t="s">
        <v>22</v>
      </c>
      <c r="G4136" t="s">
        <v>23</v>
      </c>
      <c r="H4136" t="s">
        <v>24</v>
      </c>
      <c r="I4136" t="s">
        <v>25</v>
      </c>
      <c r="J4136" s="2">
        <v>45703.753587962958</v>
      </c>
      <c r="K4136">
        <v>15</v>
      </c>
      <c r="L4136">
        <v>2</v>
      </c>
      <c r="M4136">
        <v>2025</v>
      </c>
      <c r="N4136" t="s">
        <v>44</v>
      </c>
      <c r="O4136">
        <v>40</v>
      </c>
      <c r="P4136">
        <v>40</v>
      </c>
      <c r="R4136" s="3" t="str">
        <f>HYPERLINK("https://panda.att.com.mx/ODKServer/view/binaryData?blobKey=FSSuministroFluidosv3%5B%40version%3Dnull+and+%40uiVersion%3Dnull%5D%2Fdata%5B%40key%3Duuid%3Ad4db2e23-a811-45b9-8f18-405d6a05047a%5D%2FgroupInfoFuel%5B%40ordinal%3D1%5D%2FpicFuelRecibeInterno","Descargar")</f>
        <v>Descargar</v>
      </c>
    </row>
    <row r="4137" spans="1:18" x14ac:dyDescent="0.3">
      <c r="A4137">
        <v>1485102</v>
      </c>
      <c r="B4137" t="s">
        <v>18</v>
      </c>
      <c r="C4137" t="s">
        <v>59</v>
      </c>
      <c r="D4137" t="s">
        <v>60</v>
      </c>
      <c r="E4137" t="s">
        <v>1028</v>
      </c>
      <c r="F4137" t="s">
        <v>22</v>
      </c>
      <c r="G4137" t="s">
        <v>23</v>
      </c>
      <c r="H4137" t="s">
        <v>1816</v>
      </c>
      <c r="I4137" t="s">
        <v>25</v>
      </c>
      <c r="J4137" s="2">
        <v>45701.651597222219</v>
      </c>
      <c r="K4137">
        <v>13</v>
      </c>
      <c r="L4137">
        <v>2</v>
      </c>
      <c r="M4137">
        <v>2025</v>
      </c>
      <c r="N4137" t="s">
        <v>27</v>
      </c>
      <c r="O4137">
        <v>200</v>
      </c>
      <c r="P4137">
        <v>200</v>
      </c>
      <c r="R4137" s="3" t="str">
        <f>HYPERLINK("https://panda.att.com.mx/ODKServer/view/binaryData?blobKey=FSSuministroFluidosv3%5B%40version%3Dnull+and+%40uiVersion%3Dnull%5D%2Fdata%5B%40key%3Duuid%3A23350680-2071-46e8-b8d9-7f90cef4f2c3%5D%2FgroupInfoFuel%5B%40ordinal%3D1%5D%2FpicFuelRecibeInterno","Descargar")</f>
        <v>Descargar</v>
      </c>
    </row>
    <row r="4138" spans="1:18" x14ac:dyDescent="0.3">
      <c r="A4138">
        <v>1485065</v>
      </c>
      <c r="B4138" t="s">
        <v>18</v>
      </c>
      <c r="C4138" t="s">
        <v>55</v>
      </c>
      <c r="D4138" t="s">
        <v>64</v>
      </c>
      <c r="E4138" t="s">
        <v>3053</v>
      </c>
      <c r="F4138" t="s">
        <v>22</v>
      </c>
      <c r="G4138" t="s">
        <v>23</v>
      </c>
      <c r="H4138" t="s">
        <v>1763</v>
      </c>
      <c r="I4138" t="s">
        <v>25</v>
      </c>
      <c r="J4138" s="2">
        <v>45708.407777777778</v>
      </c>
      <c r="K4138">
        <v>20</v>
      </c>
      <c r="L4138">
        <v>2</v>
      </c>
      <c r="M4138">
        <v>2025</v>
      </c>
      <c r="N4138" t="s">
        <v>27</v>
      </c>
      <c r="O4138">
        <v>250</v>
      </c>
      <c r="P4138">
        <v>250</v>
      </c>
      <c r="R4138" s="3" t="str">
        <f>HYPERLINK("https://panda.att.com.mx/ODKServer/view/binaryData?blobKey=FSSuministroFluidosv3%5B%40version%3Dnull+and+%40uiVersion%3Dnull%5D%2Fdata%5B%40key%3Duuid%3Ae923e9f5-4c39-4d9a-9a90-14921d75393f%5D%2FgroupInfoFuel%5B%40ordinal%3D1%5D%2FpicFuelRecibeInterno","Descargar")</f>
        <v>Descargar</v>
      </c>
    </row>
    <row r="4139" spans="1:18" x14ac:dyDescent="0.3">
      <c r="A4139">
        <v>1485030</v>
      </c>
      <c r="B4139" t="s">
        <v>18</v>
      </c>
      <c r="C4139" t="s">
        <v>55</v>
      </c>
      <c r="D4139" t="s">
        <v>56</v>
      </c>
      <c r="E4139" t="s">
        <v>3023</v>
      </c>
      <c r="F4139" t="s">
        <v>22</v>
      </c>
      <c r="G4139" t="s">
        <v>23</v>
      </c>
      <c r="H4139" t="s">
        <v>1763</v>
      </c>
      <c r="I4139" t="s">
        <v>25</v>
      </c>
      <c r="J4139" s="2">
        <v>45706.481840277767</v>
      </c>
      <c r="K4139">
        <v>18</v>
      </c>
      <c r="L4139">
        <v>2</v>
      </c>
      <c r="M4139">
        <v>2025</v>
      </c>
      <c r="N4139" t="s">
        <v>27</v>
      </c>
      <c r="O4139">
        <v>250</v>
      </c>
      <c r="P4139">
        <v>250</v>
      </c>
      <c r="R4139" s="3" t="str">
        <f>HYPERLINK("https://panda.att.com.mx/ODKServer/view/binaryData?blobKey=FSSuministroFluidosv3%5B%40version%3Dnull+and+%40uiVersion%3Dnull%5D%2Fdata%5B%40key%3Duuid%3Ad42aec4d-dc5b-4135-8508-132bdcf7bd1b%5D%2FgroupInfoFuel%5B%40ordinal%3D1%5D%2FpicFuelRecibeInterno","Descargar")</f>
        <v>Descargar</v>
      </c>
    </row>
    <row r="4140" spans="1:18" x14ac:dyDescent="0.3">
      <c r="A4140">
        <v>1485029</v>
      </c>
      <c r="B4140" t="s">
        <v>18</v>
      </c>
      <c r="C4140" t="s">
        <v>55</v>
      </c>
      <c r="D4140" t="s">
        <v>56</v>
      </c>
      <c r="E4140" t="s">
        <v>2966</v>
      </c>
      <c r="F4140" t="s">
        <v>22</v>
      </c>
      <c r="G4140" t="s">
        <v>23</v>
      </c>
      <c r="H4140" t="s">
        <v>1763</v>
      </c>
      <c r="I4140" t="s">
        <v>25</v>
      </c>
      <c r="J4140" s="2">
        <v>45706.522418981483</v>
      </c>
      <c r="K4140">
        <v>18</v>
      </c>
      <c r="L4140">
        <v>2</v>
      </c>
      <c r="M4140">
        <v>2025</v>
      </c>
      <c r="N4140" t="s">
        <v>27</v>
      </c>
      <c r="O4140">
        <v>100</v>
      </c>
      <c r="P4140">
        <v>100</v>
      </c>
      <c r="R4140" s="3" t="str">
        <f>HYPERLINK("https://panda.att.com.mx/ODKServer/view/binaryData?blobKey=FSSuministroFluidosv3%5B%40version%3Dnull+and+%40uiVersion%3Dnull%5D%2Fdata%5B%40key%3Duuid%3A41987294-fd73-4304-acb7-3df3252318d5%5D%2FgroupInfoFuel%5B%40ordinal%3D1%5D%2FpicFuelRecibeInterno","Descargar")</f>
        <v>Descargar</v>
      </c>
    </row>
    <row r="4141" spans="1:18" x14ac:dyDescent="0.3">
      <c r="A4141">
        <v>1485028</v>
      </c>
      <c r="B4141" t="s">
        <v>18</v>
      </c>
      <c r="C4141" t="s">
        <v>55</v>
      </c>
      <c r="D4141" t="s">
        <v>56</v>
      </c>
      <c r="E4141" t="s">
        <v>624</v>
      </c>
      <c r="F4141" t="s">
        <v>22</v>
      </c>
      <c r="G4141" t="s">
        <v>23</v>
      </c>
      <c r="H4141" t="s">
        <v>1763</v>
      </c>
      <c r="I4141" t="s">
        <v>25</v>
      </c>
      <c r="J4141" s="2">
        <v>45706.642962962957</v>
      </c>
      <c r="K4141">
        <v>18</v>
      </c>
      <c r="L4141">
        <v>2</v>
      </c>
      <c r="M4141">
        <v>2025</v>
      </c>
      <c r="N4141" t="s">
        <v>27</v>
      </c>
      <c r="O4141">
        <v>120</v>
      </c>
      <c r="P4141">
        <v>120</v>
      </c>
      <c r="R4141" s="3" t="str">
        <f>HYPERLINK("https://panda.att.com.mx/ODKServer/view/binaryData?blobKey=FSSuministroFluidosv3%5B%40version%3Dnull+and+%40uiVersion%3Dnull%5D%2Fdata%5B%40key%3Duuid%3A33de77b2-c9f4-461e-9125-a2ec0c7b359a%5D%2FgroupInfoFuel%5B%40ordinal%3D1%5D%2FpicFuelRecibeInterno","Descargar")</f>
        <v>Descargar</v>
      </c>
    </row>
    <row r="4142" spans="1:18" x14ac:dyDescent="0.3">
      <c r="A4142">
        <v>1484968</v>
      </c>
      <c r="B4142" t="s">
        <v>18</v>
      </c>
      <c r="C4142" t="s">
        <v>19</v>
      </c>
      <c r="D4142" t="s">
        <v>156</v>
      </c>
      <c r="E4142" t="s">
        <v>493</v>
      </c>
      <c r="F4142" t="s">
        <v>22</v>
      </c>
      <c r="G4142" t="s">
        <v>23</v>
      </c>
      <c r="H4142" t="s">
        <v>24</v>
      </c>
      <c r="I4142" t="s">
        <v>25</v>
      </c>
      <c r="J4142" s="2">
        <v>45707.904548611114</v>
      </c>
      <c r="K4142">
        <v>19</v>
      </c>
      <c r="L4142">
        <v>2</v>
      </c>
      <c r="M4142">
        <v>2025</v>
      </c>
      <c r="N4142" t="s">
        <v>44</v>
      </c>
      <c r="O4142">
        <v>21</v>
      </c>
      <c r="P4142">
        <v>21</v>
      </c>
      <c r="R4142" s="3" t="str">
        <f>HYPERLINK("https://panda.att.com.mx/ODKServer/view/binaryData?blobKey=FSSuministroFluidosv3%5B%40version%3Dnull+and+%40uiVersion%3Dnull%5D%2Fdata%5B%40key%3Duuid%3Ae91b6870-5866-4d86-bc71-47258912c122%5D%2FgroupInfoFuel%5B%40ordinal%3D1%5D%2FpicFuelRecibeInterno","Descargar")</f>
        <v>Descargar</v>
      </c>
    </row>
    <row r="4143" spans="1:18" x14ac:dyDescent="0.3">
      <c r="A4143">
        <v>1484943</v>
      </c>
      <c r="B4143" t="s">
        <v>18</v>
      </c>
      <c r="C4143" t="s">
        <v>34</v>
      </c>
      <c r="D4143" t="s">
        <v>53</v>
      </c>
      <c r="E4143" t="s">
        <v>3075</v>
      </c>
      <c r="F4143" t="s">
        <v>22</v>
      </c>
      <c r="G4143" t="s">
        <v>23</v>
      </c>
      <c r="H4143" t="s">
        <v>37</v>
      </c>
      <c r="I4143" t="s">
        <v>25</v>
      </c>
      <c r="J4143" s="2">
        <v>45707.970578703702</v>
      </c>
      <c r="K4143">
        <v>19</v>
      </c>
      <c r="L4143">
        <v>2</v>
      </c>
      <c r="M4143">
        <v>2025</v>
      </c>
      <c r="N4143" t="s">
        <v>27</v>
      </c>
      <c r="O4143">
        <v>150</v>
      </c>
      <c r="P4143">
        <v>150</v>
      </c>
      <c r="R4143" s="3" t="str">
        <f>HYPERLINK("https://panda.att.com.mx/ODKServer/view/binaryData?blobKey=FSSuministroFluidosv3%5B%40version%3Dnull+and+%40uiVersion%3Dnull%5D%2Fdata%5B%40key%3Duuid%3Ab1fc7bd4-5fa3-4c62-864e-ba3f3b4a3250%5D%2FgroupInfoFuel%5B%40ordinal%3D1%5D%2FpicFuelRecibeInterno","Descargar")</f>
        <v>Descargar</v>
      </c>
    </row>
    <row r="4144" spans="1:18" x14ac:dyDescent="0.3">
      <c r="A4144">
        <v>1484938</v>
      </c>
      <c r="B4144" t="s">
        <v>18</v>
      </c>
      <c r="C4144" t="s">
        <v>28</v>
      </c>
      <c r="D4144" t="s">
        <v>429</v>
      </c>
      <c r="E4144" t="s">
        <v>1809</v>
      </c>
      <c r="F4144" t="s">
        <v>22</v>
      </c>
      <c r="G4144" t="s">
        <v>47</v>
      </c>
      <c r="H4144" t="s">
        <v>24</v>
      </c>
      <c r="I4144" t="s">
        <v>25</v>
      </c>
      <c r="J4144" s="2">
        <v>45707.692546296297</v>
      </c>
      <c r="K4144">
        <v>19</v>
      </c>
      <c r="L4144">
        <v>2</v>
      </c>
      <c r="M4144">
        <v>2025</v>
      </c>
      <c r="N4144" t="s">
        <v>44</v>
      </c>
      <c r="O4144">
        <v>60</v>
      </c>
      <c r="P4144">
        <v>60</v>
      </c>
      <c r="R4144" s="3" t="str">
        <f>HYPERLINK("https://panda.att.com.mx/ODKServer/view/binaryData?blobKey=FSSuministroFluidosv3%5B%40version%3Dnull+and+%40uiVersion%3Dnull%5D%2Fdata%5B%40key%3Duuid%3Aae1f1d41-76a7-46b9-92e6-e1cccc8c6505%5D%2FgroupInfoFuel%5B%40ordinal%3D1%5D%2FpicFuelRecibeInterno","Descargar")</f>
        <v>Descargar</v>
      </c>
    </row>
    <row r="4145" spans="1:18" x14ac:dyDescent="0.3">
      <c r="A4145">
        <v>1484858</v>
      </c>
      <c r="B4145" t="s">
        <v>18</v>
      </c>
      <c r="C4145" t="s">
        <v>59</v>
      </c>
      <c r="D4145" t="s">
        <v>60</v>
      </c>
      <c r="E4145" t="s">
        <v>3076</v>
      </c>
      <c r="F4145" t="s">
        <v>22</v>
      </c>
      <c r="G4145" t="s">
        <v>23</v>
      </c>
      <c r="H4145" t="s">
        <v>37</v>
      </c>
      <c r="I4145" t="s">
        <v>25</v>
      </c>
      <c r="J4145" s="2">
        <v>45703.517916666657</v>
      </c>
      <c r="K4145">
        <v>15</v>
      </c>
      <c r="L4145">
        <v>2</v>
      </c>
      <c r="M4145">
        <v>2025</v>
      </c>
      <c r="N4145" t="s">
        <v>27</v>
      </c>
      <c r="O4145">
        <v>200</v>
      </c>
      <c r="P4145">
        <v>200</v>
      </c>
      <c r="R4145" s="3" t="str">
        <f>HYPERLINK("https://panda.att.com.mx/ODKServer/view/binaryData?blobKey=FSSuministroFluidosv3%5B%40version%3Dnull+and+%40uiVersion%3Dnull%5D%2Fdata%5B%40key%3Duuid%3A2840e29e-1b2e-4bd5-a479-6222216c6e2a%5D%2FgroupInfoFuel%5B%40ordinal%3D1%5D%2FpicFuelRecibeInterno","Descargar")</f>
        <v>Descargar</v>
      </c>
    </row>
    <row r="4146" spans="1:18" x14ac:dyDescent="0.3">
      <c r="A4146">
        <v>1484836</v>
      </c>
      <c r="B4146" t="s">
        <v>18</v>
      </c>
      <c r="C4146" t="s">
        <v>34</v>
      </c>
      <c r="D4146" t="s">
        <v>53</v>
      </c>
      <c r="E4146" t="s">
        <v>3077</v>
      </c>
      <c r="F4146" t="s">
        <v>22</v>
      </c>
      <c r="G4146" t="s">
        <v>23</v>
      </c>
      <c r="H4146" t="s">
        <v>37</v>
      </c>
      <c r="I4146" t="s">
        <v>25</v>
      </c>
      <c r="J4146" s="2">
        <v>45707.470590277779</v>
      </c>
      <c r="K4146">
        <v>19</v>
      </c>
      <c r="L4146">
        <v>2</v>
      </c>
      <c r="M4146">
        <v>2025</v>
      </c>
      <c r="N4146" t="s">
        <v>27</v>
      </c>
      <c r="O4146">
        <v>350</v>
      </c>
      <c r="P4146">
        <v>350</v>
      </c>
      <c r="R4146" s="3" t="str">
        <f>HYPERLINK("https://panda.att.com.mx/ODKServer/view/binaryData?blobKey=FSSuministroFluidosv3%5B%40version%3Dnull+and+%40uiVersion%3Dnull%5D%2Fdata%5B%40key%3Duuid%3A80107f64-8440-4e18-97cc-8a20a3f11b57%5D%2FgroupInfoFuel%5B%40ordinal%3D1%5D%2FpicFuelRecibeInterno","Descargar")</f>
        <v>Descargar</v>
      </c>
    </row>
    <row r="4147" spans="1:18" x14ac:dyDescent="0.3">
      <c r="A4147">
        <v>1484816</v>
      </c>
      <c r="B4147" t="s">
        <v>18</v>
      </c>
      <c r="C4147" t="s">
        <v>100</v>
      </c>
      <c r="D4147" t="s">
        <v>716</v>
      </c>
      <c r="E4147" t="s">
        <v>717</v>
      </c>
      <c r="F4147" t="s">
        <v>22</v>
      </c>
      <c r="G4147" t="s">
        <v>83</v>
      </c>
      <c r="H4147" t="s">
        <v>1781</v>
      </c>
      <c r="I4147" t="s">
        <v>25</v>
      </c>
      <c r="J4147" s="2">
        <v>45707.803298611107</v>
      </c>
      <c r="K4147">
        <v>19</v>
      </c>
      <c r="L4147">
        <v>2</v>
      </c>
      <c r="M4147">
        <v>2025</v>
      </c>
      <c r="N4147" t="s">
        <v>27</v>
      </c>
      <c r="O4147">
        <v>150</v>
      </c>
      <c r="P4147">
        <v>150</v>
      </c>
      <c r="R4147" s="3" t="str">
        <f>HYPERLINK("https://panda.att.com.mx/ODKServer/view/binaryData?blobKey=FSSuministroFluidosv3%5B%40version%3Dnull+and+%40uiVersion%3Dnull%5D%2Fdata%5B%40key%3Duuid%3Aa8ad04da-ff78-4e41-98bf-c06c8165554b%5D%2FgroupInfoFuel%5B%40ordinal%3D1%5D%2FpicFuelRecibeInterno","Descargar")</f>
        <v>Descargar</v>
      </c>
    </row>
    <row r="4148" spans="1:18" x14ac:dyDescent="0.3">
      <c r="A4148">
        <v>1484804</v>
      </c>
      <c r="B4148" t="s">
        <v>18</v>
      </c>
      <c r="C4148" t="s">
        <v>68</v>
      </c>
      <c r="D4148" t="s">
        <v>132</v>
      </c>
      <c r="E4148" t="s">
        <v>522</v>
      </c>
      <c r="F4148" t="s">
        <v>22</v>
      </c>
      <c r="G4148" t="s">
        <v>23</v>
      </c>
      <c r="H4148" t="s">
        <v>37</v>
      </c>
      <c r="I4148" t="s">
        <v>25</v>
      </c>
      <c r="J4148" s="2">
        <v>45707.796377314808</v>
      </c>
      <c r="K4148">
        <v>19</v>
      </c>
      <c r="L4148">
        <v>2</v>
      </c>
      <c r="M4148">
        <v>2025</v>
      </c>
      <c r="N4148" t="s">
        <v>44</v>
      </c>
      <c r="O4148">
        <v>50</v>
      </c>
      <c r="P4148">
        <v>50</v>
      </c>
      <c r="R4148" s="3" t="str">
        <f>HYPERLINK("https://panda.att.com.mx/ODKServer/view/binaryData?blobKey=FSSuministroFluidosv3%5B%40version%3Dnull+and+%40uiVersion%3Dnull%5D%2Fdata%5B%40key%3Duuid%3Ae36c9df9-7eb7-4ef5-8584-0d54ca402a50%5D%2FgroupInfoFuel%5B%40ordinal%3D1%5D%2FpicFuelRecibeInterno","Descargar")</f>
        <v>Descargar</v>
      </c>
    </row>
    <row r="4149" spans="1:18" x14ac:dyDescent="0.3">
      <c r="A4149">
        <v>1484680</v>
      </c>
      <c r="B4149" t="s">
        <v>18</v>
      </c>
      <c r="C4149" t="s">
        <v>100</v>
      </c>
      <c r="D4149" t="s">
        <v>651</v>
      </c>
      <c r="E4149" t="s">
        <v>1833</v>
      </c>
      <c r="F4149" t="s">
        <v>22</v>
      </c>
      <c r="G4149" t="s">
        <v>83</v>
      </c>
      <c r="H4149" t="s">
        <v>1781</v>
      </c>
      <c r="I4149" t="s">
        <v>25</v>
      </c>
      <c r="J4149" s="2">
        <v>45707.54891203704</v>
      </c>
      <c r="K4149">
        <v>19</v>
      </c>
      <c r="L4149">
        <v>2</v>
      </c>
      <c r="M4149">
        <v>2025</v>
      </c>
      <c r="N4149" t="s">
        <v>27</v>
      </c>
      <c r="O4149">
        <v>30</v>
      </c>
      <c r="P4149">
        <v>30</v>
      </c>
      <c r="R4149" s="3" t="str">
        <f>HYPERLINK("https://panda.att.com.mx/ODKServer/view/binaryData?blobKey=FSSuministroFluidosv3%5B%40version%3Dnull+and+%40uiVersion%3Dnull%5D%2Fdata%5B%40key%3Duuid%3A47d9e403-0f4e-4e84-bbc2-891950e179d1%5D%2FgroupInfoFuel%5B%40ordinal%3D1%5D%2FpicFuelRecibeInterno","Descargar")</f>
        <v>Descargar</v>
      </c>
    </row>
    <row r="4150" spans="1:18" x14ac:dyDescent="0.3">
      <c r="A4150">
        <v>1484664</v>
      </c>
      <c r="B4150" t="s">
        <v>18</v>
      </c>
      <c r="C4150" t="s">
        <v>34</v>
      </c>
      <c r="D4150" t="s">
        <v>53</v>
      </c>
      <c r="E4150" t="s">
        <v>3078</v>
      </c>
      <c r="F4150" t="s">
        <v>22</v>
      </c>
      <c r="G4150" t="s">
        <v>23</v>
      </c>
      <c r="H4150" t="s">
        <v>37</v>
      </c>
      <c r="I4150" t="s">
        <v>25</v>
      </c>
      <c r="J4150" s="2">
        <v>45707.702962962961</v>
      </c>
      <c r="K4150">
        <v>19</v>
      </c>
      <c r="L4150">
        <v>2</v>
      </c>
      <c r="M4150">
        <v>2025</v>
      </c>
      <c r="N4150" t="s">
        <v>27</v>
      </c>
      <c r="O4150">
        <v>150</v>
      </c>
      <c r="P4150">
        <v>150</v>
      </c>
      <c r="R4150" s="3" t="str">
        <f>HYPERLINK("https://panda.att.com.mx/ODKServer/view/binaryData?blobKey=FSSuministroFluidosv3%5B%40version%3Dnull+and+%40uiVersion%3Dnull%5D%2Fdata%5B%40key%3Duuid%3Aa1f9c022-057e-4645-9f12-635bbd141c27%5D%2FgroupInfoFuel%5B%40ordinal%3D1%5D%2FpicFuelRecibeInterno","Descargar")</f>
        <v>Descargar</v>
      </c>
    </row>
    <row r="4151" spans="1:18" x14ac:dyDescent="0.3">
      <c r="A4151">
        <v>1484642</v>
      </c>
      <c r="B4151" t="s">
        <v>18</v>
      </c>
      <c r="C4151" t="s">
        <v>28</v>
      </c>
      <c r="D4151" t="s">
        <v>513</v>
      </c>
      <c r="E4151" t="s">
        <v>3079</v>
      </c>
      <c r="F4151" t="s">
        <v>22</v>
      </c>
      <c r="G4151" t="s">
        <v>23</v>
      </c>
      <c r="H4151" t="s">
        <v>24</v>
      </c>
      <c r="I4151" t="s">
        <v>25</v>
      </c>
      <c r="J4151" s="2">
        <v>45707.454351851848</v>
      </c>
      <c r="K4151">
        <v>19</v>
      </c>
      <c r="L4151">
        <v>2</v>
      </c>
      <c r="M4151">
        <v>2025</v>
      </c>
      <c r="N4151" t="s">
        <v>27</v>
      </c>
      <c r="O4151">
        <v>200</v>
      </c>
      <c r="P4151">
        <v>200</v>
      </c>
      <c r="R4151" s="3" t="str">
        <f>HYPERLINK("https://panda.att.com.mx/ODKServer/view/binaryData?blobKey=FSSuministroFluidosv3%5B%40version%3Dnull+and+%40uiVersion%3Dnull%5D%2Fdata%5B%40key%3Duuid%3A373b71ca-be32-447c-b0f3-b1d1ccb5c264%5D%2FgroupInfoFuel%5B%40ordinal%3D1%5D%2FpicFuelRecibeInterno","Descargar")</f>
        <v>Descargar</v>
      </c>
    </row>
    <row r="4152" spans="1:18" x14ac:dyDescent="0.3">
      <c r="A4152">
        <v>1484614</v>
      </c>
      <c r="B4152" t="s">
        <v>18</v>
      </c>
      <c r="C4152" t="s">
        <v>28</v>
      </c>
      <c r="D4152" t="s">
        <v>66</v>
      </c>
      <c r="E4152" t="s">
        <v>104</v>
      </c>
      <c r="F4152" t="s">
        <v>22</v>
      </c>
      <c r="G4152" t="s">
        <v>23</v>
      </c>
      <c r="H4152" t="s">
        <v>24</v>
      </c>
      <c r="I4152" t="s">
        <v>25</v>
      </c>
      <c r="J4152" s="2">
        <v>45707.378587962958</v>
      </c>
      <c r="K4152">
        <v>19</v>
      </c>
      <c r="L4152">
        <v>2</v>
      </c>
      <c r="M4152">
        <v>2025</v>
      </c>
      <c r="N4152" t="s">
        <v>27</v>
      </c>
      <c r="O4152">
        <v>80</v>
      </c>
      <c r="P4152">
        <v>80</v>
      </c>
      <c r="R4152" s="3" t="str">
        <f>HYPERLINK("https://panda.att.com.mx/ODKServer/view/binaryData?blobKey=FSSuministroFluidosv3%5B%40version%3Dnull+and+%40uiVersion%3Dnull%5D%2Fdata%5B%40key%3Duuid%3Adfdd3f19-4fda-4dc3-887f-1f9ce650cfd7%5D%2FgroupInfoFuel%5B%40ordinal%3D1%5D%2FpicFuelRecibeInterno","Descargar")</f>
        <v>Descargar</v>
      </c>
    </row>
    <row r="4153" spans="1:18" x14ac:dyDescent="0.3">
      <c r="A4153">
        <v>1484613</v>
      </c>
      <c r="B4153" t="s">
        <v>18</v>
      </c>
      <c r="C4153" t="s">
        <v>28</v>
      </c>
      <c r="D4153" t="s">
        <v>118</v>
      </c>
      <c r="E4153" t="s">
        <v>1754</v>
      </c>
      <c r="F4153" t="s">
        <v>22</v>
      </c>
      <c r="G4153" t="s">
        <v>23</v>
      </c>
      <c r="H4153" t="s">
        <v>24</v>
      </c>
      <c r="I4153" t="s">
        <v>25</v>
      </c>
      <c r="J4153" s="2">
        <v>45707.4215625</v>
      </c>
      <c r="K4153">
        <v>19</v>
      </c>
      <c r="L4153">
        <v>2</v>
      </c>
      <c r="M4153">
        <v>2025</v>
      </c>
      <c r="N4153" t="s">
        <v>44</v>
      </c>
      <c r="O4153">
        <v>27</v>
      </c>
      <c r="P4153">
        <v>27</v>
      </c>
      <c r="R4153" s="3" t="str">
        <f>HYPERLINK("https://panda.att.com.mx/ODKServer/view/binaryData?blobKey=FSSuministroFluidosv3%5B%40version%3Dnull+and+%40uiVersion%3Dnull%5D%2Fdata%5B%40key%3Duuid%3A56b34797-d879-4d64-9594-9494dc5c306a%5D%2FgroupInfoFuel%5B%40ordinal%3D1%5D%2FpicFuelRecibeInterno","Descargar")</f>
        <v>Descargar</v>
      </c>
    </row>
    <row r="4154" spans="1:18" x14ac:dyDescent="0.3">
      <c r="A4154">
        <v>1484612</v>
      </c>
      <c r="B4154" t="s">
        <v>18</v>
      </c>
      <c r="C4154" t="s">
        <v>150</v>
      </c>
      <c r="D4154" t="s">
        <v>154</v>
      </c>
      <c r="E4154" t="s">
        <v>3080</v>
      </c>
      <c r="F4154" t="s">
        <v>22</v>
      </c>
      <c r="G4154" t="s">
        <v>23</v>
      </c>
      <c r="H4154" t="s">
        <v>1781</v>
      </c>
      <c r="I4154" t="s">
        <v>25</v>
      </c>
      <c r="J4154" s="2">
        <v>45707.58321759259</v>
      </c>
      <c r="K4154">
        <v>19</v>
      </c>
      <c r="L4154">
        <v>2</v>
      </c>
      <c r="M4154">
        <v>2025</v>
      </c>
      <c r="N4154" t="s">
        <v>27</v>
      </c>
      <c r="O4154">
        <v>250</v>
      </c>
      <c r="P4154">
        <v>250</v>
      </c>
      <c r="R4154" s="3" t="str">
        <f>HYPERLINK("https://panda.att.com.mx/ODKServer/view/binaryData?blobKey=FSSuministroFluidosv3%5B%40version%3Dnull+and+%40uiVersion%3Dnull%5D%2Fdata%5B%40key%3Duuid%3A7d66b6cb-b205-449d-bcd4-5e15f440ef7b%5D%2FgroupInfoFuel%5B%40ordinal%3D1%5D%2FpicFuelRecibeInterno","Descargar")</f>
        <v>Descargar</v>
      </c>
    </row>
    <row r="4155" spans="1:18" x14ac:dyDescent="0.3">
      <c r="A4155">
        <v>1484596</v>
      </c>
      <c r="B4155" t="s">
        <v>18</v>
      </c>
      <c r="C4155" t="s">
        <v>28</v>
      </c>
      <c r="D4155" t="s">
        <v>181</v>
      </c>
      <c r="E4155" t="s">
        <v>244</v>
      </c>
      <c r="F4155" t="s">
        <v>22</v>
      </c>
      <c r="G4155" t="s">
        <v>47</v>
      </c>
      <c r="H4155" t="s">
        <v>24</v>
      </c>
      <c r="I4155" t="s">
        <v>25</v>
      </c>
      <c r="J4155" s="2">
        <v>45707.549837962957</v>
      </c>
      <c r="K4155">
        <v>19</v>
      </c>
      <c r="L4155">
        <v>2</v>
      </c>
      <c r="M4155">
        <v>2025</v>
      </c>
      <c r="N4155" t="s">
        <v>27</v>
      </c>
      <c r="O4155">
        <v>200</v>
      </c>
      <c r="P4155">
        <v>200</v>
      </c>
      <c r="R4155" s="3" t="str">
        <f>HYPERLINK("https://panda.att.com.mx/ODKServer/view/binaryData?blobKey=FSSuministroFluidosv3%5B%40version%3Dnull+and+%40uiVersion%3Dnull%5D%2Fdata%5B%40key%3Duuid%3Ad357f282-77e7-425f-b269-a0887f90b4b9%5D%2FgroupInfoFuel%5B%40ordinal%3D1%5D%2FpicFuelRecibeInterno","Descargar")</f>
        <v>Descargar</v>
      </c>
    </row>
    <row r="4156" spans="1:18" x14ac:dyDescent="0.3">
      <c r="A4156">
        <v>1484577</v>
      </c>
      <c r="B4156" t="s">
        <v>18</v>
      </c>
      <c r="C4156" t="s">
        <v>55</v>
      </c>
      <c r="D4156" t="s">
        <v>56</v>
      </c>
      <c r="E4156" t="s">
        <v>3031</v>
      </c>
      <c r="F4156" t="s">
        <v>22</v>
      </c>
      <c r="G4156" t="s">
        <v>23</v>
      </c>
      <c r="H4156" t="s">
        <v>1763</v>
      </c>
      <c r="I4156" t="s">
        <v>25</v>
      </c>
      <c r="J4156" s="2">
        <v>45705.773460648154</v>
      </c>
      <c r="K4156">
        <v>17</v>
      </c>
      <c r="L4156">
        <v>2</v>
      </c>
      <c r="M4156">
        <v>2025</v>
      </c>
      <c r="N4156" t="s">
        <v>27</v>
      </c>
      <c r="O4156">
        <v>100</v>
      </c>
      <c r="P4156">
        <v>100</v>
      </c>
      <c r="R4156" s="3" t="str">
        <f>HYPERLINK("https://panda.att.com.mx/ODKServer/view/binaryData?blobKey=FSSuministroFluidosv3%5B%40version%3Dnull+and+%40uiVersion%3Dnull%5D%2Fdata%5B%40key%3Duuid%3A35a65607-903c-4e84-8471-58fa93d1d42e%5D%2FgroupInfoFuel%5B%40ordinal%3D1%5D%2FpicFuelRecibeInterno","Descargar")</f>
        <v>Descargar</v>
      </c>
    </row>
    <row r="4157" spans="1:18" x14ac:dyDescent="0.3">
      <c r="A4157">
        <v>1484568</v>
      </c>
      <c r="B4157" t="s">
        <v>18</v>
      </c>
      <c r="C4157" t="s">
        <v>55</v>
      </c>
      <c r="D4157" t="s">
        <v>56</v>
      </c>
      <c r="E4157" t="s">
        <v>2966</v>
      </c>
      <c r="F4157" t="s">
        <v>22</v>
      </c>
      <c r="G4157" t="s">
        <v>23</v>
      </c>
      <c r="H4157" t="s">
        <v>1763</v>
      </c>
      <c r="I4157" t="s">
        <v>25</v>
      </c>
      <c r="J4157" s="2">
        <v>45705.811597222222</v>
      </c>
      <c r="K4157">
        <v>17</v>
      </c>
      <c r="L4157">
        <v>2</v>
      </c>
      <c r="M4157">
        <v>2025</v>
      </c>
      <c r="N4157" t="s">
        <v>27</v>
      </c>
      <c r="O4157">
        <v>100</v>
      </c>
      <c r="P4157">
        <v>100</v>
      </c>
      <c r="R4157" s="3" t="str">
        <f>HYPERLINK("https://panda.att.com.mx/ODKServer/view/binaryData?blobKey=FSSuministroFluidosv3%5B%40version%3Dnull+and+%40uiVersion%3Dnull%5D%2Fdata%5B%40key%3Duuid%3A2ea7e6d2-8906-4daa-9249-b41761347db1%5D%2FgroupInfoFuel%5B%40ordinal%3D1%5D%2FpicFuelRecibeInterno","Descargar")</f>
        <v>Descargar</v>
      </c>
    </row>
    <row r="4158" spans="1:18" x14ac:dyDescent="0.3">
      <c r="A4158">
        <v>1484493</v>
      </c>
      <c r="B4158" t="s">
        <v>18</v>
      </c>
      <c r="C4158" t="s">
        <v>28</v>
      </c>
      <c r="D4158" t="s">
        <v>31</v>
      </c>
      <c r="E4158" t="s">
        <v>3081</v>
      </c>
      <c r="F4158" t="s">
        <v>22</v>
      </c>
      <c r="G4158" t="s">
        <v>23</v>
      </c>
      <c r="H4158" t="s">
        <v>24</v>
      </c>
      <c r="I4158" t="s">
        <v>25</v>
      </c>
      <c r="J4158" s="2">
        <v>45707.391099537039</v>
      </c>
      <c r="K4158">
        <v>19</v>
      </c>
      <c r="L4158">
        <v>2</v>
      </c>
      <c r="M4158">
        <v>2025</v>
      </c>
      <c r="N4158" t="s">
        <v>27</v>
      </c>
      <c r="O4158">
        <v>300</v>
      </c>
      <c r="P4158">
        <v>300</v>
      </c>
      <c r="R4158" s="3" t="str">
        <f>HYPERLINK("https://panda.att.com.mx/ODKServer/view/binaryData?blobKey=FSSuministroFluidosv3%5B%40version%3Dnull+and+%40uiVersion%3Dnull%5D%2Fdata%5B%40key%3Duuid%3A1d0e90ff-cd94-49c7-8a55-1de84298ccdd%5D%2FgroupInfoFuel%5B%40ordinal%3D1%5D%2FpicFuelRecibeInterno","Descargar")</f>
        <v>Descargar</v>
      </c>
    </row>
    <row r="4159" spans="1:18" x14ac:dyDescent="0.3">
      <c r="A4159">
        <v>1484417</v>
      </c>
      <c r="B4159" t="s">
        <v>18</v>
      </c>
      <c r="C4159" t="s">
        <v>34</v>
      </c>
      <c r="D4159" t="s">
        <v>53</v>
      </c>
      <c r="E4159" t="s">
        <v>144</v>
      </c>
      <c r="F4159" t="s">
        <v>22</v>
      </c>
      <c r="G4159" t="s">
        <v>23</v>
      </c>
      <c r="H4159" t="s">
        <v>37</v>
      </c>
      <c r="I4159" t="s">
        <v>25</v>
      </c>
      <c r="J4159" s="2">
        <v>45707.503657407397</v>
      </c>
      <c r="K4159">
        <v>19</v>
      </c>
      <c r="L4159">
        <v>2</v>
      </c>
      <c r="M4159">
        <v>2025</v>
      </c>
      <c r="N4159" t="s">
        <v>27</v>
      </c>
      <c r="O4159">
        <v>300</v>
      </c>
      <c r="P4159">
        <v>300</v>
      </c>
      <c r="R4159" s="3" t="str">
        <f>HYPERLINK("https://panda.att.com.mx/ODKServer/view/binaryData?blobKey=FSSuministroFluidosv3%5B%40version%3Dnull+and+%40uiVersion%3Dnull%5D%2Fdata%5B%40key%3Duuid%3Af4aa8209-e419-44fd-b2e4-10698a6f3601%5D%2FgroupInfoFuel%5B%40ordinal%3D1%5D%2FpicFuelRecibeInterno","Descargar")</f>
        <v>Descargar</v>
      </c>
    </row>
    <row r="4160" spans="1:18" x14ac:dyDescent="0.3">
      <c r="A4160">
        <v>1484341</v>
      </c>
      <c r="B4160" t="s">
        <v>18</v>
      </c>
      <c r="C4160" t="s">
        <v>150</v>
      </c>
      <c r="D4160" t="s">
        <v>230</v>
      </c>
      <c r="E4160" t="s">
        <v>399</v>
      </c>
      <c r="F4160" t="s">
        <v>22</v>
      </c>
      <c r="G4160" t="s">
        <v>23</v>
      </c>
      <c r="H4160" t="s">
        <v>1781</v>
      </c>
      <c r="I4160" t="s">
        <v>25</v>
      </c>
      <c r="J4160" s="2">
        <v>45707.385046296287</v>
      </c>
      <c r="K4160">
        <v>19</v>
      </c>
      <c r="L4160">
        <v>2</v>
      </c>
      <c r="M4160">
        <v>2025</v>
      </c>
      <c r="N4160" t="s">
        <v>27</v>
      </c>
      <c r="O4160">
        <v>250</v>
      </c>
      <c r="P4160">
        <v>250</v>
      </c>
      <c r="R4160" s="3" t="str">
        <f>HYPERLINK("https://panda.att.com.mx/ODKServer/view/binaryData?blobKey=FSSuministroFluidosv3%5B%40version%3Dnull+and+%40uiVersion%3Dnull%5D%2Fdata%5B%40key%3Duuid%3Aa04694aa-a7f6-4e02-9625-d58c079bf13f%5D%2FgroupInfoFuel%5B%40ordinal%3D1%5D%2FpicFuelRecibeInterno","Descargar")</f>
        <v>Descargar</v>
      </c>
    </row>
    <row r="4161" spans="1:18" x14ac:dyDescent="0.3">
      <c r="A4161">
        <v>1484225</v>
      </c>
      <c r="B4161" t="s">
        <v>18</v>
      </c>
      <c r="C4161" t="s">
        <v>59</v>
      </c>
      <c r="D4161" t="s">
        <v>60</v>
      </c>
      <c r="E4161" t="s">
        <v>2738</v>
      </c>
      <c r="F4161" t="s">
        <v>22</v>
      </c>
      <c r="G4161" t="s">
        <v>23</v>
      </c>
      <c r="H4161" t="s">
        <v>37</v>
      </c>
      <c r="I4161" t="s">
        <v>25</v>
      </c>
      <c r="J4161" s="2">
        <v>45707.328599537039</v>
      </c>
      <c r="K4161">
        <v>19</v>
      </c>
      <c r="L4161">
        <v>2</v>
      </c>
      <c r="M4161">
        <v>2025</v>
      </c>
      <c r="N4161" t="s">
        <v>27</v>
      </c>
      <c r="O4161">
        <v>130</v>
      </c>
      <c r="P4161">
        <v>130</v>
      </c>
      <c r="R4161" s="3" t="str">
        <f>HYPERLINK("https://panda.att.com.mx/ODKServer/view/binaryData?blobKey=FSSuministroFluidosv3%5B%40version%3Dnull+and+%40uiVersion%3Dnull%5D%2Fdata%5B%40key%3Duuid%3A2cb4ce0d-2b15-4b69-a6aa-d5aba6413618%5D%2FgroupInfoFuel%5B%40ordinal%3D1%5D%2FpicFuelRecibeInterno","Descargar")</f>
        <v>Descargar</v>
      </c>
    </row>
    <row r="4162" spans="1:18" x14ac:dyDescent="0.3">
      <c r="A4162">
        <v>1484163</v>
      </c>
      <c r="B4162" t="s">
        <v>18</v>
      </c>
      <c r="C4162" t="s">
        <v>59</v>
      </c>
      <c r="D4162" t="s">
        <v>60</v>
      </c>
      <c r="E4162" t="s">
        <v>3082</v>
      </c>
      <c r="F4162" t="s">
        <v>22</v>
      </c>
      <c r="G4162" t="s">
        <v>23</v>
      </c>
      <c r="H4162" t="s">
        <v>37</v>
      </c>
      <c r="I4162" t="s">
        <v>25</v>
      </c>
      <c r="J4162" s="2">
        <v>45706.779409722221</v>
      </c>
      <c r="K4162">
        <v>18</v>
      </c>
      <c r="L4162">
        <v>2</v>
      </c>
      <c r="M4162">
        <v>2025</v>
      </c>
      <c r="N4162" t="s">
        <v>27</v>
      </c>
      <c r="O4162">
        <v>28</v>
      </c>
      <c r="P4162">
        <v>28</v>
      </c>
      <c r="R4162" s="3" t="str">
        <f>HYPERLINK("https://panda.att.com.mx/ODKServer/view/binaryData?blobKey=FSSuministroFluidosv3%5B%40version%3Dnull+and+%40uiVersion%3Dnull%5D%2Fdata%5B%40key%3Duuid%3Ac119af73-c420-480b-ac5b-7647db8fda88%5D%2FgroupInfoFuel%5B%40ordinal%3D1%5D%2FpicFuelRecibeInterno","Descargar")</f>
        <v>Descargar</v>
      </c>
    </row>
    <row r="4163" spans="1:18" x14ac:dyDescent="0.3">
      <c r="A4163">
        <v>1484127</v>
      </c>
      <c r="B4163" t="s">
        <v>18</v>
      </c>
      <c r="C4163" t="s">
        <v>28</v>
      </c>
      <c r="D4163" t="s">
        <v>181</v>
      </c>
      <c r="E4163" t="s">
        <v>701</v>
      </c>
      <c r="F4163" t="s">
        <v>22</v>
      </c>
      <c r="G4163" t="s">
        <v>23</v>
      </c>
      <c r="H4163" t="s">
        <v>24</v>
      </c>
      <c r="I4163" t="s">
        <v>25</v>
      </c>
      <c r="J4163" s="2">
        <v>45705.659131944441</v>
      </c>
      <c r="K4163">
        <v>17</v>
      </c>
      <c r="L4163">
        <v>2</v>
      </c>
      <c r="M4163">
        <v>2025</v>
      </c>
      <c r="N4163" t="s">
        <v>44</v>
      </c>
      <c r="O4163">
        <v>40</v>
      </c>
      <c r="P4163">
        <v>40</v>
      </c>
      <c r="R4163" s="3" t="str">
        <f>HYPERLINK("https://panda.att.com.mx/ODKServer/view/binaryData?blobKey=FSSuministroFluidosv3%5B%40version%3Dnull+and+%40uiVersion%3Dnull%5D%2Fdata%5B%40key%3Duuid%3Ad9180560-823a-4517-ae0a-99a2907eb53e%5D%2FgroupInfoFuel%5B%40ordinal%3D1%5D%2FpicFuelRecibeInterno","Descargar")</f>
        <v>Descargar</v>
      </c>
    </row>
    <row r="4164" spans="1:18" x14ac:dyDescent="0.3">
      <c r="A4164">
        <v>1484122</v>
      </c>
      <c r="B4164" t="s">
        <v>18</v>
      </c>
      <c r="C4164" t="s">
        <v>28</v>
      </c>
      <c r="D4164" t="s">
        <v>181</v>
      </c>
      <c r="E4164" t="s">
        <v>1609</v>
      </c>
      <c r="F4164" t="s">
        <v>22</v>
      </c>
      <c r="G4164" t="s">
        <v>23</v>
      </c>
      <c r="H4164" t="s">
        <v>24</v>
      </c>
      <c r="I4164" t="s">
        <v>25</v>
      </c>
      <c r="J4164" s="2">
        <v>45702.796678240738</v>
      </c>
      <c r="K4164">
        <v>14</v>
      </c>
      <c r="L4164">
        <v>2</v>
      </c>
      <c r="M4164">
        <v>2025</v>
      </c>
      <c r="N4164" t="s">
        <v>27</v>
      </c>
      <c r="O4164">
        <v>400</v>
      </c>
      <c r="P4164">
        <v>400</v>
      </c>
      <c r="R4164" s="3" t="str">
        <f>HYPERLINK("https://panda.att.com.mx/ODKServer/view/binaryData?blobKey=FSSuministroFluidosv3%5B%40version%3Dnull+and+%40uiVersion%3Dnull%5D%2Fdata%5B%40key%3Duuid%3A5ed58534-9b46-4617-a044-71a111916610%5D%2FgroupInfoFuel%5B%40ordinal%3D1%5D%2FpicFuelRecibeInterno","Descargar")</f>
        <v>Descargar</v>
      </c>
    </row>
    <row r="4165" spans="1:18" x14ac:dyDescent="0.3">
      <c r="A4165">
        <v>1484120</v>
      </c>
      <c r="B4165" t="s">
        <v>18</v>
      </c>
      <c r="C4165" t="s">
        <v>55</v>
      </c>
      <c r="D4165" t="s">
        <v>89</v>
      </c>
      <c r="E4165" t="s">
        <v>3083</v>
      </c>
      <c r="F4165" t="s">
        <v>22</v>
      </c>
      <c r="G4165" t="s">
        <v>23</v>
      </c>
      <c r="H4165" t="s">
        <v>1763</v>
      </c>
      <c r="I4165" t="s">
        <v>25</v>
      </c>
      <c r="J4165" s="2">
        <v>45706.68310185185</v>
      </c>
      <c r="K4165">
        <v>18</v>
      </c>
      <c r="L4165">
        <v>2</v>
      </c>
      <c r="M4165">
        <v>2025</v>
      </c>
      <c r="N4165" t="s">
        <v>27</v>
      </c>
      <c r="O4165">
        <v>100</v>
      </c>
      <c r="P4165">
        <v>100</v>
      </c>
      <c r="R4165" s="3" t="str">
        <f>HYPERLINK("https://panda.att.com.mx/ODKServer/view/binaryData?blobKey=FSSuministroFluidosv3%5B%40version%3Dnull+and+%40uiVersion%3Dnull%5D%2Fdata%5B%40key%3Duuid%3Ac3c19cf4-7d6f-44cf-9356-e37f2ae44d30%5D%2FgroupInfoFuel%5B%40ordinal%3D1%5D%2FpicFuelRecibeInterno","Descargar")</f>
        <v>Descargar</v>
      </c>
    </row>
    <row r="4166" spans="1:18" x14ac:dyDescent="0.3">
      <c r="A4166">
        <v>1484081</v>
      </c>
      <c r="B4166" t="s">
        <v>18</v>
      </c>
      <c r="C4166" t="s">
        <v>34</v>
      </c>
      <c r="D4166" t="s">
        <v>53</v>
      </c>
      <c r="E4166" t="s">
        <v>327</v>
      </c>
      <c r="F4166" t="s">
        <v>22</v>
      </c>
      <c r="G4166" t="s">
        <v>23</v>
      </c>
      <c r="H4166" t="s">
        <v>37</v>
      </c>
      <c r="I4166" t="s">
        <v>25</v>
      </c>
      <c r="J4166" s="2">
        <v>45706.573182870372</v>
      </c>
      <c r="K4166">
        <v>18</v>
      </c>
      <c r="L4166">
        <v>2</v>
      </c>
      <c r="M4166">
        <v>2025</v>
      </c>
      <c r="N4166" t="s">
        <v>27</v>
      </c>
      <c r="O4166">
        <v>200</v>
      </c>
      <c r="P4166">
        <v>200</v>
      </c>
      <c r="R4166" s="3" t="str">
        <f>HYPERLINK("https://panda.att.com.mx/ODKServer/view/binaryData?blobKey=FSSuministroFluidosv3%5B%40version%3Dnull+and+%40uiVersion%3Dnull%5D%2Fdata%5B%40key%3Duuid%3Ae985f3a8-e1d6-4fd0-bcbd-20d07698a135%5D%2FgroupInfoFuel%5B%40ordinal%3D1%5D%2FpicFuelRecibeInterno","Descargar")</f>
        <v>Descargar</v>
      </c>
    </row>
    <row r="4167" spans="1:18" x14ac:dyDescent="0.3">
      <c r="A4167">
        <v>1483903</v>
      </c>
      <c r="B4167" t="s">
        <v>18</v>
      </c>
      <c r="C4167" t="s">
        <v>55</v>
      </c>
      <c r="D4167" t="s">
        <v>56</v>
      </c>
      <c r="E4167" t="s">
        <v>624</v>
      </c>
      <c r="F4167" t="s">
        <v>22</v>
      </c>
      <c r="G4167" t="s">
        <v>23</v>
      </c>
      <c r="H4167" t="s">
        <v>1763</v>
      </c>
      <c r="I4167" t="s">
        <v>25</v>
      </c>
      <c r="J4167" s="2">
        <v>45705.441736111112</v>
      </c>
      <c r="K4167">
        <v>17</v>
      </c>
      <c r="L4167">
        <v>2</v>
      </c>
      <c r="M4167">
        <v>2025</v>
      </c>
      <c r="N4167" t="s">
        <v>27</v>
      </c>
      <c r="O4167">
        <v>120</v>
      </c>
      <c r="P4167">
        <v>120</v>
      </c>
      <c r="R4167" s="3" t="str">
        <f>HYPERLINK("https://panda.att.com.mx/ODKServer/view/binaryData?blobKey=FSSuministroFluidosv3%5B%40version%3Dnull+and+%40uiVersion%3Dnull%5D%2Fdata%5B%40key%3Duuid%3A9b14c112-3e5b-4cd0-9784-d0edb4c72daf%5D%2FgroupInfoFuel%5B%40ordinal%3D1%5D%2FpicFuelRecibeInterno","Descargar")</f>
        <v>Descargar</v>
      </c>
    </row>
    <row r="4168" spans="1:18" x14ac:dyDescent="0.3">
      <c r="A4168">
        <v>1483871</v>
      </c>
      <c r="B4168" t="s">
        <v>18</v>
      </c>
      <c r="C4168" t="s">
        <v>34</v>
      </c>
      <c r="D4168" t="s">
        <v>53</v>
      </c>
      <c r="E4168" t="s">
        <v>3010</v>
      </c>
      <c r="F4168" t="s">
        <v>22</v>
      </c>
      <c r="G4168" t="s">
        <v>23</v>
      </c>
      <c r="H4168" t="s">
        <v>37</v>
      </c>
      <c r="I4168" t="s">
        <v>25</v>
      </c>
      <c r="J4168" s="2">
        <v>45706.695497685178</v>
      </c>
      <c r="K4168">
        <v>18</v>
      </c>
      <c r="L4168">
        <v>2</v>
      </c>
      <c r="M4168">
        <v>2025</v>
      </c>
      <c r="N4168" t="s">
        <v>27</v>
      </c>
      <c r="O4168">
        <v>200</v>
      </c>
      <c r="P4168">
        <v>200</v>
      </c>
      <c r="R4168" s="3" t="str">
        <f>HYPERLINK("https://panda.att.com.mx/ODKServer/view/binaryData?blobKey=FSSuministroFluidosv3%5B%40version%3Dnull+and+%40uiVersion%3Dnull%5D%2Fdata%5B%40key%3Duuid%3A4234de8a-db7a-44c2-a731-7b6802195716%5D%2FgroupInfoFuel%5B%40ordinal%3D1%5D%2FpicFuelRecibeInterno","Descargar")</f>
        <v>Descargar</v>
      </c>
    </row>
    <row r="4169" spans="1:18" x14ac:dyDescent="0.3">
      <c r="A4169">
        <v>1483870</v>
      </c>
      <c r="B4169" t="s">
        <v>18</v>
      </c>
      <c r="C4169" t="s">
        <v>19</v>
      </c>
      <c r="D4169" t="s">
        <v>20</v>
      </c>
      <c r="E4169" t="s">
        <v>1615</v>
      </c>
      <c r="F4169" t="s">
        <v>22</v>
      </c>
      <c r="G4169" t="s">
        <v>23</v>
      </c>
      <c r="H4169" t="s">
        <v>24</v>
      </c>
      <c r="I4169" t="s">
        <v>25</v>
      </c>
      <c r="J4169" s="2">
        <v>45706.676493055558</v>
      </c>
      <c r="K4169">
        <v>18</v>
      </c>
      <c r="L4169">
        <v>2</v>
      </c>
      <c r="M4169">
        <v>2025</v>
      </c>
      <c r="N4169" t="s">
        <v>27</v>
      </c>
      <c r="O4169">
        <v>200</v>
      </c>
      <c r="P4169">
        <v>200</v>
      </c>
      <c r="R4169" s="3" t="str">
        <f>HYPERLINK("https://panda.att.com.mx/ODKServer/view/binaryData?blobKey=FSSuministroFluidosv3%5B%40version%3Dnull+and+%40uiVersion%3Dnull%5D%2Fdata%5B%40key%3Duuid%3Aeb8bf77e-56db-483e-a529-84fd8dcafd59%5D%2FgroupInfoFuel%5B%40ordinal%3D1%5D%2FpicFuelRecibeInterno","Descargar")</f>
        <v>Descargar</v>
      </c>
    </row>
    <row r="4170" spans="1:18" x14ac:dyDescent="0.3">
      <c r="A4170">
        <v>1483844</v>
      </c>
      <c r="B4170" t="s">
        <v>18</v>
      </c>
      <c r="C4170" t="s">
        <v>59</v>
      </c>
      <c r="D4170" t="s">
        <v>60</v>
      </c>
      <c r="E4170" t="s">
        <v>2738</v>
      </c>
      <c r="F4170" t="s">
        <v>22</v>
      </c>
      <c r="G4170" t="s">
        <v>23</v>
      </c>
      <c r="H4170" t="s">
        <v>37</v>
      </c>
      <c r="I4170" t="s">
        <v>25</v>
      </c>
      <c r="J4170" s="2">
        <v>45705.733726851853</v>
      </c>
      <c r="K4170">
        <v>17</v>
      </c>
      <c r="L4170">
        <v>2</v>
      </c>
      <c r="M4170">
        <v>2025</v>
      </c>
      <c r="N4170" t="s">
        <v>27</v>
      </c>
      <c r="O4170">
        <v>130</v>
      </c>
      <c r="P4170">
        <v>130</v>
      </c>
      <c r="R4170" s="3" t="str">
        <f>HYPERLINK("https://panda.att.com.mx/ODKServer/view/binaryData?blobKey=FSSuministroFluidosv3%5B%40version%3Dnull+and+%40uiVersion%3Dnull%5D%2Fdata%5B%40key%3Duuid%3A213b11b2-37e3-404e-8d5b-914efe8b4612%5D%2FgroupInfoFuel%5B%40ordinal%3D1%5D%2FpicFuelRecibeInterno","Descargar")</f>
        <v>Descargar</v>
      </c>
    </row>
    <row r="4171" spans="1:18" x14ac:dyDescent="0.3">
      <c r="A4171">
        <v>1483805</v>
      </c>
      <c r="B4171" t="s">
        <v>18</v>
      </c>
      <c r="C4171" t="s">
        <v>59</v>
      </c>
      <c r="D4171" t="s">
        <v>60</v>
      </c>
      <c r="E4171" t="s">
        <v>2207</v>
      </c>
      <c r="F4171" t="s">
        <v>22</v>
      </c>
      <c r="G4171" t="s">
        <v>23</v>
      </c>
      <c r="H4171" t="s">
        <v>37</v>
      </c>
      <c r="I4171" t="s">
        <v>25</v>
      </c>
      <c r="J4171" s="2">
        <v>45706.238657407397</v>
      </c>
      <c r="K4171">
        <v>18</v>
      </c>
      <c r="L4171">
        <v>2</v>
      </c>
      <c r="M4171">
        <v>2025</v>
      </c>
      <c r="N4171" t="s">
        <v>27</v>
      </c>
      <c r="O4171">
        <v>130</v>
      </c>
      <c r="P4171">
        <v>130</v>
      </c>
      <c r="R4171" s="3" t="str">
        <f>HYPERLINK("https://panda.att.com.mx/ODKServer/view/binaryData?blobKey=FSSuministroFluidosv3%5B%40version%3Dnull+and+%40uiVersion%3Dnull%5D%2Fdata%5B%40key%3Duuid%3A41229c2a-6ef8-4924-a918-7ad87b1b3d79%5D%2FgroupInfoFuel%5B%40ordinal%3D1%5D%2FpicFuelRecibeInterno","Descargar")</f>
        <v>Descargar</v>
      </c>
    </row>
    <row r="4172" spans="1:18" x14ac:dyDescent="0.3">
      <c r="A4172">
        <v>1483730</v>
      </c>
      <c r="B4172" t="s">
        <v>18</v>
      </c>
      <c r="C4172" t="s">
        <v>55</v>
      </c>
      <c r="D4172" t="s">
        <v>56</v>
      </c>
      <c r="E4172" t="s">
        <v>2089</v>
      </c>
      <c r="F4172" t="s">
        <v>22</v>
      </c>
      <c r="G4172" t="s">
        <v>23</v>
      </c>
      <c r="H4172" t="s">
        <v>1763</v>
      </c>
      <c r="I4172" t="s">
        <v>25</v>
      </c>
      <c r="J4172" s="2">
        <v>45702.614363425928</v>
      </c>
      <c r="K4172">
        <v>14</v>
      </c>
      <c r="L4172">
        <v>2</v>
      </c>
      <c r="M4172">
        <v>2025</v>
      </c>
      <c r="N4172" t="s">
        <v>27</v>
      </c>
      <c r="O4172">
        <v>300</v>
      </c>
      <c r="P4172">
        <v>300</v>
      </c>
      <c r="R4172" s="3" t="str">
        <f>HYPERLINK("https://panda.att.com.mx/ODKServer/view/binaryData?blobKey=FSSuministroFluidosv3%5B%40version%3Dnull+and+%40uiVersion%3Dnull%5D%2Fdata%5B%40key%3Duuid%3A5921f729-8f2e-41d5-a7f7-eb9a2c33833e%5D%2FgroupInfoFuel%5B%40ordinal%3D1%5D%2FpicFuelRecibeInterno","Descargar")</f>
        <v>Descargar</v>
      </c>
    </row>
    <row r="4173" spans="1:18" x14ac:dyDescent="0.3">
      <c r="A4173">
        <v>1483721</v>
      </c>
      <c r="B4173" t="s">
        <v>18</v>
      </c>
      <c r="C4173" t="s">
        <v>55</v>
      </c>
      <c r="D4173" t="s">
        <v>56</v>
      </c>
      <c r="E4173" t="s">
        <v>320</v>
      </c>
      <c r="F4173" t="s">
        <v>22</v>
      </c>
      <c r="G4173" t="s">
        <v>23</v>
      </c>
      <c r="H4173" t="s">
        <v>1763</v>
      </c>
      <c r="I4173" t="s">
        <v>25</v>
      </c>
      <c r="J4173" s="2">
        <v>45702.720324074071</v>
      </c>
      <c r="K4173">
        <v>14</v>
      </c>
      <c r="L4173">
        <v>2</v>
      </c>
      <c r="M4173">
        <v>2025</v>
      </c>
      <c r="N4173" t="s">
        <v>27</v>
      </c>
      <c r="O4173">
        <v>300</v>
      </c>
      <c r="P4173">
        <v>300</v>
      </c>
      <c r="R4173" s="3" t="str">
        <f>HYPERLINK("https://panda.att.com.mx/ODKServer/view/binaryData?blobKey=FSSuministroFluidosv3%5B%40version%3Dnull+and+%40uiVersion%3Dnull%5D%2Fdata%5B%40key%3Duuid%3A8bc9b200-35d8-48cb-afe2-6b131fc55615%5D%2FgroupInfoFuel%5B%40ordinal%3D1%5D%2FpicFuelRecibeInterno","Descargar")</f>
        <v>Descargar</v>
      </c>
    </row>
    <row r="4174" spans="1:18" x14ac:dyDescent="0.3">
      <c r="A4174">
        <v>1483677</v>
      </c>
      <c r="B4174" t="s">
        <v>18</v>
      </c>
      <c r="C4174" t="s">
        <v>55</v>
      </c>
      <c r="D4174" t="s">
        <v>56</v>
      </c>
      <c r="E4174" t="s">
        <v>320</v>
      </c>
      <c r="F4174" t="s">
        <v>22</v>
      </c>
      <c r="G4174" t="s">
        <v>23</v>
      </c>
      <c r="H4174" t="s">
        <v>1763</v>
      </c>
      <c r="I4174" t="s">
        <v>25</v>
      </c>
      <c r="J4174" s="2">
        <v>45705.570902777778</v>
      </c>
      <c r="K4174">
        <v>17</v>
      </c>
      <c r="L4174">
        <v>2</v>
      </c>
      <c r="M4174">
        <v>2025</v>
      </c>
      <c r="N4174" t="s">
        <v>27</v>
      </c>
      <c r="O4174">
        <v>300</v>
      </c>
      <c r="P4174">
        <v>300</v>
      </c>
      <c r="R4174" s="3" t="str">
        <f>HYPERLINK("https://panda.att.com.mx/ODKServer/view/binaryData?blobKey=FSSuministroFluidosv3%5B%40version%3Dnull+and+%40uiVersion%3Dnull%5D%2Fdata%5B%40key%3Duuid%3A5c58dcb2-5cb6-4d1f-a699-a8c457442b1a%5D%2FgroupInfoFuel%5B%40ordinal%3D1%5D%2FpicFuelRecibeInterno","Descargar")</f>
        <v>Descargar</v>
      </c>
    </row>
    <row r="4175" spans="1:18" x14ac:dyDescent="0.3">
      <c r="A4175">
        <v>1483668</v>
      </c>
      <c r="B4175" t="s">
        <v>18</v>
      </c>
      <c r="C4175" t="s">
        <v>55</v>
      </c>
      <c r="D4175" t="s">
        <v>56</v>
      </c>
      <c r="E4175" t="s">
        <v>2089</v>
      </c>
      <c r="F4175" t="s">
        <v>22</v>
      </c>
      <c r="G4175" t="s">
        <v>23</v>
      </c>
      <c r="H4175" t="s">
        <v>1763</v>
      </c>
      <c r="I4175" t="s">
        <v>25</v>
      </c>
      <c r="J4175" s="2">
        <v>45705.498032407413</v>
      </c>
      <c r="K4175">
        <v>17</v>
      </c>
      <c r="L4175">
        <v>2</v>
      </c>
      <c r="M4175">
        <v>2025</v>
      </c>
      <c r="N4175" t="s">
        <v>27</v>
      </c>
      <c r="O4175">
        <v>300</v>
      </c>
      <c r="P4175">
        <v>300</v>
      </c>
      <c r="R4175" s="3" t="str">
        <f>HYPERLINK("https://panda.att.com.mx/ODKServer/view/binaryData?blobKey=FSSuministroFluidosv3%5B%40version%3Dnull+and+%40uiVersion%3Dnull%5D%2Fdata%5B%40key%3Duuid%3A702ec8ce-a9d8-447a-a5fa-95796c78341d%5D%2FgroupInfoFuel%5B%40ordinal%3D1%5D%2FpicFuelRecibeInterno","Descargar")</f>
        <v>Descargar</v>
      </c>
    </row>
    <row r="4176" spans="1:18" x14ac:dyDescent="0.3">
      <c r="A4176">
        <v>1483667</v>
      </c>
      <c r="B4176" t="s">
        <v>18</v>
      </c>
      <c r="C4176" t="s">
        <v>100</v>
      </c>
      <c r="D4176" t="s">
        <v>651</v>
      </c>
      <c r="E4176" t="s">
        <v>2059</v>
      </c>
      <c r="F4176" t="s">
        <v>22</v>
      </c>
      <c r="G4176" t="s">
        <v>23</v>
      </c>
      <c r="H4176" t="s">
        <v>1781</v>
      </c>
      <c r="I4176" t="s">
        <v>25</v>
      </c>
      <c r="J4176" s="2">
        <v>45706.530624999999</v>
      </c>
      <c r="K4176">
        <v>18</v>
      </c>
      <c r="L4176">
        <v>2</v>
      </c>
      <c r="M4176">
        <v>2025</v>
      </c>
      <c r="N4176" t="s">
        <v>27</v>
      </c>
      <c r="O4176">
        <v>180</v>
      </c>
      <c r="P4176">
        <v>180</v>
      </c>
      <c r="R4176" s="3" t="str">
        <f>HYPERLINK("https://panda.att.com.mx/ODKServer/view/binaryData?blobKey=FSSuministroFluidosv3%5B%40version%3Dnull+and+%40uiVersion%3Dnull%5D%2Fdata%5B%40key%3Duuid%3Aac2a1167-489b-4e0f-92ff-b2aab12d55af%5D%2FgroupInfoFuel%5B%40ordinal%3D1%5D%2FpicFuelRecibeInterno","Descargar")</f>
        <v>Descargar</v>
      </c>
    </row>
    <row r="4177" spans="1:18" x14ac:dyDescent="0.3">
      <c r="A4177">
        <v>1483650</v>
      </c>
      <c r="B4177" t="s">
        <v>18</v>
      </c>
      <c r="C4177" t="s">
        <v>55</v>
      </c>
      <c r="D4177" t="s">
        <v>56</v>
      </c>
      <c r="E4177" t="s">
        <v>624</v>
      </c>
      <c r="F4177" t="s">
        <v>22</v>
      </c>
      <c r="G4177" t="s">
        <v>23</v>
      </c>
      <c r="H4177" t="s">
        <v>1763</v>
      </c>
      <c r="I4177" t="s">
        <v>25</v>
      </c>
      <c r="J4177" s="2">
        <v>45704.467256944437</v>
      </c>
      <c r="K4177">
        <v>16</v>
      </c>
      <c r="L4177">
        <v>2</v>
      </c>
      <c r="M4177">
        <v>2025</v>
      </c>
      <c r="N4177" t="s">
        <v>27</v>
      </c>
      <c r="O4177">
        <v>120</v>
      </c>
      <c r="P4177">
        <v>120</v>
      </c>
      <c r="R4177" s="3" t="str">
        <f>HYPERLINK("https://panda.att.com.mx/ODKServer/view/binaryData?blobKey=FSSuministroFluidosv3%5B%40version%3Dnull+and+%40uiVersion%3Dnull%5D%2Fdata%5B%40key%3Duuid%3A84571f0f-4dd5-4f3b-b0fa-d6bd8e5e99b1%5D%2FgroupInfoFuel%5B%40ordinal%3D1%5D%2FpicFuelRecibeInterno","Descargar")</f>
        <v>Descargar</v>
      </c>
    </row>
    <row r="4178" spans="1:18" x14ac:dyDescent="0.3">
      <c r="A4178">
        <v>1483607</v>
      </c>
      <c r="B4178" t="s">
        <v>18</v>
      </c>
      <c r="C4178" t="s">
        <v>59</v>
      </c>
      <c r="D4178" t="s">
        <v>357</v>
      </c>
      <c r="E4178" t="s">
        <v>3084</v>
      </c>
      <c r="F4178" t="s">
        <v>22</v>
      </c>
      <c r="G4178" t="s">
        <v>23</v>
      </c>
      <c r="H4178" t="s">
        <v>37</v>
      </c>
      <c r="I4178" t="s">
        <v>25</v>
      </c>
      <c r="J4178" s="2">
        <v>45706.464062500003</v>
      </c>
      <c r="K4178">
        <v>18</v>
      </c>
      <c r="L4178">
        <v>2</v>
      </c>
      <c r="M4178">
        <v>2025</v>
      </c>
      <c r="N4178" t="s">
        <v>27</v>
      </c>
      <c r="O4178">
        <v>200</v>
      </c>
      <c r="P4178">
        <v>200</v>
      </c>
      <c r="R4178" s="3" t="str">
        <f>HYPERLINK("https://panda.att.com.mx/ODKServer/view/binaryData?blobKey=FSSuministroFluidosv3%5B%40version%3Dnull+and+%40uiVersion%3Dnull%5D%2Fdata%5B%40key%3Duuid%3A828a1502-8247-46bf-964d-1878a1fb5492%5D%2FgroupInfoFuel%5B%40ordinal%3D1%5D%2FpicFuelRecibeInterno","Descargar")</f>
        <v>Descargar</v>
      </c>
    </row>
    <row r="4179" spans="1:18" x14ac:dyDescent="0.3">
      <c r="A4179">
        <v>1483599</v>
      </c>
      <c r="B4179" t="s">
        <v>18</v>
      </c>
      <c r="C4179" t="s">
        <v>59</v>
      </c>
      <c r="D4179" t="s">
        <v>357</v>
      </c>
      <c r="E4179" t="s">
        <v>3085</v>
      </c>
      <c r="F4179" t="s">
        <v>22</v>
      </c>
      <c r="G4179" t="s">
        <v>23</v>
      </c>
      <c r="H4179" t="s">
        <v>37</v>
      </c>
      <c r="I4179" t="s">
        <v>25</v>
      </c>
      <c r="J4179" s="2">
        <v>45706.481412037043</v>
      </c>
      <c r="K4179">
        <v>18</v>
      </c>
      <c r="L4179">
        <v>2</v>
      </c>
      <c r="M4179">
        <v>2025</v>
      </c>
      <c r="N4179" t="s">
        <v>27</v>
      </c>
      <c r="O4179">
        <v>150</v>
      </c>
      <c r="P4179">
        <v>150</v>
      </c>
      <c r="R4179" s="3" t="str">
        <f>HYPERLINK("https://panda.att.com.mx/ODKServer/view/binaryData?blobKey=FSSuministroFluidosv3%5B%40version%3Dnull+and+%40uiVersion%3Dnull%5D%2Fdata%5B%40key%3Duuid%3Ad3e6f41f-5e8b-46a4-b1d8-2ee9f3ec06b4%5D%2FgroupInfoFuel%5B%40ordinal%3D1%5D%2FpicFuelRecibeInterno","Descargar")</f>
        <v>Descargar</v>
      </c>
    </row>
    <row r="4180" spans="1:18" x14ac:dyDescent="0.3">
      <c r="A4180">
        <v>1483476</v>
      </c>
      <c r="B4180" t="s">
        <v>18</v>
      </c>
      <c r="C4180" t="s">
        <v>150</v>
      </c>
      <c r="D4180" t="s">
        <v>230</v>
      </c>
      <c r="E4180" t="s">
        <v>1510</v>
      </c>
      <c r="F4180" t="s">
        <v>22</v>
      </c>
      <c r="G4180" t="s">
        <v>23</v>
      </c>
      <c r="H4180" t="s">
        <v>1781</v>
      </c>
      <c r="I4180" t="s">
        <v>25</v>
      </c>
      <c r="J4180" s="2">
        <v>45706.407442129632</v>
      </c>
      <c r="K4180">
        <v>18</v>
      </c>
      <c r="L4180">
        <v>2</v>
      </c>
      <c r="M4180">
        <v>2025</v>
      </c>
      <c r="N4180" t="s">
        <v>27</v>
      </c>
      <c r="O4180">
        <v>250</v>
      </c>
      <c r="P4180">
        <v>250</v>
      </c>
      <c r="R4180" s="3" t="str">
        <f>HYPERLINK("https://panda.att.com.mx/ODKServer/view/binaryData?blobKey=FSSuministroFluidosv3%5B%40version%3Dnull+and+%40uiVersion%3Dnull%5D%2Fdata%5B%40key%3Duuid%3A3b27a256-2a3b-45af-bd1a-feaa7b347083%5D%2FgroupInfoFuel%5B%40ordinal%3D1%5D%2FpicFuelRecibeInterno","Descargar")</f>
        <v>Descargar</v>
      </c>
    </row>
    <row r="4181" spans="1:18" x14ac:dyDescent="0.3">
      <c r="A4181">
        <v>1483438</v>
      </c>
      <c r="B4181" t="s">
        <v>18</v>
      </c>
      <c r="C4181" t="s">
        <v>55</v>
      </c>
      <c r="D4181" t="s">
        <v>128</v>
      </c>
      <c r="E4181" t="s">
        <v>1899</v>
      </c>
      <c r="F4181" t="s">
        <v>22</v>
      </c>
      <c r="G4181" t="s">
        <v>23</v>
      </c>
      <c r="H4181" t="s">
        <v>1763</v>
      </c>
      <c r="I4181" t="s">
        <v>25</v>
      </c>
      <c r="J4181" s="2">
        <v>45706.376122685193</v>
      </c>
      <c r="K4181">
        <v>18</v>
      </c>
      <c r="L4181">
        <v>2</v>
      </c>
      <c r="M4181">
        <v>2025</v>
      </c>
      <c r="N4181" t="s">
        <v>44</v>
      </c>
      <c r="O4181">
        <v>40</v>
      </c>
      <c r="P4181">
        <v>40</v>
      </c>
      <c r="R4181" s="3" t="str">
        <f>HYPERLINK("https://panda.att.com.mx/ODKServer/view/binaryData?blobKey=FSSuministroFluidosv3%5B%40version%3Dnull+and+%40uiVersion%3Dnull%5D%2Fdata%5B%40key%3Duuid%3Ab32302c7-3344-4298-9a37-7dddaa9f5eab%5D%2FgroupInfoFuel%5B%40ordinal%3D1%5D%2FpicFuelRecibeInterno","Descargar")</f>
        <v>Descargar</v>
      </c>
    </row>
    <row r="4182" spans="1:18" x14ac:dyDescent="0.3">
      <c r="A4182">
        <v>1483403</v>
      </c>
      <c r="B4182" t="s">
        <v>18</v>
      </c>
      <c r="C4182" t="s">
        <v>19</v>
      </c>
      <c r="D4182" t="s">
        <v>42</v>
      </c>
      <c r="E4182" t="s">
        <v>1571</v>
      </c>
      <c r="F4182" t="s">
        <v>22</v>
      </c>
      <c r="G4182" t="s">
        <v>23</v>
      </c>
      <c r="H4182" t="s">
        <v>24</v>
      </c>
      <c r="I4182" t="s">
        <v>25</v>
      </c>
      <c r="J4182" s="2">
        <v>45706.351284722223</v>
      </c>
      <c r="K4182">
        <v>18</v>
      </c>
      <c r="L4182">
        <v>2</v>
      </c>
      <c r="M4182">
        <v>2025</v>
      </c>
      <c r="N4182" t="s">
        <v>27</v>
      </c>
      <c r="O4182">
        <v>200</v>
      </c>
      <c r="P4182">
        <v>200</v>
      </c>
      <c r="R4182" s="3" t="str">
        <f>HYPERLINK("https://panda.att.com.mx/ODKServer/view/binaryData?blobKey=FSSuministroFluidosv3%5B%40version%3Dnull+and+%40uiVersion%3Dnull%5D%2Fdata%5B%40key%3Duuid%3A6f626ecc-b846-4637-b787-c508a467b16f%5D%2FgroupInfoFuel%5B%40ordinal%3D1%5D%2FpicFuelRecibeInterno","Descargar")</f>
        <v>Descargar</v>
      </c>
    </row>
    <row r="4183" spans="1:18" x14ac:dyDescent="0.3">
      <c r="A4183">
        <v>1483369</v>
      </c>
      <c r="B4183" t="s">
        <v>18</v>
      </c>
      <c r="C4183" t="s">
        <v>55</v>
      </c>
      <c r="D4183" t="s">
        <v>56</v>
      </c>
      <c r="E4183" t="s">
        <v>1555</v>
      </c>
      <c r="F4183" t="s">
        <v>22</v>
      </c>
      <c r="G4183" t="s">
        <v>23</v>
      </c>
      <c r="H4183" t="s">
        <v>1763</v>
      </c>
      <c r="I4183" t="s">
        <v>25</v>
      </c>
      <c r="J4183" s="2">
        <v>45705.693888888891</v>
      </c>
      <c r="K4183">
        <v>17</v>
      </c>
      <c r="L4183">
        <v>2</v>
      </c>
      <c r="M4183">
        <v>2025</v>
      </c>
      <c r="N4183" t="s">
        <v>27</v>
      </c>
      <c r="O4183">
        <v>250</v>
      </c>
      <c r="P4183">
        <v>250</v>
      </c>
      <c r="R4183" s="3" t="str">
        <f>HYPERLINK("https://panda.att.com.mx/ODKServer/view/binaryData?blobKey=FSSuministroFluidosv3%5B%40version%3Dnull+and+%40uiVersion%3Dnull%5D%2Fdata%5B%40key%3Duuid%3A6bc1eaa8-b910-46fe-b72b-d8be9b179036%5D%2FgroupInfoFuel%5B%40ordinal%3D1%5D%2FpicFuelRecibeInterno","Descargar")</f>
        <v>Descargar</v>
      </c>
    </row>
    <row r="4184" spans="1:18" x14ac:dyDescent="0.3">
      <c r="A4184">
        <v>1483360</v>
      </c>
      <c r="B4184" t="s">
        <v>18</v>
      </c>
      <c r="C4184" t="s">
        <v>19</v>
      </c>
      <c r="D4184" t="s">
        <v>189</v>
      </c>
      <c r="E4184" t="s">
        <v>3050</v>
      </c>
      <c r="F4184" t="s">
        <v>22</v>
      </c>
      <c r="G4184" t="s">
        <v>23</v>
      </c>
      <c r="H4184" t="s">
        <v>24</v>
      </c>
      <c r="I4184" t="s">
        <v>25</v>
      </c>
      <c r="J4184" s="2">
        <v>45704.648993055547</v>
      </c>
      <c r="K4184">
        <v>16</v>
      </c>
      <c r="L4184">
        <v>2</v>
      </c>
      <c r="M4184">
        <v>2025</v>
      </c>
      <c r="N4184" t="s">
        <v>27</v>
      </c>
      <c r="O4184">
        <v>200</v>
      </c>
      <c r="P4184">
        <v>200</v>
      </c>
      <c r="R4184" s="3" t="str">
        <f>HYPERLINK("https://panda.att.com.mx/ODKServer/view/binaryData?blobKey=FSSuministroFluidosv3%5B%40version%3Dnull+and+%40uiVersion%3Dnull%5D%2Fdata%5B%40key%3Duuid%3A0ad5113f-4e7f-4da1-aca1-a63102f3b6d8%5D%2FgroupInfoFuel%5B%40ordinal%3D1%5D%2FpicFuelRecibeInterno","Descargar")</f>
        <v>Descargar</v>
      </c>
    </row>
    <row r="4185" spans="1:18" x14ac:dyDescent="0.3">
      <c r="A4185">
        <v>1483273</v>
      </c>
      <c r="B4185" t="s">
        <v>18</v>
      </c>
      <c r="C4185" t="s">
        <v>34</v>
      </c>
      <c r="D4185" t="s">
        <v>53</v>
      </c>
      <c r="E4185" t="s">
        <v>1904</v>
      </c>
      <c r="F4185" t="s">
        <v>22</v>
      </c>
      <c r="G4185" t="s">
        <v>23</v>
      </c>
      <c r="H4185" t="s">
        <v>37</v>
      </c>
      <c r="I4185" t="s">
        <v>25</v>
      </c>
      <c r="J4185" s="2">
        <v>45705.570034722223</v>
      </c>
      <c r="K4185">
        <v>17</v>
      </c>
      <c r="L4185">
        <v>2</v>
      </c>
      <c r="M4185">
        <v>2025</v>
      </c>
      <c r="N4185" t="s">
        <v>27</v>
      </c>
      <c r="O4185">
        <v>250</v>
      </c>
      <c r="P4185">
        <v>250</v>
      </c>
      <c r="R4185" s="3" t="str">
        <f>HYPERLINK("https://panda.att.com.mx/ODKServer/view/binaryData?blobKey=FSSuministroFluidosv3%5B%40version%3Dnull+and+%40uiVersion%3Dnull%5D%2Fdata%5B%40key%3Duuid%3A95cd3750-597d-43a7-ac59-db3fd24600ad%5D%2FgroupInfoFuel%5B%40ordinal%3D1%5D%2FpicFuelRecibeInterno","Descargar")</f>
        <v>Descargar</v>
      </c>
    </row>
    <row r="4186" spans="1:18" x14ac:dyDescent="0.3">
      <c r="A4186">
        <v>1483259</v>
      </c>
      <c r="B4186" t="s">
        <v>18</v>
      </c>
      <c r="C4186" t="s">
        <v>34</v>
      </c>
      <c r="D4186" t="s">
        <v>121</v>
      </c>
      <c r="E4186" t="s">
        <v>3086</v>
      </c>
      <c r="F4186" t="s">
        <v>22</v>
      </c>
      <c r="G4186" t="s">
        <v>23</v>
      </c>
      <c r="H4186" t="s">
        <v>37</v>
      </c>
      <c r="I4186" t="s">
        <v>25</v>
      </c>
      <c r="J4186" s="2">
        <v>45705.623599537037</v>
      </c>
      <c r="K4186">
        <v>17</v>
      </c>
      <c r="L4186">
        <v>2</v>
      </c>
      <c r="M4186">
        <v>2025</v>
      </c>
      <c r="N4186" t="s">
        <v>27</v>
      </c>
      <c r="O4186">
        <v>300</v>
      </c>
      <c r="P4186">
        <v>300</v>
      </c>
      <c r="R4186" s="3" t="str">
        <f>HYPERLINK("https://panda.att.com.mx/ODKServer/view/binaryData?blobKey=FSSuministroFluidosv3%5B%40version%3Dnull+and+%40uiVersion%3Dnull%5D%2Fdata%5B%40key%3Duuid%3Acb356261-1089-45a8-8f53-0fe48e2c714b%5D%2FgroupInfoFuel%5B%40ordinal%3D1%5D%2FpicFuelRecibeInterno","Descargar")</f>
        <v>Descargar</v>
      </c>
    </row>
    <row r="4187" spans="1:18" x14ac:dyDescent="0.3">
      <c r="A4187">
        <v>1483258</v>
      </c>
      <c r="B4187" t="s">
        <v>18</v>
      </c>
      <c r="C4187" t="s">
        <v>34</v>
      </c>
      <c r="D4187" t="s">
        <v>71</v>
      </c>
      <c r="E4187" t="s">
        <v>72</v>
      </c>
      <c r="F4187" t="s">
        <v>22</v>
      </c>
      <c r="G4187" t="s">
        <v>23</v>
      </c>
      <c r="H4187" t="s">
        <v>37</v>
      </c>
      <c r="I4187" t="s">
        <v>25</v>
      </c>
      <c r="J4187" s="2">
        <v>45705.541134259263</v>
      </c>
      <c r="K4187">
        <v>17</v>
      </c>
      <c r="L4187">
        <v>2</v>
      </c>
      <c r="M4187">
        <v>2025</v>
      </c>
      <c r="N4187" t="s">
        <v>27</v>
      </c>
      <c r="O4187">
        <v>500</v>
      </c>
      <c r="P4187">
        <v>500</v>
      </c>
      <c r="R4187" s="3" t="str">
        <f>HYPERLINK("https://panda.att.com.mx/ODKServer/view/binaryData?blobKey=FSSuministroFluidosv3%5B%40version%3Dnull+and+%40uiVersion%3Dnull%5D%2Fdata%5B%40key%3Duuid%3A3d98ebbf-d703-4952-a70c-38ea23e0cc75%5D%2FgroupInfoFuel%5B%40ordinal%3D1%5D%2FpicFuelRecibeInterno","Descargar")</f>
        <v>Descargar</v>
      </c>
    </row>
    <row r="4188" spans="1:18" x14ac:dyDescent="0.3">
      <c r="A4188">
        <v>1483257</v>
      </c>
      <c r="B4188" t="s">
        <v>18</v>
      </c>
      <c r="C4188" t="s">
        <v>34</v>
      </c>
      <c r="D4188" t="s">
        <v>121</v>
      </c>
      <c r="E4188" t="s">
        <v>3041</v>
      </c>
      <c r="F4188" t="s">
        <v>22</v>
      </c>
      <c r="G4188" t="s">
        <v>23</v>
      </c>
      <c r="H4188" t="s">
        <v>37</v>
      </c>
      <c r="I4188" t="s">
        <v>25</v>
      </c>
      <c r="J4188" s="2">
        <v>45705.435879629629</v>
      </c>
      <c r="K4188">
        <v>17</v>
      </c>
      <c r="L4188">
        <v>2</v>
      </c>
      <c r="M4188">
        <v>2025</v>
      </c>
      <c r="N4188" t="s">
        <v>27</v>
      </c>
      <c r="O4188">
        <v>500</v>
      </c>
      <c r="P4188">
        <v>500</v>
      </c>
      <c r="R4188" s="3" t="str">
        <f>HYPERLINK("https://panda.att.com.mx/ODKServer/view/binaryData?blobKey=FSSuministroFluidosv3%5B%40version%3Dnull+and+%40uiVersion%3Dnull%5D%2Fdata%5B%40key%3Duuid%3A9b3a5931-547d-4745-bbfd-6d0a22135d5c%5D%2FgroupInfoFuel%5B%40ordinal%3D1%5D%2FpicFuelRecibeInterno","Descargar")</f>
        <v>Descargar</v>
      </c>
    </row>
    <row r="4189" spans="1:18" x14ac:dyDescent="0.3">
      <c r="A4189">
        <v>1483169</v>
      </c>
      <c r="B4189" t="s">
        <v>18</v>
      </c>
      <c r="C4189" t="s">
        <v>55</v>
      </c>
      <c r="D4189" t="s">
        <v>128</v>
      </c>
      <c r="E4189" t="s">
        <v>1899</v>
      </c>
      <c r="F4189" t="s">
        <v>22</v>
      </c>
      <c r="G4189" t="s">
        <v>23</v>
      </c>
      <c r="H4189" t="s">
        <v>1763</v>
      </c>
      <c r="I4189" t="s">
        <v>25</v>
      </c>
      <c r="J4189" s="2">
        <v>45705.727511574078</v>
      </c>
      <c r="K4189">
        <v>17</v>
      </c>
      <c r="L4189">
        <v>2</v>
      </c>
      <c r="M4189">
        <v>2025</v>
      </c>
      <c r="N4189" t="s">
        <v>44</v>
      </c>
      <c r="O4189">
        <v>20</v>
      </c>
      <c r="P4189">
        <v>20</v>
      </c>
      <c r="R4189" s="3" t="str">
        <f>HYPERLINK("https://panda.att.com.mx/ODKServer/view/binaryData?blobKey=FSSuministroFluidosv3%5B%40version%3Dnull+and+%40uiVersion%3Dnull%5D%2Fdata%5B%40key%3Duuid%3A5d58bf0e-bef3-4d32-a661-2b9e92b213ae%5D%2FgroupInfoFuel%5B%40ordinal%3D1%5D%2FpicFuelRecibeInterno","Descargar")</f>
        <v>Descargar</v>
      </c>
    </row>
    <row r="4190" spans="1:18" x14ac:dyDescent="0.3">
      <c r="A4190">
        <v>1483132</v>
      </c>
      <c r="B4190" t="s">
        <v>18</v>
      </c>
      <c r="C4190" t="s">
        <v>100</v>
      </c>
      <c r="D4190" t="s">
        <v>101</v>
      </c>
      <c r="E4190" t="s">
        <v>3005</v>
      </c>
      <c r="F4190" t="s">
        <v>22</v>
      </c>
      <c r="G4190" t="s">
        <v>23</v>
      </c>
      <c r="H4190" t="s">
        <v>1781</v>
      </c>
      <c r="I4190" t="s">
        <v>25</v>
      </c>
      <c r="J4190" s="2">
        <v>45705.576527777783</v>
      </c>
      <c r="K4190">
        <v>17</v>
      </c>
      <c r="L4190">
        <v>2</v>
      </c>
      <c r="M4190">
        <v>2025</v>
      </c>
      <c r="N4190" t="s">
        <v>27</v>
      </c>
      <c r="O4190">
        <v>250</v>
      </c>
      <c r="P4190">
        <v>250</v>
      </c>
      <c r="R4190" s="3" t="str">
        <f>HYPERLINK("https://panda.att.com.mx/ODKServer/view/binaryData?blobKey=FSSuministroFluidosv3%5B%40version%3Dnull+and+%40uiVersion%3Dnull%5D%2Fdata%5B%40key%3Duuid%3Ac4e90c02-0226-436c-a81b-d554c307e819%5D%2FgroupInfoFuel%5B%40ordinal%3D1%5D%2FpicFuelRecibeInterno","Descargar")</f>
        <v>Descargar</v>
      </c>
    </row>
    <row r="4191" spans="1:18" x14ac:dyDescent="0.3">
      <c r="A4191">
        <v>1483126</v>
      </c>
      <c r="B4191" t="s">
        <v>18</v>
      </c>
      <c r="C4191" t="s">
        <v>59</v>
      </c>
      <c r="D4191" t="s">
        <v>60</v>
      </c>
      <c r="E4191" t="s">
        <v>2207</v>
      </c>
      <c r="F4191" t="s">
        <v>22</v>
      </c>
      <c r="G4191" t="s">
        <v>23</v>
      </c>
      <c r="H4191" t="s">
        <v>37</v>
      </c>
      <c r="I4191" t="s">
        <v>25</v>
      </c>
      <c r="J4191" s="2">
        <v>45704.76662037037</v>
      </c>
      <c r="K4191">
        <v>16</v>
      </c>
      <c r="L4191">
        <v>2</v>
      </c>
      <c r="M4191">
        <v>2025</v>
      </c>
      <c r="N4191" t="s">
        <v>27</v>
      </c>
      <c r="O4191">
        <v>140</v>
      </c>
      <c r="P4191">
        <v>140</v>
      </c>
      <c r="R4191" s="3" t="str">
        <f>HYPERLINK("https://panda.att.com.mx/ODKServer/view/binaryData?blobKey=FSSuministroFluidosv3%5B%40version%3Dnull+and+%40uiVersion%3Dnull%5D%2Fdata%5B%40key%3Duuid%3Ab6146db1-03b2-4683-ae0f-9a6c8fb05555%5D%2FgroupInfoFuel%5B%40ordinal%3D1%5D%2FpicFuelRecibeInterno","Descargar")</f>
        <v>Descargar</v>
      </c>
    </row>
    <row r="4192" spans="1:18" x14ac:dyDescent="0.3">
      <c r="A4192">
        <v>1483120</v>
      </c>
      <c r="B4192" t="s">
        <v>18</v>
      </c>
      <c r="C4192" t="s">
        <v>100</v>
      </c>
      <c r="D4192" t="s">
        <v>651</v>
      </c>
      <c r="E4192" t="s">
        <v>1833</v>
      </c>
      <c r="F4192" t="s">
        <v>22</v>
      </c>
      <c r="G4192" t="s">
        <v>83</v>
      </c>
      <c r="H4192" t="s">
        <v>1781</v>
      </c>
      <c r="I4192" t="s">
        <v>25</v>
      </c>
      <c r="J4192" s="2">
        <v>45705.706678240742</v>
      </c>
      <c r="K4192">
        <v>17</v>
      </c>
      <c r="L4192">
        <v>2</v>
      </c>
      <c r="M4192">
        <v>2025</v>
      </c>
      <c r="N4192" t="s">
        <v>27</v>
      </c>
      <c r="O4192">
        <v>200</v>
      </c>
      <c r="P4192">
        <v>200</v>
      </c>
      <c r="R4192" s="3" t="str">
        <f>HYPERLINK("https://panda.att.com.mx/ODKServer/view/binaryData?blobKey=FSSuministroFluidosv3%5B%40version%3Dnull+and+%40uiVersion%3Dnull%5D%2Fdata%5B%40key%3Duuid%3Ac1e31f38-a9b4-4934-897a-cd6ae319b6c4%5D%2FgroupInfoFuel%5B%40ordinal%3D1%5D%2FpicFuelRecibeInterno","Descargar")</f>
        <v>Descargar</v>
      </c>
    </row>
    <row r="4193" spans="1:18" x14ac:dyDescent="0.3">
      <c r="A4193">
        <v>1483108</v>
      </c>
      <c r="B4193" t="s">
        <v>18</v>
      </c>
      <c r="C4193" t="s">
        <v>100</v>
      </c>
      <c r="D4193" t="s">
        <v>101</v>
      </c>
      <c r="E4193" t="s">
        <v>126</v>
      </c>
      <c r="F4193" t="s">
        <v>22</v>
      </c>
      <c r="G4193" t="s">
        <v>23</v>
      </c>
      <c r="H4193" t="s">
        <v>1781</v>
      </c>
      <c r="I4193" t="s">
        <v>25</v>
      </c>
      <c r="J4193" s="2">
        <v>45705.555335648147</v>
      </c>
      <c r="K4193">
        <v>17</v>
      </c>
      <c r="L4193">
        <v>2</v>
      </c>
      <c r="M4193">
        <v>2025</v>
      </c>
      <c r="N4193" t="s">
        <v>27</v>
      </c>
      <c r="O4193">
        <v>300</v>
      </c>
      <c r="P4193">
        <v>300</v>
      </c>
      <c r="R4193" s="3" t="str">
        <f>HYPERLINK("https://panda.att.com.mx/ODKServer/view/binaryData?blobKey=FSSuministroFluidosv3%5B%40version%3Dnull+and+%40uiVersion%3Dnull%5D%2Fdata%5B%40key%3Duuid%3A980c742a-921c-4c46-8287-b91a5f4b5590%5D%2FgroupInfoFuel%5B%40ordinal%3D1%5D%2FpicFuelRecibeInterno","Descargar")</f>
        <v>Descargar</v>
      </c>
    </row>
    <row r="4194" spans="1:18" x14ac:dyDescent="0.3">
      <c r="A4194">
        <v>1483084</v>
      </c>
      <c r="B4194" t="s">
        <v>18</v>
      </c>
      <c r="C4194" t="s">
        <v>19</v>
      </c>
      <c r="D4194" t="s">
        <v>189</v>
      </c>
      <c r="E4194" t="s">
        <v>3050</v>
      </c>
      <c r="F4194" t="s">
        <v>22</v>
      </c>
      <c r="G4194" t="s">
        <v>23</v>
      </c>
      <c r="H4194" t="s">
        <v>24</v>
      </c>
      <c r="I4194" t="s">
        <v>25</v>
      </c>
      <c r="J4194" s="2">
        <v>45700.875173611108</v>
      </c>
      <c r="K4194">
        <v>12</v>
      </c>
      <c r="L4194">
        <v>2</v>
      </c>
      <c r="M4194">
        <v>2025</v>
      </c>
      <c r="N4194" t="s">
        <v>27</v>
      </c>
      <c r="O4194">
        <v>260</v>
      </c>
      <c r="P4194">
        <v>260</v>
      </c>
      <c r="R4194" s="3" t="str">
        <f>HYPERLINK("https://panda.att.com.mx/ODKServer/view/binaryData?blobKey=FSSuministroFluidosv3%5B%40version%3Dnull+and+%40uiVersion%3Dnull%5D%2Fdata%5B%40key%3Duuid%3A156ad5a8-6bbc-4c97-b649-99b253449249%5D%2FgroupInfoFuel%5B%40ordinal%3D1%5D%2FpicFuelRecibeInterno","Descargar")</f>
        <v>Descargar</v>
      </c>
    </row>
    <row r="4195" spans="1:18" x14ac:dyDescent="0.3">
      <c r="A4195">
        <v>1483083</v>
      </c>
      <c r="B4195" t="s">
        <v>18</v>
      </c>
      <c r="C4195" t="s">
        <v>19</v>
      </c>
      <c r="D4195" t="s">
        <v>189</v>
      </c>
      <c r="E4195" t="s">
        <v>3050</v>
      </c>
      <c r="F4195" t="s">
        <v>22</v>
      </c>
      <c r="G4195" t="s">
        <v>23</v>
      </c>
      <c r="H4195" t="s">
        <v>24</v>
      </c>
      <c r="I4195" t="s">
        <v>25</v>
      </c>
      <c r="J4195" s="2">
        <v>45700.402824074074</v>
      </c>
      <c r="K4195">
        <v>12</v>
      </c>
      <c r="L4195">
        <v>2</v>
      </c>
      <c r="M4195">
        <v>2025</v>
      </c>
      <c r="N4195" t="s">
        <v>27</v>
      </c>
      <c r="O4195">
        <v>300</v>
      </c>
      <c r="P4195">
        <v>300</v>
      </c>
      <c r="R4195" s="3" t="str">
        <f>HYPERLINK("https://panda.att.com.mx/ODKServer/view/binaryData?blobKey=FSSuministroFluidosv3%5B%40version%3Dnull+and+%40uiVersion%3Dnull%5D%2Fdata%5B%40key%3Duuid%3A9f459631-e452-434c-8bb2-0d33c66c9697%5D%2FgroupInfoFuel%5B%40ordinal%3D1%5D%2FpicFuelRecibeInterno","Descargar")</f>
        <v>Descargar</v>
      </c>
    </row>
    <row r="4196" spans="1:18" x14ac:dyDescent="0.3">
      <c r="A4196">
        <v>1483058</v>
      </c>
      <c r="B4196" t="s">
        <v>18</v>
      </c>
      <c r="C4196" t="s">
        <v>19</v>
      </c>
      <c r="D4196" t="s">
        <v>45</v>
      </c>
      <c r="E4196" t="s">
        <v>752</v>
      </c>
      <c r="F4196" t="s">
        <v>22</v>
      </c>
      <c r="G4196" t="s">
        <v>23</v>
      </c>
      <c r="H4196" t="s">
        <v>24</v>
      </c>
      <c r="I4196" t="s">
        <v>25</v>
      </c>
      <c r="J4196" s="2">
        <v>45703.698634259257</v>
      </c>
      <c r="K4196">
        <v>15</v>
      </c>
      <c r="L4196">
        <v>2</v>
      </c>
      <c r="M4196">
        <v>2025</v>
      </c>
      <c r="N4196" t="s">
        <v>27</v>
      </c>
      <c r="O4196">
        <v>400</v>
      </c>
      <c r="P4196">
        <v>400</v>
      </c>
      <c r="R4196" s="3" t="str">
        <f>HYPERLINK("https://panda.att.com.mx/ODKServer/view/binaryData?blobKey=FSSuministroFluidosv3%5B%40version%3Dnull+and+%40uiVersion%3Dnull%5D%2Fdata%5B%40key%3Duuid%3Ae01661f1-b572-4437-b9e0-e3cf152ff211%5D%2FgroupInfoFuel%5B%40ordinal%3D1%5D%2FpicFuelRecibeInterno","Descargar")</f>
        <v>Descargar</v>
      </c>
    </row>
    <row r="4197" spans="1:18" x14ac:dyDescent="0.3">
      <c r="A4197">
        <v>1483057</v>
      </c>
      <c r="B4197" t="s">
        <v>18</v>
      </c>
      <c r="C4197" t="s">
        <v>34</v>
      </c>
      <c r="D4197" t="s">
        <v>53</v>
      </c>
      <c r="E4197" t="s">
        <v>459</v>
      </c>
      <c r="F4197" t="s">
        <v>22</v>
      </c>
      <c r="G4197" t="s">
        <v>83</v>
      </c>
      <c r="H4197" t="s">
        <v>390</v>
      </c>
      <c r="I4197" t="s">
        <v>25</v>
      </c>
      <c r="J4197" s="2">
        <v>45705.587025462963</v>
      </c>
      <c r="K4197">
        <v>17</v>
      </c>
      <c r="L4197">
        <v>2</v>
      </c>
      <c r="M4197">
        <v>2025</v>
      </c>
      <c r="N4197" t="s">
        <v>27</v>
      </c>
      <c r="O4197">
        <v>450</v>
      </c>
      <c r="P4197">
        <v>450</v>
      </c>
      <c r="R4197" s="3" t="str">
        <f>HYPERLINK("https://panda.att.com.mx/ODKServer/view/binaryData?blobKey=FSSuministroFluidosv3%5B%40version%3Dnull+and+%40uiVersion%3Dnull%5D%2Fdata%5B%40key%3Duuid%3A44ed3438-fc8f-4c69-93a6-330a6bab76cf%5D%2FgroupInfoFuel%5B%40ordinal%3D1%5D%2FpicFuelRecibeInterno","Descargar")</f>
        <v>Descargar</v>
      </c>
    </row>
    <row r="4198" spans="1:18" x14ac:dyDescent="0.3">
      <c r="A4198">
        <v>1482899</v>
      </c>
      <c r="B4198" t="s">
        <v>18</v>
      </c>
      <c r="C4198" t="s">
        <v>68</v>
      </c>
      <c r="D4198" t="s">
        <v>116</v>
      </c>
      <c r="E4198" t="s">
        <v>809</v>
      </c>
      <c r="F4198" t="s">
        <v>22</v>
      </c>
      <c r="G4198" t="s">
        <v>23</v>
      </c>
      <c r="H4198" t="s">
        <v>37</v>
      </c>
      <c r="I4198" t="s">
        <v>25</v>
      </c>
      <c r="J4198" s="2">
        <v>45705.415451388893</v>
      </c>
      <c r="K4198">
        <v>17</v>
      </c>
      <c r="L4198">
        <v>2</v>
      </c>
      <c r="M4198">
        <v>2025</v>
      </c>
      <c r="N4198" t="s">
        <v>27</v>
      </c>
      <c r="O4198">
        <v>70</v>
      </c>
      <c r="P4198">
        <v>70</v>
      </c>
      <c r="R4198" s="3" t="str">
        <f>HYPERLINK("https://panda.att.com.mx/ODKServer/view/binaryData?blobKey=FSSuministroFluidosv3%5B%40version%3Dnull+and+%40uiVersion%3Dnull%5D%2Fdata%5B%40key%3Duuid%3A16986c52-6004-46c8-9995-265c81cea1ca%5D%2FgroupInfoFuel%5B%40ordinal%3D1%5D%2FpicFuelRecibeInterno","Descargar")</f>
        <v>Descargar</v>
      </c>
    </row>
    <row r="4199" spans="1:18" x14ac:dyDescent="0.3">
      <c r="A4199">
        <v>1482890</v>
      </c>
      <c r="B4199" t="s">
        <v>18</v>
      </c>
      <c r="C4199" t="s">
        <v>150</v>
      </c>
      <c r="D4199" t="s">
        <v>154</v>
      </c>
      <c r="E4199" t="s">
        <v>3080</v>
      </c>
      <c r="F4199" t="s">
        <v>22</v>
      </c>
      <c r="G4199" t="s">
        <v>23</v>
      </c>
      <c r="H4199" t="s">
        <v>1781</v>
      </c>
      <c r="I4199" t="s">
        <v>25</v>
      </c>
      <c r="J4199" s="2">
        <v>45705.510162037041</v>
      </c>
      <c r="K4199">
        <v>17</v>
      </c>
      <c r="L4199">
        <v>2</v>
      </c>
      <c r="M4199">
        <v>2025</v>
      </c>
      <c r="N4199" t="s">
        <v>27</v>
      </c>
      <c r="O4199">
        <v>450.08</v>
      </c>
      <c r="P4199">
        <v>450.08</v>
      </c>
      <c r="R4199" s="3" t="str">
        <f>HYPERLINK("https://panda.att.com.mx/ODKServer/view/binaryData?blobKey=FSSuministroFluidosv3%5B%40version%3Dnull+and+%40uiVersion%3Dnull%5D%2Fdata%5B%40key%3Duuid%3A978b4302-1b8a-4796-b993-4297e0287092%5D%2FgroupInfoFuel%5B%40ordinal%3D1%5D%2FpicFuelRecibeInterno","Descargar")</f>
        <v>Descargar</v>
      </c>
    </row>
    <row r="4200" spans="1:18" x14ac:dyDescent="0.3">
      <c r="A4200">
        <v>1482868</v>
      </c>
      <c r="B4200" t="s">
        <v>18</v>
      </c>
      <c r="C4200" t="s">
        <v>55</v>
      </c>
      <c r="D4200" t="s">
        <v>56</v>
      </c>
      <c r="E4200" t="s">
        <v>624</v>
      </c>
      <c r="F4200" t="s">
        <v>22</v>
      </c>
      <c r="G4200" t="s">
        <v>23</v>
      </c>
      <c r="H4200" t="s">
        <v>1763</v>
      </c>
      <c r="I4200" t="s">
        <v>25</v>
      </c>
      <c r="J4200" s="2">
        <v>45703.492511574077</v>
      </c>
      <c r="K4200">
        <v>15</v>
      </c>
      <c r="L4200">
        <v>2</v>
      </c>
      <c r="M4200">
        <v>2025</v>
      </c>
      <c r="N4200" t="s">
        <v>27</v>
      </c>
      <c r="O4200">
        <v>120</v>
      </c>
      <c r="P4200">
        <v>120</v>
      </c>
      <c r="R4200" s="3" t="str">
        <f>HYPERLINK("https://panda.att.com.mx/ODKServer/view/binaryData?blobKey=FSSuministroFluidosv3%5B%40version%3Dnull+and+%40uiVersion%3Dnull%5D%2Fdata%5B%40key%3Duuid%3Abc09e287-7dbb-4f92-9e86-a0d34ba0fd40%5D%2FgroupInfoFuel%5B%40ordinal%3D1%5D%2FpicFuelRecibeInterno","Descargar")</f>
        <v>Descargar</v>
      </c>
    </row>
    <row r="4201" spans="1:18" x14ac:dyDescent="0.3">
      <c r="A4201">
        <v>1482847</v>
      </c>
      <c r="B4201" t="s">
        <v>18</v>
      </c>
      <c r="C4201" t="s">
        <v>34</v>
      </c>
      <c r="D4201" t="s">
        <v>53</v>
      </c>
      <c r="E4201" t="s">
        <v>457</v>
      </c>
      <c r="F4201" t="s">
        <v>22</v>
      </c>
      <c r="G4201" t="s">
        <v>83</v>
      </c>
      <c r="H4201" t="s">
        <v>390</v>
      </c>
      <c r="I4201" t="s">
        <v>25</v>
      </c>
      <c r="J4201" s="2">
        <v>45705.452719907407</v>
      </c>
      <c r="K4201">
        <v>17</v>
      </c>
      <c r="L4201">
        <v>2</v>
      </c>
      <c r="M4201">
        <v>2025</v>
      </c>
      <c r="N4201" t="s">
        <v>27</v>
      </c>
      <c r="O4201">
        <v>550</v>
      </c>
      <c r="Q4201">
        <v>550</v>
      </c>
      <c r="R4201" s="3" t="str">
        <f>HYPERLINK("https://panda.att.com.mx/ODKServer/view/binaryData?blobKey=FSSuministroFluidosv3%5B%40version%3Dnull+and+%40uiVersion%3Dnull%5D%2Fdata%5B%40key%3Duuid%3Abb3142e2-af00-4550-ab64-8283fa75a048%5D%2FgroupInfoFuel%5B%40ordinal%3D1%5D%2FpicFuelRecibeInterno","Descargar")</f>
        <v>Descargar</v>
      </c>
    </row>
    <row r="4202" spans="1:18" x14ac:dyDescent="0.3">
      <c r="A4202">
        <v>1482802</v>
      </c>
      <c r="B4202" t="s">
        <v>18</v>
      </c>
      <c r="C4202" t="s">
        <v>19</v>
      </c>
      <c r="D4202" t="s">
        <v>20</v>
      </c>
      <c r="E4202" t="s">
        <v>166</v>
      </c>
      <c r="F4202" t="s">
        <v>22</v>
      </c>
      <c r="G4202" t="s">
        <v>23</v>
      </c>
      <c r="H4202" t="s">
        <v>24</v>
      </c>
      <c r="I4202" t="s">
        <v>25</v>
      </c>
      <c r="J4202" s="2">
        <v>45705.488865740743</v>
      </c>
      <c r="K4202">
        <v>17</v>
      </c>
      <c r="L4202">
        <v>2</v>
      </c>
      <c r="M4202">
        <v>2025</v>
      </c>
      <c r="N4202" t="s">
        <v>27</v>
      </c>
      <c r="O4202">
        <v>400</v>
      </c>
      <c r="P4202">
        <v>400</v>
      </c>
      <c r="R4202" s="3" t="str">
        <f>HYPERLINK("https://panda.att.com.mx/ODKServer/view/binaryData?blobKey=FSSuministroFluidosv3%5B%40version%3Dnull+and+%40uiVersion%3Dnull%5D%2Fdata%5B%40key%3Duuid%3A1047c673-39f0-4bdc-b096-f886705e6a1f%5D%2FgroupInfoFuel%5B%40ordinal%3D1%5D%2FpicFuelRecibeInterno","Descargar")</f>
        <v>Descargar</v>
      </c>
    </row>
    <row r="4203" spans="1:18" x14ac:dyDescent="0.3">
      <c r="A4203">
        <v>1482747</v>
      </c>
      <c r="B4203" t="s">
        <v>18</v>
      </c>
      <c r="C4203" t="s">
        <v>55</v>
      </c>
      <c r="D4203" t="s">
        <v>56</v>
      </c>
      <c r="E4203" t="s">
        <v>624</v>
      </c>
      <c r="F4203" t="s">
        <v>22</v>
      </c>
      <c r="G4203" t="s">
        <v>23</v>
      </c>
      <c r="H4203" t="s">
        <v>1763</v>
      </c>
      <c r="I4203" t="s">
        <v>25</v>
      </c>
      <c r="J4203" s="2">
        <v>45702.514189814807</v>
      </c>
      <c r="K4203">
        <v>14</v>
      </c>
      <c r="L4203">
        <v>2</v>
      </c>
      <c r="M4203">
        <v>2025</v>
      </c>
      <c r="N4203" t="s">
        <v>27</v>
      </c>
      <c r="O4203">
        <v>100</v>
      </c>
      <c r="P4203">
        <v>100</v>
      </c>
      <c r="R4203" s="3" t="str">
        <f>HYPERLINK("https://panda.att.com.mx/ODKServer/view/binaryData?blobKey=FSSuministroFluidosv3%5B%40version%3Dnull+and+%40uiVersion%3Dnull%5D%2Fdata%5B%40key%3Duuid%3A0af8d88e-a9b5-44b9-9384-1f7364ce04ae%5D%2FgroupInfoFuel%5B%40ordinal%3D1%5D%2FpicFuelRecibeInterno","Descargar")</f>
        <v>Descargar</v>
      </c>
    </row>
    <row r="4204" spans="1:18" x14ac:dyDescent="0.3">
      <c r="A4204">
        <v>1482718</v>
      </c>
      <c r="B4204" t="s">
        <v>18</v>
      </c>
      <c r="C4204" t="s">
        <v>59</v>
      </c>
      <c r="D4204" t="s">
        <v>772</v>
      </c>
      <c r="E4204" t="s">
        <v>773</v>
      </c>
      <c r="F4204" t="s">
        <v>22</v>
      </c>
      <c r="G4204" t="s">
        <v>23</v>
      </c>
      <c r="H4204" t="s">
        <v>37</v>
      </c>
      <c r="I4204" t="s">
        <v>25</v>
      </c>
      <c r="J4204" s="2">
        <v>45704.635300925933</v>
      </c>
      <c r="K4204">
        <v>16</v>
      </c>
      <c r="L4204">
        <v>2</v>
      </c>
      <c r="M4204">
        <v>2025</v>
      </c>
      <c r="N4204" t="s">
        <v>27</v>
      </c>
      <c r="O4204">
        <v>150</v>
      </c>
      <c r="Q4204">
        <v>150</v>
      </c>
      <c r="R4204" s="3" t="str">
        <f>HYPERLINK("https://panda.att.com.mx/ODKServer/view/binaryData?blobKey=FSSuministroFluidosv3%5B%40version%3Dnull+and+%40uiVersion%3Dnull%5D%2Fdata%5B%40key%3Duuid%3Afddcc470-d71a-48ec-b5da-f491ce14cd95%5D%2FgroupInfoFuel%5B%40ordinal%3D1%5D%2FpicFuelRecibeInterno","Descargar")</f>
        <v>Descargar</v>
      </c>
    </row>
    <row r="4205" spans="1:18" x14ac:dyDescent="0.3">
      <c r="A4205">
        <v>1482702</v>
      </c>
      <c r="B4205" t="s">
        <v>18</v>
      </c>
      <c r="C4205" t="s">
        <v>55</v>
      </c>
      <c r="D4205" t="s">
        <v>288</v>
      </c>
      <c r="E4205" t="s">
        <v>440</v>
      </c>
      <c r="F4205" t="s">
        <v>22</v>
      </c>
      <c r="G4205" t="s">
        <v>23</v>
      </c>
      <c r="H4205" t="s">
        <v>1763</v>
      </c>
      <c r="I4205" t="s">
        <v>25</v>
      </c>
      <c r="J4205" s="2">
        <v>45699.485567129632</v>
      </c>
      <c r="K4205">
        <v>11</v>
      </c>
      <c r="L4205">
        <v>2</v>
      </c>
      <c r="M4205">
        <v>2025</v>
      </c>
      <c r="N4205" t="s">
        <v>27</v>
      </c>
      <c r="O4205">
        <v>300</v>
      </c>
      <c r="P4205">
        <v>300</v>
      </c>
      <c r="R4205" s="3" t="str">
        <f>HYPERLINK("https://panda.att.com.mx/ODKServer/view/binaryData?blobKey=FSSuministroFluidosv3%5B%40version%3Dnull+and+%40uiVersion%3Dnull%5D%2Fdata%5B%40key%3Duuid%3A1c4bf860-20f6-4020-950c-c6ee0ce0945e%5D%2FgroupInfoFuel%5B%40ordinal%3D1%5D%2FpicFuelRecibeInterno","Descargar")</f>
        <v>Descargar</v>
      </c>
    </row>
    <row r="4206" spans="1:18" x14ac:dyDescent="0.3">
      <c r="A4206">
        <v>1482669</v>
      </c>
      <c r="B4206" t="s">
        <v>18</v>
      </c>
      <c r="C4206" t="s">
        <v>28</v>
      </c>
      <c r="D4206" t="s">
        <v>118</v>
      </c>
      <c r="E4206" t="s">
        <v>119</v>
      </c>
      <c r="F4206" t="s">
        <v>22</v>
      </c>
      <c r="G4206" t="s">
        <v>23</v>
      </c>
      <c r="H4206" t="s">
        <v>24</v>
      </c>
      <c r="I4206" t="s">
        <v>25</v>
      </c>
      <c r="J4206" s="2">
        <v>45705.273310185177</v>
      </c>
      <c r="K4206">
        <v>17</v>
      </c>
      <c r="L4206">
        <v>2</v>
      </c>
      <c r="M4206">
        <v>2025</v>
      </c>
      <c r="N4206" t="s">
        <v>44</v>
      </c>
      <c r="O4206">
        <v>40</v>
      </c>
      <c r="Q4206">
        <v>40</v>
      </c>
      <c r="R4206" s="3" t="str">
        <f>HYPERLINK("https://panda.att.com.mx/ODKServer/view/binaryData?blobKey=FSSuministroFluidosv3%5B%40version%3Dnull+and+%40uiVersion%3Dnull%5D%2Fdata%5B%40key%3Duuid%3A95ab298c-4e55-41e9-8ab1-97ff892e1784%5D%2FgroupInfoFuel%5B%40ordinal%3D1%5D%2FpicFuelRecibeInterno","Descargar")</f>
        <v>Descargar</v>
      </c>
    </row>
    <row r="4207" spans="1:18" x14ac:dyDescent="0.3">
      <c r="A4207">
        <v>1482646</v>
      </c>
      <c r="B4207" t="s">
        <v>18</v>
      </c>
      <c r="C4207" t="s">
        <v>28</v>
      </c>
      <c r="D4207" t="s">
        <v>118</v>
      </c>
      <c r="E4207" t="s">
        <v>119</v>
      </c>
      <c r="F4207" t="s">
        <v>22</v>
      </c>
      <c r="G4207" t="s">
        <v>23</v>
      </c>
      <c r="H4207" t="s">
        <v>24</v>
      </c>
      <c r="I4207" t="s">
        <v>25</v>
      </c>
      <c r="J4207" s="2">
        <v>45704.945277777777</v>
      </c>
      <c r="K4207">
        <v>16</v>
      </c>
      <c r="L4207">
        <v>2</v>
      </c>
      <c r="M4207">
        <v>2025</v>
      </c>
      <c r="N4207" t="s">
        <v>44</v>
      </c>
      <c r="O4207">
        <v>20</v>
      </c>
      <c r="Q4207">
        <v>20</v>
      </c>
      <c r="R4207" s="3" t="str">
        <f>HYPERLINK("https://panda.att.com.mx/ODKServer/view/binaryData?blobKey=FSSuministroFluidosv3%5B%40version%3Dnull+and+%40uiVersion%3Dnull%5D%2Fdata%5B%40key%3Duuid%3A8806a7ca-25c2-4f52-bfd9-eb9a5bdc6148%5D%2FgroupInfoFuel%5B%40ordinal%3D1%5D%2FpicFuelRecibeInterno","Descargar")</f>
        <v>Descargar</v>
      </c>
    </row>
    <row r="4208" spans="1:18" x14ac:dyDescent="0.3">
      <c r="A4208">
        <v>1482642</v>
      </c>
      <c r="B4208" t="s">
        <v>18</v>
      </c>
      <c r="C4208" t="s">
        <v>59</v>
      </c>
      <c r="D4208" t="s">
        <v>60</v>
      </c>
      <c r="E4208" t="s">
        <v>2207</v>
      </c>
      <c r="F4208" t="s">
        <v>22</v>
      </c>
      <c r="G4208" t="s">
        <v>23</v>
      </c>
      <c r="H4208" t="s">
        <v>37</v>
      </c>
      <c r="I4208" t="s">
        <v>25</v>
      </c>
      <c r="J4208" s="2">
        <v>45703.285810185182</v>
      </c>
      <c r="K4208">
        <v>15</v>
      </c>
      <c r="L4208">
        <v>2</v>
      </c>
      <c r="M4208">
        <v>2025</v>
      </c>
      <c r="N4208" t="s">
        <v>27</v>
      </c>
      <c r="O4208">
        <v>130</v>
      </c>
      <c r="P4208">
        <v>130</v>
      </c>
      <c r="R4208" s="3" t="str">
        <f>HYPERLINK("https://panda.att.com.mx/ODKServer/view/binaryData?blobKey=FSSuministroFluidosv3%5B%40version%3Dnull+and+%40uiVersion%3Dnull%5D%2Fdata%5B%40key%3Duuid%3A93826a07-cad8-491c-ae5a-9434d6864abc%5D%2FgroupInfoFuel%5B%40ordinal%3D1%5D%2FpicFuelRecibeInterno","Descargar")</f>
        <v>Descargar</v>
      </c>
    </row>
    <row r="4209" spans="1:18" x14ac:dyDescent="0.3">
      <c r="A4209">
        <v>1482622</v>
      </c>
      <c r="B4209" t="s">
        <v>18</v>
      </c>
      <c r="C4209" t="s">
        <v>34</v>
      </c>
      <c r="D4209" t="s">
        <v>53</v>
      </c>
      <c r="E4209" t="s">
        <v>327</v>
      </c>
      <c r="F4209" t="s">
        <v>22</v>
      </c>
      <c r="G4209" t="s">
        <v>23</v>
      </c>
      <c r="H4209" t="s">
        <v>37</v>
      </c>
      <c r="I4209" t="s">
        <v>25</v>
      </c>
      <c r="J4209" s="2">
        <v>45704.486192129632</v>
      </c>
      <c r="K4209">
        <v>16</v>
      </c>
      <c r="L4209">
        <v>2</v>
      </c>
      <c r="M4209">
        <v>2025</v>
      </c>
      <c r="N4209" t="s">
        <v>27</v>
      </c>
      <c r="O4209">
        <v>200</v>
      </c>
      <c r="P4209">
        <v>200</v>
      </c>
      <c r="R4209" s="3" t="str">
        <f>HYPERLINK("https://panda.att.com.mx/ODKServer/view/binaryData?blobKey=FSSuministroFluidosv3%5B%40version%3Dnull+and+%40uiVersion%3Dnull%5D%2Fdata%5B%40key%3Duuid%3A958f1455-16a0-49e8-8d3b-e5ddebfcd2ec%5D%2FgroupInfoFuel%5B%40ordinal%3D1%5D%2FpicFuelRecibeInterno","Descargar")</f>
        <v>Descargar</v>
      </c>
    </row>
    <row r="4210" spans="1:18" x14ac:dyDescent="0.3">
      <c r="A4210">
        <v>1482616</v>
      </c>
      <c r="B4210" t="s">
        <v>18</v>
      </c>
      <c r="C4210" t="s">
        <v>68</v>
      </c>
      <c r="D4210" t="s">
        <v>91</v>
      </c>
      <c r="E4210" t="s">
        <v>93</v>
      </c>
      <c r="F4210" t="s">
        <v>22</v>
      </c>
      <c r="G4210" t="s">
        <v>23</v>
      </c>
      <c r="H4210" t="s">
        <v>37</v>
      </c>
      <c r="I4210" t="s">
        <v>25</v>
      </c>
      <c r="J4210" s="2">
        <v>45704.855937499997</v>
      </c>
      <c r="K4210">
        <v>16</v>
      </c>
      <c r="L4210">
        <v>2</v>
      </c>
      <c r="M4210">
        <v>2025</v>
      </c>
      <c r="N4210" t="s">
        <v>27</v>
      </c>
      <c r="O4210">
        <v>100</v>
      </c>
      <c r="P4210">
        <v>100</v>
      </c>
      <c r="R4210" s="3" t="str">
        <f>HYPERLINK("https://panda.att.com.mx/ODKServer/view/binaryData?blobKey=FSSuministroFluidosv3%5B%40version%3Dnull+and+%40uiVersion%3Dnull%5D%2Fdata%5B%40key%3Duuid%3A6344d158-ba96-46ad-82a6-9509e6886d55%5D%2FgroupInfoFuel%5B%40ordinal%3D1%5D%2FpicFuelRecibeInterno","Descargar")</f>
        <v>Descargar</v>
      </c>
    </row>
    <row r="4211" spans="1:18" x14ac:dyDescent="0.3">
      <c r="A4211">
        <v>1482573</v>
      </c>
      <c r="B4211" t="s">
        <v>18</v>
      </c>
      <c r="C4211" t="s">
        <v>28</v>
      </c>
      <c r="D4211" t="s">
        <v>118</v>
      </c>
      <c r="E4211" t="s">
        <v>401</v>
      </c>
      <c r="F4211" t="s">
        <v>22</v>
      </c>
      <c r="G4211" t="s">
        <v>23</v>
      </c>
      <c r="H4211" t="s">
        <v>24</v>
      </c>
      <c r="I4211" t="s">
        <v>25</v>
      </c>
      <c r="J4211" s="2">
        <v>45704.645740740743</v>
      </c>
      <c r="K4211">
        <v>16</v>
      </c>
      <c r="L4211">
        <v>2</v>
      </c>
      <c r="M4211">
        <v>2025</v>
      </c>
      <c r="N4211" t="s">
        <v>44</v>
      </c>
      <c r="O4211">
        <v>40</v>
      </c>
      <c r="Q4211">
        <v>40</v>
      </c>
      <c r="R4211" s="3" t="str">
        <f>HYPERLINK("https://panda.att.com.mx/ODKServer/view/binaryData?blobKey=FSSuministroFluidosv3%5B%40version%3Dnull+and+%40uiVersion%3Dnull%5D%2Fdata%5B%40key%3Duuid%3Af99de7f9-8ed9-481a-9d85-115aaf270185%5D%2FgroupInfoFuel%5B%40ordinal%3D1%5D%2FpicFuelRecibeInterno","Descargar")</f>
        <v>Descargar</v>
      </c>
    </row>
    <row r="4212" spans="1:18" x14ac:dyDescent="0.3">
      <c r="A4212">
        <v>1482567</v>
      </c>
      <c r="B4212" t="s">
        <v>18</v>
      </c>
      <c r="C4212" t="s">
        <v>100</v>
      </c>
      <c r="D4212" t="s">
        <v>854</v>
      </c>
      <c r="E4212" t="s">
        <v>993</v>
      </c>
      <c r="F4212" t="s">
        <v>22</v>
      </c>
      <c r="G4212" t="s">
        <v>83</v>
      </c>
      <c r="H4212" t="s">
        <v>1781</v>
      </c>
      <c r="I4212" t="s">
        <v>25</v>
      </c>
      <c r="J4212" s="2">
        <v>45704.492442129631</v>
      </c>
      <c r="K4212">
        <v>16</v>
      </c>
      <c r="L4212">
        <v>2</v>
      </c>
      <c r="M4212">
        <v>2025</v>
      </c>
      <c r="N4212" t="s">
        <v>27</v>
      </c>
      <c r="O4212">
        <v>220</v>
      </c>
      <c r="P4212">
        <v>220</v>
      </c>
      <c r="R4212" s="3" t="str">
        <f>HYPERLINK("https://panda.att.com.mx/ODKServer/view/binaryData?blobKey=FSSuministroFluidosv3%5B%40version%3Dnull+and+%40uiVersion%3Dnull%5D%2Fdata%5B%40key%3Duuid%3A16fa11fc-948c-4b31-ac80-e389cdeae157%5D%2FgroupInfoFuel%5B%40ordinal%3D1%5D%2FpicFuelRecibeInterno","Descargar")</f>
        <v>Descargar</v>
      </c>
    </row>
    <row r="4213" spans="1:18" x14ac:dyDescent="0.3">
      <c r="A4213">
        <v>1482560</v>
      </c>
      <c r="B4213" t="s">
        <v>18</v>
      </c>
      <c r="C4213" t="s">
        <v>34</v>
      </c>
      <c r="D4213" t="s">
        <v>51</v>
      </c>
      <c r="E4213" t="s">
        <v>1553</v>
      </c>
      <c r="F4213" t="s">
        <v>22</v>
      </c>
      <c r="G4213" t="s">
        <v>23</v>
      </c>
      <c r="H4213" t="s">
        <v>24</v>
      </c>
      <c r="I4213" t="s">
        <v>25</v>
      </c>
      <c r="J4213" t="s">
        <v>3087</v>
      </c>
      <c r="K4213">
        <v>14</v>
      </c>
      <c r="L4213">
        <v>1</v>
      </c>
      <c r="M4213">
        <v>2025</v>
      </c>
      <c r="N4213" t="s">
        <v>44</v>
      </c>
      <c r="O4213">
        <v>50</v>
      </c>
      <c r="P4213">
        <v>50</v>
      </c>
      <c r="R4213" s="3" t="str">
        <f>HYPERLINK("https://panda.att.com.mx/ODKServer/view/binaryData?blobKey=FSSuministroFluidosv3%5B%40version%3Dnull+and+%40uiVersion%3Dnull%5D%2Fdata%5B%40key%3Duuid%3Af8372b1c-84b8-4919-b080-043f9930a261%5D%2FgroupInfoFuel%5B%40ordinal%3D1%5D%2FpicFuelRecibeInterno","Descargar")</f>
        <v>Descargar</v>
      </c>
    </row>
    <row r="4214" spans="1:18" x14ac:dyDescent="0.3">
      <c r="A4214">
        <v>1482558</v>
      </c>
      <c r="B4214" t="s">
        <v>18</v>
      </c>
      <c r="C4214" t="s">
        <v>183</v>
      </c>
      <c r="D4214" t="s">
        <v>3088</v>
      </c>
      <c r="E4214" t="s">
        <v>3089</v>
      </c>
      <c r="F4214" t="s">
        <v>22</v>
      </c>
      <c r="G4214" t="s">
        <v>23</v>
      </c>
      <c r="H4214" t="s">
        <v>1781</v>
      </c>
      <c r="I4214" t="s">
        <v>25</v>
      </c>
      <c r="J4214" s="2">
        <v>45704.491307870368</v>
      </c>
      <c r="K4214">
        <v>16</v>
      </c>
      <c r="L4214">
        <v>2</v>
      </c>
      <c r="M4214">
        <v>2025</v>
      </c>
      <c r="N4214" t="s">
        <v>44</v>
      </c>
      <c r="O4214">
        <v>50</v>
      </c>
      <c r="P4214">
        <v>50</v>
      </c>
      <c r="R4214" s="3" t="str">
        <f>HYPERLINK("https://panda.att.com.mx/ODKServer/view/binaryData?blobKey=FSSuministroFluidosv3%5B%40version%3Dnull+and+%40uiVersion%3Dnull%5D%2Fdata%5B%40key%3Duuid%3Aaed56b00-2222-4619-b29b-83cd57f1b499%5D%2FgroupInfoFuel%5B%40ordinal%3D1%5D%2FpicFuelRecibeInterno","Descargar")</f>
        <v>Descargar</v>
      </c>
    </row>
    <row r="4215" spans="1:18" x14ac:dyDescent="0.3">
      <c r="A4215">
        <v>1482529</v>
      </c>
      <c r="B4215" t="s">
        <v>18</v>
      </c>
      <c r="C4215" t="s">
        <v>59</v>
      </c>
      <c r="D4215" t="s">
        <v>60</v>
      </c>
      <c r="E4215" t="s">
        <v>2738</v>
      </c>
      <c r="F4215" t="s">
        <v>22</v>
      </c>
      <c r="G4215" t="s">
        <v>23</v>
      </c>
      <c r="H4215" t="s">
        <v>37</v>
      </c>
      <c r="I4215" t="s">
        <v>25</v>
      </c>
      <c r="J4215" s="2">
        <v>45704.301134259258</v>
      </c>
      <c r="K4215">
        <v>16</v>
      </c>
      <c r="L4215">
        <v>2</v>
      </c>
      <c r="M4215">
        <v>2025</v>
      </c>
      <c r="N4215" t="s">
        <v>27</v>
      </c>
      <c r="O4215">
        <v>130</v>
      </c>
      <c r="P4215">
        <v>130</v>
      </c>
      <c r="R4215" s="3" t="str">
        <f>HYPERLINK("https://panda.att.com.mx/ODKServer/view/binaryData?blobKey=FSSuministroFluidosv3%5B%40version%3Dnull+and+%40uiVersion%3Dnull%5D%2Fdata%5B%40key%3Duuid%3A307724f1-c5ff-4ad7-a9de-cdcc827ed6c0%5D%2FgroupInfoFuel%5B%40ordinal%3D1%5D%2FpicFuelRecibeInterno","Descargar")</f>
        <v>Descargar</v>
      </c>
    </row>
    <row r="4216" spans="1:18" x14ac:dyDescent="0.3">
      <c r="A4216">
        <v>1482498</v>
      </c>
      <c r="B4216" t="s">
        <v>18</v>
      </c>
      <c r="C4216" t="s">
        <v>167</v>
      </c>
      <c r="D4216" t="s">
        <v>168</v>
      </c>
      <c r="E4216" t="s">
        <v>169</v>
      </c>
      <c r="F4216" t="s">
        <v>22</v>
      </c>
      <c r="G4216" t="s">
        <v>83</v>
      </c>
      <c r="H4216" t="s">
        <v>58</v>
      </c>
      <c r="I4216" t="s">
        <v>25</v>
      </c>
      <c r="J4216" s="2">
        <v>45703.844282407408</v>
      </c>
      <c r="K4216">
        <v>15</v>
      </c>
      <c r="L4216">
        <v>2</v>
      </c>
      <c r="M4216">
        <v>2025</v>
      </c>
      <c r="N4216" t="s">
        <v>27</v>
      </c>
      <c r="O4216">
        <v>450</v>
      </c>
      <c r="P4216">
        <v>450</v>
      </c>
      <c r="R4216" s="3" t="str">
        <f>HYPERLINK("https://panda.att.com.mx/ODKServer/view/binaryData?blobKey=FSSuministroFluidosv3%5B%40version%3Dnull+and+%40uiVersion%3Dnull%5D%2Fdata%5B%40key%3Duuid%3Ac52bb429-6732-44f0-a1e4-2afcf5774388%5D%2FgroupInfoFuel%5B%40ordinal%3D1%5D%2FpicFuelRecibeInterno","Descargar")</f>
        <v>Descargar</v>
      </c>
    </row>
    <row r="4217" spans="1:18" x14ac:dyDescent="0.3">
      <c r="A4217">
        <v>1482480</v>
      </c>
      <c r="B4217" t="s">
        <v>18</v>
      </c>
      <c r="C4217" t="s">
        <v>59</v>
      </c>
      <c r="D4217" t="s">
        <v>60</v>
      </c>
      <c r="E4217" t="s">
        <v>2207</v>
      </c>
      <c r="F4217" t="s">
        <v>22</v>
      </c>
      <c r="G4217" t="s">
        <v>23</v>
      </c>
      <c r="H4217" t="s">
        <v>37</v>
      </c>
      <c r="I4217" t="s">
        <v>25</v>
      </c>
      <c r="J4217" s="2">
        <v>45701.759143518517</v>
      </c>
      <c r="K4217">
        <v>13</v>
      </c>
      <c r="L4217">
        <v>2</v>
      </c>
      <c r="M4217">
        <v>2025</v>
      </c>
      <c r="N4217" t="s">
        <v>27</v>
      </c>
      <c r="O4217">
        <v>130</v>
      </c>
      <c r="P4217">
        <v>130</v>
      </c>
      <c r="R4217" s="3" t="str">
        <f>HYPERLINK("https://panda.att.com.mx/ODKServer/view/binaryData?blobKey=FSSuministroFluidosv3%5B%40version%3Dnull+and+%40uiVersion%3Dnull%5D%2Fdata%5B%40key%3Duuid%3Ad880ef73-7b21-4a0d-b1cf-3c149724dc1c%5D%2FgroupInfoFuel%5B%40ordinal%3D1%5D%2FpicFuelRecibeInterno","Descargar")</f>
        <v>Descargar</v>
      </c>
    </row>
    <row r="4218" spans="1:18" x14ac:dyDescent="0.3">
      <c r="A4218">
        <v>1482479</v>
      </c>
      <c r="B4218" t="s">
        <v>18</v>
      </c>
      <c r="C4218" t="s">
        <v>55</v>
      </c>
      <c r="D4218" t="s">
        <v>56</v>
      </c>
      <c r="E4218" t="s">
        <v>1555</v>
      </c>
      <c r="F4218" t="s">
        <v>22</v>
      </c>
      <c r="G4218" t="s">
        <v>23</v>
      </c>
      <c r="H4218" t="s">
        <v>1763</v>
      </c>
      <c r="I4218" t="s">
        <v>25</v>
      </c>
      <c r="J4218" s="2">
        <v>45702.432858796303</v>
      </c>
      <c r="K4218">
        <v>14</v>
      </c>
      <c r="L4218">
        <v>2</v>
      </c>
      <c r="M4218">
        <v>2025</v>
      </c>
      <c r="N4218" t="s">
        <v>27</v>
      </c>
      <c r="O4218">
        <v>300</v>
      </c>
      <c r="P4218">
        <v>300</v>
      </c>
      <c r="R4218" s="3" t="str">
        <f>HYPERLINK("https://panda.att.com.mx/ODKServer/view/binaryData?blobKey=FSSuministroFluidosv3%5B%40version%3Dnull+and+%40uiVersion%3Dnull%5D%2Fdata%5B%40key%3Duuid%3A1fbccd90-4960-4489-995f-2c30987aa971%5D%2FgroupInfoFuel%5B%40ordinal%3D1%5D%2FpicFuelRecibeInterno","Descargar")</f>
        <v>Descargar</v>
      </c>
    </row>
    <row r="4219" spans="1:18" x14ac:dyDescent="0.3">
      <c r="A4219">
        <v>1482432</v>
      </c>
      <c r="B4219" t="s">
        <v>18</v>
      </c>
      <c r="C4219" t="s">
        <v>150</v>
      </c>
      <c r="D4219" t="s">
        <v>230</v>
      </c>
      <c r="E4219" t="s">
        <v>1510</v>
      </c>
      <c r="F4219" t="s">
        <v>22</v>
      </c>
      <c r="G4219" t="s">
        <v>23</v>
      </c>
      <c r="H4219" t="s">
        <v>1781</v>
      </c>
      <c r="I4219" t="s">
        <v>25</v>
      </c>
      <c r="J4219" s="2">
        <v>45703.628796296303</v>
      </c>
      <c r="K4219">
        <v>15</v>
      </c>
      <c r="L4219">
        <v>2</v>
      </c>
      <c r="M4219">
        <v>2025</v>
      </c>
      <c r="N4219" t="s">
        <v>27</v>
      </c>
      <c r="O4219">
        <v>180</v>
      </c>
      <c r="P4219">
        <v>180</v>
      </c>
      <c r="R4219" s="3" t="str">
        <f>HYPERLINK("https://panda.att.com.mx/ODKServer/view/binaryData?blobKey=FSSuministroFluidosv3%5B%40version%3Dnull+and+%40uiVersion%3Dnull%5D%2Fdata%5B%40key%3Duuid%3A606fd57e-ed3a-4e6e-a053-08da0e57bff9%5D%2FgroupInfoFuel%5B%40ordinal%3D1%5D%2FpicFuelRecibeInterno","Descargar")</f>
        <v>Descargar</v>
      </c>
    </row>
    <row r="4220" spans="1:18" x14ac:dyDescent="0.3">
      <c r="A4220">
        <v>1482416</v>
      </c>
      <c r="B4220" t="s">
        <v>18</v>
      </c>
      <c r="C4220" t="s">
        <v>34</v>
      </c>
      <c r="D4220" t="s">
        <v>53</v>
      </c>
      <c r="E4220" t="s">
        <v>3010</v>
      </c>
      <c r="F4220" t="s">
        <v>22</v>
      </c>
      <c r="G4220" t="s">
        <v>23</v>
      </c>
      <c r="H4220" t="s">
        <v>37</v>
      </c>
      <c r="I4220" t="s">
        <v>25</v>
      </c>
      <c r="J4220" s="2">
        <v>45703.612881944442</v>
      </c>
      <c r="K4220">
        <v>15</v>
      </c>
      <c r="L4220">
        <v>2</v>
      </c>
      <c r="M4220">
        <v>2025</v>
      </c>
      <c r="N4220" t="s">
        <v>27</v>
      </c>
      <c r="O4220">
        <v>100</v>
      </c>
      <c r="P4220">
        <v>100</v>
      </c>
      <c r="R4220" s="3" t="str">
        <f>HYPERLINK("https://panda.att.com.mx/ODKServer/view/binaryData?blobKey=FSSuministroFluidosv3%5B%40version%3Dnull+and+%40uiVersion%3Dnull%5D%2Fdata%5B%40key%3Duuid%3Ac1356945-3b4b-4106-be9a-4c71f0b16f1e%5D%2FgroupInfoFuel%5B%40ordinal%3D1%5D%2FpicFuelRecibeInterno","Descargar")</f>
        <v>Descargar</v>
      </c>
    </row>
    <row r="4221" spans="1:18" x14ac:dyDescent="0.3">
      <c r="A4221">
        <v>1482409</v>
      </c>
      <c r="B4221" t="s">
        <v>18</v>
      </c>
      <c r="C4221" t="s">
        <v>19</v>
      </c>
      <c r="D4221" t="s">
        <v>20</v>
      </c>
      <c r="E4221" t="s">
        <v>166</v>
      </c>
      <c r="F4221" t="s">
        <v>22</v>
      </c>
      <c r="G4221" t="s">
        <v>23</v>
      </c>
      <c r="H4221" t="s">
        <v>24</v>
      </c>
      <c r="I4221" t="s">
        <v>25</v>
      </c>
      <c r="J4221" s="2">
        <v>45700.481516203698</v>
      </c>
      <c r="K4221">
        <v>12</v>
      </c>
      <c r="L4221">
        <v>2</v>
      </c>
      <c r="M4221">
        <v>2025</v>
      </c>
      <c r="N4221" t="s">
        <v>27</v>
      </c>
      <c r="O4221">
        <v>400</v>
      </c>
      <c r="P4221">
        <v>400</v>
      </c>
      <c r="R4221" s="3" t="str">
        <f>HYPERLINK("https://panda.att.com.mx/ODKServer/view/binaryData?blobKey=FSSuministroFluidosv3%5B%40version%3Dnull+and+%40uiVersion%3Dnull%5D%2Fdata%5B%40key%3Duuid%3Ad426d70f-030a-4632-a976-a03e28faf2dc%5D%2FgroupInfoFuel%5B%40ordinal%3D1%5D%2FpicFuelRecibeInterno","Descargar")</f>
        <v>Descargar</v>
      </c>
    </row>
    <row r="4222" spans="1:18" x14ac:dyDescent="0.3">
      <c r="A4222">
        <v>1482407</v>
      </c>
      <c r="B4222" t="s">
        <v>18</v>
      </c>
      <c r="C4222" t="s">
        <v>150</v>
      </c>
      <c r="D4222" t="s">
        <v>230</v>
      </c>
      <c r="E4222" t="s">
        <v>399</v>
      </c>
      <c r="F4222" t="s">
        <v>22</v>
      </c>
      <c r="G4222" t="s">
        <v>23</v>
      </c>
      <c r="H4222" t="s">
        <v>1781</v>
      </c>
      <c r="I4222" t="s">
        <v>25</v>
      </c>
      <c r="J4222" s="2">
        <v>45703.571689814817</v>
      </c>
      <c r="K4222">
        <v>15</v>
      </c>
      <c r="L4222">
        <v>2</v>
      </c>
      <c r="M4222">
        <v>2025</v>
      </c>
      <c r="N4222" t="s">
        <v>27</v>
      </c>
      <c r="O4222">
        <v>200.01</v>
      </c>
      <c r="P4222">
        <v>200.01</v>
      </c>
      <c r="R4222" s="3" t="str">
        <f>HYPERLINK("https://panda.att.com.mx/ODKServer/view/binaryData?blobKey=FSSuministroFluidosv3%5B%40version%3Dnull+and+%40uiVersion%3Dnull%5D%2Fdata%5B%40key%3Duuid%3A1d245b3b-a615-4c6e-b314-8e5b6403e390%5D%2FgroupInfoFuel%5B%40ordinal%3D1%5D%2FpicFuelRecibeInterno","Descargar")</f>
        <v>Descargar</v>
      </c>
    </row>
    <row r="4223" spans="1:18" x14ac:dyDescent="0.3">
      <c r="A4223">
        <v>1482353</v>
      </c>
      <c r="B4223" t="s">
        <v>18</v>
      </c>
      <c r="C4223" t="s">
        <v>28</v>
      </c>
      <c r="D4223" t="s">
        <v>181</v>
      </c>
      <c r="E4223" t="s">
        <v>218</v>
      </c>
      <c r="F4223" t="s">
        <v>22</v>
      </c>
      <c r="G4223" t="s">
        <v>23</v>
      </c>
      <c r="H4223" t="s">
        <v>24</v>
      </c>
      <c r="I4223" t="s">
        <v>25</v>
      </c>
      <c r="J4223" s="2">
        <v>45701.469409722216</v>
      </c>
      <c r="K4223">
        <v>13</v>
      </c>
      <c r="L4223">
        <v>2</v>
      </c>
      <c r="M4223">
        <v>2025</v>
      </c>
      <c r="N4223" t="s">
        <v>27</v>
      </c>
      <c r="O4223">
        <v>500</v>
      </c>
      <c r="P4223">
        <v>500</v>
      </c>
      <c r="R4223" s="3" t="str">
        <f>HYPERLINK("https://panda.att.com.mx/ODKServer/view/binaryData?blobKey=FSSuministroFluidosv3%5B%40version%3Dnull+and+%40uiVersion%3Dnull%5D%2Fdata%5B%40key%3Duuid%3A5f8c15ec-d7cb-435d-8521-3af20ab7233e%5D%2FgroupInfoFuel%5B%40ordinal%3D1%5D%2FpicFuelRecibeInterno","Descargar")</f>
        <v>Descargar</v>
      </c>
    </row>
    <row r="4224" spans="1:18" x14ac:dyDescent="0.3">
      <c r="A4224">
        <v>1482294</v>
      </c>
      <c r="B4224" t="s">
        <v>18</v>
      </c>
      <c r="C4224" t="s">
        <v>100</v>
      </c>
      <c r="D4224" t="s">
        <v>716</v>
      </c>
      <c r="E4224" t="s">
        <v>717</v>
      </c>
      <c r="F4224" t="s">
        <v>22</v>
      </c>
      <c r="G4224" t="s">
        <v>83</v>
      </c>
      <c r="H4224" t="s">
        <v>1781</v>
      </c>
      <c r="I4224" t="s">
        <v>25</v>
      </c>
      <c r="J4224" s="2">
        <v>45702.941377314812</v>
      </c>
      <c r="K4224">
        <v>14</v>
      </c>
      <c r="L4224">
        <v>2</v>
      </c>
      <c r="M4224">
        <v>2025</v>
      </c>
      <c r="N4224" t="s">
        <v>27</v>
      </c>
      <c r="O4224">
        <v>150</v>
      </c>
      <c r="P4224">
        <v>150</v>
      </c>
      <c r="R4224" s="3" t="str">
        <f>HYPERLINK("https://panda.att.com.mx/ODKServer/view/binaryData?blobKey=FSSuministroFluidosv3%5B%40version%3Dnull+and+%40uiVersion%3Dnull%5D%2Fdata%5B%40key%3Duuid%3A124304a2-becc-4163-85f7-8ff7bb0b8186%5D%2FgroupInfoFuel%5B%40ordinal%3D1%5D%2FpicFuelRecibeInterno","Descargar")</f>
        <v>Descargar</v>
      </c>
    </row>
    <row r="4225" spans="1:18" x14ac:dyDescent="0.3">
      <c r="A4225">
        <v>1482287</v>
      </c>
      <c r="B4225" t="s">
        <v>18</v>
      </c>
      <c r="C4225" t="s">
        <v>59</v>
      </c>
      <c r="D4225" t="s">
        <v>233</v>
      </c>
      <c r="E4225" t="s">
        <v>3090</v>
      </c>
      <c r="F4225" t="s">
        <v>22</v>
      </c>
      <c r="G4225" t="s">
        <v>23</v>
      </c>
      <c r="H4225" t="s">
        <v>37</v>
      </c>
      <c r="I4225" t="s">
        <v>25</v>
      </c>
      <c r="J4225" s="2">
        <v>45702.651412037027</v>
      </c>
      <c r="K4225">
        <v>14</v>
      </c>
      <c r="L4225">
        <v>2</v>
      </c>
      <c r="M4225">
        <v>2025</v>
      </c>
      <c r="N4225" t="s">
        <v>44</v>
      </c>
      <c r="O4225">
        <v>25</v>
      </c>
      <c r="P4225">
        <v>25</v>
      </c>
      <c r="R4225" s="3" t="str">
        <f>HYPERLINK("https://panda.att.com.mx/ODKServer/view/binaryData?blobKey=FSSuministroFluidosv3%5B%40version%3Dnull+and+%40uiVersion%3Dnull%5D%2Fdata%5B%40key%3Duuid%3A090b70d8-93d8-4c48-ac7a-cb2acd1437c2%5D%2FgroupInfoFuel%5B%40ordinal%3D1%5D%2FpicFuelRecibeInterno","Descargar")</f>
        <v>Descargar</v>
      </c>
    </row>
    <row r="4226" spans="1:18" x14ac:dyDescent="0.3">
      <c r="A4226">
        <v>1482255</v>
      </c>
      <c r="B4226" t="s">
        <v>18</v>
      </c>
      <c r="C4226" t="s">
        <v>167</v>
      </c>
      <c r="D4226" t="s">
        <v>313</v>
      </c>
      <c r="E4226" t="s">
        <v>712</v>
      </c>
      <c r="F4226" t="s">
        <v>22</v>
      </c>
      <c r="G4226" t="s">
        <v>23</v>
      </c>
      <c r="H4226" t="s">
        <v>58</v>
      </c>
      <c r="I4226" t="s">
        <v>25</v>
      </c>
      <c r="J4226" s="2">
        <v>45702.835625</v>
      </c>
      <c r="K4226">
        <v>14</v>
      </c>
      <c r="L4226">
        <v>2</v>
      </c>
      <c r="M4226">
        <v>2025</v>
      </c>
      <c r="N4226" t="s">
        <v>27</v>
      </c>
      <c r="O4226">
        <v>280</v>
      </c>
      <c r="P4226">
        <v>280</v>
      </c>
      <c r="R4226" s="3" t="str">
        <f>HYPERLINK("https://panda.att.com.mx/ODKServer/view/binaryData?blobKey=FSSuministroFluidosv3%5B%40version%3Dnull+and+%40uiVersion%3Dnull%5D%2Fdata%5B%40key%3Duuid%3A350f3a11-563b-438f-ad64-69e90d1bbe97%5D%2FgroupInfoFuel%5B%40ordinal%3D1%5D%2FpicFuelRecibeInterno","Descargar")</f>
        <v>Descargar</v>
      </c>
    </row>
    <row r="4227" spans="1:18" x14ac:dyDescent="0.3">
      <c r="A4227">
        <v>1482250</v>
      </c>
      <c r="B4227" t="s">
        <v>18</v>
      </c>
      <c r="C4227" t="s">
        <v>68</v>
      </c>
      <c r="D4227" t="s">
        <v>91</v>
      </c>
      <c r="E4227" t="s">
        <v>3091</v>
      </c>
      <c r="F4227" t="s">
        <v>22</v>
      </c>
      <c r="G4227" t="s">
        <v>23</v>
      </c>
      <c r="H4227" t="s">
        <v>37</v>
      </c>
      <c r="I4227" t="s">
        <v>25</v>
      </c>
      <c r="J4227" s="2">
        <v>45701.791319444441</v>
      </c>
      <c r="K4227">
        <v>13</v>
      </c>
      <c r="L4227">
        <v>2</v>
      </c>
      <c r="M4227">
        <v>2025</v>
      </c>
      <c r="N4227" t="s">
        <v>27</v>
      </c>
      <c r="O4227">
        <v>100</v>
      </c>
      <c r="P4227">
        <v>100</v>
      </c>
      <c r="R4227" s="3" t="str">
        <f>HYPERLINK("https://panda.att.com.mx/ODKServer/view/binaryData?blobKey=FSSuministroFluidosv3%5B%40version%3Dnull+and+%40uiVersion%3Dnull%5D%2Fdata%5B%40key%3Duuid%3Ac8cca858-770a-4f20-bc8a-8b8645be9a13%5D%2FgroupInfoFuel%5B%40ordinal%3D1%5D%2FpicFuelRecibeInterno","Descargar")</f>
        <v>Descargar</v>
      </c>
    </row>
    <row r="4228" spans="1:18" x14ac:dyDescent="0.3">
      <c r="A4228">
        <v>1482240</v>
      </c>
      <c r="B4228" t="s">
        <v>18</v>
      </c>
      <c r="C4228" t="s">
        <v>34</v>
      </c>
      <c r="D4228" t="s">
        <v>121</v>
      </c>
      <c r="E4228" t="s">
        <v>3086</v>
      </c>
      <c r="F4228" t="s">
        <v>22</v>
      </c>
      <c r="G4228" t="s">
        <v>23</v>
      </c>
      <c r="H4228" t="s">
        <v>37</v>
      </c>
      <c r="I4228" t="s">
        <v>25</v>
      </c>
      <c r="J4228" s="2">
        <v>45702.629305555558</v>
      </c>
      <c r="K4228">
        <v>14</v>
      </c>
      <c r="L4228">
        <v>2</v>
      </c>
      <c r="M4228">
        <v>2025</v>
      </c>
      <c r="N4228" t="s">
        <v>27</v>
      </c>
      <c r="O4228">
        <v>300</v>
      </c>
      <c r="P4228">
        <v>300</v>
      </c>
      <c r="R4228" s="3" t="str">
        <f>HYPERLINK("https://panda.att.com.mx/ODKServer/view/binaryData?blobKey=FSSuministroFluidosv3%5B%40version%3Dnull+and+%40uiVersion%3Dnull%5D%2Fdata%5B%40key%3Duuid%3A66e48d9c-4383-44cf-be7e-77783f4653c4%5D%2FgroupInfoFuel%5B%40ordinal%3D1%5D%2FpicFuelRecibeInterno","Descargar")</f>
        <v>Descargar</v>
      </c>
    </row>
    <row r="4229" spans="1:18" x14ac:dyDescent="0.3">
      <c r="A4229">
        <v>1482239</v>
      </c>
      <c r="B4229" t="s">
        <v>18</v>
      </c>
      <c r="C4229" t="s">
        <v>34</v>
      </c>
      <c r="D4229" t="s">
        <v>121</v>
      </c>
      <c r="E4229" t="s">
        <v>3041</v>
      </c>
      <c r="F4229" t="s">
        <v>22</v>
      </c>
      <c r="G4229" t="s">
        <v>23</v>
      </c>
      <c r="H4229" t="s">
        <v>37</v>
      </c>
      <c r="I4229" t="s">
        <v>25</v>
      </c>
      <c r="J4229" s="2">
        <v>45702.567407407398</v>
      </c>
      <c r="K4229">
        <v>14</v>
      </c>
      <c r="L4229">
        <v>2</v>
      </c>
      <c r="M4229">
        <v>2025</v>
      </c>
      <c r="N4229" t="s">
        <v>27</v>
      </c>
      <c r="O4229">
        <v>150</v>
      </c>
      <c r="P4229">
        <v>150</v>
      </c>
      <c r="R4229" s="3" t="str">
        <f>HYPERLINK("https://panda.att.com.mx/ODKServer/view/binaryData?blobKey=FSSuministroFluidosv3%5B%40version%3Dnull+and+%40uiVersion%3Dnull%5D%2Fdata%5B%40key%3Duuid%3Abf015aed-fb5e-41d4-a00d-ef4bee2f4ca7%5D%2FgroupInfoFuel%5B%40ordinal%3D1%5D%2FpicFuelRecibeInterno","Descargar")</f>
        <v>Descargar</v>
      </c>
    </row>
    <row r="4230" spans="1:18" x14ac:dyDescent="0.3">
      <c r="A4230">
        <v>1482081</v>
      </c>
      <c r="B4230" t="s">
        <v>18</v>
      </c>
      <c r="C4230" t="s">
        <v>28</v>
      </c>
      <c r="D4230" t="s">
        <v>118</v>
      </c>
      <c r="E4230" t="s">
        <v>1231</v>
      </c>
      <c r="F4230" t="s">
        <v>22</v>
      </c>
      <c r="G4230" t="s">
        <v>23</v>
      </c>
      <c r="H4230" t="s">
        <v>24</v>
      </c>
      <c r="I4230" t="s">
        <v>25</v>
      </c>
      <c r="J4230" s="2">
        <v>45702.64744212963</v>
      </c>
      <c r="K4230">
        <v>14</v>
      </c>
      <c r="L4230">
        <v>2</v>
      </c>
      <c r="M4230">
        <v>2025</v>
      </c>
      <c r="N4230" t="s">
        <v>27</v>
      </c>
      <c r="O4230">
        <v>450</v>
      </c>
      <c r="P4230">
        <v>450</v>
      </c>
      <c r="R4230" s="3" t="str">
        <f>HYPERLINK("https://panda.att.com.mx/ODKServer/view/binaryData?blobKey=FSSuministroFluidosv3%5B%40version%3Dnull+and+%40uiVersion%3Dnull%5D%2Fdata%5B%40key%3Duuid%3A55fdd1b4-b623-45bd-803e-1580b7d3606e%5D%2FgroupInfoFuel%5B%40ordinal%3D1%5D%2FpicFuelRecibeInterno","Descargar")</f>
        <v>Descargar</v>
      </c>
    </row>
    <row r="4231" spans="1:18" x14ac:dyDescent="0.3">
      <c r="A4231">
        <v>1482066</v>
      </c>
      <c r="B4231" t="s">
        <v>18</v>
      </c>
      <c r="C4231" t="s">
        <v>100</v>
      </c>
      <c r="D4231" t="s">
        <v>651</v>
      </c>
      <c r="E4231" t="s">
        <v>1833</v>
      </c>
      <c r="F4231" t="s">
        <v>22</v>
      </c>
      <c r="G4231" t="s">
        <v>83</v>
      </c>
      <c r="H4231" t="s">
        <v>1781</v>
      </c>
      <c r="I4231" t="s">
        <v>25</v>
      </c>
      <c r="J4231" s="2">
        <v>45702.58085648148</v>
      </c>
      <c r="K4231">
        <v>14</v>
      </c>
      <c r="L4231">
        <v>2</v>
      </c>
      <c r="M4231">
        <v>2025</v>
      </c>
      <c r="N4231" t="s">
        <v>27</v>
      </c>
      <c r="O4231">
        <v>179</v>
      </c>
      <c r="P4231">
        <v>179</v>
      </c>
      <c r="R4231" s="3" t="str">
        <f>HYPERLINK("https://panda.att.com.mx/ODKServer/view/binaryData?blobKey=FSSuministroFluidosv3%5B%40version%3Dnull+and+%40uiVersion%3Dnull%5D%2Fdata%5B%40key%3Duuid%3A2c41c730-2139-449a-a99b-1cfbad59c845%5D%2FgroupInfoFuel%5B%40ordinal%3D1%5D%2FpicFuelRecibeInterno","Descargar")</f>
        <v>Descargar</v>
      </c>
    </row>
    <row r="4232" spans="1:18" x14ac:dyDescent="0.3">
      <c r="A4232">
        <v>1482018</v>
      </c>
      <c r="B4232" t="s">
        <v>18</v>
      </c>
      <c r="C4232" t="s">
        <v>150</v>
      </c>
      <c r="D4232" t="s">
        <v>230</v>
      </c>
      <c r="E4232" t="s">
        <v>3092</v>
      </c>
      <c r="F4232" t="s">
        <v>22</v>
      </c>
      <c r="G4232" t="s">
        <v>23</v>
      </c>
      <c r="H4232" t="s">
        <v>1781</v>
      </c>
      <c r="I4232" t="s">
        <v>25</v>
      </c>
      <c r="J4232" s="2">
        <v>45702.581006944441</v>
      </c>
      <c r="K4232">
        <v>14</v>
      </c>
      <c r="L4232">
        <v>2</v>
      </c>
      <c r="M4232">
        <v>2025</v>
      </c>
      <c r="N4232" t="s">
        <v>44</v>
      </c>
      <c r="O4232">
        <v>40</v>
      </c>
      <c r="P4232">
        <v>40</v>
      </c>
      <c r="R4232" s="3" t="str">
        <f>HYPERLINK("https://panda.att.com.mx/ODKServer/view/binaryData?blobKey=FSSuministroFluidosv3%5B%40version%3Dnull+and+%40uiVersion%3Dnull%5D%2Fdata%5B%40key%3Duuid%3A405e2190-6922-4d57-89f1-1d999e209e9b%5D%2FgroupInfoFuel%5B%40ordinal%3D1%5D%2FpicFuelRecibeInterno","Descargar")</f>
        <v>Descargar</v>
      </c>
    </row>
    <row r="4233" spans="1:18" x14ac:dyDescent="0.3">
      <c r="A4233">
        <v>1482009</v>
      </c>
      <c r="B4233" t="s">
        <v>18</v>
      </c>
      <c r="C4233" t="s">
        <v>59</v>
      </c>
      <c r="D4233" t="s">
        <v>60</v>
      </c>
      <c r="E4233" t="s">
        <v>820</v>
      </c>
      <c r="F4233" t="s">
        <v>22</v>
      </c>
      <c r="G4233" t="s">
        <v>23</v>
      </c>
      <c r="H4233" t="s">
        <v>1816</v>
      </c>
      <c r="I4233" t="s">
        <v>25</v>
      </c>
      <c r="J4233" s="2">
        <v>45700.645729166667</v>
      </c>
      <c r="K4233">
        <v>12</v>
      </c>
      <c r="L4233">
        <v>2</v>
      </c>
      <c r="M4233">
        <v>2025</v>
      </c>
      <c r="N4233" t="s">
        <v>27</v>
      </c>
      <c r="O4233">
        <v>300</v>
      </c>
      <c r="Q4233">
        <v>300</v>
      </c>
      <c r="R4233" s="3" t="str">
        <f>HYPERLINK("https://panda.att.com.mx/ODKServer/view/binaryData?blobKey=FSSuministroFluidosv3%5B%40version%3Dnull+and+%40uiVersion%3Dnull%5D%2Fdata%5B%40key%3Duuid%3A01a390d9-a248-446a-90e5-3c5421b95b1a%5D%2FgroupInfoFuel%5B%40ordinal%3D1%5D%2FpicFuelRecibeInterno","Descargar")</f>
        <v>Descargar</v>
      </c>
    </row>
    <row r="4234" spans="1:18" x14ac:dyDescent="0.3">
      <c r="A4234">
        <v>1481815</v>
      </c>
      <c r="B4234" t="s">
        <v>18</v>
      </c>
      <c r="C4234" t="s">
        <v>150</v>
      </c>
      <c r="D4234" t="s">
        <v>230</v>
      </c>
      <c r="E4234" t="s">
        <v>890</v>
      </c>
      <c r="F4234" t="s">
        <v>22</v>
      </c>
      <c r="G4234" t="s">
        <v>23</v>
      </c>
      <c r="H4234" t="s">
        <v>1781</v>
      </c>
      <c r="I4234" t="s">
        <v>25</v>
      </c>
      <c r="J4234" s="2">
        <v>45702.469756944447</v>
      </c>
      <c r="K4234">
        <v>14</v>
      </c>
      <c r="L4234">
        <v>2</v>
      </c>
      <c r="M4234">
        <v>2025</v>
      </c>
      <c r="N4234" t="s">
        <v>27</v>
      </c>
      <c r="O4234">
        <v>170</v>
      </c>
      <c r="P4234">
        <v>170</v>
      </c>
      <c r="R4234" s="3" t="str">
        <f>HYPERLINK("https://panda.att.com.mx/ODKServer/view/binaryData?blobKey=FSSuministroFluidosv3%5B%40version%3Dnull+and+%40uiVersion%3Dnull%5D%2Fdata%5B%40key%3Duuid%3Af2940a60-9b0e-4354-b439-d9575d5a27a0%5D%2FgroupInfoFuel%5B%40ordinal%3D1%5D%2FpicFuelRecibeInterno","Descargar")</f>
        <v>Descargar</v>
      </c>
    </row>
    <row r="4235" spans="1:18" x14ac:dyDescent="0.3">
      <c r="A4235">
        <v>1481654</v>
      </c>
      <c r="B4235" t="s">
        <v>18</v>
      </c>
      <c r="C4235" t="s">
        <v>19</v>
      </c>
      <c r="D4235" t="s">
        <v>45</v>
      </c>
      <c r="E4235" t="s">
        <v>752</v>
      </c>
      <c r="F4235" t="s">
        <v>22</v>
      </c>
      <c r="G4235" t="s">
        <v>23</v>
      </c>
      <c r="H4235" t="s">
        <v>24</v>
      </c>
      <c r="I4235" t="s">
        <v>25</v>
      </c>
      <c r="J4235" s="2">
        <v>45697.458368055559</v>
      </c>
      <c r="K4235">
        <v>9</v>
      </c>
      <c r="L4235">
        <v>2</v>
      </c>
      <c r="M4235">
        <v>2025</v>
      </c>
      <c r="N4235" t="s">
        <v>27</v>
      </c>
      <c r="O4235">
        <v>400</v>
      </c>
      <c r="P4235">
        <v>400</v>
      </c>
      <c r="R4235" s="3" t="str">
        <f>HYPERLINK("https://panda.att.com.mx/ODKServer/view/binaryData?blobKey=FSSuministroFluidosv3%5B%40version%3Dnull+and+%40uiVersion%3Dnull%5D%2Fdata%5B%40key%3Duuid%3A76a97d56-a688-4425-bf73-b2cffd88bd48%5D%2FgroupInfoFuel%5B%40ordinal%3D1%5D%2FpicFuelRecibeInterno","Descargar")</f>
        <v>Descargar</v>
      </c>
    </row>
    <row r="4236" spans="1:18" x14ac:dyDescent="0.3">
      <c r="A4236">
        <v>1481576</v>
      </c>
      <c r="B4236" t="s">
        <v>18</v>
      </c>
      <c r="C4236" t="s">
        <v>34</v>
      </c>
      <c r="D4236" t="s">
        <v>53</v>
      </c>
      <c r="E4236" t="s">
        <v>3010</v>
      </c>
      <c r="F4236" t="s">
        <v>22</v>
      </c>
      <c r="G4236" t="s">
        <v>23</v>
      </c>
      <c r="H4236" t="s">
        <v>37</v>
      </c>
      <c r="I4236" t="s">
        <v>25</v>
      </c>
      <c r="J4236" s="2">
        <v>45701.803368055553</v>
      </c>
      <c r="K4236">
        <v>13</v>
      </c>
      <c r="L4236">
        <v>2</v>
      </c>
      <c r="M4236">
        <v>2025</v>
      </c>
      <c r="N4236" t="s">
        <v>27</v>
      </c>
      <c r="O4236">
        <v>200</v>
      </c>
      <c r="P4236">
        <v>200</v>
      </c>
      <c r="R4236" s="3" t="str">
        <f>HYPERLINK("https://panda.att.com.mx/ODKServer/view/binaryData?blobKey=FSSuministroFluidosv3%5B%40version%3Dnull+and+%40uiVersion%3Dnull%5D%2Fdata%5B%40key%3Duuid%3Aa26ff417-88f1-4a15-af21-455ccdef3bb7%5D%2FgroupInfoFuel%5B%40ordinal%3D1%5D%2FpicFuelRecibeInterno","Descargar")</f>
        <v>Descargar</v>
      </c>
    </row>
    <row r="4237" spans="1:18" x14ac:dyDescent="0.3">
      <c r="A4237">
        <v>1481388</v>
      </c>
      <c r="B4237" t="s">
        <v>18</v>
      </c>
      <c r="C4237" t="s">
        <v>68</v>
      </c>
      <c r="D4237" t="s">
        <v>116</v>
      </c>
      <c r="E4237" t="s">
        <v>3093</v>
      </c>
      <c r="F4237" t="s">
        <v>22</v>
      </c>
      <c r="G4237" t="s">
        <v>23</v>
      </c>
      <c r="H4237" t="s">
        <v>37</v>
      </c>
      <c r="I4237" t="s">
        <v>25</v>
      </c>
      <c r="J4237" s="2">
        <v>45701.477870370371</v>
      </c>
      <c r="K4237">
        <v>13</v>
      </c>
      <c r="L4237">
        <v>2</v>
      </c>
      <c r="M4237">
        <v>2025</v>
      </c>
      <c r="N4237" t="s">
        <v>44</v>
      </c>
      <c r="O4237">
        <v>45</v>
      </c>
      <c r="P4237">
        <v>45</v>
      </c>
      <c r="R4237" s="3" t="str">
        <f>HYPERLINK("https://panda.att.com.mx/ODKServer/view/binaryData?blobKey=FSSuministroFluidosv3%5B%40version%3Dnull+and+%40uiVersion%3Dnull%5D%2Fdata%5B%40key%3Duuid%3Ab573eab5-d94d-4df2-be7a-c252bcd510ed%5D%2FgroupInfoFuel%5B%40ordinal%3D1%5D%2FpicFuelRecibeInterno","Descargar")</f>
        <v>Descargar</v>
      </c>
    </row>
    <row r="4238" spans="1:18" x14ac:dyDescent="0.3">
      <c r="A4238">
        <v>1481387</v>
      </c>
      <c r="B4238" t="s">
        <v>18</v>
      </c>
      <c r="C4238" t="s">
        <v>100</v>
      </c>
      <c r="D4238" t="s">
        <v>854</v>
      </c>
      <c r="E4238" t="s">
        <v>993</v>
      </c>
      <c r="F4238" t="s">
        <v>22</v>
      </c>
      <c r="G4238" t="s">
        <v>83</v>
      </c>
      <c r="H4238" t="s">
        <v>1781</v>
      </c>
      <c r="I4238" t="s">
        <v>25</v>
      </c>
      <c r="J4238" s="2">
        <v>45701.484236111108</v>
      </c>
      <c r="K4238">
        <v>13</v>
      </c>
      <c r="L4238">
        <v>2</v>
      </c>
      <c r="M4238">
        <v>2025</v>
      </c>
      <c r="N4238" t="s">
        <v>27</v>
      </c>
      <c r="O4238">
        <v>220</v>
      </c>
      <c r="P4238">
        <v>220</v>
      </c>
      <c r="R4238" s="3" t="str">
        <f>HYPERLINK("https://panda.att.com.mx/ODKServer/view/binaryData?blobKey=FSSuministroFluidosv3%5B%40version%3Dnull+and+%40uiVersion%3Dnull%5D%2Fdata%5B%40key%3Duuid%3A9755a1bd-a1de-42a3-bc56-58ee09ba8586%5D%2FgroupInfoFuel%5B%40ordinal%3D1%5D%2FpicFuelRecibeInterno","Descargar")</f>
        <v>Descargar</v>
      </c>
    </row>
    <row r="4239" spans="1:18" x14ac:dyDescent="0.3">
      <c r="A4239">
        <v>1481339</v>
      </c>
      <c r="B4239" t="s">
        <v>18</v>
      </c>
      <c r="C4239" t="s">
        <v>55</v>
      </c>
      <c r="D4239" t="s">
        <v>56</v>
      </c>
      <c r="E4239" t="s">
        <v>320</v>
      </c>
      <c r="F4239" t="s">
        <v>22</v>
      </c>
      <c r="G4239" t="s">
        <v>23</v>
      </c>
      <c r="H4239" t="s">
        <v>1763</v>
      </c>
      <c r="I4239" t="s">
        <v>25</v>
      </c>
      <c r="J4239" s="2">
        <v>45699.63689814815</v>
      </c>
      <c r="K4239">
        <v>11</v>
      </c>
      <c r="L4239">
        <v>2</v>
      </c>
      <c r="M4239">
        <v>2025</v>
      </c>
      <c r="N4239" t="s">
        <v>27</v>
      </c>
      <c r="O4239">
        <v>300</v>
      </c>
      <c r="P4239">
        <v>300</v>
      </c>
      <c r="R4239" s="3" t="str">
        <f>HYPERLINK("https://panda.att.com.mx/ODKServer/view/binaryData?blobKey=FSSuministroFluidosv3%5B%40version%3Dnull+and+%40uiVersion%3Dnull%5D%2Fdata%5B%40key%3Duuid%3Aadb47e5a-545e-4366-9597-aefff3626bdb%5D%2FgroupInfoFuel%5B%40ordinal%3D1%5D%2FpicFuelRecibeInterno","Descargar")</f>
        <v>Descargar</v>
      </c>
    </row>
    <row r="4240" spans="1:18" x14ac:dyDescent="0.3">
      <c r="A4240">
        <v>1481326</v>
      </c>
      <c r="B4240" t="s">
        <v>18</v>
      </c>
      <c r="C4240" t="s">
        <v>55</v>
      </c>
      <c r="D4240" t="s">
        <v>56</v>
      </c>
      <c r="E4240" t="s">
        <v>2089</v>
      </c>
      <c r="F4240" t="s">
        <v>22</v>
      </c>
      <c r="G4240" t="s">
        <v>23</v>
      </c>
      <c r="H4240" t="s">
        <v>1763</v>
      </c>
      <c r="I4240" t="s">
        <v>25</v>
      </c>
      <c r="J4240" s="2">
        <v>45699.547858796293</v>
      </c>
      <c r="K4240">
        <v>11</v>
      </c>
      <c r="L4240">
        <v>2</v>
      </c>
      <c r="M4240">
        <v>2025</v>
      </c>
      <c r="N4240" t="s">
        <v>27</v>
      </c>
      <c r="O4240">
        <v>300</v>
      </c>
      <c r="P4240">
        <v>300</v>
      </c>
      <c r="R4240" s="3" t="str">
        <f>HYPERLINK("https://panda.att.com.mx/ODKServer/view/binaryData?blobKey=FSSuministroFluidosv3%5B%40version%3Dnull+and+%40uiVersion%3Dnull%5D%2Fdata%5B%40key%3Duuid%3A39565872-e49b-49ce-98ba-bb353a7cbdbe%5D%2FgroupInfoFuel%5B%40ordinal%3D1%5D%2FpicFuelRecibeInterno","Descargar")</f>
        <v>Descargar</v>
      </c>
    </row>
    <row r="4241" spans="1:18" x14ac:dyDescent="0.3">
      <c r="A4241">
        <v>1481248</v>
      </c>
      <c r="B4241" t="s">
        <v>18</v>
      </c>
      <c r="C4241" t="s">
        <v>55</v>
      </c>
      <c r="D4241" t="s">
        <v>56</v>
      </c>
      <c r="E4241" t="s">
        <v>3023</v>
      </c>
      <c r="F4241" t="s">
        <v>22</v>
      </c>
      <c r="G4241" t="s">
        <v>23</v>
      </c>
      <c r="H4241" t="s">
        <v>1763</v>
      </c>
      <c r="I4241" t="s">
        <v>25</v>
      </c>
      <c r="J4241" s="2">
        <v>45700.717534722222</v>
      </c>
      <c r="K4241">
        <v>12</v>
      </c>
      <c r="L4241">
        <v>2</v>
      </c>
      <c r="M4241">
        <v>2025</v>
      </c>
      <c r="N4241" t="s">
        <v>27</v>
      </c>
      <c r="O4241">
        <v>120</v>
      </c>
      <c r="P4241">
        <v>120</v>
      </c>
      <c r="R4241" s="3" t="str">
        <f>HYPERLINK("https://panda.att.com.mx/ODKServer/view/binaryData?blobKey=FSSuministroFluidosv3%5B%40version%3Dnull+and+%40uiVersion%3Dnull%5D%2Fdata%5B%40key%3Duuid%3A9d9d9d83-6bd4-48b2-80a7-61bba0067aee%5D%2FgroupInfoFuel%5B%40ordinal%3D1%5D%2FpicFuelRecibeInterno","Descargar")</f>
        <v>Descargar</v>
      </c>
    </row>
    <row r="4242" spans="1:18" x14ac:dyDescent="0.3">
      <c r="A4242">
        <v>1481247</v>
      </c>
      <c r="B4242" t="s">
        <v>18</v>
      </c>
      <c r="C4242" t="s">
        <v>55</v>
      </c>
      <c r="D4242" t="s">
        <v>56</v>
      </c>
      <c r="E4242" t="s">
        <v>624</v>
      </c>
      <c r="F4242" t="s">
        <v>22</v>
      </c>
      <c r="G4242" t="s">
        <v>23</v>
      </c>
      <c r="H4242" t="s">
        <v>1763</v>
      </c>
      <c r="I4242" t="s">
        <v>25</v>
      </c>
      <c r="J4242" s="2">
        <v>45700.659826388888</v>
      </c>
      <c r="K4242">
        <v>12</v>
      </c>
      <c r="L4242">
        <v>2</v>
      </c>
      <c r="M4242">
        <v>2025</v>
      </c>
      <c r="N4242" t="s">
        <v>27</v>
      </c>
      <c r="O4242">
        <v>100</v>
      </c>
      <c r="P4242">
        <v>100</v>
      </c>
      <c r="R4242" s="3" t="str">
        <f>HYPERLINK("https://panda.att.com.mx/ODKServer/view/binaryData?blobKey=FSSuministroFluidosv3%5B%40version%3Dnull+and+%40uiVersion%3Dnull%5D%2Fdata%5B%40key%3Duuid%3A72b1dadb-5800-48b2-ac92-7a74c8b2e9d2%5D%2FgroupInfoFuel%5B%40ordinal%3D1%5D%2FpicFuelRecibeInterno","Descargar")</f>
        <v>Descargar</v>
      </c>
    </row>
    <row r="4243" spans="1:18" x14ac:dyDescent="0.3">
      <c r="A4243">
        <v>1481243</v>
      </c>
      <c r="B4243" t="s">
        <v>18</v>
      </c>
      <c r="C4243" t="s">
        <v>19</v>
      </c>
      <c r="D4243" t="s">
        <v>347</v>
      </c>
      <c r="E4243" t="s">
        <v>3094</v>
      </c>
      <c r="F4243" t="s">
        <v>22</v>
      </c>
      <c r="G4243" t="s">
        <v>23</v>
      </c>
      <c r="H4243" t="s">
        <v>24</v>
      </c>
      <c r="I4243" t="s">
        <v>25</v>
      </c>
      <c r="J4243" s="2">
        <v>45700.472928240742</v>
      </c>
      <c r="K4243">
        <v>12</v>
      </c>
      <c r="L4243">
        <v>2</v>
      </c>
      <c r="M4243">
        <v>2025</v>
      </c>
      <c r="N4243" t="s">
        <v>27</v>
      </c>
      <c r="O4243">
        <v>450</v>
      </c>
      <c r="P4243">
        <v>450</v>
      </c>
      <c r="R4243" s="3" t="str">
        <f>HYPERLINK("https://panda.att.com.mx/ODKServer/view/binaryData?blobKey=FSSuministroFluidosv3%5B%40version%3Dnull+and+%40uiVersion%3Dnull%5D%2Fdata%5B%40key%3Duuid%3Ac0361f25-1f8e-463e-a257-c0574484bc25%5D%2FgroupInfoFuel%5B%40ordinal%3D1%5D%2FpicFuelRecibeInterno","Descargar")</f>
        <v>Descargar</v>
      </c>
    </row>
    <row r="4244" spans="1:18" x14ac:dyDescent="0.3">
      <c r="A4244">
        <v>1481189</v>
      </c>
      <c r="B4244" t="s">
        <v>18</v>
      </c>
      <c r="C4244" t="s">
        <v>150</v>
      </c>
      <c r="D4244" t="s">
        <v>230</v>
      </c>
      <c r="E4244" t="s">
        <v>1510</v>
      </c>
      <c r="F4244" t="s">
        <v>22</v>
      </c>
      <c r="G4244" t="s">
        <v>23</v>
      </c>
      <c r="H4244" t="s">
        <v>1781</v>
      </c>
      <c r="I4244" t="s">
        <v>25</v>
      </c>
      <c r="J4244" s="2">
        <v>45701.516909722217</v>
      </c>
      <c r="K4244">
        <v>13</v>
      </c>
      <c r="L4244">
        <v>2</v>
      </c>
      <c r="M4244">
        <v>2025</v>
      </c>
      <c r="N4244" t="s">
        <v>27</v>
      </c>
      <c r="O4244">
        <v>279</v>
      </c>
      <c r="P4244">
        <v>279</v>
      </c>
      <c r="R4244" s="3" t="str">
        <f>HYPERLINK("https://panda.att.com.mx/ODKServer/view/binaryData?blobKey=FSSuministroFluidosv3%5B%40version%3Dnull+and+%40uiVersion%3Dnull%5D%2Fdata%5B%40key%3Duuid%3A91ea3bf9-ce80-4ed0-8c84-736563417491%5D%2FgroupInfoFuel%5B%40ordinal%3D1%5D%2FpicFuelRecibeInterno","Descargar")</f>
        <v>Descargar</v>
      </c>
    </row>
    <row r="4245" spans="1:18" x14ac:dyDescent="0.3">
      <c r="A4245">
        <v>1481059</v>
      </c>
      <c r="B4245" t="s">
        <v>18</v>
      </c>
      <c r="C4245" t="s">
        <v>100</v>
      </c>
      <c r="D4245" t="s">
        <v>651</v>
      </c>
      <c r="E4245" t="s">
        <v>1833</v>
      </c>
      <c r="F4245" t="s">
        <v>22</v>
      </c>
      <c r="G4245" t="s">
        <v>83</v>
      </c>
      <c r="H4245" t="s">
        <v>1781</v>
      </c>
      <c r="I4245" t="s">
        <v>25</v>
      </c>
      <c r="J4245" s="2">
        <v>45700.581319444442</v>
      </c>
      <c r="K4245">
        <v>12</v>
      </c>
      <c r="L4245">
        <v>2</v>
      </c>
      <c r="M4245">
        <v>2025</v>
      </c>
      <c r="N4245" t="s">
        <v>27</v>
      </c>
      <c r="O4245">
        <v>186</v>
      </c>
      <c r="P4245">
        <v>186</v>
      </c>
      <c r="R4245" s="3" t="str">
        <f>HYPERLINK("https://panda.att.com.mx/ODKServer/view/binaryData?blobKey=FSSuministroFluidosv3%5B%40version%3Dnull+and+%40uiVersion%3Dnull%5D%2Fdata%5B%40key%3Duuid%3A0cfe0b78-8cca-499e-8ddf-1eade61419e6%5D%2FgroupInfoFuel%5B%40ordinal%3D1%5D%2FpicFuelRecibeInterno","Descargar")</f>
        <v>Descargar</v>
      </c>
    </row>
    <row r="4246" spans="1:18" x14ac:dyDescent="0.3">
      <c r="A4246">
        <v>1481011</v>
      </c>
      <c r="B4246" t="s">
        <v>18</v>
      </c>
      <c r="C4246" t="s">
        <v>150</v>
      </c>
      <c r="D4246" t="s">
        <v>230</v>
      </c>
      <c r="E4246" t="s">
        <v>399</v>
      </c>
      <c r="F4246" t="s">
        <v>22</v>
      </c>
      <c r="G4246" t="s">
        <v>23</v>
      </c>
      <c r="H4246" t="s">
        <v>1781</v>
      </c>
      <c r="I4246" t="s">
        <v>25</v>
      </c>
      <c r="J4246" s="2">
        <v>45701.433194444442</v>
      </c>
      <c r="K4246">
        <v>13</v>
      </c>
      <c r="L4246">
        <v>2</v>
      </c>
      <c r="M4246">
        <v>2025</v>
      </c>
      <c r="N4246" t="s">
        <v>27</v>
      </c>
      <c r="O4246">
        <v>230</v>
      </c>
      <c r="P4246">
        <v>230</v>
      </c>
      <c r="R4246" s="3" t="str">
        <f>HYPERLINK("https://panda.att.com.mx/ODKServer/view/binaryData?blobKey=FSSuministroFluidosv3%5B%40version%3Dnull+and+%40uiVersion%3Dnull%5D%2Fdata%5B%40key%3Duuid%3Ae431ed7e-7097-4a33-a585-c6c62d71b8f7%5D%2FgroupInfoFuel%5B%40ordinal%3D1%5D%2FpicFuelRecibeInterno","Descargar")</f>
        <v>Descargar</v>
      </c>
    </row>
    <row r="4247" spans="1:18" x14ac:dyDescent="0.3">
      <c r="A4247">
        <v>1480969</v>
      </c>
      <c r="B4247" t="s">
        <v>18</v>
      </c>
      <c r="C4247" t="s">
        <v>19</v>
      </c>
      <c r="D4247" t="s">
        <v>175</v>
      </c>
      <c r="E4247" t="s">
        <v>1632</v>
      </c>
      <c r="F4247" t="s">
        <v>22</v>
      </c>
      <c r="G4247" t="s">
        <v>23</v>
      </c>
      <c r="H4247" t="s">
        <v>24</v>
      </c>
      <c r="I4247" t="s">
        <v>25</v>
      </c>
      <c r="J4247" s="2">
        <v>45695.73265046296</v>
      </c>
      <c r="K4247">
        <v>7</v>
      </c>
      <c r="L4247">
        <v>2</v>
      </c>
      <c r="M4247">
        <v>2025</v>
      </c>
      <c r="N4247" t="s">
        <v>44</v>
      </c>
      <c r="O4247">
        <v>41</v>
      </c>
      <c r="P4247">
        <v>41</v>
      </c>
      <c r="R4247" s="3" t="str">
        <f>HYPERLINK("https://panda.att.com.mx/ODKServer/view/binaryData?blobKey=FSSuministroFluidosv3%5B%40version%3Dnull+and+%40uiVersion%3Dnull%5D%2Fdata%5B%40key%3Duuid%3A5c253672-597a-453d-a008-a47a429abf82%5D%2FgroupInfoFuel%5B%40ordinal%3D1%5D%2FpicFuelRecibeInterno","Descargar")</f>
        <v>Descargar</v>
      </c>
    </row>
    <row r="4248" spans="1:18" x14ac:dyDescent="0.3">
      <c r="A4248">
        <v>1480858</v>
      </c>
      <c r="B4248" t="s">
        <v>18</v>
      </c>
      <c r="C4248" t="s">
        <v>55</v>
      </c>
      <c r="D4248" t="s">
        <v>56</v>
      </c>
      <c r="E4248" t="s">
        <v>3095</v>
      </c>
      <c r="F4248" t="s">
        <v>22</v>
      </c>
      <c r="G4248" t="s">
        <v>23</v>
      </c>
      <c r="H4248" t="s">
        <v>1763</v>
      </c>
      <c r="I4248" t="s">
        <v>25</v>
      </c>
      <c r="J4248" s="2">
        <v>45693.609074074076</v>
      </c>
      <c r="K4248">
        <v>5</v>
      </c>
      <c r="L4248">
        <v>2</v>
      </c>
      <c r="M4248">
        <v>2025</v>
      </c>
      <c r="N4248" t="s">
        <v>27</v>
      </c>
      <c r="O4248">
        <v>100</v>
      </c>
      <c r="P4248">
        <v>100</v>
      </c>
      <c r="R4248" s="3" t="str">
        <f>HYPERLINK("https://panda.att.com.mx/ODKServer/view/binaryData?blobKey=FSSuministroFluidosv3%5B%40version%3Dnull+and+%40uiVersion%3Dnull%5D%2Fdata%5B%40key%3Duuid%3A52a4188c-832c-433f-b875-4145537817c1%5D%2FgroupInfoFuel%5B%40ordinal%3D1%5D%2FpicFuelRecibeInterno","Descargar")</f>
        <v>Descargar</v>
      </c>
    </row>
    <row r="4249" spans="1:18" x14ac:dyDescent="0.3">
      <c r="A4249">
        <v>1480852</v>
      </c>
      <c r="B4249" t="s">
        <v>18</v>
      </c>
      <c r="C4249" t="s">
        <v>55</v>
      </c>
      <c r="D4249" t="s">
        <v>56</v>
      </c>
      <c r="E4249" t="s">
        <v>3096</v>
      </c>
      <c r="F4249" t="s">
        <v>22</v>
      </c>
      <c r="G4249" t="s">
        <v>23</v>
      </c>
      <c r="H4249" t="s">
        <v>1763</v>
      </c>
      <c r="I4249" t="s">
        <v>25</v>
      </c>
      <c r="J4249" s="2">
        <v>45693.634918981479</v>
      </c>
      <c r="K4249">
        <v>5</v>
      </c>
      <c r="L4249">
        <v>2</v>
      </c>
      <c r="M4249">
        <v>2025</v>
      </c>
      <c r="N4249" t="s">
        <v>27</v>
      </c>
      <c r="O4249">
        <v>100</v>
      </c>
      <c r="P4249">
        <v>100</v>
      </c>
      <c r="R4249" s="3" t="str">
        <f>HYPERLINK("https://panda.att.com.mx/ODKServer/view/binaryData?blobKey=FSSuministroFluidosv3%5B%40version%3Dnull+and+%40uiVersion%3Dnull%5D%2Fdata%5B%40key%3Duuid%3A3c58e96b-76b2-4cf9-a593-e49984fed372%5D%2FgroupInfoFuel%5B%40ordinal%3D1%5D%2FpicFuelRecibeInterno","Descargar")</f>
        <v>Descargar</v>
      </c>
    </row>
    <row r="4250" spans="1:18" x14ac:dyDescent="0.3">
      <c r="A4250">
        <v>1480840</v>
      </c>
      <c r="B4250" t="s">
        <v>18</v>
      </c>
      <c r="C4250" t="s">
        <v>59</v>
      </c>
      <c r="D4250" t="s">
        <v>60</v>
      </c>
      <c r="E4250" t="s">
        <v>2207</v>
      </c>
      <c r="F4250" t="s">
        <v>22</v>
      </c>
      <c r="G4250" t="s">
        <v>23</v>
      </c>
      <c r="H4250" t="s">
        <v>37</v>
      </c>
      <c r="I4250" t="s">
        <v>25</v>
      </c>
      <c r="J4250" s="2">
        <v>45700.436585648153</v>
      </c>
      <c r="K4250">
        <v>12</v>
      </c>
      <c r="L4250">
        <v>2</v>
      </c>
      <c r="M4250">
        <v>2025</v>
      </c>
      <c r="N4250" t="s">
        <v>27</v>
      </c>
      <c r="O4250">
        <v>117</v>
      </c>
      <c r="P4250">
        <v>117</v>
      </c>
      <c r="R4250" s="3" t="str">
        <f>HYPERLINK("https://panda.att.com.mx/ODKServer/view/binaryData?blobKey=FSSuministroFluidosv3%5B%40version%3Dnull+and+%40uiVersion%3Dnull%5D%2Fdata%5B%40key%3Duuid%3A2a4e9b06-0887-465c-91b1-ea22cd009f8e%5D%2FgroupInfoFuel%5B%40ordinal%3D1%5D%2FpicFuelRecibeInterno","Descargar")</f>
        <v>Descargar</v>
      </c>
    </row>
    <row r="4251" spans="1:18" x14ac:dyDescent="0.3">
      <c r="A4251">
        <v>1480801</v>
      </c>
      <c r="B4251" t="s">
        <v>18</v>
      </c>
      <c r="C4251" t="s">
        <v>55</v>
      </c>
      <c r="D4251" t="s">
        <v>64</v>
      </c>
      <c r="E4251" t="s">
        <v>798</v>
      </c>
      <c r="F4251" t="s">
        <v>22</v>
      </c>
      <c r="G4251" t="s">
        <v>23</v>
      </c>
      <c r="H4251" t="s">
        <v>1763</v>
      </c>
      <c r="I4251" t="s">
        <v>25</v>
      </c>
      <c r="J4251" s="2">
        <v>45695.646828703713</v>
      </c>
      <c r="K4251">
        <v>7</v>
      </c>
      <c r="L4251">
        <v>2</v>
      </c>
      <c r="M4251">
        <v>2025</v>
      </c>
      <c r="N4251" t="s">
        <v>27</v>
      </c>
      <c r="O4251">
        <v>200</v>
      </c>
      <c r="P4251">
        <v>100</v>
      </c>
      <c r="Q4251">
        <v>100</v>
      </c>
      <c r="R4251" s="3" t="str">
        <f>HYPERLINK("https://panda.att.com.mx/ODKServer/view/binaryData?blobKey=FSSuministroFluidosv3%5B%40version%3Dnull+and+%40uiVersion%3Dnull%5D%2Fdata%5B%40key%3Duuid%3A60724c62-9063-4262-8553-01816f48fcaa%5D%2FgroupInfoFuel%5B%40ordinal%3D1%5D%2FpicFuelRecibeInterno","Descargar")</f>
        <v>Descargar</v>
      </c>
    </row>
    <row r="4252" spans="1:18" x14ac:dyDescent="0.3">
      <c r="A4252">
        <v>1480747</v>
      </c>
      <c r="B4252" t="s">
        <v>18</v>
      </c>
      <c r="C4252" t="s">
        <v>19</v>
      </c>
      <c r="D4252" t="s">
        <v>42</v>
      </c>
      <c r="E4252" t="s">
        <v>2682</v>
      </c>
      <c r="F4252" t="s">
        <v>22</v>
      </c>
      <c r="G4252" t="s">
        <v>23</v>
      </c>
      <c r="H4252" t="s">
        <v>24</v>
      </c>
      <c r="I4252" t="s">
        <v>25</v>
      </c>
      <c r="J4252" s="2">
        <v>45700.378761574073</v>
      </c>
      <c r="K4252">
        <v>12</v>
      </c>
      <c r="L4252">
        <v>2</v>
      </c>
      <c r="M4252">
        <v>2025</v>
      </c>
      <c r="N4252" t="s">
        <v>44</v>
      </c>
      <c r="O4252">
        <v>58</v>
      </c>
      <c r="P4252">
        <v>58</v>
      </c>
      <c r="R4252" s="3" t="str">
        <f>HYPERLINK("https://panda.att.com.mx/ODKServer/view/binaryData?blobKey=FSSuministroFluidosv3%5B%40version%3Dnull+and+%40uiVersion%3Dnull%5D%2Fdata%5B%40key%3Duuid%3A7e8b5c1b-9bfa-40a0-9bbd-74d06a3c1a92%5D%2FgroupInfoFuel%5B%40ordinal%3D1%5D%2FpicFuelRecibeInterno","Descargar")</f>
        <v>Descargar</v>
      </c>
    </row>
    <row r="4253" spans="1:18" x14ac:dyDescent="0.3">
      <c r="A4253">
        <v>1480637</v>
      </c>
      <c r="B4253" t="s">
        <v>18</v>
      </c>
      <c r="C4253" t="s">
        <v>55</v>
      </c>
      <c r="D4253" t="s">
        <v>56</v>
      </c>
      <c r="E4253" t="s">
        <v>3023</v>
      </c>
      <c r="F4253" t="s">
        <v>22</v>
      </c>
      <c r="G4253" t="s">
        <v>23</v>
      </c>
      <c r="H4253" t="s">
        <v>1763</v>
      </c>
      <c r="I4253" t="s">
        <v>25</v>
      </c>
      <c r="J4253" s="2">
        <v>45694.651493055557</v>
      </c>
      <c r="K4253">
        <v>6</v>
      </c>
      <c r="L4253">
        <v>2</v>
      </c>
      <c r="M4253">
        <v>2025</v>
      </c>
      <c r="N4253" t="s">
        <v>27</v>
      </c>
      <c r="O4253">
        <v>120</v>
      </c>
      <c r="P4253">
        <v>120</v>
      </c>
      <c r="R4253" s="3" t="str">
        <f>HYPERLINK("https://panda.att.com.mx/ODKServer/view/binaryData?blobKey=FSSuministroFluidosv3%5B%40version%3Dnull+and+%40uiVersion%3Dnull%5D%2Fdata%5B%40key%3Duuid%3A99024eb4-3e25-42ba-a354-aeabc5c938b7%5D%2FgroupInfoFuel%5B%40ordinal%3D1%5D%2FpicFuelRecibeInterno","Descargar")</f>
        <v>Descargar</v>
      </c>
    </row>
    <row r="4254" spans="1:18" x14ac:dyDescent="0.3">
      <c r="A4254">
        <v>1480633</v>
      </c>
      <c r="B4254" t="s">
        <v>18</v>
      </c>
      <c r="C4254" t="s">
        <v>55</v>
      </c>
      <c r="D4254" t="s">
        <v>56</v>
      </c>
      <c r="E4254" t="s">
        <v>320</v>
      </c>
      <c r="F4254" t="s">
        <v>22</v>
      </c>
      <c r="G4254" t="s">
        <v>23</v>
      </c>
      <c r="H4254" t="s">
        <v>1763</v>
      </c>
      <c r="I4254" t="s">
        <v>25</v>
      </c>
      <c r="J4254" s="2">
        <v>45694.459166666667</v>
      </c>
      <c r="K4254">
        <v>6</v>
      </c>
      <c r="L4254">
        <v>2</v>
      </c>
      <c r="M4254">
        <v>2025</v>
      </c>
      <c r="N4254" t="s">
        <v>27</v>
      </c>
      <c r="O4254">
        <v>300</v>
      </c>
      <c r="P4254">
        <v>300</v>
      </c>
      <c r="R4254" s="3" t="str">
        <f>HYPERLINK("https://panda.att.com.mx/ODKServer/view/binaryData?blobKey=FSSuministroFluidosv3%5B%40version%3Dnull+and+%40uiVersion%3Dnull%5D%2Fdata%5B%40key%3Duuid%3A76948ddc-ae13-4eee-a64c-21cb3165ac86%5D%2FgroupInfoFuel%5B%40ordinal%3D1%5D%2FpicFuelRecibeInterno","Descargar")</f>
        <v>Descargar</v>
      </c>
    </row>
    <row r="4255" spans="1:18" x14ac:dyDescent="0.3">
      <c r="A4255">
        <v>1480613</v>
      </c>
      <c r="B4255" t="s">
        <v>18</v>
      </c>
      <c r="C4255" t="s">
        <v>68</v>
      </c>
      <c r="D4255" t="s">
        <v>116</v>
      </c>
      <c r="E4255" t="s">
        <v>3097</v>
      </c>
      <c r="F4255" t="s">
        <v>22</v>
      </c>
      <c r="G4255" t="s">
        <v>23</v>
      </c>
      <c r="H4255" t="s">
        <v>37</v>
      </c>
      <c r="I4255" t="s">
        <v>25</v>
      </c>
      <c r="J4255" s="2">
        <v>45700.500925925917</v>
      </c>
      <c r="K4255">
        <v>12</v>
      </c>
      <c r="L4255">
        <v>2</v>
      </c>
      <c r="M4255">
        <v>2025</v>
      </c>
      <c r="N4255" t="s">
        <v>27</v>
      </c>
      <c r="O4255">
        <v>450</v>
      </c>
      <c r="P4255">
        <v>450</v>
      </c>
      <c r="R4255" s="3" t="str">
        <f>HYPERLINK("https://panda.att.com.mx/ODKServer/view/binaryData?blobKey=FSSuministroFluidosv3%5B%40version%3Dnull+and+%40uiVersion%3Dnull%5D%2Fdata%5B%40key%3Duuid%3Ac8e10185-7827-4cb5-8bbc-1a313cfe475d%5D%2FgroupInfoFuel%5B%40ordinal%3D1%5D%2FpicFuelRecibeInterno","Descargar")</f>
        <v>Descargar</v>
      </c>
    </row>
    <row r="4256" spans="1:18" x14ac:dyDescent="0.3">
      <c r="A4256">
        <v>1480514</v>
      </c>
      <c r="B4256" t="s">
        <v>18</v>
      </c>
      <c r="C4256" t="s">
        <v>100</v>
      </c>
      <c r="D4256" t="s">
        <v>716</v>
      </c>
      <c r="E4256" t="s">
        <v>717</v>
      </c>
      <c r="F4256" t="s">
        <v>22</v>
      </c>
      <c r="G4256" t="s">
        <v>83</v>
      </c>
      <c r="H4256" t="s">
        <v>1781</v>
      </c>
      <c r="I4256" t="s">
        <v>25</v>
      </c>
      <c r="J4256" s="2">
        <v>45700.626666666663</v>
      </c>
      <c r="K4256">
        <v>12</v>
      </c>
      <c r="L4256">
        <v>2</v>
      </c>
      <c r="M4256">
        <v>2025</v>
      </c>
      <c r="N4256" t="s">
        <v>27</v>
      </c>
      <c r="O4256">
        <v>122</v>
      </c>
      <c r="P4256">
        <v>122</v>
      </c>
      <c r="R4256" s="3" t="str">
        <f>HYPERLINK("https://panda.att.com.mx/ODKServer/view/binaryData?blobKey=FSSuministroFluidosv3%5B%40version%3Dnull+and+%40uiVersion%3Dnull%5D%2Fdata%5B%40key%3Duuid%3A0571040f-7f64-4816-8f6d-065bf3db6479%5D%2FgroupInfoFuel%5B%40ordinal%3D1%5D%2FpicFuelRecibeInterno","Descargar")</f>
        <v>Descargar</v>
      </c>
    </row>
    <row r="4257" spans="1:18" x14ac:dyDescent="0.3">
      <c r="A4257">
        <v>1480415</v>
      </c>
      <c r="B4257" t="s">
        <v>18</v>
      </c>
      <c r="C4257" t="s">
        <v>28</v>
      </c>
      <c r="D4257" t="s">
        <v>1952</v>
      </c>
      <c r="E4257" t="s">
        <v>3020</v>
      </c>
      <c r="F4257" t="s">
        <v>22</v>
      </c>
      <c r="G4257" t="s">
        <v>23</v>
      </c>
      <c r="H4257" t="s">
        <v>24</v>
      </c>
      <c r="I4257" t="s">
        <v>25</v>
      </c>
      <c r="J4257" s="2">
        <v>45700.510648148149</v>
      </c>
      <c r="K4257">
        <v>12</v>
      </c>
      <c r="L4257">
        <v>2</v>
      </c>
      <c r="M4257">
        <v>2025</v>
      </c>
      <c r="N4257" t="s">
        <v>27</v>
      </c>
      <c r="O4257">
        <v>320</v>
      </c>
      <c r="P4257">
        <v>320</v>
      </c>
      <c r="R4257" s="3" t="str">
        <f>HYPERLINK("https://panda.att.com.mx/ODKServer/view/binaryData?blobKey=FSSuministroFluidosv3%5B%40version%3Dnull+and+%40uiVersion%3Dnull%5D%2Fdata%5B%40key%3Duuid%3Ac275fb60-3423-43fb-ac3d-597dc587360d%5D%2FgroupInfoFuel%5B%40ordinal%3D1%5D%2FpicFuelRecibeInterno","Descargar")</f>
        <v>Descargar</v>
      </c>
    </row>
    <row r="4258" spans="1:18" x14ac:dyDescent="0.3">
      <c r="A4258">
        <v>1480271</v>
      </c>
      <c r="B4258" t="s">
        <v>18</v>
      </c>
      <c r="C4258" t="s">
        <v>59</v>
      </c>
      <c r="D4258" t="s">
        <v>60</v>
      </c>
      <c r="E4258" t="s">
        <v>2207</v>
      </c>
      <c r="F4258" t="s">
        <v>22</v>
      </c>
      <c r="G4258" t="s">
        <v>23</v>
      </c>
      <c r="H4258" t="s">
        <v>37</v>
      </c>
      <c r="I4258" t="s">
        <v>25</v>
      </c>
      <c r="J4258" s="2">
        <v>45698.799386574072</v>
      </c>
      <c r="K4258">
        <v>10</v>
      </c>
      <c r="L4258">
        <v>2</v>
      </c>
      <c r="M4258">
        <v>2025</v>
      </c>
      <c r="N4258" t="s">
        <v>27</v>
      </c>
      <c r="O4258">
        <v>150</v>
      </c>
      <c r="P4258">
        <v>150</v>
      </c>
      <c r="R4258" s="3" t="str">
        <f>HYPERLINK("https://panda.att.com.mx/ODKServer/view/binaryData?blobKey=FSSuministroFluidosv3%5B%40version%3Dnull+and+%40uiVersion%3Dnull%5D%2Fdata%5B%40key%3Duuid%3Ae3f32bd0-585a-4ce1-9474-ba9133ee553d%5D%2FgroupInfoFuel%5B%40ordinal%3D1%5D%2FpicFuelRecibeInterno","Descargar")</f>
        <v>Descargar</v>
      </c>
    </row>
    <row r="4259" spans="1:18" x14ac:dyDescent="0.3">
      <c r="A4259">
        <v>1480220</v>
      </c>
      <c r="B4259" t="s">
        <v>18</v>
      </c>
      <c r="C4259" t="s">
        <v>55</v>
      </c>
      <c r="D4259" t="s">
        <v>56</v>
      </c>
      <c r="E4259" t="s">
        <v>320</v>
      </c>
      <c r="F4259" t="s">
        <v>22</v>
      </c>
      <c r="G4259" t="s">
        <v>23</v>
      </c>
      <c r="H4259" t="s">
        <v>1763</v>
      </c>
      <c r="I4259" t="s">
        <v>25</v>
      </c>
      <c r="J4259" t="s">
        <v>3098</v>
      </c>
      <c r="K4259">
        <v>28</v>
      </c>
      <c r="L4259">
        <v>1</v>
      </c>
      <c r="M4259">
        <v>2025</v>
      </c>
      <c r="N4259" t="s">
        <v>27</v>
      </c>
      <c r="O4259">
        <v>300</v>
      </c>
      <c r="P4259">
        <v>300</v>
      </c>
      <c r="R4259" s="3" t="str">
        <f>HYPERLINK("https://panda.att.com.mx/ODKServer/view/binaryData?blobKey=FSSuministroFluidosv3%5B%40version%3Dnull+and+%40uiVersion%3Dnull%5D%2Fdata%5B%40key%3Duuid%3A4a49772b-1845-4031-b302-de97fccf9d75%5D%2FgroupInfoFuel%5B%40ordinal%3D1%5D%2FpicFuelRecibeInterno","Descargar")</f>
        <v>Descargar</v>
      </c>
    </row>
    <row r="4260" spans="1:18" x14ac:dyDescent="0.3">
      <c r="A4260">
        <v>1480217</v>
      </c>
      <c r="B4260" t="s">
        <v>18</v>
      </c>
      <c r="C4260" t="s">
        <v>55</v>
      </c>
      <c r="D4260" t="s">
        <v>56</v>
      </c>
      <c r="E4260" t="s">
        <v>3037</v>
      </c>
      <c r="F4260" t="s">
        <v>22</v>
      </c>
      <c r="G4260" t="s">
        <v>23</v>
      </c>
      <c r="H4260" t="s">
        <v>1763</v>
      </c>
      <c r="I4260" t="s">
        <v>25</v>
      </c>
      <c r="J4260" s="2">
        <v>45694.526203703703</v>
      </c>
      <c r="K4260">
        <v>6</v>
      </c>
      <c r="L4260">
        <v>2</v>
      </c>
      <c r="M4260">
        <v>2025</v>
      </c>
      <c r="N4260" t="s">
        <v>27</v>
      </c>
      <c r="O4260">
        <v>300</v>
      </c>
      <c r="P4260">
        <v>300</v>
      </c>
      <c r="R4260" s="3" t="str">
        <f>HYPERLINK("https://panda.att.com.mx/ODKServer/view/binaryData?blobKey=FSSuministroFluidosv3%5B%40version%3Dnull+and+%40uiVersion%3Dnull%5D%2Fdata%5B%40key%3Duuid%3Af277ad62-ecac-4df7-ab8c-1bbb16d5accd%5D%2FgroupInfoFuel%5B%40ordinal%3D1%5D%2FpicFuelRecibeInterno","Descargar")</f>
        <v>Descargar</v>
      </c>
    </row>
    <row r="4261" spans="1:18" x14ac:dyDescent="0.3">
      <c r="A4261">
        <v>1480211</v>
      </c>
      <c r="B4261" t="s">
        <v>18</v>
      </c>
      <c r="C4261" t="s">
        <v>55</v>
      </c>
      <c r="D4261" t="s">
        <v>56</v>
      </c>
      <c r="E4261" t="s">
        <v>3037</v>
      </c>
      <c r="F4261" t="s">
        <v>22</v>
      </c>
      <c r="G4261" t="s">
        <v>23</v>
      </c>
      <c r="H4261" t="s">
        <v>1763</v>
      </c>
      <c r="I4261" t="s">
        <v>25</v>
      </c>
      <c r="J4261" t="s">
        <v>3099</v>
      </c>
      <c r="K4261">
        <v>28</v>
      </c>
      <c r="L4261">
        <v>1</v>
      </c>
      <c r="M4261">
        <v>2025</v>
      </c>
      <c r="N4261" t="s">
        <v>27</v>
      </c>
      <c r="O4261">
        <v>300</v>
      </c>
      <c r="P4261">
        <v>300</v>
      </c>
      <c r="R4261" s="3" t="str">
        <f>HYPERLINK("https://panda.att.com.mx/ODKServer/view/binaryData?blobKey=FSSuministroFluidosv3%5B%40version%3Dnull+and+%40uiVersion%3Dnull%5D%2Fdata%5B%40key%3Duuid%3A1c0c0cbb-bf01-4a96-9a77-dccfc698822b%5D%2FgroupInfoFuel%5B%40ordinal%3D1%5D%2FpicFuelRecibeInterno","Descargar")</f>
        <v>Descargar</v>
      </c>
    </row>
    <row r="4262" spans="1:18" x14ac:dyDescent="0.3">
      <c r="A4262">
        <v>1480208</v>
      </c>
      <c r="B4262" t="s">
        <v>18</v>
      </c>
      <c r="C4262" t="s">
        <v>55</v>
      </c>
      <c r="D4262" t="s">
        <v>56</v>
      </c>
      <c r="E4262" t="s">
        <v>2524</v>
      </c>
      <c r="F4262" t="s">
        <v>22</v>
      </c>
      <c r="G4262" t="s">
        <v>23</v>
      </c>
      <c r="H4262" t="s">
        <v>1763</v>
      </c>
      <c r="I4262" t="s">
        <v>25</v>
      </c>
      <c r="J4262" t="s">
        <v>3100</v>
      </c>
      <c r="K4262">
        <v>29</v>
      </c>
      <c r="L4262">
        <v>1</v>
      </c>
      <c r="M4262">
        <v>2025</v>
      </c>
      <c r="N4262" t="s">
        <v>27</v>
      </c>
      <c r="O4262">
        <v>60</v>
      </c>
      <c r="P4262">
        <v>60</v>
      </c>
      <c r="R4262" s="3" t="str">
        <f>HYPERLINK("https://panda.att.com.mx/ODKServer/view/binaryData?blobKey=FSSuministroFluidosv3%5B%40version%3Dnull+and+%40uiVersion%3Dnull%5D%2Fdata%5B%40key%3Duuid%3A7cbabde6-6bbf-4058-83b4-fcaea53def34%5D%2FgroupInfoFuel%5B%40ordinal%3D1%5D%2FpicFuelRecibeInterno","Descargar")</f>
        <v>Descargar</v>
      </c>
    </row>
    <row r="4263" spans="1:18" x14ac:dyDescent="0.3">
      <c r="A4263">
        <v>1480178</v>
      </c>
      <c r="B4263" t="s">
        <v>18</v>
      </c>
      <c r="C4263" t="s">
        <v>55</v>
      </c>
      <c r="D4263" t="s">
        <v>56</v>
      </c>
      <c r="E4263" t="s">
        <v>1555</v>
      </c>
      <c r="F4263" t="s">
        <v>22</v>
      </c>
      <c r="G4263" t="s">
        <v>23</v>
      </c>
      <c r="H4263" t="s">
        <v>1763</v>
      </c>
      <c r="I4263" t="s">
        <v>25</v>
      </c>
      <c r="J4263" s="2">
        <v>45699.483449074083</v>
      </c>
      <c r="K4263">
        <v>11</v>
      </c>
      <c r="L4263">
        <v>2</v>
      </c>
      <c r="M4263">
        <v>2025</v>
      </c>
      <c r="N4263" t="s">
        <v>27</v>
      </c>
      <c r="O4263">
        <v>300</v>
      </c>
      <c r="P4263">
        <v>300</v>
      </c>
      <c r="R4263" s="3" t="str">
        <f>HYPERLINK("https://panda.att.com.mx/ODKServer/view/binaryData?blobKey=FSSuministroFluidosv3%5B%40version%3Dnull+and+%40uiVersion%3Dnull%5D%2Fdata%5B%40key%3Duuid%3A74fc4a78-0919-4948-95ab-9aa84acd2242%5D%2FgroupInfoFuel%5B%40ordinal%3D1%5D%2FpicFuelRecibeInterno","Descargar")</f>
        <v>Descargar</v>
      </c>
    </row>
    <row r="4264" spans="1:18" x14ac:dyDescent="0.3">
      <c r="A4264">
        <v>1480052</v>
      </c>
      <c r="B4264" t="s">
        <v>18</v>
      </c>
      <c r="C4264" t="s">
        <v>55</v>
      </c>
      <c r="D4264" t="s">
        <v>56</v>
      </c>
      <c r="E4264" t="s">
        <v>432</v>
      </c>
      <c r="F4264" t="s">
        <v>22</v>
      </c>
      <c r="G4264" t="s">
        <v>23</v>
      </c>
      <c r="H4264" t="s">
        <v>1763</v>
      </c>
      <c r="I4264" t="s">
        <v>25</v>
      </c>
      <c r="J4264" s="2">
        <v>45693.735972222217</v>
      </c>
      <c r="K4264">
        <v>5</v>
      </c>
      <c r="L4264">
        <v>2</v>
      </c>
      <c r="M4264">
        <v>2025</v>
      </c>
      <c r="N4264" t="s">
        <v>27</v>
      </c>
      <c r="O4264">
        <v>100</v>
      </c>
      <c r="P4264">
        <v>100</v>
      </c>
      <c r="R4264" s="3" t="str">
        <f>HYPERLINK("https://panda.att.com.mx/ODKServer/view/binaryData?blobKey=FSSuministroFluidosv3%5B%40version%3Dnull+and+%40uiVersion%3Dnull%5D%2Fdata%5B%40key%3Duuid%3Ae328d804-1c90-4a67-bbf3-82dd02876457%5D%2FgroupInfoFuel%5B%40ordinal%3D1%5D%2FpicFuelRecibeInterno","Descargar")</f>
        <v>Descargar</v>
      </c>
    </row>
    <row r="4265" spans="1:18" x14ac:dyDescent="0.3">
      <c r="A4265">
        <v>1480051</v>
      </c>
      <c r="B4265" t="s">
        <v>18</v>
      </c>
      <c r="C4265" t="s">
        <v>55</v>
      </c>
      <c r="D4265" t="s">
        <v>56</v>
      </c>
      <c r="E4265" t="s">
        <v>2089</v>
      </c>
      <c r="F4265" t="s">
        <v>22</v>
      </c>
      <c r="G4265" t="s">
        <v>23</v>
      </c>
      <c r="H4265" t="s">
        <v>1763</v>
      </c>
      <c r="I4265" t="s">
        <v>25</v>
      </c>
      <c r="J4265" s="2">
        <v>45697.429780092592</v>
      </c>
      <c r="K4265">
        <v>9</v>
      </c>
      <c r="L4265">
        <v>2</v>
      </c>
      <c r="M4265">
        <v>2025</v>
      </c>
      <c r="N4265" t="s">
        <v>27</v>
      </c>
      <c r="O4265">
        <v>110</v>
      </c>
      <c r="P4265">
        <v>110</v>
      </c>
      <c r="R4265" s="3" t="str">
        <f>HYPERLINK("https://panda.att.com.mx/ODKServer/view/binaryData?blobKey=FSSuministroFluidosv3%5B%40version%3Dnull+and+%40uiVersion%3Dnull%5D%2Fdata%5B%40key%3Duuid%3A4ba87f99-807f-4300-8891-6a2b288b98f5%5D%2FgroupInfoFuel%5B%40ordinal%3D1%5D%2FpicFuelRecibeInterno","Descargar")</f>
        <v>Descargar</v>
      </c>
    </row>
    <row r="4266" spans="1:18" x14ac:dyDescent="0.3">
      <c r="A4266">
        <v>1480049</v>
      </c>
      <c r="B4266" t="s">
        <v>18</v>
      </c>
      <c r="C4266" t="s">
        <v>55</v>
      </c>
      <c r="D4266" t="s">
        <v>56</v>
      </c>
      <c r="E4266" t="s">
        <v>320</v>
      </c>
      <c r="F4266" t="s">
        <v>22</v>
      </c>
      <c r="G4266" t="s">
        <v>83</v>
      </c>
      <c r="H4266" t="s">
        <v>1763</v>
      </c>
      <c r="I4266" t="s">
        <v>25</v>
      </c>
      <c r="J4266" s="2">
        <v>45696.431770833333</v>
      </c>
      <c r="K4266">
        <v>8</v>
      </c>
      <c r="L4266">
        <v>2</v>
      </c>
      <c r="M4266">
        <v>2025</v>
      </c>
      <c r="N4266" t="s">
        <v>27</v>
      </c>
      <c r="O4266">
        <v>200</v>
      </c>
      <c r="P4266">
        <v>200</v>
      </c>
      <c r="R4266" s="3" t="str">
        <f>HYPERLINK("https://panda.att.com.mx/ODKServer/view/binaryData?blobKey=FSSuministroFluidosv3%5B%40version%3Dnull+and+%40uiVersion%3Dnull%5D%2Fdata%5B%40key%3Duuid%3Af937930e-aa5b-4456-a676-9eb8d8d8f46c%5D%2FgroupInfoFuel%5B%40ordinal%3D1%5D%2FpicFuelRecibeInterno","Descargar")</f>
        <v>Descargar</v>
      </c>
    </row>
    <row r="4267" spans="1:18" x14ac:dyDescent="0.3">
      <c r="A4267">
        <v>1480046</v>
      </c>
      <c r="B4267" t="s">
        <v>18</v>
      </c>
      <c r="C4267" t="s">
        <v>55</v>
      </c>
      <c r="D4267" t="s">
        <v>56</v>
      </c>
      <c r="E4267" t="s">
        <v>3023</v>
      </c>
      <c r="F4267" t="s">
        <v>22</v>
      </c>
      <c r="G4267" t="s">
        <v>23</v>
      </c>
      <c r="H4267" t="s">
        <v>1763</v>
      </c>
      <c r="I4267" t="s">
        <v>25</v>
      </c>
      <c r="J4267" s="2">
        <v>45696.337280092594</v>
      </c>
      <c r="K4267">
        <v>8</v>
      </c>
      <c r="L4267">
        <v>2</v>
      </c>
      <c r="M4267">
        <v>2025</v>
      </c>
      <c r="N4267" t="s">
        <v>27</v>
      </c>
      <c r="O4267">
        <v>120</v>
      </c>
      <c r="P4267">
        <v>120</v>
      </c>
      <c r="R4267" s="3" t="str">
        <f>HYPERLINK("https://panda.att.com.mx/ODKServer/view/binaryData?blobKey=FSSuministroFluidosv3%5B%40version%3Dnull+and+%40uiVersion%3Dnull%5D%2Fdata%5B%40key%3Duuid%3Afb4a8d8f-1ec8-42e0-b1cb-d2e543405886%5D%2FgroupInfoFuel%5B%40ordinal%3D1%5D%2FpicFuelRecibeInterno","Descargar")</f>
        <v>Descargar</v>
      </c>
    </row>
    <row r="4268" spans="1:18" x14ac:dyDescent="0.3">
      <c r="A4268">
        <v>1480036</v>
      </c>
      <c r="B4268" t="s">
        <v>18</v>
      </c>
      <c r="C4268" t="s">
        <v>55</v>
      </c>
      <c r="D4268" t="s">
        <v>56</v>
      </c>
      <c r="E4268" t="s">
        <v>624</v>
      </c>
      <c r="F4268" t="s">
        <v>22</v>
      </c>
      <c r="G4268" t="s">
        <v>23</v>
      </c>
      <c r="H4268" t="s">
        <v>1763</v>
      </c>
      <c r="I4268" t="s">
        <v>25</v>
      </c>
      <c r="J4268" s="2">
        <v>45699.56927083333</v>
      </c>
      <c r="K4268">
        <v>11</v>
      </c>
      <c r="L4268">
        <v>2</v>
      </c>
      <c r="M4268">
        <v>2025</v>
      </c>
      <c r="N4268" t="s">
        <v>27</v>
      </c>
      <c r="O4268">
        <v>130</v>
      </c>
      <c r="P4268">
        <v>130</v>
      </c>
      <c r="R4268" s="3" t="str">
        <f>HYPERLINK("https://panda.att.com.mx/ODKServer/view/binaryData?blobKey=FSSuministroFluidosv3%5B%40version%3Dnull+and+%40uiVersion%3Dnull%5D%2Fdata%5B%40key%3Duuid%3A9bb13c7d-7dd4-4fbd-af85-8ac579da00d4%5D%2FgroupInfoFuel%5B%40ordinal%3D1%5D%2FpicFuelRecibeInterno","Descargar")</f>
        <v>Descargar</v>
      </c>
    </row>
    <row r="4269" spans="1:18" x14ac:dyDescent="0.3">
      <c r="A4269">
        <v>1480031</v>
      </c>
      <c r="B4269" t="s">
        <v>18</v>
      </c>
      <c r="C4269" t="s">
        <v>55</v>
      </c>
      <c r="D4269" t="s">
        <v>56</v>
      </c>
      <c r="E4269" t="s">
        <v>3037</v>
      </c>
      <c r="F4269" t="s">
        <v>22</v>
      </c>
      <c r="G4269" t="s">
        <v>23</v>
      </c>
      <c r="H4269" t="s">
        <v>1763</v>
      </c>
      <c r="I4269" t="s">
        <v>25</v>
      </c>
      <c r="J4269" s="2">
        <v>45696.292569444442</v>
      </c>
      <c r="K4269">
        <v>8</v>
      </c>
      <c r="L4269">
        <v>2</v>
      </c>
      <c r="M4269">
        <v>2025</v>
      </c>
      <c r="N4269" t="s">
        <v>27</v>
      </c>
      <c r="O4269">
        <v>200</v>
      </c>
      <c r="P4269">
        <v>200</v>
      </c>
      <c r="R4269" s="3" t="str">
        <f>HYPERLINK("https://panda.att.com.mx/ODKServer/view/binaryData?blobKey=FSSuministroFluidosv3%5B%40version%3Dnull+and+%40uiVersion%3Dnull%5D%2Fdata%5B%40key%3Duuid%3A0c9eeb05-e2a7-4f39-b5a6-1abf602867ba%5D%2FgroupInfoFuel%5B%40ordinal%3D1%5D%2FpicFuelRecibeInterno","Descargar")</f>
        <v>Descargar</v>
      </c>
    </row>
    <row r="4270" spans="1:18" x14ac:dyDescent="0.3">
      <c r="A4270">
        <v>1480006</v>
      </c>
      <c r="B4270" t="s">
        <v>18</v>
      </c>
      <c r="C4270" t="s">
        <v>68</v>
      </c>
      <c r="D4270" t="s">
        <v>132</v>
      </c>
      <c r="E4270" t="s">
        <v>1780</v>
      </c>
      <c r="F4270" t="s">
        <v>22</v>
      </c>
      <c r="G4270" t="s">
        <v>23</v>
      </c>
      <c r="H4270" t="s">
        <v>37</v>
      </c>
      <c r="I4270" t="s">
        <v>25</v>
      </c>
      <c r="J4270" s="2">
        <v>45699.807291666657</v>
      </c>
      <c r="K4270">
        <v>11</v>
      </c>
      <c r="L4270">
        <v>2</v>
      </c>
      <c r="M4270">
        <v>2025</v>
      </c>
      <c r="N4270" t="s">
        <v>27</v>
      </c>
      <c r="O4270">
        <v>200</v>
      </c>
      <c r="P4270">
        <v>200</v>
      </c>
      <c r="R4270" s="3" t="str">
        <f>HYPERLINK("https://panda.att.com.mx/ODKServer/view/binaryData?blobKey=FSSuministroFluidosv3%5B%40version%3Dnull+and+%40uiVersion%3Dnull%5D%2Fdata%5B%40key%3Duuid%3A8d0ce93a-4fda-4ba8-b93b-a96b2de8a965%5D%2FgroupInfoFuel%5B%40ordinal%3D1%5D%2FpicFuelRecibeInterno","Descargar")</f>
        <v>Descargar</v>
      </c>
    </row>
    <row r="4271" spans="1:18" x14ac:dyDescent="0.3">
      <c r="A4271">
        <v>1479999</v>
      </c>
      <c r="B4271" t="s">
        <v>18</v>
      </c>
      <c r="C4271" t="s">
        <v>19</v>
      </c>
      <c r="D4271" t="s">
        <v>45</v>
      </c>
      <c r="E4271" t="s">
        <v>3101</v>
      </c>
      <c r="F4271" t="s">
        <v>22</v>
      </c>
      <c r="G4271" t="s">
        <v>23</v>
      </c>
      <c r="H4271" t="s">
        <v>24</v>
      </c>
      <c r="I4271" t="s">
        <v>25</v>
      </c>
      <c r="J4271" s="2">
        <v>45699.355057870373</v>
      </c>
      <c r="K4271">
        <v>11</v>
      </c>
      <c r="L4271">
        <v>2</v>
      </c>
      <c r="M4271">
        <v>2025</v>
      </c>
      <c r="N4271" t="s">
        <v>27</v>
      </c>
      <c r="O4271">
        <v>300</v>
      </c>
      <c r="P4271">
        <v>300</v>
      </c>
      <c r="R4271" s="3" t="str">
        <f>HYPERLINK("https://panda.att.com.mx/ODKServer/view/binaryData?blobKey=FSSuministroFluidosv3%5B%40version%3Dnull+and+%40uiVersion%3Dnull%5D%2Fdata%5B%40key%3Duuid%3A2bafd8f9-5460-45fb-93ca-64a50ca592ca%5D%2FgroupInfoFuel%5B%40ordinal%3D1%5D%2FpicFuelRecibeInterno","Descargar")</f>
        <v>Descargar</v>
      </c>
    </row>
    <row r="4272" spans="1:18" x14ac:dyDescent="0.3">
      <c r="A4272">
        <v>1479988</v>
      </c>
      <c r="B4272" t="s">
        <v>18</v>
      </c>
      <c r="C4272" t="s">
        <v>34</v>
      </c>
      <c r="D4272" t="s">
        <v>53</v>
      </c>
      <c r="E4272" t="s">
        <v>144</v>
      </c>
      <c r="F4272" t="s">
        <v>22</v>
      </c>
      <c r="G4272" t="s">
        <v>23</v>
      </c>
      <c r="H4272" t="s">
        <v>37</v>
      </c>
      <c r="I4272" t="s">
        <v>25</v>
      </c>
      <c r="J4272" s="2">
        <v>45699.80269675926</v>
      </c>
      <c r="K4272">
        <v>11</v>
      </c>
      <c r="L4272">
        <v>2</v>
      </c>
      <c r="M4272">
        <v>2025</v>
      </c>
      <c r="N4272" t="s">
        <v>27</v>
      </c>
      <c r="O4272">
        <v>300</v>
      </c>
      <c r="P4272">
        <v>300</v>
      </c>
      <c r="R4272" s="3" t="str">
        <f>HYPERLINK("https://panda.att.com.mx/ODKServer/view/binaryData?blobKey=FSSuministroFluidosv3%5B%40version%3Dnull+and+%40uiVersion%3Dnull%5D%2Fdata%5B%40key%3Duuid%3Ad7a11bb9-8fbf-469c-9090-820d8482005e%5D%2FgroupInfoFuel%5B%40ordinal%3D1%5D%2FpicFuelRecibeInterno","Descargar")</f>
        <v>Descargar</v>
      </c>
    </row>
    <row r="4273" spans="1:18" x14ac:dyDescent="0.3">
      <c r="A4273">
        <v>1479959</v>
      </c>
      <c r="B4273" t="s">
        <v>18</v>
      </c>
      <c r="C4273" t="s">
        <v>100</v>
      </c>
      <c r="D4273" t="s">
        <v>651</v>
      </c>
      <c r="E4273" t="s">
        <v>1833</v>
      </c>
      <c r="F4273" t="s">
        <v>22</v>
      </c>
      <c r="G4273" t="s">
        <v>83</v>
      </c>
      <c r="H4273" t="s">
        <v>1781</v>
      </c>
      <c r="I4273" t="s">
        <v>25</v>
      </c>
      <c r="J4273" s="2">
        <v>45696.528958333343</v>
      </c>
      <c r="K4273">
        <v>8</v>
      </c>
      <c r="L4273">
        <v>2</v>
      </c>
      <c r="M4273">
        <v>2025</v>
      </c>
      <c r="N4273" t="s">
        <v>27</v>
      </c>
      <c r="O4273">
        <v>100</v>
      </c>
      <c r="P4273">
        <v>100</v>
      </c>
      <c r="R4273" s="3" t="str">
        <f>HYPERLINK("https://panda.att.com.mx/ODKServer/view/binaryData?blobKey=FSSuministroFluidosv3%5B%40version%3Dnull+and+%40uiVersion%3Dnull%5D%2Fdata%5B%40key%3Duuid%3A56ed2db5-24ac-43d2-985a-23841b618f21%5D%2FgroupInfoFuel%5B%40ordinal%3D1%5D%2FpicFuelRecibeInterno","Descargar")</f>
        <v>Descargar</v>
      </c>
    </row>
    <row r="4274" spans="1:18" x14ac:dyDescent="0.3">
      <c r="A4274">
        <v>1479945</v>
      </c>
      <c r="B4274" t="s">
        <v>18</v>
      </c>
      <c r="C4274" t="s">
        <v>34</v>
      </c>
      <c r="D4274" t="s">
        <v>121</v>
      </c>
      <c r="E4274" t="s">
        <v>3102</v>
      </c>
      <c r="F4274" t="s">
        <v>22</v>
      </c>
      <c r="G4274" t="s">
        <v>23</v>
      </c>
      <c r="H4274" t="s">
        <v>37</v>
      </c>
      <c r="I4274" t="s">
        <v>25</v>
      </c>
      <c r="J4274" s="2">
        <v>45698.423645833333</v>
      </c>
      <c r="K4274">
        <v>10</v>
      </c>
      <c r="L4274">
        <v>2</v>
      </c>
      <c r="M4274">
        <v>2025</v>
      </c>
      <c r="N4274" t="s">
        <v>27</v>
      </c>
      <c r="O4274">
        <v>200</v>
      </c>
      <c r="P4274">
        <v>200</v>
      </c>
      <c r="R4274" s="3" t="str">
        <f>HYPERLINK("https://panda.att.com.mx/ODKServer/view/binaryData?blobKey=FSSuministroFluidosv3%5B%40version%3Dnull+and+%40uiVersion%3Dnull%5D%2Fdata%5B%40key%3Duuid%3Aec8ba837-3970-4e2d-8317-10c6b01eb9c4%5D%2FgroupInfoFuel%5B%40ordinal%3D1%5D%2FpicFuelRecibeInterno","Descargar")</f>
        <v>Descargar</v>
      </c>
    </row>
    <row r="4275" spans="1:18" x14ac:dyDescent="0.3">
      <c r="A4275">
        <v>1479666</v>
      </c>
      <c r="B4275" t="s">
        <v>18</v>
      </c>
      <c r="C4275" t="s">
        <v>150</v>
      </c>
      <c r="D4275" t="s">
        <v>154</v>
      </c>
      <c r="E4275" t="s">
        <v>3103</v>
      </c>
      <c r="F4275" t="s">
        <v>22</v>
      </c>
      <c r="G4275" t="s">
        <v>23</v>
      </c>
      <c r="H4275" t="s">
        <v>1781</v>
      </c>
      <c r="I4275" t="s">
        <v>25</v>
      </c>
      <c r="J4275" s="2">
        <v>45699.558912037042</v>
      </c>
      <c r="K4275">
        <v>11</v>
      </c>
      <c r="L4275">
        <v>2</v>
      </c>
      <c r="M4275">
        <v>2025</v>
      </c>
      <c r="N4275" t="s">
        <v>27</v>
      </c>
      <c r="O4275">
        <v>250.04</v>
      </c>
      <c r="P4275">
        <v>250.04</v>
      </c>
      <c r="R4275" s="3" t="str">
        <f>HYPERLINK("https://panda.att.com.mx/ODKServer/view/binaryData?blobKey=FSSuministroFluidosv3%5B%40version%3Dnull+and+%40uiVersion%3Dnull%5D%2Fdata%5B%40key%3Duuid%3A621c2c05-ba9c-48fc-bc69-20e720582faa%5D%2FgroupInfoFuel%5B%40ordinal%3D1%5D%2FpicFuelRecibeInterno","Descargar")</f>
        <v>Descargar</v>
      </c>
    </row>
    <row r="4276" spans="1:18" x14ac:dyDescent="0.3">
      <c r="A4276">
        <v>1479576</v>
      </c>
      <c r="B4276" t="s">
        <v>18</v>
      </c>
      <c r="C4276" t="s">
        <v>28</v>
      </c>
      <c r="D4276" t="s">
        <v>118</v>
      </c>
      <c r="E4276" t="s">
        <v>1486</v>
      </c>
      <c r="F4276" t="s">
        <v>22</v>
      </c>
      <c r="G4276" t="s">
        <v>23</v>
      </c>
      <c r="H4276" t="s">
        <v>24</v>
      </c>
      <c r="I4276" t="s">
        <v>25</v>
      </c>
      <c r="J4276" s="2">
        <v>45698.44903935185</v>
      </c>
      <c r="K4276">
        <v>10</v>
      </c>
      <c r="L4276">
        <v>2</v>
      </c>
      <c r="M4276">
        <v>2025</v>
      </c>
      <c r="N4276" t="s">
        <v>27</v>
      </c>
      <c r="O4276">
        <v>260</v>
      </c>
      <c r="P4276">
        <v>260</v>
      </c>
      <c r="R4276" s="3" t="str">
        <f>HYPERLINK("https://panda.att.com.mx/ODKServer/view/binaryData?blobKey=FSSuministroFluidosv3%5B%40version%3Dnull+and+%40uiVersion%3Dnull%5D%2Fdata%5B%40key%3Duuid%3A99dc4401-38ab-4d23-8ae9-963d65bf0778%5D%2FgroupInfoFuel%5B%40ordinal%3D1%5D%2FpicFuelRecibeInterno","Descargar")</f>
        <v>Descargar</v>
      </c>
    </row>
    <row r="4277" spans="1:18" x14ac:dyDescent="0.3">
      <c r="A4277">
        <v>1479566</v>
      </c>
      <c r="B4277" t="s">
        <v>18</v>
      </c>
      <c r="C4277" t="s">
        <v>150</v>
      </c>
      <c r="D4277" t="s">
        <v>154</v>
      </c>
      <c r="E4277" t="s">
        <v>3104</v>
      </c>
      <c r="F4277" t="s">
        <v>22</v>
      </c>
      <c r="G4277" t="s">
        <v>23</v>
      </c>
      <c r="H4277" t="s">
        <v>1781</v>
      </c>
      <c r="I4277" t="s">
        <v>25</v>
      </c>
      <c r="J4277" s="2">
        <v>45699.503692129627</v>
      </c>
      <c r="K4277">
        <v>11</v>
      </c>
      <c r="L4277">
        <v>2</v>
      </c>
      <c r="M4277">
        <v>2025</v>
      </c>
      <c r="N4277" t="s">
        <v>27</v>
      </c>
      <c r="O4277">
        <v>300.02</v>
      </c>
      <c r="P4277">
        <v>300.02</v>
      </c>
      <c r="R4277" s="3" t="str">
        <f>HYPERLINK("https://panda.att.com.mx/ODKServer/view/binaryData?blobKey=FSSuministroFluidosv3%5B%40version%3Dnull+and+%40uiVersion%3Dnull%5D%2Fdata%5B%40key%3Duuid%3A34c7b481-751b-4529-860f-90635a888387%5D%2FgroupInfoFuel%5B%40ordinal%3D1%5D%2FpicFuelRecibeInterno","Descargar")</f>
        <v>Descargar</v>
      </c>
    </row>
    <row r="4278" spans="1:18" x14ac:dyDescent="0.3">
      <c r="A4278">
        <v>1479472</v>
      </c>
      <c r="B4278" t="s">
        <v>18</v>
      </c>
      <c r="C4278" t="s">
        <v>100</v>
      </c>
      <c r="D4278" t="s">
        <v>651</v>
      </c>
      <c r="E4278" t="s">
        <v>1833</v>
      </c>
      <c r="F4278" t="s">
        <v>22</v>
      </c>
      <c r="G4278" t="s">
        <v>83</v>
      </c>
      <c r="H4278" t="s">
        <v>1781</v>
      </c>
      <c r="I4278" t="s">
        <v>25</v>
      </c>
      <c r="J4278" s="2">
        <v>45698.631527777783</v>
      </c>
      <c r="K4278">
        <v>10</v>
      </c>
      <c r="L4278">
        <v>2</v>
      </c>
      <c r="M4278">
        <v>2025</v>
      </c>
      <c r="N4278" t="s">
        <v>27</v>
      </c>
      <c r="O4278">
        <v>200</v>
      </c>
      <c r="P4278">
        <v>200</v>
      </c>
      <c r="R4278" s="3" t="str">
        <f>HYPERLINK("https://panda.att.com.mx/ODKServer/view/binaryData?blobKey=FSSuministroFluidosv3%5B%40version%3Dnull+and+%40uiVersion%3Dnull%5D%2Fdata%5B%40key%3Duuid%3A5b4eb786-6c08-4338-b79a-e9f95352f5fe%5D%2FgroupInfoFuel%5B%40ordinal%3D1%5D%2FpicFuelRecibeInterno","Descargar")</f>
        <v>Descargar</v>
      </c>
    </row>
    <row r="4279" spans="1:18" x14ac:dyDescent="0.3">
      <c r="A4279">
        <v>1479471</v>
      </c>
      <c r="B4279" t="s">
        <v>18</v>
      </c>
      <c r="C4279" t="s">
        <v>68</v>
      </c>
      <c r="D4279" t="s">
        <v>113</v>
      </c>
      <c r="E4279" t="s">
        <v>114</v>
      </c>
      <c r="F4279" t="s">
        <v>22</v>
      </c>
      <c r="G4279" t="s">
        <v>23</v>
      </c>
      <c r="H4279" t="s">
        <v>37</v>
      </c>
      <c r="I4279" t="s">
        <v>25</v>
      </c>
      <c r="J4279" s="2">
        <v>45698.730011574073</v>
      </c>
      <c r="K4279">
        <v>10</v>
      </c>
      <c r="L4279">
        <v>2</v>
      </c>
      <c r="M4279">
        <v>2025</v>
      </c>
      <c r="N4279" t="s">
        <v>27</v>
      </c>
      <c r="O4279">
        <v>150</v>
      </c>
      <c r="P4279">
        <v>150</v>
      </c>
      <c r="R4279" s="3" t="str">
        <f>HYPERLINK("https://panda.att.com.mx/ODKServer/view/binaryData?blobKey=FSSuministroFluidosv3%5B%40version%3Dnull+and+%40uiVersion%3Dnull%5D%2Fdata%5B%40key%3Duuid%3A2450ab94-adbb-452a-8afa-baf0e22fb216%5D%2FgroupInfoFuel%5B%40ordinal%3D1%5D%2FpicFuelRecibeInterno","Descargar")</f>
        <v>Descargar</v>
      </c>
    </row>
    <row r="4280" spans="1:18" x14ac:dyDescent="0.3">
      <c r="A4280">
        <v>1479419</v>
      </c>
      <c r="B4280" t="s">
        <v>18</v>
      </c>
      <c r="C4280" t="s">
        <v>55</v>
      </c>
      <c r="D4280" t="s">
        <v>56</v>
      </c>
      <c r="E4280" t="s">
        <v>3023</v>
      </c>
      <c r="F4280" t="s">
        <v>22</v>
      </c>
      <c r="G4280" t="s">
        <v>23</v>
      </c>
      <c r="H4280" t="s">
        <v>1763</v>
      </c>
      <c r="I4280" t="s">
        <v>25</v>
      </c>
      <c r="J4280" s="2">
        <v>45695.43209490741</v>
      </c>
      <c r="K4280">
        <v>7</v>
      </c>
      <c r="L4280">
        <v>2</v>
      </c>
      <c r="M4280">
        <v>2025</v>
      </c>
      <c r="N4280" t="s">
        <v>27</v>
      </c>
      <c r="O4280">
        <v>120</v>
      </c>
      <c r="P4280">
        <v>120</v>
      </c>
      <c r="R4280" s="3" t="str">
        <f>HYPERLINK("https://panda.att.com.mx/ODKServer/view/binaryData?blobKey=FSSuministroFluidosv3%5B%40version%3Dnull+and+%40uiVersion%3Dnull%5D%2Fdata%5B%40key%3Duuid%3A55825b2b-94ee-45c8-aaa3-7da6ea8b5026%5D%2FgroupInfoFuel%5B%40ordinal%3D1%5D%2FpicFuelRecibeInterno","Descargar")</f>
        <v>Descargar</v>
      </c>
    </row>
    <row r="4281" spans="1:18" x14ac:dyDescent="0.3">
      <c r="A4281">
        <v>1479399</v>
      </c>
      <c r="B4281" t="s">
        <v>18</v>
      </c>
      <c r="C4281" t="s">
        <v>59</v>
      </c>
      <c r="D4281" t="s">
        <v>574</v>
      </c>
      <c r="E4281" t="s">
        <v>3105</v>
      </c>
      <c r="F4281" t="s">
        <v>22</v>
      </c>
      <c r="G4281" t="s">
        <v>23</v>
      </c>
      <c r="H4281" t="s">
        <v>37</v>
      </c>
      <c r="I4281" t="s">
        <v>25</v>
      </c>
      <c r="J4281" t="s">
        <v>3106</v>
      </c>
      <c r="K4281">
        <v>30</v>
      </c>
      <c r="L4281">
        <v>1</v>
      </c>
      <c r="M4281">
        <v>2025</v>
      </c>
      <c r="N4281" t="s">
        <v>27</v>
      </c>
      <c r="O4281">
        <v>300</v>
      </c>
      <c r="Q4281">
        <v>300</v>
      </c>
      <c r="R4281" s="3" t="str">
        <f>HYPERLINK("https://panda.att.com.mx/ODKServer/view/binaryData?blobKey=FSSuministroFluidosv3%5B%40version%3Dnull+and+%40uiVersion%3Dnull%5D%2Fdata%5B%40key%3Duuid%3Aac1ed84b-c32a-4d27-8dce-ec5675886d5a%5D%2FgroupInfoFuel%5B%40ordinal%3D1%5D%2FpicFuelRecibeInterno","Descargar")</f>
        <v>Descargar</v>
      </c>
    </row>
    <row r="4282" spans="1:18" x14ac:dyDescent="0.3">
      <c r="A4282">
        <v>1479373</v>
      </c>
      <c r="B4282" t="s">
        <v>18</v>
      </c>
      <c r="C4282" t="s">
        <v>55</v>
      </c>
      <c r="D4282" t="s">
        <v>56</v>
      </c>
      <c r="E4282" t="s">
        <v>1555</v>
      </c>
      <c r="F4282" t="s">
        <v>22</v>
      </c>
      <c r="G4282" t="s">
        <v>23</v>
      </c>
      <c r="H4282" t="s">
        <v>1763</v>
      </c>
      <c r="I4282" t="s">
        <v>25</v>
      </c>
      <c r="J4282" s="2">
        <v>45693.517847222232</v>
      </c>
      <c r="K4282">
        <v>5</v>
      </c>
      <c r="L4282">
        <v>2</v>
      </c>
      <c r="M4282">
        <v>2025</v>
      </c>
      <c r="N4282" t="s">
        <v>27</v>
      </c>
      <c r="O4282">
        <v>300</v>
      </c>
      <c r="P4282">
        <v>300</v>
      </c>
      <c r="R4282" s="3" t="str">
        <f>HYPERLINK("https://panda.att.com.mx/ODKServer/view/binaryData?blobKey=FSSuministroFluidosv3%5B%40version%3Dnull+and+%40uiVersion%3Dnull%5D%2Fdata%5B%40key%3Duuid%3Abdbd30e1-159a-4c4d-9a24-078abbec514f%5D%2FgroupInfoFuel%5B%40ordinal%3D1%5D%2FpicFuelRecibeInterno","Descargar")</f>
        <v>Descargar</v>
      </c>
    </row>
    <row r="4283" spans="1:18" x14ac:dyDescent="0.3">
      <c r="A4283">
        <v>1479326</v>
      </c>
      <c r="B4283" t="s">
        <v>18</v>
      </c>
      <c r="C4283" t="s">
        <v>183</v>
      </c>
      <c r="D4283" t="s">
        <v>3107</v>
      </c>
      <c r="E4283" t="s">
        <v>3108</v>
      </c>
      <c r="F4283" t="s">
        <v>22</v>
      </c>
      <c r="G4283" t="s">
        <v>23</v>
      </c>
      <c r="H4283" t="s">
        <v>37</v>
      </c>
      <c r="I4283" t="s">
        <v>25</v>
      </c>
      <c r="J4283" s="2">
        <v>45698.67931712963</v>
      </c>
      <c r="K4283">
        <v>10</v>
      </c>
      <c r="L4283">
        <v>2</v>
      </c>
      <c r="M4283">
        <v>2025</v>
      </c>
      <c r="N4283" t="s">
        <v>27</v>
      </c>
      <c r="O4283">
        <v>200</v>
      </c>
      <c r="Q4283">
        <v>200</v>
      </c>
      <c r="R4283" s="3" t="str">
        <f>HYPERLINK("https://panda.att.com.mx/ODKServer/view/binaryData?blobKey=FSSuministroFluidosv3%5B%40version%3Dnull+and+%40uiVersion%3Dnull%5D%2Fdata%5B%40key%3Duuid%3A8beac051-53d4-4278-9364-39dfebf589dc%5D%2FgroupInfoFuel%5B%40ordinal%3D1%5D%2FpicFuelRecibeInterno","Descargar")</f>
        <v>Descargar</v>
      </c>
    </row>
    <row r="4284" spans="1:18" x14ac:dyDescent="0.3">
      <c r="A4284">
        <v>1479321</v>
      </c>
      <c r="B4284" t="s">
        <v>18</v>
      </c>
      <c r="C4284" t="s">
        <v>34</v>
      </c>
      <c r="D4284" t="s">
        <v>53</v>
      </c>
      <c r="E4284" t="s">
        <v>3010</v>
      </c>
      <c r="F4284" t="s">
        <v>22</v>
      </c>
      <c r="G4284" t="s">
        <v>23</v>
      </c>
      <c r="H4284" t="s">
        <v>37</v>
      </c>
      <c r="I4284" t="s">
        <v>25</v>
      </c>
      <c r="J4284" s="2">
        <v>45698.911423611113</v>
      </c>
      <c r="K4284">
        <v>10</v>
      </c>
      <c r="L4284">
        <v>2</v>
      </c>
      <c r="M4284">
        <v>2025</v>
      </c>
      <c r="N4284" t="s">
        <v>27</v>
      </c>
      <c r="O4284">
        <v>200</v>
      </c>
      <c r="P4284">
        <v>200</v>
      </c>
      <c r="R4284" s="3" t="str">
        <f>HYPERLINK("https://panda.att.com.mx/ODKServer/view/binaryData?blobKey=FSSuministroFluidosv3%5B%40version%3Dnull+and+%40uiVersion%3Dnull%5D%2Fdata%5B%40key%3Duuid%3A1f052f13-f6ee-4229-af07-97ea7d9d208e%5D%2FgroupInfoFuel%5B%40ordinal%3D1%5D%2FpicFuelRecibeInterno","Descargar")</f>
        <v>Descargar</v>
      </c>
    </row>
    <row r="4285" spans="1:18" x14ac:dyDescent="0.3">
      <c r="A4285">
        <v>1479318</v>
      </c>
      <c r="B4285" t="s">
        <v>18</v>
      </c>
      <c r="C4285" t="s">
        <v>59</v>
      </c>
      <c r="D4285" t="s">
        <v>636</v>
      </c>
      <c r="E4285" t="s">
        <v>1251</v>
      </c>
      <c r="F4285" t="s">
        <v>22</v>
      </c>
      <c r="G4285" t="s">
        <v>23</v>
      </c>
      <c r="H4285" t="s">
        <v>37</v>
      </c>
      <c r="I4285" t="s">
        <v>25</v>
      </c>
      <c r="J4285" s="2">
        <v>45698.702847222223</v>
      </c>
      <c r="K4285">
        <v>10</v>
      </c>
      <c r="L4285">
        <v>2</v>
      </c>
      <c r="M4285">
        <v>2025</v>
      </c>
      <c r="N4285" t="s">
        <v>27</v>
      </c>
      <c r="O4285">
        <v>100</v>
      </c>
      <c r="P4285">
        <v>100</v>
      </c>
      <c r="R4285" s="3" t="str">
        <f>HYPERLINK("https://panda.att.com.mx/ODKServer/view/binaryData?blobKey=FSSuministroFluidosv3%5B%40version%3Dnull+and+%40uiVersion%3Dnull%5D%2Fdata%5B%40key%3Duuid%3A2f92165f-947c-4b93-a87a-8572332c3a39%5D%2FgroupInfoFuel%5B%40ordinal%3D1%5D%2FpicFuelRecibeInterno","Descargar")</f>
        <v>Descargar</v>
      </c>
    </row>
    <row r="4286" spans="1:18" x14ac:dyDescent="0.3">
      <c r="A4286">
        <v>1479316</v>
      </c>
      <c r="B4286" t="s">
        <v>18</v>
      </c>
      <c r="C4286" t="s">
        <v>59</v>
      </c>
      <c r="D4286" t="s">
        <v>636</v>
      </c>
      <c r="E4286" t="s">
        <v>1900</v>
      </c>
      <c r="F4286" t="s">
        <v>22</v>
      </c>
      <c r="G4286" t="s">
        <v>23</v>
      </c>
      <c r="H4286" t="s">
        <v>37</v>
      </c>
      <c r="I4286" t="s">
        <v>25</v>
      </c>
      <c r="J4286" s="2">
        <v>45698.635150462957</v>
      </c>
      <c r="K4286">
        <v>10</v>
      </c>
      <c r="L4286">
        <v>2</v>
      </c>
      <c r="M4286">
        <v>2025</v>
      </c>
      <c r="N4286" t="s">
        <v>27</v>
      </c>
      <c r="O4286">
        <v>200</v>
      </c>
      <c r="Q4286">
        <v>200</v>
      </c>
      <c r="R4286" s="3" t="str">
        <f>HYPERLINK("https://panda.att.com.mx/ODKServer/view/binaryData?blobKey=FSSuministroFluidosv3%5B%40version%3Dnull+and+%40uiVersion%3Dnull%5D%2Fdata%5B%40key%3Duuid%3A37be4052-9c55-4012-a2c7-88fb3d7d296b%5D%2FgroupInfoFuel%5B%40ordinal%3D1%5D%2FpicFuelRecibeInterno","Descargar")</f>
        <v>Descargar</v>
      </c>
    </row>
    <row r="4287" spans="1:18" x14ac:dyDescent="0.3">
      <c r="A4287">
        <v>1479308</v>
      </c>
      <c r="B4287" t="s">
        <v>18</v>
      </c>
      <c r="C4287" t="s">
        <v>59</v>
      </c>
      <c r="D4287" t="s">
        <v>636</v>
      </c>
      <c r="E4287" t="s">
        <v>637</v>
      </c>
      <c r="F4287" t="s">
        <v>22</v>
      </c>
      <c r="G4287" t="s">
        <v>23</v>
      </c>
      <c r="H4287" t="s">
        <v>37</v>
      </c>
      <c r="I4287" t="s">
        <v>25</v>
      </c>
      <c r="J4287" s="2">
        <v>45698.482939814807</v>
      </c>
      <c r="K4287">
        <v>10</v>
      </c>
      <c r="L4287">
        <v>2</v>
      </c>
      <c r="M4287">
        <v>2025</v>
      </c>
      <c r="N4287" t="s">
        <v>27</v>
      </c>
      <c r="O4287">
        <v>150</v>
      </c>
      <c r="P4287">
        <v>150</v>
      </c>
      <c r="R4287" s="3" t="str">
        <f>HYPERLINK("https://panda.att.com.mx/ODKServer/view/binaryData?blobKey=FSSuministroFluidosv3%5B%40version%3Dnull+and+%40uiVersion%3Dnull%5D%2Fdata%5B%40key%3Duuid%3A6b258dad-805a-40c5-96d8-4d21606a7ba8%5D%2FgroupInfoFuel%5B%40ordinal%3D1%5D%2FpicFuelRecibeInterno","Descargar")</f>
        <v>Descargar</v>
      </c>
    </row>
    <row r="4288" spans="1:18" x14ac:dyDescent="0.3">
      <c r="A4288">
        <v>1479275</v>
      </c>
      <c r="B4288" t="s">
        <v>18</v>
      </c>
      <c r="C4288" t="s">
        <v>34</v>
      </c>
      <c r="D4288" t="s">
        <v>121</v>
      </c>
      <c r="E4288" t="s">
        <v>3086</v>
      </c>
      <c r="F4288" t="s">
        <v>22</v>
      </c>
      <c r="G4288" t="s">
        <v>23</v>
      </c>
      <c r="H4288" t="s">
        <v>37</v>
      </c>
      <c r="I4288" t="s">
        <v>25</v>
      </c>
      <c r="J4288" s="2">
        <v>45698.555902777778</v>
      </c>
      <c r="K4288">
        <v>10</v>
      </c>
      <c r="L4288">
        <v>2</v>
      </c>
      <c r="M4288">
        <v>2025</v>
      </c>
      <c r="N4288" t="s">
        <v>27</v>
      </c>
      <c r="O4288">
        <v>300</v>
      </c>
      <c r="P4288">
        <v>300</v>
      </c>
      <c r="R4288" s="3" t="str">
        <f>HYPERLINK("https://panda.att.com.mx/ODKServer/view/binaryData?blobKey=FSSuministroFluidosv3%5B%40version%3Dnull+and+%40uiVersion%3Dnull%5D%2Fdata%5B%40key%3Duuid%3Ae93176f2-9274-458e-a1f5-fa4086fe3e6f%5D%2FgroupInfoFuel%5B%40ordinal%3D1%5D%2FpicFuelRecibeInterno","Descargar")</f>
        <v>Descargar</v>
      </c>
    </row>
    <row r="4289" spans="1:18" x14ac:dyDescent="0.3">
      <c r="A4289">
        <v>1479274</v>
      </c>
      <c r="B4289" t="s">
        <v>18</v>
      </c>
      <c r="C4289" t="s">
        <v>34</v>
      </c>
      <c r="D4289" t="s">
        <v>121</v>
      </c>
      <c r="E4289" t="s">
        <v>3041</v>
      </c>
      <c r="F4289" t="s">
        <v>22</v>
      </c>
      <c r="G4289" t="s">
        <v>23</v>
      </c>
      <c r="H4289" t="s">
        <v>37</v>
      </c>
      <c r="I4289" t="s">
        <v>25</v>
      </c>
      <c r="J4289" s="2">
        <v>45698.483043981483</v>
      </c>
      <c r="K4289">
        <v>10</v>
      </c>
      <c r="L4289">
        <v>2</v>
      </c>
      <c r="M4289">
        <v>2025</v>
      </c>
      <c r="N4289" t="s">
        <v>27</v>
      </c>
      <c r="O4289">
        <v>500</v>
      </c>
      <c r="P4289">
        <v>500</v>
      </c>
      <c r="R4289" s="3" t="str">
        <f>HYPERLINK("https://panda.att.com.mx/ODKServer/view/binaryData?blobKey=FSSuministroFluidosv3%5B%40version%3Dnull+and+%40uiVersion%3Dnull%5D%2Fdata%5B%40key%3Duuid%3Aa6767ac6-aab2-4959-aa90-bbc8c7d60663%5D%2FgroupInfoFuel%5B%40ordinal%3D1%5D%2FpicFuelRecibeInterno","Descargar")</f>
        <v>Descargar</v>
      </c>
    </row>
    <row r="4290" spans="1:18" x14ac:dyDescent="0.3">
      <c r="A4290">
        <v>1479230</v>
      </c>
      <c r="B4290" t="s">
        <v>18</v>
      </c>
      <c r="C4290" t="s">
        <v>100</v>
      </c>
      <c r="D4290" t="s">
        <v>716</v>
      </c>
      <c r="E4290" t="s">
        <v>717</v>
      </c>
      <c r="F4290" t="s">
        <v>22</v>
      </c>
      <c r="G4290" t="s">
        <v>83</v>
      </c>
      <c r="H4290" t="s">
        <v>1781</v>
      </c>
      <c r="I4290" t="s">
        <v>25</v>
      </c>
      <c r="J4290" s="2">
        <v>45698.784722222219</v>
      </c>
      <c r="K4290">
        <v>10</v>
      </c>
      <c r="L4290">
        <v>2</v>
      </c>
      <c r="M4290">
        <v>2025</v>
      </c>
      <c r="N4290" t="s">
        <v>27</v>
      </c>
      <c r="O4290">
        <v>127</v>
      </c>
      <c r="P4290">
        <v>127</v>
      </c>
      <c r="R4290" s="3" t="str">
        <f>HYPERLINK("https://panda.att.com.mx/ODKServer/view/binaryData?blobKey=FSSuministroFluidosv3%5B%40version%3Dnull+and+%40uiVersion%3Dnull%5D%2Fdata%5B%40key%3Duuid%3A48cad389-b9be-4493-b97e-da0da0429132%5D%2FgroupInfoFuel%5B%40ordinal%3D1%5D%2FpicFuelRecibeInterno","Descargar")</f>
        <v>Descargar</v>
      </c>
    </row>
    <row r="4291" spans="1:18" x14ac:dyDescent="0.3">
      <c r="A4291">
        <v>1479210</v>
      </c>
      <c r="B4291" t="s">
        <v>18</v>
      </c>
      <c r="C4291" t="s">
        <v>19</v>
      </c>
      <c r="D4291" t="s">
        <v>347</v>
      </c>
      <c r="E4291" t="s">
        <v>2309</v>
      </c>
      <c r="F4291" t="s">
        <v>22</v>
      </c>
      <c r="G4291" t="s">
        <v>23</v>
      </c>
      <c r="H4291" t="s">
        <v>24</v>
      </c>
      <c r="I4291" t="s">
        <v>25</v>
      </c>
      <c r="J4291" s="2">
        <v>45698.276087962957</v>
      </c>
      <c r="K4291">
        <v>10</v>
      </c>
      <c r="L4291">
        <v>2</v>
      </c>
      <c r="M4291">
        <v>2025</v>
      </c>
      <c r="N4291" t="s">
        <v>27</v>
      </c>
      <c r="O4291">
        <v>100</v>
      </c>
      <c r="P4291">
        <v>100</v>
      </c>
      <c r="R4291" s="3" t="str">
        <f>HYPERLINK("https://panda.att.com.mx/ODKServer/view/binaryData?blobKey=FSSuministroFluidosv3%5B%40version%3Dnull+and+%40uiVersion%3Dnull%5D%2Fdata%5B%40key%3Duuid%3A096fb502-72bc-4fe4-9f05-956592d4f70c%5D%2FgroupInfoFuel%5B%40ordinal%3D1%5D%2FpicFuelRecibeInterno","Descargar")</f>
        <v>Descargar</v>
      </c>
    </row>
    <row r="4292" spans="1:18" x14ac:dyDescent="0.3">
      <c r="A4292">
        <v>1479198</v>
      </c>
      <c r="B4292" t="s">
        <v>18</v>
      </c>
      <c r="C4292" t="s">
        <v>19</v>
      </c>
      <c r="D4292" t="s">
        <v>347</v>
      </c>
      <c r="E4292" t="s">
        <v>2309</v>
      </c>
      <c r="F4292" t="s">
        <v>22</v>
      </c>
      <c r="G4292" t="s">
        <v>23</v>
      </c>
      <c r="H4292" t="s">
        <v>24</v>
      </c>
      <c r="I4292" t="s">
        <v>25</v>
      </c>
      <c r="J4292" s="2">
        <v>45694.474085648151</v>
      </c>
      <c r="K4292">
        <v>6</v>
      </c>
      <c r="L4292">
        <v>2</v>
      </c>
      <c r="M4292">
        <v>2025</v>
      </c>
      <c r="N4292" t="s">
        <v>27</v>
      </c>
      <c r="O4292">
        <v>250</v>
      </c>
      <c r="P4292">
        <v>250</v>
      </c>
      <c r="R4292" s="3" t="str">
        <f>HYPERLINK("https://panda.att.com.mx/ODKServer/view/binaryData?blobKey=FSSuministroFluidosv3%5B%40version%3Dnull+and+%40uiVersion%3Dnull%5D%2Fdata%5B%40key%3Duuid%3A59feb610-6c84-495c-85c9-5a0ad1bc370a%5D%2FgroupInfoFuel%5B%40ordinal%3D1%5D%2FpicFuelRecibeInterno","Descargar")</f>
        <v>Descargar</v>
      </c>
    </row>
    <row r="4293" spans="1:18" x14ac:dyDescent="0.3">
      <c r="A4293">
        <v>1479115</v>
      </c>
      <c r="B4293" t="s">
        <v>18</v>
      </c>
      <c r="C4293" t="s">
        <v>55</v>
      </c>
      <c r="D4293" t="s">
        <v>56</v>
      </c>
      <c r="E4293" t="s">
        <v>320</v>
      </c>
      <c r="F4293" t="s">
        <v>22</v>
      </c>
      <c r="G4293" t="s">
        <v>23</v>
      </c>
      <c r="H4293" t="s">
        <v>1763</v>
      </c>
      <c r="I4293" t="s">
        <v>25</v>
      </c>
      <c r="J4293" s="2">
        <v>45698.703356481477</v>
      </c>
      <c r="K4293">
        <v>10</v>
      </c>
      <c r="L4293">
        <v>2</v>
      </c>
      <c r="M4293">
        <v>2025</v>
      </c>
      <c r="N4293" t="s">
        <v>27</v>
      </c>
      <c r="O4293">
        <v>300</v>
      </c>
      <c r="P4293">
        <v>300</v>
      </c>
      <c r="R4293" s="3" t="str">
        <f>HYPERLINK("https://panda.att.com.mx/ODKServer/view/binaryData?blobKey=FSSuministroFluidosv3%5B%40version%3Dnull+and+%40uiVersion%3Dnull%5D%2Fdata%5B%40key%3Duuid%3Ad17a4643-8d98-4335-9831-e7d8edfd81df%5D%2FgroupInfoFuel%5B%40ordinal%3D1%5D%2FpicFuelRecibeInterno","Descargar")</f>
        <v>Descargar</v>
      </c>
    </row>
    <row r="4294" spans="1:18" x14ac:dyDescent="0.3">
      <c r="A4294">
        <v>1479106</v>
      </c>
      <c r="B4294" t="s">
        <v>18</v>
      </c>
      <c r="C4294" t="s">
        <v>59</v>
      </c>
      <c r="D4294" t="s">
        <v>60</v>
      </c>
      <c r="E4294" t="s">
        <v>2207</v>
      </c>
      <c r="F4294" t="s">
        <v>22</v>
      </c>
      <c r="G4294" t="s">
        <v>23</v>
      </c>
      <c r="H4294" t="s">
        <v>37</v>
      </c>
      <c r="I4294" t="s">
        <v>25</v>
      </c>
      <c r="J4294" s="2">
        <v>45697.360636574071</v>
      </c>
      <c r="K4294">
        <v>9</v>
      </c>
      <c r="L4294">
        <v>2</v>
      </c>
      <c r="M4294">
        <v>2025</v>
      </c>
      <c r="N4294" t="s">
        <v>27</v>
      </c>
      <c r="O4294">
        <v>130</v>
      </c>
      <c r="P4294">
        <v>130</v>
      </c>
      <c r="R4294" s="3" t="str">
        <f>HYPERLINK("https://panda.att.com.mx/ODKServer/view/binaryData?blobKey=FSSuministroFluidosv3%5B%40version%3Dnull+and+%40uiVersion%3Dnull%5D%2Fdata%5B%40key%3Duuid%3A0a9e4ea4-bb31-49ac-927b-f07536b29fab%5D%2FgroupInfoFuel%5B%40ordinal%3D1%5D%2FpicFuelRecibeInterno","Descargar")</f>
        <v>Descargar</v>
      </c>
    </row>
    <row r="4295" spans="1:18" x14ac:dyDescent="0.3">
      <c r="A4295">
        <v>1479105</v>
      </c>
      <c r="B4295" t="s">
        <v>18</v>
      </c>
      <c r="C4295" t="s">
        <v>59</v>
      </c>
      <c r="D4295" t="s">
        <v>60</v>
      </c>
      <c r="E4295" t="s">
        <v>2151</v>
      </c>
      <c r="F4295" t="s">
        <v>22</v>
      </c>
      <c r="G4295" t="s">
        <v>23</v>
      </c>
      <c r="H4295" t="s">
        <v>37</v>
      </c>
      <c r="I4295" t="s">
        <v>25</v>
      </c>
      <c r="J4295" s="2">
        <v>45697.419421296298</v>
      </c>
      <c r="K4295">
        <v>9</v>
      </c>
      <c r="L4295">
        <v>2</v>
      </c>
      <c r="M4295">
        <v>2025</v>
      </c>
      <c r="N4295" t="s">
        <v>27</v>
      </c>
      <c r="O4295">
        <v>50</v>
      </c>
      <c r="P4295">
        <v>50</v>
      </c>
      <c r="R4295" s="3" t="str">
        <f>HYPERLINK("https://panda.att.com.mx/ODKServer/view/binaryData?blobKey=FSSuministroFluidosv3%5B%40version%3Dnull+and+%40uiVersion%3Dnull%5D%2Fdata%5B%40key%3Duuid%3Aa244e87b-f6ee-47bf-84e3-343981440511%5D%2FgroupInfoFuel%5B%40ordinal%3D1%5D%2FpicFuelRecibeInterno","Descargar")</f>
        <v>Descargar</v>
      </c>
    </row>
    <row r="4296" spans="1:18" x14ac:dyDescent="0.3">
      <c r="A4296">
        <v>1479096</v>
      </c>
      <c r="B4296" t="s">
        <v>18</v>
      </c>
      <c r="C4296" t="s">
        <v>150</v>
      </c>
      <c r="D4296" t="s">
        <v>230</v>
      </c>
      <c r="E4296" t="s">
        <v>1510</v>
      </c>
      <c r="F4296" t="s">
        <v>22</v>
      </c>
      <c r="G4296" t="s">
        <v>23</v>
      </c>
      <c r="H4296" t="s">
        <v>1781</v>
      </c>
      <c r="I4296" t="s">
        <v>25</v>
      </c>
      <c r="J4296" s="2">
        <v>45698.707118055558</v>
      </c>
      <c r="K4296">
        <v>10</v>
      </c>
      <c r="L4296">
        <v>2</v>
      </c>
      <c r="M4296">
        <v>2025</v>
      </c>
      <c r="N4296" t="s">
        <v>27</v>
      </c>
      <c r="O4296">
        <v>300</v>
      </c>
      <c r="P4296">
        <v>300</v>
      </c>
      <c r="R4296" s="3" t="str">
        <f>HYPERLINK("https://panda.att.com.mx/ODKServer/view/binaryData?blobKey=FSSuministroFluidosv3%5B%40version%3Dnull+and+%40uiVersion%3Dnull%5D%2Fdata%5B%40key%3Duuid%3Abd47bd6f-7ac7-4965-b469-3f3433dba923%5D%2FgroupInfoFuel%5B%40ordinal%3D1%5D%2FpicFuelRecibeInterno","Descargar")</f>
        <v>Descargar</v>
      </c>
    </row>
    <row r="4297" spans="1:18" x14ac:dyDescent="0.3">
      <c r="A4297">
        <v>1478958</v>
      </c>
      <c r="B4297" t="s">
        <v>18</v>
      </c>
      <c r="C4297" t="s">
        <v>150</v>
      </c>
      <c r="D4297" t="s">
        <v>230</v>
      </c>
      <c r="E4297" t="s">
        <v>399</v>
      </c>
      <c r="F4297" t="s">
        <v>22</v>
      </c>
      <c r="G4297" t="s">
        <v>23</v>
      </c>
      <c r="H4297" t="s">
        <v>1781</v>
      </c>
      <c r="I4297" t="s">
        <v>25</v>
      </c>
      <c r="J4297" s="2">
        <v>45698.61346064815</v>
      </c>
      <c r="K4297">
        <v>10</v>
      </c>
      <c r="L4297">
        <v>2</v>
      </c>
      <c r="M4297">
        <v>2025</v>
      </c>
      <c r="N4297" t="s">
        <v>27</v>
      </c>
      <c r="O4297">
        <v>200.02</v>
      </c>
      <c r="P4297">
        <v>200.02</v>
      </c>
      <c r="R4297" s="3" t="str">
        <f>HYPERLINK("https://panda.att.com.mx/ODKServer/view/binaryData?blobKey=FSSuministroFluidosv3%5B%40version%3Dnull+and+%40uiVersion%3Dnull%5D%2Fdata%5B%40key%3Duuid%3A191ed0fe-36e5-431b-9881-3bc7bd0eeecd%5D%2FgroupInfoFuel%5B%40ordinal%3D1%5D%2FpicFuelRecibeInterno","Descargar")</f>
        <v>Descargar</v>
      </c>
    </row>
    <row r="4298" spans="1:18" x14ac:dyDescent="0.3">
      <c r="A4298">
        <v>1478940</v>
      </c>
      <c r="B4298" t="s">
        <v>18</v>
      </c>
      <c r="C4298" t="s">
        <v>28</v>
      </c>
      <c r="D4298" t="s">
        <v>315</v>
      </c>
      <c r="E4298" t="s">
        <v>316</v>
      </c>
      <c r="F4298" t="s">
        <v>22</v>
      </c>
      <c r="G4298" t="s">
        <v>23</v>
      </c>
      <c r="H4298" t="s">
        <v>24</v>
      </c>
      <c r="I4298" t="s">
        <v>25</v>
      </c>
      <c r="J4298" s="2">
        <v>45696.367118055547</v>
      </c>
      <c r="K4298">
        <v>8</v>
      </c>
      <c r="L4298">
        <v>2</v>
      </c>
      <c r="M4298">
        <v>2025</v>
      </c>
      <c r="N4298" t="s">
        <v>44</v>
      </c>
      <c r="O4298">
        <v>30</v>
      </c>
      <c r="P4298">
        <v>30</v>
      </c>
      <c r="R4298" s="3" t="str">
        <f>HYPERLINK("https://panda.att.com.mx/ODKServer/view/binaryData?blobKey=FSSuministroFluidosv3%5B%40version%3Dnull+and+%40uiVersion%3Dnull%5D%2Fdata%5B%40key%3Duuid%3A833d8c00-ca59-4a75-a8dc-5f4b5229ecff%5D%2FgroupInfoFuel%5B%40ordinal%3D1%5D%2FpicFuelRecibeInterno","Descargar")</f>
        <v>Descargar</v>
      </c>
    </row>
    <row r="4299" spans="1:18" x14ac:dyDescent="0.3">
      <c r="A4299">
        <v>1478899</v>
      </c>
      <c r="B4299" t="s">
        <v>18</v>
      </c>
      <c r="C4299" t="s">
        <v>34</v>
      </c>
      <c r="D4299" t="s">
        <v>53</v>
      </c>
      <c r="E4299" t="s">
        <v>3109</v>
      </c>
      <c r="F4299" t="s">
        <v>22</v>
      </c>
      <c r="G4299" t="s">
        <v>47</v>
      </c>
      <c r="H4299" t="s">
        <v>390</v>
      </c>
      <c r="I4299" t="s">
        <v>25</v>
      </c>
      <c r="J4299" s="2">
        <v>45698.597743055558</v>
      </c>
      <c r="K4299">
        <v>10</v>
      </c>
      <c r="L4299">
        <v>2</v>
      </c>
      <c r="M4299">
        <v>2025</v>
      </c>
      <c r="N4299" t="s">
        <v>27</v>
      </c>
      <c r="O4299">
        <v>200</v>
      </c>
      <c r="P4299">
        <v>200</v>
      </c>
      <c r="R4299" s="3" t="str">
        <f>HYPERLINK("https://panda.att.com.mx/ODKServer/view/binaryData?blobKey=FSSuministroFluidosv3%5B%40version%3Dnull+and+%40uiVersion%3Dnull%5D%2Fdata%5B%40key%3Duuid%3Abcb4bcd4-94b1-49d6-a1d6-b592bc9b6d00%5D%2FgroupInfoFuel%5B%40ordinal%3D1%5D%2FpicFuelRecibeInterno","Descargar")</f>
        <v>Descargar</v>
      </c>
    </row>
    <row r="4300" spans="1:18" x14ac:dyDescent="0.3">
      <c r="A4300">
        <v>1477645</v>
      </c>
      <c r="B4300" t="s">
        <v>18</v>
      </c>
      <c r="C4300" t="s">
        <v>68</v>
      </c>
      <c r="D4300" t="s">
        <v>219</v>
      </c>
      <c r="E4300" t="s">
        <v>1707</v>
      </c>
      <c r="F4300" t="s">
        <v>22</v>
      </c>
      <c r="G4300" t="s">
        <v>23</v>
      </c>
      <c r="H4300" t="s">
        <v>37</v>
      </c>
      <c r="I4300" t="s">
        <v>25</v>
      </c>
      <c r="J4300" s="2">
        <v>45694.502650462957</v>
      </c>
      <c r="K4300">
        <v>6</v>
      </c>
      <c r="L4300">
        <v>2</v>
      </c>
      <c r="M4300">
        <v>2025</v>
      </c>
      <c r="N4300" t="s">
        <v>27</v>
      </c>
      <c r="O4300">
        <v>150</v>
      </c>
      <c r="P4300">
        <v>150</v>
      </c>
      <c r="R4300" s="3" t="str">
        <f>HYPERLINK("https://panda.att.com.mx/ODKServer/view/binaryData?blobKey=FSSuministroFluidosv3%5B%40version%3Dnull+and+%40uiVersion%3Dnull%5D%2Fdata%5B%40key%3Duuid%3Aac34d330-c131-4972-ad6d-8d6e4155a58f%5D%2FgroupInfoFuel%5B%40ordinal%3D1%5D%2FpicFuelRecibeInterno","Descargar")</f>
        <v>Descargar</v>
      </c>
    </row>
    <row r="4301" spans="1:18" x14ac:dyDescent="0.3">
      <c r="A4301">
        <v>1477330</v>
      </c>
      <c r="B4301" t="s">
        <v>18</v>
      </c>
      <c r="C4301" t="s">
        <v>150</v>
      </c>
      <c r="D4301" t="s">
        <v>230</v>
      </c>
      <c r="E4301" t="s">
        <v>399</v>
      </c>
      <c r="F4301" t="s">
        <v>22</v>
      </c>
      <c r="G4301" t="s">
        <v>23</v>
      </c>
      <c r="H4301" t="s">
        <v>1781</v>
      </c>
      <c r="I4301" t="s">
        <v>25</v>
      </c>
      <c r="J4301" s="2">
        <v>45695.377870370372</v>
      </c>
      <c r="K4301">
        <v>7</v>
      </c>
      <c r="L4301">
        <v>2</v>
      </c>
      <c r="M4301">
        <v>2025</v>
      </c>
      <c r="N4301" t="s">
        <v>27</v>
      </c>
      <c r="O4301">
        <v>187.04</v>
      </c>
      <c r="P4301">
        <v>187.04</v>
      </c>
      <c r="R4301" s="3" t="str">
        <f>HYPERLINK("https://panda.att.com.mx/ODKServer/view/binaryData?blobKey=FSSuministroFluidosv3%5B%40version%3Dnull+and+%40uiVersion%3Dnull%5D%2Fdata%5B%40key%3Duuid%3A5b25ec0f-1a50-44e8-b57e-e6d8517f3eb1%5D%2FgroupInfoFuel%5B%40ordinal%3D1%5D%2FpicFuelRecibeInterno","Descargar")</f>
        <v>Descargar</v>
      </c>
    </row>
    <row r="4302" spans="1:18" x14ac:dyDescent="0.3">
      <c r="A4302">
        <v>1477310</v>
      </c>
      <c r="B4302" t="s">
        <v>18</v>
      </c>
      <c r="C4302" t="s">
        <v>55</v>
      </c>
      <c r="D4302" t="s">
        <v>128</v>
      </c>
      <c r="E4302" t="s">
        <v>2000</v>
      </c>
      <c r="F4302" t="s">
        <v>22</v>
      </c>
      <c r="G4302" t="s">
        <v>47</v>
      </c>
      <c r="H4302" t="s">
        <v>1763</v>
      </c>
      <c r="I4302" t="s">
        <v>25</v>
      </c>
      <c r="J4302" s="2">
        <v>45695.449837962973</v>
      </c>
      <c r="K4302">
        <v>7</v>
      </c>
      <c r="L4302">
        <v>2</v>
      </c>
      <c r="M4302">
        <v>2025</v>
      </c>
      <c r="N4302" t="s">
        <v>27</v>
      </c>
      <c r="O4302">
        <v>400</v>
      </c>
      <c r="P4302">
        <v>400</v>
      </c>
      <c r="R4302" s="3" t="str">
        <f>HYPERLINK("https://panda.att.com.mx/ODKServer/view/binaryData?blobKey=FSSuministroFluidosv3%5B%40version%3Dnull+and+%40uiVersion%3Dnull%5D%2Fdata%5B%40key%3Duuid%3A1ccbd3f7-ab32-4a28-9e50-4d5698f3a210%5D%2FgroupInfoFuel%5B%40ordinal%3D1%5D%2FpicFuelRecibeInterno","Descargar")</f>
        <v>Descargar</v>
      </c>
    </row>
    <row r="4303" spans="1:18" x14ac:dyDescent="0.3">
      <c r="A4303">
        <v>1477295</v>
      </c>
      <c r="B4303" t="s">
        <v>18</v>
      </c>
      <c r="C4303" t="s">
        <v>59</v>
      </c>
      <c r="D4303" t="s">
        <v>574</v>
      </c>
      <c r="E4303" t="s">
        <v>3110</v>
      </c>
      <c r="F4303" t="s">
        <v>22</v>
      </c>
      <c r="G4303" t="s">
        <v>23</v>
      </c>
      <c r="H4303" t="s">
        <v>37</v>
      </c>
      <c r="I4303" t="s">
        <v>25</v>
      </c>
      <c r="J4303" s="2">
        <v>45693.646134259259</v>
      </c>
      <c r="K4303">
        <v>5</v>
      </c>
      <c r="L4303">
        <v>2</v>
      </c>
      <c r="M4303">
        <v>2025</v>
      </c>
      <c r="N4303" t="s">
        <v>27</v>
      </c>
      <c r="O4303">
        <v>150</v>
      </c>
      <c r="P4303">
        <v>150</v>
      </c>
      <c r="R4303" s="3" t="str">
        <f>HYPERLINK("https://panda.att.com.mx/ODKServer/view/binaryData?blobKey=FSSuministroFluidosv3%5B%40version%3Dnull+and+%40uiVersion%3Dnull%5D%2Fdata%5B%40key%3Duuid%3A077a41f9-75d4-4940-be5d-35c2cfbeb88b%5D%2FgroupInfoFuel%5B%40ordinal%3D1%5D%2FpicFuelRecibeInterno","Descargar")</f>
        <v>Descargar</v>
      </c>
    </row>
    <row r="4304" spans="1:18" x14ac:dyDescent="0.3">
      <c r="A4304">
        <v>1477291</v>
      </c>
      <c r="B4304" t="s">
        <v>18</v>
      </c>
      <c r="C4304" t="s">
        <v>68</v>
      </c>
      <c r="D4304" t="s">
        <v>2071</v>
      </c>
      <c r="E4304" t="s">
        <v>3111</v>
      </c>
      <c r="F4304" t="s">
        <v>22</v>
      </c>
      <c r="G4304" t="s">
        <v>23</v>
      </c>
      <c r="H4304" t="s">
        <v>37</v>
      </c>
      <c r="I4304" t="s">
        <v>25</v>
      </c>
      <c r="J4304" s="2">
        <v>45695.405740740738</v>
      </c>
      <c r="K4304">
        <v>7</v>
      </c>
      <c r="L4304">
        <v>2</v>
      </c>
      <c r="M4304">
        <v>2025</v>
      </c>
      <c r="N4304" t="s">
        <v>27</v>
      </c>
      <c r="O4304">
        <v>200</v>
      </c>
      <c r="Q4304">
        <v>200</v>
      </c>
      <c r="R4304" s="3" t="str">
        <f>HYPERLINK("https://panda.att.com.mx/ODKServer/view/binaryData?blobKey=FSSuministroFluidosv3%5B%40version%3Dnull+and+%40uiVersion%3Dnull%5D%2Fdata%5B%40key%3Duuid%3Ac4378aa4-95ab-421a-b562-6815cb7af922%5D%2FgroupInfoFuel%5B%40ordinal%3D1%5D%2FpicFuelRecibeInterno","Descargar")</f>
        <v>Descargar</v>
      </c>
    </row>
    <row r="4305" spans="1:18" x14ac:dyDescent="0.3">
      <c r="A4305">
        <v>1477290</v>
      </c>
      <c r="B4305" t="s">
        <v>18</v>
      </c>
      <c r="C4305" t="s">
        <v>68</v>
      </c>
      <c r="D4305" t="s">
        <v>2071</v>
      </c>
      <c r="E4305" t="s">
        <v>2072</v>
      </c>
      <c r="F4305" t="s">
        <v>22</v>
      </c>
      <c r="G4305" t="s">
        <v>23</v>
      </c>
      <c r="H4305" t="s">
        <v>37</v>
      </c>
      <c r="I4305" t="s">
        <v>25</v>
      </c>
      <c r="J4305" s="2">
        <v>45695.386423611111</v>
      </c>
      <c r="K4305">
        <v>7</v>
      </c>
      <c r="L4305">
        <v>2</v>
      </c>
      <c r="M4305">
        <v>2025</v>
      </c>
      <c r="N4305" t="s">
        <v>27</v>
      </c>
      <c r="O4305">
        <v>150</v>
      </c>
      <c r="P4305">
        <v>150</v>
      </c>
      <c r="R4305" s="3" t="str">
        <f>HYPERLINK("https://panda.att.com.mx/ODKServer/view/binaryData?blobKey=FSSuministroFluidosv3%5B%40version%3Dnull+and+%40uiVersion%3Dnull%5D%2Fdata%5B%40key%3Duuid%3Afc889869-ad59-45ce-9811-2e9c853748cc%5D%2FgroupInfoFuel%5B%40ordinal%3D1%5D%2FpicFuelRecibeInterno","Descargar")</f>
        <v>Descargar</v>
      </c>
    </row>
    <row r="4306" spans="1:18" x14ac:dyDescent="0.3">
      <c r="A4306">
        <v>1477276</v>
      </c>
      <c r="B4306" t="s">
        <v>18</v>
      </c>
      <c r="C4306" t="s">
        <v>59</v>
      </c>
      <c r="D4306" t="s">
        <v>574</v>
      </c>
      <c r="E4306" t="s">
        <v>3112</v>
      </c>
      <c r="F4306" t="s">
        <v>33</v>
      </c>
      <c r="G4306" t="s">
        <v>23</v>
      </c>
      <c r="H4306" t="s">
        <v>37</v>
      </c>
      <c r="I4306" t="s">
        <v>25</v>
      </c>
      <c r="J4306" s="2">
        <v>45693.613217592603</v>
      </c>
      <c r="K4306">
        <v>5</v>
      </c>
      <c r="L4306">
        <v>2</v>
      </c>
      <c r="M4306">
        <v>2025</v>
      </c>
      <c r="N4306" t="s">
        <v>27</v>
      </c>
      <c r="O4306">
        <v>100</v>
      </c>
      <c r="P4306">
        <v>100</v>
      </c>
      <c r="R4306" s="3" t="str">
        <f>HYPERLINK("https://panda.att.com.mx/ODKServer/view/binaryData?blobKey=FSSuministroFluidosv3%5B%40version%3Dnull+and+%40uiVersion%3Dnull%5D%2Fdata%5B%40key%3Duuid%3Ae92e141c-835d-4e5a-b00f-14a71bbfacf4%5D%2FgroupInfoFuel%5B%40ordinal%3D1%5D%2FpicFuelRecibeInterno","Descargar")</f>
        <v>Descargar</v>
      </c>
    </row>
    <row r="4307" spans="1:18" x14ac:dyDescent="0.3">
      <c r="A4307">
        <v>1477260</v>
      </c>
      <c r="B4307" t="s">
        <v>18</v>
      </c>
      <c r="C4307" t="s">
        <v>59</v>
      </c>
      <c r="D4307" t="s">
        <v>574</v>
      </c>
      <c r="E4307" t="s">
        <v>740</v>
      </c>
      <c r="F4307" t="s">
        <v>22</v>
      </c>
      <c r="G4307" t="s">
        <v>23</v>
      </c>
      <c r="H4307" t="s">
        <v>37</v>
      </c>
      <c r="I4307" t="s">
        <v>84</v>
      </c>
      <c r="J4307" s="2">
        <v>45693.581689814811</v>
      </c>
      <c r="K4307">
        <v>5</v>
      </c>
      <c r="L4307">
        <v>2</v>
      </c>
      <c r="M4307">
        <v>2025</v>
      </c>
      <c r="N4307" t="s">
        <v>27</v>
      </c>
      <c r="O4307">
        <v>150</v>
      </c>
      <c r="P4307">
        <v>150</v>
      </c>
      <c r="R4307" s="3" t="str">
        <f>HYPERLINK("https://panda.att.com.mx/ODKServer/view/binaryData?blobKey=FSSuministroFluidosv3%5B%40version%3Dnull+and+%40uiVersion%3Dnull%5D%2Fdata%5B%40key%3Duuid%3Ae2758e71-d526-480d-83f3-a7c486d7cdc6%5D%2FgroupInfoFuel%5B%40ordinal%3D1%5D%2FpicFuelRecibeInterno","Descargar")</f>
        <v>Descargar</v>
      </c>
    </row>
    <row r="4308" spans="1:18" x14ac:dyDescent="0.3">
      <c r="A4308">
        <v>1477199</v>
      </c>
      <c r="B4308" t="s">
        <v>18</v>
      </c>
      <c r="C4308" t="s">
        <v>28</v>
      </c>
      <c r="D4308" t="s">
        <v>66</v>
      </c>
      <c r="E4308" t="s">
        <v>1187</v>
      </c>
      <c r="F4308" t="s">
        <v>22</v>
      </c>
      <c r="G4308" t="s">
        <v>23</v>
      </c>
      <c r="H4308" t="s">
        <v>24</v>
      </c>
      <c r="I4308" t="s">
        <v>25</v>
      </c>
      <c r="J4308" s="2">
        <v>45694.670740740738</v>
      </c>
      <c r="K4308">
        <v>6</v>
      </c>
      <c r="L4308">
        <v>2</v>
      </c>
      <c r="M4308">
        <v>2025</v>
      </c>
      <c r="N4308" t="s">
        <v>44</v>
      </c>
      <c r="O4308">
        <v>40</v>
      </c>
      <c r="P4308">
        <v>40</v>
      </c>
      <c r="R4308" s="3" t="str">
        <f>HYPERLINK("https://panda.att.com.mx/ODKServer/view/binaryData?blobKey=FSSuministroFluidosv3%5B%40version%3Dnull+and+%40uiVersion%3Dnull%5D%2Fdata%5B%40key%3Duuid%3A8a6a23ae-5fb9-4ec0-9434-0514f676008f%5D%2FgroupInfoFuel%5B%40ordinal%3D1%5D%2FpicFuelRecibeInterno","Descargar")</f>
        <v>Descargar</v>
      </c>
    </row>
    <row r="4309" spans="1:18" x14ac:dyDescent="0.3">
      <c r="A4309">
        <v>1477198</v>
      </c>
      <c r="B4309" t="s">
        <v>18</v>
      </c>
      <c r="C4309" t="s">
        <v>19</v>
      </c>
      <c r="D4309" t="s">
        <v>347</v>
      </c>
      <c r="E4309" t="s">
        <v>2361</v>
      </c>
      <c r="F4309" t="s">
        <v>22</v>
      </c>
      <c r="G4309" t="s">
        <v>23</v>
      </c>
      <c r="H4309" t="s">
        <v>24</v>
      </c>
      <c r="I4309" t="s">
        <v>25</v>
      </c>
      <c r="J4309" s="2">
        <v>45693.784907407397</v>
      </c>
      <c r="K4309">
        <v>5</v>
      </c>
      <c r="L4309">
        <v>2</v>
      </c>
      <c r="M4309">
        <v>2025</v>
      </c>
      <c r="N4309" t="s">
        <v>44</v>
      </c>
      <c r="O4309">
        <v>60</v>
      </c>
      <c r="P4309">
        <v>60</v>
      </c>
      <c r="R4309" s="3" t="str">
        <f>HYPERLINK("https://panda.att.com.mx/ODKServer/view/binaryData?blobKey=FSSuministroFluidosv3%5B%40version%3Dnull+and+%40uiVersion%3Dnull%5D%2Fdata%5B%40key%3Duuid%3Ae2f3a631-c553-4858-b109-69fdf87612b8%5D%2FgroupInfoFuel%5B%40ordinal%3D1%5D%2FpicFuelRecibeInterno","Descargar")</f>
        <v>Descargar</v>
      </c>
    </row>
    <row r="4310" spans="1:18" x14ac:dyDescent="0.3">
      <c r="A4310">
        <v>1477180</v>
      </c>
      <c r="B4310" t="s">
        <v>18</v>
      </c>
      <c r="C4310" t="s">
        <v>19</v>
      </c>
      <c r="D4310" t="s">
        <v>45</v>
      </c>
      <c r="E4310" t="s">
        <v>752</v>
      </c>
      <c r="F4310" t="s">
        <v>22</v>
      </c>
      <c r="G4310" t="s">
        <v>23</v>
      </c>
      <c r="H4310" t="s">
        <v>24</v>
      </c>
      <c r="I4310" t="s">
        <v>25</v>
      </c>
      <c r="J4310" s="2">
        <v>45692.873993055553</v>
      </c>
      <c r="K4310">
        <v>4</v>
      </c>
      <c r="L4310">
        <v>2</v>
      </c>
      <c r="M4310">
        <v>2025</v>
      </c>
      <c r="N4310" t="s">
        <v>27</v>
      </c>
      <c r="O4310">
        <v>400</v>
      </c>
      <c r="P4310">
        <v>400</v>
      </c>
      <c r="R4310" s="3" t="str">
        <f>HYPERLINK("https://panda.att.com.mx/ODKServer/view/binaryData?blobKey=FSSuministroFluidosv3%5B%40version%3Dnull+and+%40uiVersion%3Dnull%5D%2Fdata%5B%40key%3Duuid%3Ab8e67056-cb2d-496f-995b-e84bb33f2723%5D%2FgroupInfoFuel%5B%40ordinal%3D1%5D%2FpicFuelRecibeInterno","Descargar")</f>
        <v>Descargar</v>
      </c>
    </row>
    <row r="4311" spans="1:18" x14ac:dyDescent="0.3">
      <c r="A4311">
        <v>1477133</v>
      </c>
      <c r="B4311" t="s">
        <v>18</v>
      </c>
      <c r="C4311" t="s">
        <v>59</v>
      </c>
      <c r="D4311" t="s">
        <v>60</v>
      </c>
      <c r="E4311" t="s">
        <v>2207</v>
      </c>
      <c r="F4311" t="s">
        <v>22</v>
      </c>
      <c r="G4311" t="s">
        <v>23</v>
      </c>
      <c r="H4311" t="s">
        <v>37</v>
      </c>
      <c r="I4311" t="s">
        <v>25</v>
      </c>
      <c r="J4311" t="s">
        <v>3113</v>
      </c>
      <c r="K4311">
        <v>31</v>
      </c>
      <c r="L4311">
        <v>1</v>
      </c>
      <c r="M4311">
        <v>2025</v>
      </c>
      <c r="N4311" t="s">
        <v>27</v>
      </c>
      <c r="O4311">
        <v>130</v>
      </c>
      <c r="P4311">
        <v>130</v>
      </c>
      <c r="R4311" s="3" t="str">
        <f>HYPERLINK("https://panda.att.com.mx/ODKServer/view/binaryData?blobKey=FSSuministroFluidosv3%5B%40version%3Dnull+and+%40uiVersion%3Dnull%5D%2Fdata%5B%40key%3Duuid%3A45e42ded-59c8-4ac9-ac79-766ac53b19f4%5D%2FgroupInfoFuel%5B%40ordinal%3D1%5D%2FpicFuelRecibeInterno","Descargar")</f>
        <v>Descargar</v>
      </c>
    </row>
    <row r="4312" spans="1:18" x14ac:dyDescent="0.3">
      <c r="A4312">
        <v>1477132</v>
      </c>
      <c r="B4312" t="s">
        <v>18</v>
      </c>
      <c r="C4312" t="s">
        <v>59</v>
      </c>
      <c r="D4312" t="s">
        <v>60</v>
      </c>
      <c r="E4312" t="s">
        <v>2207</v>
      </c>
      <c r="F4312" t="s">
        <v>22</v>
      </c>
      <c r="G4312" t="s">
        <v>23</v>
      </c>
      <c r="H4312" t="s">
        <v>37</v>
      </c>
      <c r="I4312" t="s">
        <v>25</v>
      </c>
      <c r="J4312" s="2">
        <v>45690.606203703697</v>
      </c>
      <c r="K4312">
        <v>2</v>
      </c>
      <c r="L4312">
        <v>2</v>
      </c>
      <c r="M4312">
        <v>2025</v>
      </c>
      <c r="N4312" t="s">
        <v>27</v>
      </c>
      <c r="O4312">
        <v>130</v>
      </c>
      <c r="P4312">
        <v>130</v>
      </c>
      <c r="R4312" s="3" t="str">
        <f>HYPERLINK("https://panda.att.com.mx/ODKServer/view/binaryData?blobKey=FSSuministroFluidosv3%5B%40version%3Dnull+and+%40uiVersion%3Dnull%5D%2Fdata%5B%40key%3Duuid%3A99347b00-de9f-4d28-93be-6355a6864849%5D%2FgroupInfoFuel%5B%40ordinal%3D1%5D%2FpicFuelRecibeInterno","Descargar")</f>
        <v>Descargar</v>
      </c>
    </row>
    <row r="4313" spans="1:18" x14ac:dyDescent="0.3">
      <c r="A4313">
        <v>1477131</v>
      </c>
      <c r="B4313" t="s">
        <v>18</v>
      </c>
      <c r="C4313" t="s">
        <v>59</v>
      </c>
      <c r="D4313" t="s">
        <v>60</v>
      </c>
      <c r="E4313" t="s">
        <v>2207</v>
      </c>
      <c r="F4313" t="s">
        <v>22</v>
      </c>
      <c r="G4313" t="s">
        <v>23</v>
      </c>
      <c r="H4313" t="s">
        <v>37</v>
      </c>
      <c r="I4313" t="s">
        <v>25</v>
      </c>
      <c r="J4313" s="2">
        <v>45692.489652777767</v>
      </c>
      <c r="K4313">
        <v>4</v>
      </c>
      <c r="L4313">
        <v>2</v>
      </c>
      <c r="M4313">
        <v>2025</v>
      </c>
      <c r="N4313" t="s">
        <v>27</v>
      </c>
      <c r="O4313">
        <v>130</v>
      </c>
      <c r="P4313">
        <v>130</v>
      </c>
      <c r="R4313" s="3" t="str">
        <f>HYPERLINK("https://panda.att.com.mx/ODKServer/view/binaryData?blobKey=FSSuministroFluidosv3%5B%40version%3Dnull+and+%40uiVersion%3Dnull%5D%2Fdata%5B%40key%3Duuid%3A094ff39a-41d5-4284-8270-afa6bc920e6a%5D%2FgroupInfoFuel%5B%40ordinal%3D1%5D%2FpicFuelRecibeInterno","Descargar")</f>
        <v>Descargar</v>
      </c>
    </row>
    <row r="4314" spans="1:18" x14ac:dyDescent="0.3">
      <c r="A4314">
        <v>1477073</v>
      </c>
      <c r="B4314" t="s">
        <v>18</v>
      </c>
      <c r="C4314" t="s">
        <v>100</v>
      </c>
      <c r="D4314" t="s">
        <v>716</v>
      </c>
      <c r="E4314" t="s">
        <v>717</v>
      </c>
      <c r="F4314" t="s">
        <v>22</v>
      </c>
      <c r="G4314" t="s">
        <v>83</v>
      </c>
      <c r="H4314" t="s">
        <v>1781</v>
      </c>
      <c r="I4314" t="s">
        <v>25</v>
      </c>
      <c r="J4314" s="2">
        <v>45694.79215277778</v>
      </c>
      <c r="K4314">
        <v>6</v>
      </c>
      <c r="L4314">
        <v>2</v>
      </c>
      <c r="M4314">
        <v>2025</v>
      </c>
      <c r="N4314" t="s">
        <v>27</v>
      </c>
      <c r="O4314">
        <v>130</v>
      </c>
      <c r="P4314">
        <v>130</v>
      </c>
      <c r="R4314" s="3" t="str">
        <f>HYPERLINK("https://panda.att.com.mx/ODKServer/view/binaryData?blobKey=FSSuministroFluidosv3%5B%40version%3Dnull+and+%40uiVersion%3Dnull%5D%2Fdata%5B%40key%3Duuid%3A62456f60-8df7-45a1-8ebd-978b7e5712bd%5D%2FgroupInfoFuel%5B%40ordinal%3D1%5D%2FpicFuelRecibeInterno","Descargar")</f>
        <v>Descargar</v>
      </c>
    </row>
    <row r="4315" spans="1:18" x14ac:dyDescent="0.3">
      <c r="A4315">
        <v>1477070</v>
      </c>
      <c r="B4315" t="s">
        <v>18</v>
      </c>
      <c r="C4315" t="s">
        <v>19</v>
      </c>
      <c r="D4315" t="s">
        <v>189</v>
      </c>
      <c r="E4315" t="s">
        <v>3050</v>
      </c>
      <c r="F4315" t="s">
        <v>22</v>
      </c>
      <c r="G4315" t="s">
        <v>23</v>
      </c>
      <c r="H4315" t="s">
        <v>24</v>
      </c>
      <c r="I4315" t="s">
        <v>25</v>
      </c>
      <c r="J4315" s="2">
        <v>45694.331377314818</v>
      </c>
      <c r="K4315">
        <v>6</v>
      </c>
      <c r="L4315">
        <v>2</v>
      </c>
      <c r="M4315">
        <v>2025</v>
      </c>
      <c r="N4315" t="s">
        <v>27</v>
      </c>
      <c r="O4315">
        <v>300</v>
      </c>
      <c r="P4315">
        <v>300</v>
      </c>
      <c r="R4315" s="3" t="str">
        <f>HYPERLINK("https://panda.att.com.mx/ODKServer/view/binaryData?blobKey=FSSuministroFluidosv3%5B%40version%3Dnull+and+%40uiVersion%3Dnull%5D%2Fdata%5B%40key%3Duuid%3A6c256b5f-479f-4c96-abba-323d40b26120%5D%2FgroupInfoFuel%5B%40ordinal%3D1%5D%2FpicFuelRecibeInterno","Descargar")</f>
        <v>Descargar</v>
      </c>
    </row>
    <row r="4316" spans="1:18" x14ac:dyDescent="0.3">
      <c r="A4316">
        <v>1477069</v>
      </c>
      <c r="B4316" t="s">
        <v>18</v>
      </c>
      <c r="C4316" t="s">
        <v>19</v>
      </c>
      <c r="D4316" t="s">
        <v>189</v>
      </c>
      <c r="E4316" t="s">
        <v>3050</v>
      </c>
      <c r="F4316" t="s">
        <v>22</v>
      </c>
      <c r="G4316" t="s">
        <v>23</v>
      </c>
      <c r="H4316" t="s">
        <v>24</v>
      </c>
      <c r="I4316" t="s">
        <v>25</v>
      </c>
      <c r="J4316" s="2">
        <v>45692.321689814817</v>
      </c>
      <c r="K4316">
        <v>4</v>
      </c>
      <c r="L4316">
        <v>2</v>
      </c>
      <c r="M4316">
        <v>2025</v>
      </c>
      <c r="N4316" t="s">
        <v>27</v>
      </c>
      <c r="O4316">
        <v>300</v>
      </c>
      <c r="P4316">
        <v>300</v>
      </c>
      <c r="R4316" s="3" t="str">
        <f>HYPERLINK("https://panda.att.com.mx/ODKServer/view/binaryData?blobKey=FSSuministroFluidosv3%5B%40version%3Dnull+and+%40uiVersion%3Dnull%5D%2Fdata%5B%40key%3Duuid%3Ac9b2465d-c58d-4361-94b9-c2e4645facd5%5D%2FgroupInfoFuel%5B%40ordinal%3D1%5D%2FpicFuelRecibeInterno","Descargar")</f>
        <v>Descargar</v>
      </c>
    </row>
    <row r="4317" spans="1:18" x14ac:dyDescent="0.3">
      <c r="A4317">
        <v>1477055</v>
      </c>
      <c r="B4317" t="s">
        <v>18</v>
      </c>
      <c r="C4317" t="s">
        <v>34</v>
      </c>
      <c r="D4317" t="s">
        <v>53</v>
      </c>
      <c r="E4317" t="s">
        <v>3114</v>
      </c>
      <c r="F4317" t="s">
        <v>22</v>
      </c>
      <c r="G4317" t="s">
        <v>23</v>
      </c>
      <c r="H4317" t="s">
        <v>37</v>
      </c>
      <c r="I4317" t="s">
        <v>25</v>
      </c>
      <c r="J4317" s="2">
        <v>45694.784930555557</v>
      </c>
      <c r="K4317">
        <v>6</v>
      </c>
      <c r="L4317">
        <v>2</v>
      </c>
      <c r="M4317">
        <v>2025</v>
      </c>
      <c r="N4317" t="s">
        <v>27</v>
      </c>
      <c r="O4317">
        <v>300</v>
      </c>
      <c r="P4317">
        <v>300</v>
      </c>
      <c r="R4317" s="3" t="str">
        <f>HYPERLINK("https://panda.att.com.mx/ODKServer/view/binaryData?blobKey=FSSuministroFluidosv3%5B%40version%3Dnull+and+%40uiVersion%3Dnull%5D%2Fdata%5B%40key%3Duuid%3Aa7d2ce7b-feb9-4f61-bb22-7408045af53d%5D%2FgroupInfoFuel%5B%40ordinal%3D1%5D%2FpicFuelRecibeInterno","Descargar")</f>
        <v>Descargar</v>
      </c>
    </row>
    <row r="4318" spans="1:18" x14ac:dyDescent="0.3">
      <c r="A4318">
        <v>1477049</v>
      </c>
      <c r="B4318" t="s">
        <v>18</v>
      </c>
      <c r="C4318" t="s">
        <v>34</v>
      </c>
      <c r="D4318" t="s">
        <v>53</v>
      </c>
      <c r="E4318" t="s">
        <v>3115</v>
      </c>
      <c r="F4318" t="s">
        <v>22</v>
      </c>
      <c r="G4318" t="s">
        <v>23</v>
      </c>
      <c r="H4318" t="s">
        <v>37</v>
      </c>
      <c r="I4318" t="s">
        <v>25</v>
      </c>
      <c r="J4318" s="2">
        <v>45694.778749999998</v>
      </c>
      <c r="K4318">
        <v>6</v>
      </c>
      <c r="L4318">
        <v>2</v>
      </c>
      <c r="M4318">
        <v>2025</v>
      </c>
      <c r="N4318" t="s">
        <v>27</v>
      </c>
      <c r="O4318">
        <v>150</v>
      </c>
      <c r="P4318">
        <v>150</v>
      </c>
      <c r="R4318" s="3" t="str">
        <f>HYPERLINK("https://panda.att.com.mx/ODKServer/view/binaryData?blobKey=FSSuministroFluidosv3%5B%40version%3Dnull+and+%40uiVersion%3Dnull%5D%2Fdata%5B%40key%3Duuid%3A7d207fae-14ec-4558-b79d-f6959820cc23%5D%2FgroupInfoFuel%5B%40ordinal%3D1%5D%2FpicFuelRecibeInterno","Descargar")</f>
        <v>Descargar</v>
      </c>
    </row>
    <row r="4319" spans="1:18" x14ac:dyDescent="0.3">
      <c r="A4319">
        <v>1477033</v>
      </c>
      <c r="B4319" t="s">
        <v>18</v>
      </c>
      <c r="C4319" t="s">
        <v>68</v>
      </c>
      <c r="D4319" t="s">
        <v>219</v>
      </c>
      <c r="E4319" t="s">
        <v>3116</v>
      </c>
      <c r="F4319" t="s">
        <v>22</v>
      </c>
      <c r="G4319" t="s">
        <v>23</v>
      </c>
      <c r="H4319" t="s">
        <v>37</v>
      </c>
      <c r="I4319" t="s">
        <v>25</v>
      </c>
      <c r="J4319" s="2">
        <v>45694.557326388887</v>
      </c>
      <c r="K4319">
        <v>6</v>
      </c>
      <c r="L4319">
        <v>2</v>
      </c>
      <c r="M4319">
        <v>2025</v>
      </c>
      <c r="N4319" t="s">
        <v>27</v>
      </c>
      <c r="O4319">
        <v>150</v>
      </c>
      <c r="P4319">
        <v>150</v>
      </c>
      <c r="R4319" s="3" t="str">
        <f>HYPERLINK("https://panda.att.com.mx/ODKServer/view/binaryData?blobKey=FSSuministroFluidosv3%5B%40version%3Dnull+and+%40uiVersion%3Dnull%5D%2Fdata%5B%40key%3Duuid%3A97626b00-9a6b-4e47-a9b6-e88226e62e23%5D%2FgroupInfoFuel%5B%40ordinal%3D1%5D%2FpicFuelRecibeInterno","Descargar")</f>
        <v>Descargar</v>
      </c>
    </row>
    <row r="4320" spans="1:18" x14ac:dyDescent="0.3">
      <c r="A4320">
        <v>1477004</v>
      </c>
      <c r="B4320" t="s">
        <v>18</v>
      </c>
      <c r="C4320" t="s">
        <v>59</v>
      </c>
      <c r="D4320" t="s">
        <v>446</v>
      </c>
      <c r="E4320" t="s">
        <v>922</v>
      </c>
      <c r="F4320" t="s">
        <v>33</v>
      </c>
      <c r="G4320" t="s">
        <v>23</v>
      </c>
      <c r="H4320" t="s">
        <v>37</v>
      </c>
      <c r="I4320" t="s">
        <v>25</v>
      </c>
      <c r="J4320" s="2">
        <v>45694.618171296293</v>
      </c>
      <c r="K4320">
        <v>6</v>
      </c>
      <c r="L4320">
        <v>2</v>
      </c>
      <c r="M4320">
        <v>2025</v>
      </c>
      <c r="N4320" t="s">
        <v>27</v>
      </c>
      <c r="O4320">
        <v>300</v>
      </c>
      <c r="Q4320">
        <v>300</v>
      </c>
      <c r="R4320" s="3" t="str">
        <f>HYPERLINK("https://panda.att.com.mx/ODKServer/view/binaryData?blobKey=FSSuministroFluidosv3%5B%40version%3Dnull+and+%40uiVersion%3Dnull%5D%2Fdata%5B%40key%3Duuid%3A9c05f0ab-24b9-4554-b278-58eb24bb0821%5D%2FgroupInfoFuel%5B%40ordinal%3D1%5D%2FpicFuelRecibeInterno","Descargar")</f>
        <v>Descargar</v>
      </c>
    </row>
    <row r="4321" spans="1:18" x14ac:dyDescent="0.3">
      <c r="A4321">
        <v>1476979</v>
      </c>
      <c r="B4321" t="s">
        <v>18</v>
      </c>
      <c r="C4321" t="s">
        <v>59</v>
      </c>
      <c r="D4321" t="s">
        <v>446</v>
      </c>
      <c r="E4321" t="s">
        <v>3117</v>
      </c>
      <c r="F4321" t="s">
        <v>22</v>
      </c>
      <c r="G4321" t="s">
        <v>23</v>
      </c>
      <c r="H4321" t="s">
        <v>37</v>
      </c>
      <c r="I4321" t="s">
        <v>25</v>
      </c>
      <c r="J4321" s="2">
        <v>45694.576238425929</v>
      </c>
      <c r="K4321">
        <v>6</v>
      </c>
      <c r="L4321">
        <v>2</v>
      </c>
      <c r="M4321">
        <v>2025</v>
      </c>
      <c r="N4321" t="s">
        <v>27</v>
      </c>
      <c r="O4321">
        <v>150</v>
      </c>
      <c r="P4321">
        <v>150</v>
      </c>
      <c r="R4321" s="3" t="str">
        <f>HYPERLINK("https://panda.att.com.mx/ODKServer/view/binaryData?blobKey=FSSuministroFluidosv3%5B%40version%3Dnull+and+%40uiVersion%3Dnull%5D%2Fdata%5B%40key%3Duuid%3A4a81f745-d167-4431-98ee-d3c658583da5%5D%2FgroupInfoFuel%5B%40ordinal%3D1%5D%2FpicFuelRecibeInterno","Descargar")</f>
        <v>Descargar</v>
      </c>
    </row>
    <row r="4322" spans="1:18" x14ac:dyDescent="0.3">
      <c r="A4322">
        <v>1476963</v>
      </c>
      <c r="B4322" t="s">
        <v>18</v>
      </c>
      <c r="C4322" t="s">
        <v>19</v>
      </c>
      <c r="D4322" t="s">
        <v>45</v>
      </c>
      <c r="E4322" t="s">
        <v>2168</v>
      </c>
      <c r="F4322" t="s">
        <v>22</v>
      </c>
      <c r="G4322" t="s">
        <v>23</v>
      </c>
      <c r="H4322" t="s">
        <v>24</v>
      </c>
      <c r="I4322" t="s">
        <v>25</v>
      </c>
      <c r="J4322" s="2">
        <v>45693.682893518519</v>
      </c>
      <c r="K4322">
        <v>5</v>
      </c>
      <c r="L4322">
        <v>2</v>
      </c>
      <c r="M4322">
        <v>2025</v>
      </c>
      <c r="N4322" t="s">
        <v>44</v>
      </c>
      <c r="O4322">
        <v>30</v>
      </c>
      <c r="P4322">
        <v>30</v>
      </c>
      <c r="R4322" s="3" t="str">
        <f>HYPERLINK("https://panda.att.com.mx/ODKServer/view/binaryData?blobKey=FSSuministroFluidosv3%5B%40version%3Dnull+and+%40uiVersion%3Dnull%5D%2Fdata%5B%40key%3Duuid%3A9083e13d-0abf-423a-bd1b-71f94f42cd01%5D%2FgroupInfoFuel%5B%40ordinal%3D1%5D%2FpicFuelRecibeInterno","Descargar")</f>
        <v>Descargar</v>
      </c>
    </row>
    <row r="4323" spans="1:18" x14ac:dyDescent="0.3">
      <c r="A4323">
        <v>1476923</v>
      </c>
      <c r="B4323" t="s">
        <v>18</v>
      </c>
      <c r="C4323" t="s">
        <v>59</v>
      </c>
      <c r="D4323" t="s">
        <v>60</v>
      </c>
      <c r="E4323" t="s">
        <v>2207</v>
      </c>
      <c r="F4323" t="s">
        <v>22</v>
      </c>
      <c r="G4323" t="s">
        <v>23</v>
      </c>
      <c r="H4323" t="s">
        <v>37</v>
      </c>
      <c r="I4323" t="s">
        <v>25</v>
      </c>
      <c r="J4323" s="2">
        <v>45692.85527777778</v>
      </c>
      <c r="K4323">
        <v>4</v>
      </c>
      <c r="L4323">
        <v>2</v>
      </c>
      <c r="M4323">
        <v>2025</v>
      </c>
      <c r="N4323" t="s">
        <v>27</v>
      </c>
      <c r="O4323">
        <v>120</v>
      </c>
      <c r="P4323">
        <v>120</v>
      </c>
      <c r="R4323" s="3" t="str">
        <f>HYPERLINK("https://panda.att.com.mx/ODKServer/view/binaryData?blobKey=FSSuministroFluidosv3%5B%40version%3Dnull+and+%40uiVersion%3Dnull%5D%2Fdata%5B%40key%3Duuid%3A93fb204d-aa16-4d1a-a62d-bec46461cdcb%5D%2FgroupInfoFuel%5B%40ordinal%3D1%5D%2FpicFuelRecibeInterno","Descargar")</f>
        <v>Descargar</v>
      </c>
    </row>
    <row r="4324" spans="1:18" x14ac:dyDescent="0.3">
      <c r="A4324">
        <v>1476829</v>
      </c>
      <c r="B4324" t="s">
        <v>18</v>
      </c>
      <c r="C4324" t="s">
        <v>150</v>
      </c>
      <c r="D4324" t="s">
        <v>164</v>
      </c>
      <c r="E4324" t="s">
        <v>3118</v>
      </c>
      <c r="F4324" t="s">
        <v>22</v>
      </c>
      <c r="G4324" t="s">
        <v>23</v>
      </c>
      <c r="H4324" t="s">
        <v>1781</v>
      </c>
      <c r="I4324" t="s">
        <v>25</v>
      </c>
      <c r="J4324" s="2">
        <v>45694.540081018517</v>
      </c>
      <c r="K4324">
        <v>6</v>
      </c>
      <c r="L4324">
        <v>2</v>
      </c>
      <c r="M4324">
        <v>2025</v>
      </c>
      <c r="N4324" t="s">
        <v>27</v>
      </c>
      <c r="O4324">
        <v>170</v>
      </c>
      <c r="P4324">
        <v>170</v>
      </c>
      <c r="R4324" s="3" t="str">
        <f>HYPERLINK("https://panda.att.com.mx/ODKServer/view/binaryData?blobKey=FSSuministroFluidosv3%5B%40version%3Dnull+and+%40uiVersion%3Dnull%5D%2Fdata%5B%40key%3Duuid%3A53c8d5d2-c90a-463f-99d8-963adc0a06d0%5D%2FgroupInfoFuel%5B%40ordinal%3D1%5D%2FpicFuelRecibeInterno","Descargar")</f>
        <v>Descargar</v>
      </c>
    </row>
    <row r="4325" spans="1:18" x14ac:dyDescent="0.3">
      <c r="A4325">
        <v>1478873</v>
      </c>
      <c r="B4325" t="s">
        <v>18</v>
      </c>
      <c r="C4325" t="s">
        <v>100</v>
      </c>
      <c r="D4325" t="s">
        <v>854</v>
      </c>
      <c r="E4325" t="s">
        <v>993</v>
      </c>
      <c r="F4325" t="s">
        <v>22</v>
      </c>
      <c r="G4325" t="s">
        <v>83</v>
      </c>
      <c r="H4325" t="s">
        <v>1781</v>
      </c>
      <c r="I4325" t="s">
        <v>25</v>
      </c>
      <c r="J4325" s="2">
        <v>45698.485486111109</v>
      </c>
      <c r="K4325">
        <v>10</v>
      </c>
      <c r="L4325">
        <v>2</v>
      </c>
      <c r="M4325">
        <v>2025</v>
      </c>
      <c r="N4325" t="s">
        <v>27</v>
      </c>
      <c r="O4325">
        <v>220</v>
      </c>
      <c r="P4325">
        <v>220</v>
      </c>
      <c r="R4325" s="3" t="str">
        <f>HYPERLINK("https://panda.att.com.mx/ODKServer/view/binaryData?blobKey=FSSuministroFluidosv3%5B%40version%3Dnull+and+%40uiVersion%3Dnull%5D%2Fdata%5B%40key%3Duuid%3A29ffc3a4-a338-4e07-9bb1-e0bef07c3ca4%5D%2FgroupInfoFuel%5B%40ordinal%3D1%5D%2FpicFuelRecibeInterno","Descargar")</f>
        <v>Descargar</v>
      </c>
    </row>
    <row r="4326" spans="1:18" x14ac:dyDescent="0.3">
      <c r="A4326">
        <v>1478827</v>
      </c>
      <c r="B4326" t="s">
        <v>18</v>
      </c>
      <c r="C4326" t="s">
        <v>19</v>
      </c>
      <c r="D4326" t="s">
        <v>189</v>
      </c>
      <c r="E4326" t="s">
        <v>3050</v>
      </c>
      <c r="F4326" t="s">
        <v>22</v>
      </c>
      <c r="G4326" t="s">
        <v>23</v>
      </c>
      <c r="H4326" t="s">
        <v>24</v>
      </c>
      <c r="I4326" t="s">
        <v>25</v>
      </c>
      <c r="J4326" s="2">
        <v>45696.513055555559</v>
      </c>
      <c r="K4326">
        <v>8</v>
      </c>
      <c r="L4326">
        <v>2</v>
      </c>
      <c r="M4326">
        <v>2025</v>
      </c>
      <c r="N4326" t="s">
        <v>27</v>
      </c>
      <c r="O4326">
        <v>300</v>
      </c>
      <c r="P4326">
        <v>300</v>
      </c>
      <c r="R4326" s="3" t="str">
        <f>HYPERLINK("https://panda.att.com.mx/ODKServer/view/binaryData?blobKey=FSSuministroFluidosv3%5B%40version%3Dnull+and+%40uiVersion%3Dnull%5D%2Fdata%5B%40key%3Duuid%3A24d69775-951a-4f9e-a28c-c1fb5a68a7ec%5D%2FgroupInfoFuel%5B%40ordinal%3D1%5D%2FpicFuelRecibeInterno","Descargar")</f>
        <v>Descargar</v>
      </c>
    </row>
    <row r="4327" spans="1:18" x14ac:dyDescent="0.3">
      <c r="A4327">
        <v>1478743</v>
      </c>
      <c r="B4327" t="s">
        <v>18</v>
      </c>
      <c r="C4327" t="s">
        <v>167</v>
      </c>
      <c r="D4327" t="s">
        <v>168</v>
      </c>
      <c r="E4327" t="s">
        <v>266</v>
      </c>
      <c r="F4327" t="s">
        <v>22</v>
      </c>
      <c r="G4327" t="s">
        <v>83</v>
      </c>
      <c r="H4327" t="s">
        <v>58</v>
      </c>
      <c r="I4327" t="s">
        <v>25</v>
      </c>
      <c r="J4327" s="2">
        <v>45698.517071759263</v>
      </c>
      <c r="K4327">
        <v>10</v>
      </c>
      <c r="L4327">
        <v>2</v>
      </c>
      <c r="M4327">
        <v>2025</v>
      </c>
      <c r="N4327" t="s">
        <v>27</v>
      </c>
      <c r="O4327">
        <v>450</v>
      </c>
      <c r="P4327">
        <v>450</v>
      </c>
      <c r="R4327" s="3" t="str">
        <f>HYPERLINK("https://panda.att.com.mx/ODKServer/view/binaryData?blobKey=FSSuministroFluidosv3%5B%40version%3Dnull+and+%40uiVersion%3Dnull%5D%2Fdata%5B%40key%3Duuid%3A790702e3-1e54-40ce-add9-5a8660f7ce39%5D%2FgroupInfoFuel%5B%40ordinal%3D1%5D%2FpicFuelRecibeInterno","Descargar")</f>
        <v>Descargar</v>
      </c>
    </row>
    <row r="4328" spans="1:18" x14ac:dyDescent="0.3">
      <c r="A4328">
        <v>1478556</v>
      </c>
      <c r="B4328" t="s">
        <v>18</v>
      </c>
      <c r="C4328" t="s">
        <v>59</v>
      </c>
      <c r="D4328" t="s">
        <v>60</v>
      </c>
      <c r="E4328" t="s">
        <v>2207</v>
      </c>
      <c r="F4328" t="s">
        <v>22</v>
      </c>
      <c r="G4328" t="s">
        <v>23</v>
      </c>
      <c r="H4328" t="s">
        <v>37</v>
      </c>
      <c r="I4328" t="s">
        <v>25</v>
      </c>
      <c r="J4328" s="2">
        <v>45695.935393518521</v>
      </c>
      <c r="K4328">
        <v>7</v>
      </c>
      <c r="L4328">
        <v>2</v>
      </c>
      <c r="M4328">
        <v>2025</v>
      </c>
      <c r="N4328" t="s">
        <v>27</v>
      </c>
      <c r="O4328">
        <v>120</v>
      </c>
      <c r="P4328">
        <v>120</v>
      </c>
      <c r="R4328" s="3" t="str">
        <f>HYPERLINK("https://panda.att.com.mx/ODKServer/view/binaryData?blobKey=FSSuministroFluidosv3%5B%40version%3Dnull+and+%40uiVersion%3Dnull%5D%2Fdata%5B%40key%3Duuid%3A8bbeb018-0156-4684-9840-74de97205d61%5D%2FgroupInfoFuel%5B%40ordinal%3D1%5D%2FpicFuelRecibeInterno","Descargar")</f>
        <v>Descargar</v>
      </c>
    </row>
    <row r="4329" spans="1:18" x14ac:dyDescent="0.3">
      <c r="A4329">
        <v>1478532</v>
      </c>
      <c r="B4329" t="s">
        <v>18</v>
      </c>
      <c r="C4329" t="s">
        <v>59</v>
      </c>
      <c r="D4329" t="s">
        <v>307</v>
      </c>
      <c r="E4329" t="s">
        <v>3119</v>
      </c>
      <c r="F4329" t="s">
        <v>22</v>
      </c>
      <c r="G4329" t="s">
        <v>23</v>
      </c>
      <c r="H4329" t="s">
        <v>37</v>
      </c>
      <c r="I4329" t="s">
        <v>84</v>
      </c>
      <c r="J4329" s="2">
        <v>45693.773298611108</v>
      </c>
      <c r="K4329">
        <v>5</v>
      </c>
      <c r="L4329">
        <v>2</v>
      </c>
      <c r="M4329">
        <v>2025</v>
      </c>
      <c r="N4329" t="s">
        <v>27</v>
      </c>
      <c r="O4329">
        <v>300</v>
      </c>
      <c r="Q4329">
        <v>300</v>
      </c>
      <c r="R4329" s="3" t="str">
        <f>HYPERLINK("https://panda.att.com.mx/ODKServer/view/binaryData?blobKey=FSSuministroFluidosv3%5B%40version%3Dnull+and+%40uiVersion%3Dnull%5D%2Fdata%5B%40key%3Duuid%3A299669b6-7509-405c-9516-195f72c4873b%5D%2FgroupInfoFuel%5B%40ordinal%3D1%5D%2FpicFuelRecibeInterno","Descargar")</f>
        <v>Descargar</v>
      </c>
    </row>
    <row r="4330" spans="1:18" x14ac:dyDescent="0.3">
      <c r="A4330">
        <v>1478406</v>
      </c>
      <c r="B4330" t="s">
        <v>18</v>
      </c>
      <c r="C4330" t="s">
        <v>34</v>
      </c>
      <c r="D4330" t="s">
        <v>121</v>
      </c>
      <c r="E4330" t="s">
        <v>3102</v>
      </c>
      <c r="F4330" t="s">
        <v>22</v>
      </c>
      <c r="G4330" t="s">
        <v>23</v>
      </c>
      <c r="H4330" t="s">
        <v>37</v>
      </c>
      <c r="I4330" t="s">
        <v>25</v>
      </c>
      <c r="J4330" s="2">
        <v>45695.368113425917</v>
      </c>
      <c r="K4330">
        <v>7</v>
      </c>
      <c r="L4330">
        <v>2</v>
      </c>
      <c r="M4330">
        <v>2025</v>
      </c>
      <c r="N4330" t="s">
        <v>27</v>
      </c>
      <c r="O4330">
        <v>200</v>
      </c>
      <c r="P4330">
        <v>200</v>
      </c>
      <c r="R4330" s="3" t="str">
        <f>HYPERLINK("https://panda.att.com.mx/ODKServer/view/binaryData?blobKey=FSSuministroFluidosv3%5B%40version%3Dnull+and+%40uiVersion%3Dnull%5D%2Fdata%5B%40key%3Duuid%3A20f7ef18-2d23-436e-bb88-baf6a12554c3%5D%2FgroupInfoFuel%5B%40ordinal%3D1%5D%2FpicFuelRecibeInterno","Descargar")</f>
        <v>Descargar</v>
      </c>
    </row>
    <row r="4331" spans="1:18" x14ac:dyDescent="0.3">
      <c r="A4331">
        <v>1478357</v>
      </c>
      <c r="B4331" t="s">
        <v>18</v>
      </c>
      <c r="C4331" t="s">
        <v>55</v>
      </c>
      <c r="D4331" t="s">
        <v>210</v>
      </c>
      <c r="E4331" t="s">
        <v>1913</v>
      </c>
      <c r="F4331" t="s">
        <v>22</v>
      </c>
      <c r="G4331" t="s">
        <v>47</v>
      </c>
      <c r="H4331" t="s">
        <v>1763</v>
      </c>
      <c r="I4331" t="s">
        <v>25</v>
      </c>
      <c r="J4331" s="2">
        <v>45694.435937499999</v>
      </c>
      <c r="K4331">
        <v>6</v>
      </c>
      <c r="L4331">
        <v>2</v>
      </c>
      <c r="M4331">
        <v>2025</v>
      </c>
      <c r="N4331" t="s">
        <v>27</v>
      </c>
      <c r="O4331">
        <v>250</v>
      </c>
      <c r="Q4331">
        <v>250</v>
      </c>
      <c r="R4331" s="3" t="str">
        <f>HYPERLINK("https://panda.att.com.mx/ODKServer/view/binaryData?blobKey=FSSuministroFluidosv3%5B%40version%3Dnull+and+%40uiVersion%3Dnull%5D%2Fdata%5B%40key%3Duuid%3A10100ee8-29f2-4a64-a945-a6849f951113%5D%2FgroupInfoFuel%5B%40ordinal%3D1%5D%2FpicFuelRecibeInterno","Descargar")</f>
        <v>Descargar</v>
      </c>
    </row>
    <row r="4332" spans="1:18" x14ac:dyDescent="0.3">
      <c r="A4332">
        <v>1478317</v>
      </c>
      <c r="B4332" t="s">
        <v>18</v>
      </c>
      <c r="C4332" t="s">
        <v>28</v>
      </c>
      <c r="D4332" t="s">
        <v>1054</v>
      </c>
      <c r="E4332" t="s">
        <v>3120</v>
      </c>
      <c r="F4332" t="s">
        <v>22</v>
      </c>
      <c r="G4332" t="s">
        <v>23</v>
      </c>
      <c r="H4332" t="s">
        <v>24</v>
      </c>
      <c r="I4332" t="s">
        <v>25</v>
      </c>
      <c r="J4332" s="2">
        <v>45695.410532407397</v>
      </c>
      <c r="K4332">
        <v>7</v>
      </c>
      <c r="L4332">
        <v>2</v>
      </c>
      <c r="M4332">
        <v>2025</v>
      </c>
      <c r="N4332" t="s">
        <v>44</v>
      </c>
      <c r="O4332">
        <v>30</v>
      </c>
      <c r="P4332">
        <v>30</v>
      </c>
      <c r="R4332" s="3" t="str">
        <f>HYPERLINK("https://panda.att.com.mx/ODKServer/view/binaryData?blobKey=FSSuministroFluidosv3%5B%40version%3Dnull+and+%40uiVersion%3Dnull%5D%2Fdata%5B%40key%3Duuid%3Af5f49063-2283-42ea-aa11-1d1c7b77d624%5D%2FgroupInfoFuel%5B%40ordinal%3D1%5D%2FpicFuelRecibeInterno","Descargar")</f>
        <v>Descargar</v>
      </c>
    </row>
    <row r="4333" spans="1:18" x14ac:dyDescent="0.3">
      <c r="A4333">
        <v>1478306</v>
      </c>
      <c r="B4333" t="s">
        <v>18</v>
      </c>
      <c r="C4333" t="s">
        <v>100</v>
      </c>
      <c r="D4333" t="s">
        <v>716</v>
      </c>
      <c r="E4333" t="s">
        <v>717</v>
      </c>
      <c r="F4333" t="s">
        <v>22</v>
      </c>
      <c r="G4333" t="s">
        <v>83</v>
      </c>
      <c r="H4333" t="s">
        <v>1781</v>
      </c>
      <c r="I4333" t="s">
        <v>25</v>
      </c>
      <c r="J4333" s="2">
        <v>45696.817314814813</v>
      </c>
      <c r="K4333">
        <v>8</v>
      </c>
      <c r="L4333">
        <v>2</v>
      </c>
      <c r="M4333">
        <v>2025</v>
      </c>
      <c r="N4333" t="s">
        <v>27</v>
      </c>
      <c r="O4333">
        <v>126</v>
      </c>
      <c r="P4333">
        <v>126</v>
      </c>
      <c r="R4333" s="3" t="str">
        <f>HYPERLINK("https://panda.att.com.mx/ODKServer/view/binaryData?blobKey=FSSuministroFluidosv3%5B%40version%3Dnull+and+%40uiVersion%3Dnull%5D%2Fdata%5B%40key%3Duuid%3A25d2dc55-629c-40ea-b043-f34544520ded%5D%2FgroupInfoFuel%5B%40ordinal%3D1%5D%2FpicFuelRecibeInterno","Descargar")</f>
        <v>Descargar</v>
      </c>
    </row>
    <row r="4334" spans="1:18" x14ac:dyDescent="0.3">
      <c r="A4334">
        <v>1478269</v>
      </c>
      <c r="B4334" t="s">
        <v>18</v>
      </c>
      <c r="C4334" t="s">
        <v>19</v>
      </c>
      <c r="D4334" t="s">
        <v>20</v>
      </c>
      <c r="E4334" t="s">
        <v>166</v>
      </c>
      <c r="F4334" t="s">
        <v>22</v>
      </c>
      <c r="G4334" t="s">
        <v>23</v>
      </c>
      <c r="H4334" t="s">
        <v>24</v>
      </c>
      <c r="I4334" t="s">
        <v>25</v>
      </c>
      <c r="J4334" s="2">
        <v>45696.717210648138</v>
      </c>
      <c r="K4334">
        <v>8</v>
      </c>
      <c r="L4334">
        <v>2</v>
      </c>
      <c r="M4334">
        <v>2025</v>
      </c>
      <c r="N4334" t="s">
        <v>27</v>
      </c>
      <c r="O4334">
        <v>400</v>
      </c>
      <c r="P4334">
        <v>400</v>
      </c>
      <c r="R4334" s="3" t="str">
        <f>HYPERLINK("https://panda.att.com.mx/ODKServer/view/binaryData?blobKey=FSSuministroFluidosv3%5B%40version%3Dnull+and+%40uiVersion%3Dnull%5D%2Fdata%5B%40key%3Duuid%3A827e5c8e-5004-4043-8c2b-b59fc2de9c33%5D%2FgroupInfoFuel%5B%40ordinal%3D1%5D%2FpicFuelRecibeInterno","Descargar")</f>
        <v>Descargar</v>
      </c>
    </row>
    <row r="4335" spans="1:18" x14ac:dyDescent="0.3">
      <c r="A4335">
        <v>1478239</v>
      </c>
      <c r="B4335" t="s">
        <v>18</v>
      </c>
      <c r="C4335" t="s">
        <v>100</v>
      </c>
      <c r="D4335" t="s">
        <v>651</v>
      </c>
      <c r="E4335" t="s">
        <v>1833</v>
      </c>
      <c r="F4335" t="s">
        <v>22</v>
      </c>
      <c r="G4335" t="s">
        <v>83</v>
      </c>
      <c r="H4335" t="s">
        <v>1781</v>
      </c>
      <c r="I4335" t="s">
        <v>25</v>
      </c>
      <c r="J4335" s="2">
        <v>45695.541087962964</v>
      </c>
      <c r="K4335">
        <v>7</v>
      </c>
      <c r="L4335">
        <v>2</v>
      </c>
      <c r="M4335">
        <v>2025</v>
      </c>
      <c r="N4335" t="s">
        <v>27</v>
      </c>
      <c r="O4335">
        <v>180</v>
      </c>
      <c r="P4335">
        <v>180</v>
      </c>
      <c r="R4335" s="3" t="str">
        <f>HYPERLINK("https://panda.att.com.mx/ODKServer/view/binaryData?blobKey=FSSuministroFluidosv3%5B%40version%3Dnull+and+%40uiVersion%3Dnull%5D%2Fdata%5B%40key%3Duuid%3A3d853c63-17e9-474f-b45f-9423fdf71549%5D%2FgroupInfoFuel%5B%40ordinal%3D1%5D%2FpicFuelRecibeInterno","Descargar")</f>
        <v>Descargar</v>
      </c>
    </row>
    <row r="4336" spans="1:18" x14ac:dyDescent="0.3">
      <c r="A4336">
        <v>1478101</v>
      </c>
      <c r="B4336" t="s">
        <v>18</v>
      </c>
      <c r="C4336" t="s">
        <v>55</v>
      </c>
      <c r="D4336" t="s">
        <v>56</v>
      </c>
      <c r="E4336" t="s">
        <v>1993</v>
      </c>
      <c r="F4336" t="s">
        <v>22</v>
      </c>
      <c r="G4336" t="s">
        <v>47</v>
      </c>
      <c r="H4336" t="s">
        <v>1763</v>
      </c>
      <c r="I4336" t="s">
        <v>25</v>
      </c>
      <c r="J4336" t="s">
        <v>3121</v>
      </c>
      <c r="K4336">
        <v>30</v>
      </c>
      <c r="L4336">
        <v>1</v>
      </c>
      <c r="M4336">
        <v>2025</v>
      </c>
      <c r="N4336" t="s">
        <v>27</v>
      </c>
      <c r="O4336">
        <v>100</v>
      </c>
      <c r="P4336">
        <v>100</v>
      </c>
      <c r="R4336" s="3" t="str">
        <f>HYPERLINK("https://panda.att.com.mx/ODKServer/view/binaryData?blobKey=FSSuministroFluidosv3%5B%40version%3Dnull+and+%40uiVersion%3Dnull%5D%2Fdata%5B%40key%3Duuid%3A559bd008-b246-484a-bce6-7d71eb1dc775%5D%2FgroupInfoFuel%5B%40ordinal%3D1%5D%2FpicFuelRecibeInterno","Descargar")</f>
        <v>Descargar</v>
      </c>
    </row>
    <row r="4337" spans="1:18" x14ac:dyDescent="0.3">
      <c r="A4337">
        <v>1478069</v>
      </c>
      <c r="B4337" t="s">
        <v>18</v>
      </c>
      <c r="C4337" t="s">
        <v>34</v>
      </c>
      <c r="D4337" t="s">
        <v>53</v>
      </c>
      <c r="E4337" t="s">
        <v>3010</v>
      </c>
      <c r="F4337" t="s">
        <v>22</v>
      </c>
      <c r="G4337" t="s">
        <v>23</v>
      </c>
      <c r="H4337" t="s">
        <v>37</v>
      </c>
      <c r="I4337" t="s">
        <v>84</v>
      </c>
      <c r="J4337" s="2">
        <v>45695.928865740738</v>
      </c>
      <c r="K4337">
        <v>7</v>
      </c>
      <c r="L4337">
        <v>2</v>
      </c>
      <c r="M4337">
        <v>2025</v>
      </c>
      <c r="N4337" t="s">
        <v>27</v>
      </c>
      <c r="O4337">
        <v>200</v>
      </c>
      <c r="P4337">
        <v>200</v>
      </c>
      <c r="R4337" s="3" t="str">
        <f>HYPERLINK("https://panda.att.com.mx/ODKServer/view/binaryData?blobKey=FSSuministroFluidosv3%5B%40version%3Dnull+and+%40uiVersion%3Dnull%5D%2Fdata%5B%40key%3Duuid%3Ab3474cd6-5c85-47e3-9c97-e94f969db47b%5D%2FgroupInfoFuel%5B%40ordinal%3D1%5D%2FpicFuelRecibeInterno","Descargar")</f>
        <v>Descargar</v>
      </c>
    </row>
    <row r="4338" spans="1:18" x14ac:dyDescent="0.3">
      <c r="A4338">
        <v>1478068</v>
      </c>
      <c r="B4338" t="s">
        <v>18</v>
      </c>
      <c r="C4338" t="s">
        <v>59</v>
      </c>
      <c r="D4338" t="s">
        <v>60</v>
      </c>
      <c r="E4338" t="s">
        <v>2207</v>
      </c>
      <c r="F4338" t="s">
        <v>22</v>
      </c>
      <c r="G4338" t="s">
        <v>23</v>
      </c>
      <c r="H4338" t="s">
        <v>37</v>
      </c>
      <c r="I4338" t="s">
        <v>25</v>
      </c>
      <c r="J4338" s="2">
        <v>45694.352766203701</v>
      </c>
      <c r="K4338">
        <v>6</v>
      </c>
      <c r="L4338">
        <v>2</v>
      </c>
      <c r="M4338">
        <v>2025</v>
      </c>
      <c r="N4338" t="s">
        <v>27</v>
      </c>
      <c r="O4338">
        <v>130</v>
      </c>
      <c r="P4338">
        <v>130</v>
      </c>
      <c r="R4338" s="3" t="str">
        <f>HYPERLINK("https://panda.att.com.mx/ODKServer/view/binaryData?blobKey=FSSuministroFluidosv3%5B%40version%3Dnull+and+%40uiVersion%3Dnull%5D%2Fdata%5B%40key%3Duuid%3A18a24c7e-0484-4f0d-b3ca-22b22c012fa9%5D%2FgroupInfoFuel%5B%40ordinal%3D1%5D%2FpicFuelRecibeInterno","Descargar")</f>
        <v>Descargar</v>
      </c>
    </row>
    <row r="4339" spans="1:18" x14ac:dyDescent="0.3">
      <c r="A4339">
        <v>1477971</v>
      </c>
      <c r="B4339" t="s">
        <v>18</v>
      </c>
      <c r="C4339" t="s">
        <v>34</v>
      </c>
      <c r="D4339" t="s">
        <v>292</v>
      </c>
      <c r="E4339" t="s">
        <v>293</v>
      </c>
      <c r="F4339" t="s">
        <v>22</v>
      </c>
      <c r="G4339" t="s">
        <v>23</v>
      </c>
      <c r="H4339" t="s">
        <v>37</v>
      </c>
      <c r="I4339" t="s">
        <v>25</v>
      </c>
      <c r="J4339" s="2">
        <v>45695.806122685193</v>
      </c>
      <c r="K4339">
        <v>7</v>
      </c>
      <c r="L4339">
        <v>2</v>
      </c>
      <c r="M4339">
        <v>2025</v>
      </c>
      <c r="N4339" t="s">
        <v>27</v>
      </c>
      <c r="O4339">
        <v>500</v>
      </c>
      <c r="P4339">
        <v>500</v>
      </c>
      <c r="R4339" s="3" t="str">
        <f>HYPERLINK("https://panda.att.com.mx/ODKServer/view/binaryData?blobKey=FSSuministroFluidosv3%5B%40version%3Dnull+and+%40uiVersion%3Dnull%5D%2Fdata%5B%40key%3Duuid%3A1743a718-ba4c-478e-959d-b7d952461125%5D%2FgroupInfoFuel%5B%40ordinal%3D1%5D%2FpicFuelRecibeInterno","Descargar")</f>
        <v>Descargar</v>
      </c>
    </row>
    <row r="4340" spans="1:18" x14ac:dyDescent="0.3">
      <c r="A4340">
        <v>1477902</v>
      </c>
      <c r="B4340" t="s">
        <v>18</v>
      </c>
      <c r="C4340" t="s">
        <v>100</v>
      </c>
      <c r="D4340" t="s">
        <v>854</v>
      </c>
      <c r="E4340" t="s">
        <v>993</v>
      </c>
      <c r="F4340" t="s">
        <v>22</v>
      </c>
      <c r="G4340" t="s">
        <v>83</v>
      </c>
      <c r="H4340" t="s">
        <v>1781</v>
      </c>
      <c r="I4340" t="s">
        <v>25</v>
      </c>
      <c r="J4340" s="2">
        <v>45695.505115740743</v>
      </c>
      <c r="K4340">
        <v>7</v>
      </c>
      <c r="L4340">
        <v>2</v>
      </c>
      <c r="M4340">
        <v>2025</v>
      </c>
      <c r="N4340" t="s">
        <v>27</v>
      </c>
      <c r="O4340">
        <v>220</v>
      </c>
      <c r="P4340">
        <v>220</v>
      </c>
      <c r="R4340" s="3" t="str">
        <f>HYPERLINK("https://panda.att.com.mx/ODKServer/view/binaryData?blobKey=FSSuministroFluidosv3%5B%40version%3Dnull+and+%40uiVersion%3Dnull%5D%2Fdata%5B%40key%3Duuid%3Af85dd1f5-b015-4d44-87c6-066dade980f5%5D%2FgroupInfoFuel%5B%40ordinal%3D1%5D%2FpicFuelRecibeInterno","Descargar")</f>
        <v>Descargar</v>
      </c>
    </row>
    <row r="4341" spans="1:18" x14ac:dyDescent="0.3">
      <c r="A4341">
        <v>1477847</v>
      </c>
      <c r="B4341" t="s">
        <v>18</v>
      </c>
      <c r="C4341" t="s">
        <v>183</v>
      </c>
      <c r="D4341" t="s">
        <v>329</v>
      </c>
      <c r="E4341" t="s">
        <v>2257</v>
      </c>
      <c r="F4341" t="s">
        <v>22</v>
      </c>
      <c r="G4341" t="s">
        <v>23</v>
      </c>
      <c r="H4341" t="s">
        <v>24</v>
      </c>
      <c r="I4341" t="s">
        <v>25</v>
      </c>
      <c r="J4341" s="2">
        <v>45695.385104166657</v>
      </c>
      <c r="K4341">
        <v>7</v>
      </c>
      <c r="L4341">
        <v>2</v>
      </c>
      <c r="M4341">
        <v>2025</v>
      </c>
      <c r="N4341" t="s">
        <v>27</v>
      </c>
      <c r="O4341">
        <v>350</v>
      </c>
      <c r="P4341">
        <v>350</v>
      </c>
      <c r="R4341" s="3" t="str">
        <f>HYPERLINK("https://panda.att.com.mx/ODKServer/view/binaryData?blobKey=FSSuministroFluidosv3%5B%40version%3Dnull+and+%40uiVersion%3Dnull%5D%2Fdata%5B%40key%3Duuid%3Abd2a8a4b-432f-4e38-a6e9-fab711c21eaa%5D%2FgroupInfoFuel%5B%40ordinal%3D1%5D%2FpicFuelRecibeInterno","Descargar")</f>
        <v>Descargar</v>
      </c>
    </row>
    <row r="4342" spans="1:18" x14ac:dyDescent="0.3">
      <c r="A4342">
        <v>1477800</v>
      </c>
      <c r="B4342" t="s">
        <v>18</v>
      </c>
      <c r="C4342" t="s">
        <v>55</v>
      </c>
      <c r="D4342" t="s">
        <v>56</v>
      </c>
      <c r="E4342" t="s">
        <v>320</v>
      </c>
      <c r="F4342" t="s">
        <v>22</v>
      </c>
      <c r="G4342" t="s">
        <v>47</v>
      </c>
      <c r="H4342" t="s">
        <v>1763</v>
      </c>
      <c r="I4342" t="s">
        <v>25</v>
      </c>
      <c r="J4342" s="2">
        <v>45695.670023148137</v>
      </c>
      <c r="K4342">
        <v>7</v>
      </c>
      <c r="L4342">
        <v>2</v>
      </c>
      <c r="M4342">
        <v>2025</v>
      </c>
      <c r="N4342" t="s">
        <v>27</v>
      </c>
      <c r="O4342">
        <v>300</v>
      </c>
      <c r="P4342">
        <v>300</v>
      </c>
      <c r="R4342" s="3" t="str">
        <f>HYPERLINK("https://panda.att.com.mx/ODKServer/view/binaryData?blobKey=FSSuministroFluidosv3%5B%40version%3Dnull+and+%40uiVersion%3Dnull%5D%2Fdata%5B%40key%3Duuid%3Aa95b1834-58be-4426-9d16-0437ccef2ca1%5D%2FgroupInfoFuel%5B%40ordinal%3D1%5D%2FpicFuelRecibeInterno","Descargar")</f>
        <v>Descargar</v>
      </c>
    </row>
    <row r="4343" spans="1:18" x14ac:dyDescent="0.3">
      <c r="A4343">
        <v>1477754</v>
      </c>
      <c r="B4343" t="s">
        <v>18</v>
      </c>
      <c r="C4343" t="s">
        <v>100</v>
      </c>
      <c r="D4343" t="s">
        <v>101</v>
      </c>
      <c r="E4343" t="s">
        <v>2012</v>
      </c>
      <c r="F4343" t="s">
        <v>22</v>
      </c>
      <c r="G4343" t="s">
        <v>23</v>
      </c>
      <c r="H4343" t="s">
        <v>1781</v>
      </c>
      <c r="I4343" t="s">
        <v>25</v>
      </c>
      <c r="J4343" s="2">
        <v>45695.648923611108</v>
      </c>
      <c r="K4343">
        <v>7</v>
      </c>
      <c r="L4343">
        <v>2</v>
      </c>
      <c r="M4343">
        <v>2025</v>
      </c>
      <c r="N4343" t="s">
        <v>27</v>
      </c>
      <c r="O4343">
        <v>100</v>
      </c>
      <c r="P4343">
        <v>100</v>
      </c>
      <c r="R4343" s="3" t="str">
        <f>HYPERLINK("https://panda.att.com.mx/ODKServer/view/binaryData?blobKey=FSSuministroFluidosv3%5B%40version%3Dnull+and+%40uiVersion%3Dnull%5D%2Fdata%5B%40key%3Duuid%3Aa98ff207-4d3f-454b-8d13-25c4884c874b%5D%2FgroupInfoFuel%5B%40ordinal%3D1%5D%2FpicFuelRecibeInterno","Descargar")</f>
        <v>Descargar</v>
      </c>
    </row>
    <row r="4344" spans="1:18" x14ac:dyDescent="0.3">
      <c r="A4344">
        <v>1477722</v>
      </c>
      <c r="B4344" t="s">
        <v>18</v>
      </c>
      <c r="C4344" t="s">
        <v>68</v>
      </c>
      <c r="D4344" t="s">
        <v>116</v>
      </c>
      <c r="E4344" t="s">
        <v>3097</v>
      </c>
      <c r="F4344" t="s">
        <v>22</v>
      </c>
      <c r="G4344" t="s">
        <v>23</v>
      </c>
      <c r="H4344" t="s">
        <v>37</v>
      </c>
      <c r="I4344" t="s">
        <v>25</v>
      </c>
      <c r="J4344" s="2">
        <v>45695.392939814818</v>
      </c>
      <c r="K4344">
        <v>7</v>
      </c>
      <c r="L4344">
        <v>2</v>
      </c>
      <c r="M4344">
        <v>2025</v>
      </c>
      <c r="N4344" t="s">
        <v>27</v>
      </c>
      <c r="O4344">
        <v>400</v>
      </c>
      <c r="P4344">
        <v>400</v>
      </c>
      <c r="R4344" s="3" t="str">
        <f>HYPERLINK("https://panda.att.com.mx/ODKServer/view/binaryData?blobKey=FSSuministroFluidosv3%5B%40version%3Dnull+and+%40uiVersion%3Dnull%5D%2Fdata%5B%40key%3Duuid%3Ab62c8d2c-4231-4b70-bb5b-430191987bc8%5D%2FgroupInfoFuel%5B%40ordinal%3D1%5D%2FpicFuelRecibeInterno","Descargar")</f>
        <v>Descargar</v>
      </c>
    </row>
    <row r="4345" spans="1:18" x14ac:dyDescent="0.3">
      <c r="A4345">
        <v>1477718</v>
      </c>
      <c r="B4345" t="s">
        <v>18</v>
      </c>
      <c r="C4345" t="s">
        <v>34</v>
      </c>
      <c r="D4345" t="s">
        <v>121</v>
      </c>
      <c r="E4345" t="s">
        <v>3041</v>
      </c>
      <c r="F4345" t="s">
        <v>22</v>
      </c>
      <c r="G4345" t="s">
        <v>23</v>
      </c>
      <c r="H4345" t="s">
        <v>37</v>
      </c>
      <c r="I4345" t="s">
        <v>25</v>
      </c>
      <c r="J4345" s="2">
        <v>45695.484247685177</v>
      </c>
      <c r="K4345">
        <v>7</v>
      </c>
      <c r="L4345">
        <v>2</v>
      </c>
      <c r="M4345">
        <v>2025</v>
      </c>
      <c r="N4345" t="s">
        <v>27</v>
      </c>
      <c r="O4345">
        <v>150</v>
      </c>
      <c r="P4345">
        <v>150</v>
      </c>
      <c r="R4345" s="3" t="str">
        <f>HYPERLINK("https://panda.att.com.mx/ODKServer/view/binaryData?blobKey=FSSuministroFluidosv3%5B%40version%3Dnull+and+%40uiVersion%3Dnull%5D%2Fdata%5B%40key%3Duuid%3A862c0ffc-7782-4f71-9e9e-e817f2d389d9%5D%2FgroupInfoFuel%5B%40ordinal%3D1%5D%2FpicFuelRecibeInterno","Descargar")</f>
        <v>Descargar</v>
      </c>
    </row>
    <row r="4346" spans="1:18" x14ac:dyDescent="0.3">
      <c r="A4346">
        <v>1477717</v>
      </c>
      <c r="B4346" t="s">
        <v>18</v>
      </c>
      <c r="C4346" t="s">
        <v>34</v>
      </c>
      <c r="D4346" t="s">
        <v>121</v>
      </c>
      <c r="E4346" t="s">
        <v>3086</v>
      </c>
      <c r="F4346" t="s">
        <v>22</v>
      </c>
      <c r="G4346" t="s">
        <v>23</v>
      </c>
      <c r="H4346" t="s">
        <v>37</v>
      </c>
      <c r="I4346" t="s">
        <v>25</v>
      </c>
      <c r="J4346" s="2">
        <v>45695.425532407397</v>
      </c>
      <c r="K4346">
        <v>7</v>
      </c>
      <c r="L4346">
        <v>2</v>
      </c>
      <c r="M4346">
        <v>2025</v>
      </c>
      <c r="N4346" t="s">
        <v>27</v>
      </c>
      <c r="O4346">
        <v>300</v>
      </c>
      <c r="P4346">
        <v>300</v>
      </c>
      <c r="R4346" s="3" t="str">
        <f>HYPERLINK("https://panda.att.com.mx/ODKServer/view/binaryData?blobKey=FSSuministroFluidosv3%5B%40version%3Dnull+and+%40uiVersion%3Dnull%5D%2Fdata%5B%40key%3Duuid%3A5f16f59a-5ff4-4aa5-9ef6-95a89aca20b1%5D%2FgroupInfoFuel%5B%40ordinal%3D1%5D%2FpicFuelRecibeInterno","Descargar")</f>
        <v>Descargar</v>
      </c>
    </row>
    <row r="4347" spans="1:18" x14ac:dyDescent="0.3">
      <c r="A4347">
        <v>1477704</v>
      </c>
      <c r="B4347" t="s">
        <v>18</v>
      </c>
      <c r="C4347" t="s">
        <v>150</v>
      </c>
      <c r="D4347" t="s">
        <v>230</v>
      </c>
      <c r="E4347" t="s">
        <v>1510</v>
      </c>
      <c r="F4347" t="s">
        <v>22</v>
      </c>
      <c r="G4347" t="s">
        <v>23</v>
      </c>
      <c r="H4347" t="s">
        <v>1781</v>
      </c>
      <c r="I4347" t="s">
        <v>25</v>
      </c>
      <c r="J4347" s="2">
        <v>45695.588148148148</v>
      </c>
      <c r="K4347">
        <v>7</v>
      </c>
      <c r="L4347">
        <v>2</v>
      </c>
      <c r="M4347">
        <v>2025</v>
      </c>
      <c r="N4347" t="s">
        <v>27</v>
      </c>
      <c r="O4347">
        <v>300</v>
      </c>
      <c r="P4347">
        <v>300</v>
      </c>
      <c r="R4347" s="3" t="str">
        <f>HYPERLINK("https://panda.att.com.mx/ODKServer/view/binaryData?blobKey=FSSuministroFluidosv3%5B%40version%3Dnull+and+%40uiVersion%3Dnull%5D%2Fdata%5B%40key%3Duuid%3A4a76e64d-99eb-494c-a9af-a6c2e3f4bca4%5D%2FgroupInfoFuel%5B%40ordinal%3D1%5D%2FpicFuelRecibeInterno","Descargar")</f>
        <v>Descargar</v>
      </c>
    </row>
    <row r="4348" spans="1:18" x14ac:dyDescent="0.3">
      <c r="A4348">
        <v>1477682</v>
      </c>
      <c r="B4348" t="s">
        <v>18</v>
      </c>
      <c r="C4348" t="s">
        <v>55</v>
      </c>
      <c r="D4348" t="s">
        <v>56</v>
      </c>
      <c r="E4348" t="s">
        <v>3122</v>
      </c>
      <c r="F4348" t="s">
        <v>22</v>
      </c>
      <c r="G4348" t="s">
        <v>47</v>
      </c>
      <c r="H4348" t="s">
        <v>1763</v>
      </c>
      <c r="I4348" t="s">
        <v>25</v>
      </c>
      <c r="J4348" t="s">
        <v>3123</v>
      </c>
      <c r="K4348">
        <v>30</v>
      </c>
      <c r="L4348">
        <v>1</v>
      </c>
      <c r="M4348">
        <v>2025</v>
      </c>
      <c r="N4348" t="s">
        <v>27</v>
      </c>
      <c r="O4348">
        <v>100</v>
      </c>
      <c r="P4348">
        <v>100</v>
      </c>
      <c r="R4348" s="3" t="str">
        <f>HYPERLINK("https://panda.att.com.mx/ODKServer/view/binaryData?blobKey=FSSuministroFluidosv3%5B%40version%3Dnull+and+%40uiVersion%3Dnull%5D%2Fdata%5B%40key%3Duuid%3A5d6badcc-0b81-460d-baad-de9b69784ad5%5D%2FgroupInfoFuel%5B%40ordinal%3D1%5D%2FpicFuelRecibeInterno","Descargar")</f>
        <v>Descargar</v>
      </c>
    </row>
    <row r="4349" spans="1:18" x14ac:dyDescent="0.3">
      <c r="A4349">
        <v>1477660</v>
      </c>
      <c r="B4349" t="s">
        <v>18</v>
      </c>
      <c r="C4349" t="s">
        <v>100</v>
      </c>
      <c r="D4349" t="s">
        <v>101</v>
      </c>
      <c r="E4349" t="s">
        <v>126</v>
      </c>
      <c r="F4349" t="s">
        <v>22</v>
      </c>
      <c r="G4349" t="s">
        <v>23</v>
      </c>
      <c r="H4349" t="s">
        <v>1781</v>
      </c>
      <c r="I4349" t="s">
        <v>25</v>
      </c>
      <c r="J4349" s="2">
        <v>45695.558611111112</v>
      </c>
      <c r="K4349">
        <v>7</v>
      </c>
      <c r="L4349">
        <v>2</v>
      </c>
      <c r="M4349">
        <v>2025</v>
      </c>
      <c r="N4349" t="s">
        <v>27</v>
      </c>
      <c r="O4349">
        <v>200</v>
      </c>
      <c r="P4349">
        <v>200</v>
      </c>
      <c r="R4349" s="3" t="str">
        <f>HYPERLINK("https://panda.att.com.mx/ODKServer/view/binaryData?blobKey=FSSuministroFluidosv3%5B%40version%3Dnull+and+%40uiVersion%3Dnull%5D%2Fdata%5B%40key%3Duuid%3Aa9f206d5-91df-4117-bcda-6e6c819057dd%5D%2FgroupInfoFuel%5B%40ordinal%3D1%5D%2FpicFuelRecibeInterno","Descargar")</f>
        <v>Descargar</v>
      </c>
    </row>
    <row r="4350" spans="1:18" x14ac:dyDescent="0.3">
      <c r="A4350">
        <v>1476824</v>
      </c>
      <c r="B4350" t="s">
        <v>18</v>
      </c>
      <c r="C4350" t="s">
        <v>59</v>
      </c>
      <c r="D4350" t="s">
        <v>233</v>
      </c>
      <c r="E4350" t="s">
        <v>294</v>
      </c>
      <c r="F4350" t="s">
        <v>22</v>
      </c>
      <c r="G4350" t="s">
        <v>23</v>
      </c>
      <c r="H4350" t="s">
        <v>37</v>
      </c>
      <c r="I4350" t="s">
        <v>25</v>
      </c>
      <c r="J4350" s="2">
        <v>45694.516701388893</v>
      </c>
      <c r="K4350">
        <v>6</v>
      </c>
      <c r="L4350">
        <v>2</v>
      </c>
      <c r="M4350">
        <v>2025</v>
      </c>
      <c r="N4350" t="s">
        <v>44</v>
      </c>
      <c r="O4350">
        <v>60</v>
      </c>
      <c r="P4350">
        <v>60</v>
      </c>
      <c r="R4350" s="3" t="str">
        <f>HYPERLINK("https://panda.att.com.mx/ODKServer/view/binaryData?blobKey=FSSuministroFluidosv3%5B%40version%3Dnull+and+%40uiVersion%3Dnull%5D%2Fdata%5B%40key%3Duuid%3A39db5392-44ae-4cfb-82b2-3c6b66b143c1%5D%2FgroupInfoFuel%5B%40ordinal%3D1%5D%2FpicFuelRecibeInterno","Descargar")</f>
        <v>Descargar</v>
      </c>
    </row>
    <row r="4351" spans="1:18" x14ac:dyDescent="0.3">
      <c r="A4351">
        <v>1476731</v>
      </c>
      <c r="B4351" t="s">
        <v>18</v>
      </c>
      <c r="C4351" t="s">
        <v>19</v>
      </c>
      <c r="D4351" t="s">
        <v>347</v>
      </c>
      <c r="E4351" t="s">
        <v>2309</v>
      </c>
      <c r="F4351" t="s">
        <v>22</v>
      </c>
      <c r="G4351" t="s">
        <v>23</v>
      </c>
      <c r="H4351" t="s">
        <v>24</v>
      </c>
      <c r="I4351" t="s">
        <v>25</v>
      </c>
      <c r="J4351" s="2">
        <v>45692.443206018521</v>
      </c>
      <c r="K4351">
        <v>4</v>
      </c>
      <c r="L4351">
        <v>2</v>
      </c>
      <c r="M4351">
        <v>2025</v>
      </c>
      <c r="N4351" t="s">
        <v>27</v>
      </c>
      <c r="O4351">
        <v>250</v>
      </c>
      <c r="P4351">
        <v>250</v>
      </c>
      <c r="R4351" s="3" t="str">
        <f>HYPERLINK("https://panda.att.com.mx/ODKServer/view/binaryData?blobKey=FSSuministroFluidosv3%5B%40version%3Dnull+and+%40uiVersion%3Dnull%5D%2Fdata%5B%40key%3Duuid%3A21ab164b-3a6c-4d8f-a8db-7bdeb5948e5d%5D%2FgroupInfoFuel%5B%40ordinal%3D1%5D%2FpicFuelRecibeInterno","Descargar")</f>
        <v>Descargar</v>
      </c>
    </row>
    <row r="4352" spans="1:18" x14ac:dyDescent="0.3">
      <c r="A4352">
        <v>1476667</v>
      </c>
      <c r="B4352" t="s">
        <v>18</v>
      </c>
      <c r="C4352" t="s">
        <v>19</v>
      </c>
      <c r="D4352" t="s">
        <v>175</v>
      </c>
      <c r="E4352" t="s">
        <v>1368</v>
      </c>
      <c r="F4352" t="s">
        <v>22</v>
      </c>
      <c r="G4352" t="s">
        <v>23</v>
      </c>
      <c r="H4352" t="s">
        <v>24</v>
      </c>
      <c r="I4352" t="s">
        <v>25</v>
      </c>
      <c r="J4352" s="2">
        <v>45694.44730324074</v>
      </c>
      <c r="K4352">
        <v>6</v>
      </c>
      <c r="L4352">
        <v>2</v>
      </c>
      <c r="M4352">
        <v>2025</v>
      </c>
      <c r="N4352" t="s">
        <v>27</v>
      </c>
      <c r="O4352">
        <v>100</v>
      </c>
      <c r="P4352">
        <v>100</v>
      </c>
      <c r="R4352" s="3" t="str">
        <f>HYPERLINK("https://panda.att.com.mx/ODKServer/view/binaryData?blobKey=FSSuministroFluidosv3%5B%40version%3Dnull+and+%40uiVersion%3Dnull%5D%2Fdata%5B%40key%3Duuid%3Add7fad33-0bc9-4310-a023-dbd0c75a9d44%5D%2FgroupInfoFuel%5B%40ordinal%3D1%5D%2FpicFuelRecibeInterno","Descargar")</f>
        <v>Descargar</v>
      </c>
    </row>
    <row r="4353" spans="1:18" x14ac:dyDescent="0.3">
      <c r="A4353">
        <v>1476652</v>
      </c>
      <c r="B4353" t="s">
        <v>18</v>
      </c>
      <c r="C4353" t="s">
        <v>55</v>
      </c>
      <c r="D4353" t="s">
        <v>56</v>
      </c>
      <c r="E4353" t="s">
        <v>1993</v>
      </c>
      <c r="F4353" t="s">
        <v>22</v>
      </c>
      <c r="G4353" t="s">
        <v>47</v>
      </c>
      <c r="H4353" t="s">
        <v>1763</v>
      </c>
      <c r="I4353" t="s">
        <v>25</v>
      </c>
      <c r="J4353" t="s">
        <v>3124</v>
      </c>
      <c r="K4353">
        <v>29</v>
      </c>
      <c r="L4353">
        <v>1</v>
      </c>
      <c r="M4353">
        <v>2025</v>
      </c>
      <c r="N4353" t="s">
        <v>27</v>
      </c>
      <c r="O4353">
        <v>80</v>
      </c>
      <c r="P4353">
        <v>80</v>
      </c>
      <c r="R4353" s="3" t="str">
        <f>HYPERLINK("https://panda.att.com.mx/ODKServer/view/binaryData?blobKey=FSSuministroFluidosv3%5B%40version%3Dnull+and+%40uiVersion%3Dnull%5D%2Fdata%5B%40key%3Duuid%3A6cc8b932-d0af-4732-ac30-80e92359cf37%5D%2FgroupInfoFuel%5B%40ordinal%3D1%5D%2FpicFuelRecibeInterno","Descargar")</f>
        <v>Descargar</v>
      </c>
    </row>
    <row r="4354" spans="1:18" x14ac:dyDescent="0.3">
      <c r="A4354">
        <v>1476651</v>
      </c>
      <c r="B4354" t="s">
        <v>18</v>
      </c>
      <c r="C4354" t="s">
        <v>68</v>
      </c>
      <c r="D4354" t="s">
        <v>824</v>
      </c>
      <c r="E4354" t="s">
        <v>825</v>
      </c>
      <c r="F4354" t="s">
        <v>33</v>
      </c>
      <c r="G4354" t="s">
        <v>23</v>
      </c>
      <c r="H4354" t="s">
        <v>37</v>
      </c>
      <c r="I4354" t="s">
        <v>25</v>
      </c>
      <c r="J4354" s="2">
        <v>45693.630960648137</v>
      </c>
      <c r="K4354">
        <v>5</v>
      </c>
      <c r="L4354">
        <v>2</v>
      </c>
      <c r="M4354">
        <v>2025</v>
      </c>
      <c r="N4354" t="s">
        <v>27</v>
      </c>
      <c r="O4354">
        <v>145</v>
      </c>
      <c r="Q4354">
        <v>145</v>
      </c>
      <c r="R4354" s="3" t="str">
        <f>HYPERLINK("https://panda.att.com.mx/ODKServer/view/binaryData?blobKey=FSSuministroFluidosv3%5B%40version%3Dnull+and+%40uiVersion%3Dnull%5D%2Fdata%5B%40key%3Duuid%3A89a6f38c-0f17-4272-9506-3d69099b597a%5D%2FgroupInfoFuel%5B%40ordinal%3D1%5D%2FpicFuelRecibeInterno","Descargar")</f>
        <v>Descargar</v>
      </c>
    </row>
    <row r="4355" spans="1:18" x14ac:dyDescent="0.3">
      <c r="A4355">
        <v>1476650</v>
      </c>
      <c r="B4355" t="s">
        <v>18</v>
      </c>
      <c r="C4355" t="s">
        <v>59</v>
      </c>
      <c r="D4355" t="s">
        <v>60</v>
      </c>
      <c r="E4355" t="s">
        <v>3125</v>
      </c>
      <c r="F4355" t="s">
        <v>22</v>
      </c>
      <c r="G4355" t="s">
        <v>83</v>
      </c>
      <c r="H4355" t="s">
        <v>1816</v>
      </c>
      <c r="I4355" t="s">
        <v>25</v>
      </c>
      <c r="J4355" t="s">
        <v>3126</v>
      </c>
      <c r="K4355">
        <v>31</v>
      </c>
      <c r="L4355">
        <v>1</v>
      </c>
      <c r="M4355">
        <v>2025</v>
      </c>
      <c r="N4355" t="s">
        <v>27</v>
      </c>
      <c r="O4355">
        <v>204</v>
      </c>
      <c r="P4355">
        <v>204</v>
      </c>
      <c r="R4355" s="3" t="str">
        <f>HYPERLINK("https://panda.att.com.mx/ODKServer/view/binaryData?blobKey=FSSuministroFluidosv3%5B%40version%3Dnull+and+%40uiVersion%3Dnull%5D%2Fdata%5B%40key%3Duuid%3A8c58f745-feb8-4651-bece-b0c949d16f3d%5D%2FgroupInfoFuel%5B%40ordinal%3D1%5D%2FpicFuelRecibeInterno","Descargar")</f>
        <v>Descargar</v>
      </c>
    </row>
    <row r="4356" spans="1:18" x14ac:dyDescent="0.3">
      <c r="A4356">
        <v>1476636</v>
      </c>
      <c r="B4356" t="s">
        <v>18</v>
      </c>
      <c r="C4356" t="s">
        <v>55</v>
      </c>
      <c r="D4356" t="s">
        <v>56</v>
      </c>
      <c r="E4356" t="s">
        <v>3023</v>
      </c>
      <c r="F4356" t="s">
        <v>22</v>
      </c>
      <c r="G4356" t="s">
        <v>47</v>
      </c>
      <c r="H4356" t="s">
        <v>1763</v>
      </c>
      <c r="I4356" t="s">
        <v>25</v>
      </c>
      <c r="J4356" s="2">
        <v>45692.593634259261</v>
      </c>
      <c r="K4356">
        <v>4</v>
      </c>
      <c r="L4356">
        <v>2</v>
      </c>
      <c r="M4356">
        <v>2025</v>
      </c>
      <c r="N4356" t="s">
        <v>27</v>
      </c>
      <c r="O4356">
        <v>120</v>
      </c>
      <c r="P4356">
        <v>120</v>
      </c>
      <c r="R4356" s="3" t="str">
        <f>HYPERLINK("https://panda.att.com.mx/ODKServer/view/binaryData?blobKey=FSSuministroFluidosv3%5B%40version%3Dnull+and+%40uiVersion%3Dnull%5D%2Fdata%5B%40key%3Duuid%3A2a417b48-35f1-4b04-bb92-d92c721afaa8%5D%2FgroupInfoFuel%5B%40ordinal%3D1%5D%2FpicFuelRecibeInterno","Descargar")</f>
        <v>Descargar</v>
      </c>
    </row>
    <row r="4357" spans="1:18" x14ac:dyDescent="0.3">
      <c r="A4357">
        <v>1476635</v>
      </c>
      <c r="B4357" t="s">
        <v>18</v>
      </c>
      <c r="C4357" t="s">
        <v>19</v>
      </c>
      <c r="D4357" t="s">
        <v>347</v>
      </c>
      <c r="E4357" t="s">
        <v>2309</v>
      </c>
      <c r="F4357" t="s">
        <v>22</v>
      </c>
      <c r="G4357" t="s">
        <v>23</v>
      </c>
      <c r="H4357" t="s">
        <v>24</v>
      </c>
      <c r="I4357" t="s">
        <v>25</v>
      </c>
      <c r="J4357" t="s">
        <v>3127</v>
      </c>
      <c r="K4357">
        <v>30</v>
      </c>
      <c r="L4357">
        <v>1</v>
      </c>
      <c r="M4357">
        <v>2025</v>
      </c>
      <c r="N4357" t="s">
        <v>27</v>
      </c>
      <c r="O4357">
        <v>200</v>
      </c>
      <c r="P4357">
        <v>200</v>
      </c>
      <c r="R4357" s="3" t="str">
        <f>HYPERLINK("https://panda.att.com.mx/ODKServer/view/binaryData?blobKey=FSSuministroFluidosv3%5B%40version%3Dnull+and+%40uiVersion%3Dnull%5D%2Fdata%5B%40key%3Duuid%3A186f539d-c4d7-44e3-a71a-d6a94fed3255%5D%2FgroupInfoFuel%5B%40ordinal%3D1%5D%2FpicFuelRecibeInterno","Descargar")</f>
        <v>Descargar</v>
      </c>
    </row>
    <row r="4358" spans="1:18" x14ac:dyDescent="0.3">
      <c r="A4358">
        <v>1476631</v>
      </c>
      <c r="B4358" t="s">
        <v>18</v>
      </c>
      <c r="C4358" t="s">
        <v>55</v>
      </c>
      <c r="D4358" t="s">
        <v>56</v>
      </c>
      <c r="E4358" t="s">
        <v>3023</v>
      </c>
      <c r="F4358" t="s">
        <v>22</v>
      </c>
      <c r="G4358" t="s">
        <v>47</v>
      </c>
      <c r="H4358" t="s">
        <v>1763</v>
      </c>
      <c r="I4358" t="s">
        <v>25</v>
      </c>
      <c r="J4358" s="2">
        <v>45693.687731481477</v>
      </c>
      <c r="K4358">
        <v>5</v>
      </c>
      <c r="L4358">
        <v>2</v>
      </c>
      <c r="M4358">
        <v>2025</v>
      </c>
      <c r="N4358" t="s">
        <v>27</v>
      </c>
      <c r="O4358">
        <v>120</v>
      </c>
      <c r="P4358">
        <v>120</v>
      </c>
      <c r="R4358" s="3" t="str">
        <f>HYPERLINK("https://panda.att.com.mx/ODKServer/view/binaryData?blobKey=FSSuministroFluidosv3%5B%40version%3Dnull+and+%40uiVersion%3Dnull%5D%2Fdata%5B%40key%3Duuid%3A3ba4acce-ab9f-4940-9097-6615b1dd0a6f%5D%2FgroupInfoFuel%5B%40ordinal%3D1%5D%2FpicFuelRecibeInterno","Descargar")</f>
        <v>Descargar</v>
      </c>
    </row>
    <row r="4359" spans="1:18" x14ac:dyDescent="0.3">
      <c r="A4359">
        <v>1476586</v>
      </c>
      <c r="B4359" t="s">
        <v>18</v>
      </c>
      <c r="C4359" t="s">
        <v>55</v>
      </c>
      <c r="D4359" t="s">
        <v>56</v>
      </c>
      <c r="E4359" t="s">
        <v>1713</v>
      </c>
      <c r="F4359" t="s">
        <v>22</v>
      </c>
      <c r="G4359" t="s">
        <v>47</v>
      </c>
      <c r="H4359" t="s">
        <v>1763</v>
      </c>
      <c r="I4359" t="s">
        <v>25</v>
      </c>
      <c r="J4359" s="2">
        <v>45689.525335648148</v>
      </c>
      <c r="K4359">
        <v>1</v>
      </c>
      <c r="L4359">
        <v>2</v>
      </c>
      <c r="M4359">
        <v>2025</v>
      </c>
      <c r="N4359" t="s">
        <v>27</v>
      </c>
      <c r="O4359">
        <v>300</v>
      </c>
      <c r="P4359">
        <v>300</v>
      </c>
      <c r="R4359" s="3" t="str">
        <f>HYPERLINK("https://panda.att.com.mx/ODKServer/view/binaryData?blobKey=FSSuministroFluidosv3%5B%40version%3Dnull+and+%40uiVersion%3Dnull%5D%2Fdata%5B%40key%3Duuid%3A402928ff-eb33-4ce1-a708-c6e199febc67%5D%2FgroupInfoFuel%5B%40ordinal%3D1%5D%2FpicFuelRecibeInterno","Descargar")</f>
        <v>Descargar</v>
      </c>
    </row>
    <row r="4360" spans="1:18" x14ac:dyDescent="0.3">
      <c r="A4360">
        <v>1476565</v>
      </c>
      <c r="B4360" t="s">
        <v>18</v>
      </c>
      <c r="C4360" t="s">
        <v>19</v>
      </c>
      <c r="D4360" t="s">
        <v>347</v>
      </c>
      <c r="E4360" t="s">
        <v>2309</v>
      </c>
      <c r="F4360" t="s">
        <v>22</v>
      </c>
      <c r="G4360" t="s">
        <v>23</v>
      </c>
      <c r="H4360" t="s">
        <v>24</v>
      </c>
      <c r="I4360" t="s">
        <v>25</v>
      </c>
      <c r="J4360" s="2">
        <v>45689.805081018523</v>
      </c>
      <c r="K4360">
        <v>1</v>
      </c>
      <c r="L4360">
        <v>2</v>
      </c>
      <c r="M4360">
        <v>2025</v>
      </c>
      <c r="N4360" t="s">
        <v>27</v>
      </c>
      <c r="O4360">
        <v>200</v>
      </c>
      <c r="P4360">
        <v>200</v>
      </c>
      <c r="R4360" s="3" t="str">
        <f>HYPERLINK("https://panda.att.com.mx/ODKServer/view/binaryData?blobKey=FSSuministroFluidosv3%5B%40version%3Dnull+and+%40uiVersion%3Dnull%5D%2Fdata%5B%40key%3Duuid%3A5a3bfbef-9bbe-49ed-be8a-80d6b69a6bc3%5D%2FgroupInfoFuel%5B%40ordinal%3D1%5D%2FpicFuelRecibeInterno","Descargar")</f>
        <v>Descargar</v>
      </c>
    </row>
    <row r="4361" spans="1:18" x14ac:dyDescent="0.3">
      <c r="A4361">
        <v>1476512</v>
      </c>
      <c r="B4361" t="s">
        <v>18</v>
      </c>
      <c r="C4361" t="s">
        <v>28</v>
      </c>
      <c r="D4361" t="s">
        <v>66</v>
      </c>
      <c r="E4361" t="s">
        <v>1187</v>
      </c>
      <c r="F4361" t="s">
        <v>22</v>
      </c>
      <c r="G4361" t="s">
        <v>23</v>
      </c>
      <c r="H4361" t="s">
        <v>24</v>
      </c>
      <c r="I4361" t="s">
        <v>25</v>
      </c>
      <c r="J4361" s="2">
        <v>45693.748043981483</v>
      </c>
      <c r="K4361">
        <v>5</v>
      </c>
      <c r="L4361">
        <v>2</v>
      </c>
      <c r="M4361">
        <v>2025</v>
      </c>
      <c r="N4361" t="s">
        <v>44</v>
      </c>
      <c r="O4361">
        <v>40</v>
      </c>
      <c r="P4361">
        <v>40</v>
      </c>
      <c r="R4361" s="3" t="str">
        <f>HYPERLINK("https://panda.att.com.mx/ODKServer/view/binaryData?blobKey=FSSuministroFluidosv3%5B%40version%3Dnull+and+%40uiVersion%3Dnull%5D%2Fdata%5B%40key%3Duuid%3A9c3828d2-9e84-4107-8762-5b4409b0f920%5D%2FgroupInfoFuel%5B%40ordinal%3D1%5D%2FpicFuelRecibeInterno","Descargar")</f>
        <v>Descargar</v>
      </c>
    </row>
    <row r="4362" spans="1:18" x14ac:dyDescent="0.3">
      <c r="A4362">
        <v>1476505</v>
      </c>
      <c r="B4362" t="s">
        <v>18</v>
      </c>
      <c r="C4362" t="s">
        <v>34</v>
      </c>
      <c r="D4362" t="s">
        <v>53</v>
      </c>
      <c r="E4362" t="s">
        <v>3128</v>
      </c>
      <c r="F4362" t="s">
        <v>22</v>
      </c>
      <c r="G4362" t="s">
        <v>23</v>
      </c>
      <c r="H4362" t="s">
        <v>37</v>
      </c>
      <c r="I4362" t="s">
        <v>25</v>
      </c>
      <c r="J4362" s="2">
        <v>45693.917303240742</v>
      </c>
      <c r="K4362">
        <v>5</v>
      </c>
      <c r="L4362">
        <v>2</v>
      </c>
      <c r="M4362">
        <v>2025</v>
      </c>
      <c r="N4362" t="s">
        <v>27</v>
      </c>
      <c r="O4362">
        <v>400</v>
      </c>
      <c r="P4362">
        <v>400</v>
      </c>
      <c r="R4362" s="3" t="str">
        <f>HYPERLINK("https://panda.att.com.mx/ODKServer/view/binaryData?blobKey=FSSuministroFluidosv3%5B%40version%3Dnull+and+%40uiVersion%3Dnull%5D%2Fdata%5B%40key%3Duuid%3A8d78edd9-428f-46b6-a19c-b536ecac5b55%5D%2FgroupInfoFuel%5B%40ordinal%3D1%5D%2FpicFuelRecibeInterno","Descargar")</f>
        <v>Descargar</v>
      </c>
    </row>
    <row r="4363" spans="1:18" x14ac:dyDescent="0.3">
      <c r="A4363">
        <v>1476436</v>
      </c>
      <c r="B4363" t="s">
        <v>18</v>
      </c>
      <c r="C4363" t="s">
        <v>34</v>
      </c>
      <c r="D4363" t="s">
        <v>121</v>
      </c>
      <c r="E4363" t="s">
        <v>3129</v>
      </c>
      <c r="F4363" t="s">
        <v>22</v>
      </c>
      <c r="G4363" t="s">
        <v>23</v>
      </c>
      <c r="H4363" t="s">
        <v>37</v>
      </c>
      <c r="I4363" t="s">
        <v>25</v>
      </c>
      <c r="J4363" s="2">
        <v>45693.566747685189</v>
      </c>
      <c r="K4363">
        <v>5</v>
      </c>
      <c r="L4363">
        <v>2</v>
      </c>
      <c r="M4363">
        <v>2025</v>
      </c>
      <c r="N4363" t="s">
        <v>27</v>
      </c>
      <c r="O4363">
        <v>300</v>
      </c>
      <c r="P4363">
        <v>300</v>
      </c>
      <c r="R4363" s="3" t="str">
        <f>HYPERLINK("https://panda.att.com.mx/ODKServer/view/binaryData?blobKey=FSSuministroFluidosv3%5B%40version%3Dnull+and+%40uiVersion%3Dnull%5D%2Fdata%5B%40key%3Duuid%3A025c9c32-1c8b-4284-84d9-53fc777835eb%5D%2FgroupInfoFuel%5B%40ordinal%3D1%5D%2FpicFuelRecibeInterno","Descargar")</f>
        <v>Descargar</v>
      </c>
    </row>
    <row r="4364" spans="1:18" x14ac:dyDescent="0.3">
      <c r="A4364">
        <v>1476386</v>
      </c>
      <c r="B4364" t="s">
        <v>18</v>
      </c>
      <c r="C4364" t="s">
        <v>55</v>
      </c>
      <c r="D4364" t="s">
        <v>56</v>
      </c>
      <c r="E4364" t="s">
        <v>3023</v>
      </c>
      <c r="F4364" t="s">
        <v>22</v>
      </c>
      <c r="G4364" t="s">
        <v>47</v>
      </c>
      <c r="H4364" t="s">
        <v>1763</v>
      </c>
      <c r="I4364" t="s">
        <v>25</v>
      </c>
      <c r="J4364" s="2">
        <v>45690.435972222222</v>
      </c>
      <c r="K4364">
        <v>2</v>
      </c>
      <c r="L4364">
        <v>2</v>
      </c>
      <c r="M4364">
        <v>2025</v>
      </c>
      <c r="N4364" t="s">
        <v>27</v>
      </c>
      <c r="O4364">
        <v>120</v>
      </c>
      <c r="P4364">
        <v>120</v>
      </c>
      <c r="R4364" s="3" t="str">
        <f>HYPERLINK("https://panda.att.com.mx/ODKServer/view/binaryData?blobKey=FSSuministroFluidosv3%5B%40version%3Dnull+and+%40uiVersion%3Dnull%5D%2Fdata%5B%40key%3Duuid%3A72bcff90-5d51-47d5-bbd7-8f3cc0f196c2%5D%2FgroupInfoFuel%5B%40ordinal%3D1%5D%2FpicFuelRecibeInterno","Descargar")</f>
        <v>Descargar</v>
      </c>
    </row>
    <row r="4365" spans="1:18" x14ac:dyDescent="0.3">
      <c r="A4365">
        <v>1476384</v>
      </c>
      <c r="B4365" t="s">
        <v>18</v>
      </c>
      <c r="C4365" t="s">
        <v>19</v>
      </c>
      <c r="D4365" t="s">
        <v>45</v>
      </c>
      <c r="E4365" t="s">
        <v>241</v>
      </c>
      <c r="F4365" t="s">
        <v>22</v>
      </c>
      <c r="G4365" t="s">
        <v>23</v>
      </c>
      <c r="H4365" t="s">
        <v>24</v>
      </c>
      <c r="I4365" t="s">
        <v>25</v>
      </c>
      <c r="J4365" s="2">
        <v>45693.729803240742</v>
      </c>
      <c r="K4365">
        <v>5</v>
      </c>
      <c r="L4365">
        <v>2</v>
      </c>
      <c r="M4365">
        <v>2025</v>
      </c>
      <c r="N4365" t="s">
        <v>27</v>
      </c>
      <c r="O4365">
        <v>250</v>
      </c>
      <c r="P4365">
        <v>250</v>
      </c>
      <c r="R4365" s="3" t="str">
        <f>HYPERLINK("https://panda.att.com.mx/ODKServer/view/binaryData?blobKey=FSSuministroFluidosv3%5B%40version%3Dnull+and+%40uiVersion%3Dnull%5D%2Fdata%5B%40key%3Duuid%3Ab3462154-49f4-4d3a-8769-da09d78290a4%5D%2FgroupInfoFuel%5B%40ordinal%3D1%5D%2FpicFuelRecibeInterno","Descargar")</f>
        <v>Descargar</v>
      </c>
    </row>
    <row r="4366" spans="1:18" x14ac:dyDescent="0.3">
      <c r="A4366">
        <v>1476378</v>
      </c>
      <c r="B4366" t="s">
        <v>18</v>
      </c>
      <c r="C4366" t="s">
        <v>34</v>
      </c>
      <c r="D4366" t="s">
        <v>53</v>
      </c>
      <c r="E4366" t="s">
        <v>3130</v>
      </c>
      <c r="F4366" t="s">
        <v>22</v>
      </c>
      <c r="G4366" t="s">
        <v>23</v>
      </c>
      <c r="H4366" t="s">
        <v>37</v>
      </c>
      <c r="I4366" t="s">
        <v>25</v>
      </c>
      <c r="J4366" s="2">
        <v>45693.770185185182</v>
      </c>
      <c r="K4366">
        <v>5</v>
      </c>
      <c r="L4366">
        <v>2</v>
      </c>
      <c r="M4366">
        <v>2025</v>
      </c>
      <c r="N4366" t="s">
        <v>27</v>
      </c>
      <c r="O4366">
        <v>200</v>
      </c>
      <c r="Q4366">
        <v>200</v>
      </c>
      <c r="R4366" s="3" t="str">
        <f>HYPERLINK("https://panda.att.com.mx/ODKServer/view/binaryData?blobKey=FSSuministroFluidosv3%5B%40version%3Dnull+and+%40uiVersion%3Dnull%5D%2Fdata%5B%40key%3Duuid%3A102e9db9-dd6d-46bc-af0d-986daade8005%5D%2FgroupInfoFuel%5B%40ordinal%3D1%5D%2FpicFuelRecibeInterno","Descargar")</f>
        <v>Descargar</v>
      </c>
    </row>
    <row r="4367" spans="1:18" x14ac:dyDescent="0.3">
      <c r="A4367">
        <v>1476377</v>
      </c>
      <c r="B4367" t="s">
        <v>18</v>
      </c>
      <c r="C4367" t="s">
        <v>34</v>
      </c>
      <c r="D4367" t="s">
        <v>53</v>
      </c>
      <c r="E4367" t="s">
        <v>3130</v>
      </c>
      <c r="F4367" t="s">
        <v>22</v>
      </c>
      <c r="G4367" t="s">
        <v>23</v>
      </c>
      <c r="H4367" t="s">
        <v>37</v>
      </c>
      <c r="I4367" t="s">
        <v>25</v>
      </c>
      <c r="J4367" s="2">
        <v>45693.763113425928</v>
      </c>
      <c r="K4367">
        <v>5</v>
      </c>
      <c r="L4367">
        <v>2</v>
      </c>
      <c r="M4367">
        <v>2025</v>
      </c>
      <c r="N4367" t="s">
        <v>27</v>
      </c>
      <c r="O4367">
        <v>200</v>
      </c>
      <c r="P4367">
        <v>200</v>
      </c>
      <c r="R4367" s="3" t="str">
        <f>HYPERLINK("https://panda.att.com.mx/ODKServer/view/binaryData?blobKey=FSSuministroFluidosv3%5B%40version%3Dnull+and+%40uiVersion%3Dnull%5D%2Fdata%5B%40key%3Duuid%3A37370668-b431-4ece-9ae9-95ae8c1027db%5D%2FgroupInfoFuel%5B%40ordinal%3D1%5D%2FpicFuelRecibeInterno","Descargar")</f>
        <v>Descargar</v>
      </c>
    </row>
    <row r="4368" spans="1:18" x14ac:dyDescent="0.3">
      <c r="A4368">
        <v>1476356</v>
      </c>
      <c r="B4368" t="s">
        <v>18</v>
      </c>
      <c r="C4368" t="s">
        <v>55</v>
      </c>
      <c r="D4368" t="s">
        <v>56</v>
      </c>
      <c r="E4368" t="s">
        <v>2089</v>
      </c>
      <c r="F4368" t="s">
        <v>22</v>
      </c>
      <c r="G4368" t="s">
        <v>47</v>
      </c>
      <c r="H4368" t="s">
        <v>1763</v>
      </c>
      <c r="I4368" t="s">
        <v>25</v>
      </c>
      <c r="J4368" s="2">
        <v>45692.719143518523</v>
      </c>
      <c r="K4368">
        <v>4</v>
      </c>
      <c r="L4368">
        <v>2</v>
      </c>
      <c r="M4368">
        <v>2025</v>
      </c>
      <c r="N4368" t="s">
        <v>27</v>
      </c>
      <c r="O4368">
        <v>100</v>
      </c>
      <c r="P4368">
        <v>100</v>
      </c>
      <c r="R4368" s="3" t="str">
        <f>HYPERLINK("https://panda.att.com.mx/ODKServer/view/binaryData?blobKey=FSSuministroFluidosv3%5B%40version%3Dnull+and+%40uiVersion%3Dnull%5D%2Fdata%5B%40key%3Duuid%3A52c19f16-40d6-4a08-9c83-76a5e71ebd6a%5D%2FgroupInfoFuel%5B%40ordinal%3D1%5D%2FpicFuelRecibeInterno","Descargar")</f>
        <v>Descargar</v>
      </c>
    </row>
    <row r="4369" spans="1:18" x14ac:dyDescent="0.3">
      <c r="A4369">
        <v>1476355</v>
      </c>
      <c r="B4369" t="s">
        <v>18</v>
      </c>
      <c r="C4369" t="s">
        <v>34</v>
      </c>
      <c r="D4369" t="s">
        <v>53</v>
      </c>
      <c r="E4369" t="s">
        <v>144</v>
      </c>
      <c r="F4369" t="s">
        <v>22</v>
      </c>
      <c r="G4369" t="s">
        <v>23</v>
      </c>
      <c r="H4369" t="s">
        <v>37</v>
      </c>
      <c r="I4369" t="s">
        <v>25</v>
      </c>
      <c r="J4369" s="2">
        <v>45693.755601851852</v>
      </c>
      <c r="K4369">
        <v>5</v>
      </c>
      <c r="L4369">
        <v>2</v>
      </c>
      <c r="M4369">
        <v>2025</v>
      </c>
      <c r="N4369" t="s">
        <v>27</v>
      </c>
      <c r="O4369">
        <v>300</v>
      </c>
      <c r="P4369">
        <v>300</v>
      </c>
      <c r="R4369" s="3" t="str">
        <f>HYPERLINK("https://panda.att.com.mx/ODKServer/view/binaryData?blobKey=FSSuministroFluidosv3%5B%40version%3Dnull+and+%40uiVersion%3Dnull%5D%2Fdata%5B%40key%3Duuid%3Ad49d1af1-9191-4a66-9fb6-45f6b167ef22%5D%2FgroupInfoFuel%5B%40ordinal%3D1%5D%2FpicFuelRecibeInterno","Descargar")</f>
        <v>Descargar</v>
      </c>
    </row>
    <row r="4370" spans="1:18" x14ac:dyDescent="0.3">
      <c r="A4370">
        <v>1476340</v>
      </c>
      <c r="B4370" t="s">
        <v>18</v>
      </c>
      <c r="C4370" t="s">
        <v>34</v>
      </c>
      <c r="D4370" t="s">
        <v>53</v>
      </c>
      <c r="E4370" t="s">
        <v>3131</v>
      </c>
      <c r="F4370" t="s">
        <v>22</v>
      </c>
      <c r="G4370" t="s">
        <v>23</v>
      </c>
      <c r="H4370" t="s">
        <v>37</v>
      </c>
      <c r="I4370" t="s">
        <v>25</v>
      </c>
      <c r="J4370" s="2">
        <v>45693.748645833337</v>
      </c>
      <c r="K4370">
        <v>5</v>
      </c>
      <c r="L4370">
        <v>2</v>
      </c>
      <c r="M4370">
        <v>2025</v>
      </c>
      <c r="N4370" t="s">
        <v>27</v>
      </c>
      <c r="O4370">
        <v>200</v>
      </c>
      <c r="P4370">
        <v>200</v>
      </c>
      <c r="R4370" s="3" t="str">
        <f>HYPERLINK("https://panda.att.com.mx/ODKServer/view/binaryData?blobKey=FSSuministroFluidosv3%5B%40version%3Dnull+and+%40uiVersion%3Dnull%5D%2Fdata%5B%40key%3Duuid%3Aaf226d93-ca83-4464-86bd-49371ef86e29%5D%2FgroupInfoFuel%5B%40ordinal%3D1%5D%2FpicFuelRecibeInterno","Descargar")</f>
        <v>Descargar</v>
      </c>
    </row>
    <row r="4371" spans="1:18" x14ac:dyDescent="0.3">
      <c r="A4371">
        <v>1476258</v>
      </c>
      <c r="B4371" t="s">
        <v>18</v>
      </c>
      <c r="C4371" t="s">
        <v>100</v>
      </c>
      <c r="D4371" t="s">
        <v>716</v>
      </c>
      <c r="E4371" t="s">
        <v>717</v>
      </c>
      <c r="F4371" t="s">
        <v>22</v>
      </c>
      <c r="G4371" t="s">
        <v>83</v>
      </c>
      <c r="H4371" t="s">
        <v>1781</v>
      </c>
      <c r="I4371" t="s">
        <v>25</v>
      </c>
      <c r="J4371" s="2">
        <v>45692.743819444448</v>
      </c>
      <c r="K4371">
        <v>4</v>
      </c>
      <c r="L4371">
        <v>2</v>
      </c>
      <c r="M4371">
        <v>2025</v>
      </c>
      <c r="N4371" t="s">
        <v>27</v>
      </c>
      <c r="O4371">
        <v>141</v>
      </c>
      <c r="P4371">
        <v>141</v>
      </c>
      <c r="R4371" s="3" t="str">
        <f>HYPERLINK("https://panda.att.com.mx/ODKServer/view/binaryData?blobKey=FSSuministroFluidosv3%5B%40version%3Dnull+and+%40uiVersion%3Dnull%5D%2Fdata%5B%40key%3Duuid%3A7e4fc72a-8684-4c7f-8f3b-0d6bbb367384%5D%2FgroupInfoFuel%5B%40ordinal%3D1%5D%2FpicFuelRecibeInterno","Descargar")</f>
        <v>Descargar</v>
      </c>
    </row>
    <row r="4372" spans="1:18" x14ac:dyDescent="0.3">
      <c r="A4372">
        <v>1476047</v>
      </c>
      <c r="B4372" t="s">
        <v>18</v>
      </c>
      <c r="C4372" t="s">
        <v>100</v>
      </c>
      <c r="D4372" t="s">
        <v>651</v>
      </c>
      <c r="E4372" t="s">
        <v>1833</v>
      </c>
      <c r="F4372" t="s">
        <v>22</v>
      </c>
      <c r="G4372" t="s">
        <v>83</v>
      </c>
      <c r="H4372" t="s">
        <v>1781</v>
      </c>
      <c r="I4372" t="s">
        <v>25</v>
      </c>
      <c r="J4372" s="2">
        <v>45693.535937499997</v>
      </c>
      <c r="K4372">
        <v>5</v>
      </c>
      <c r="L4372">
        <v>2</v>
      </c>
      <c r="M4372">
        <v>2025</v>
      </c>
      <c r="N4372" t="s">
        <v>27</v>
      </c>
      <c r="O4372">
        <v>170</v>
      </c>
      <c r="P4372">
        <v>170</v>
      </c>
      <c r="R4372" s="3" t="str">
        <f>HYPERLINK("https://panda.att.com.mx/ODKServer/view/binaryData?blobKey=FSSuministroFluidosv3%5B%40version%3Dnull+and+%40uiVersion%3Dnull%5D%2Fdata%5B%40key%3Duuid%3A64aefa07-0f9a-489c-aed5-f6a432e7e80e%5D%2FgroupInfoFuel%5B%40ordinal%3D1%5D%2FpicFuelRecibeInterno","Descargar")</f>
        <v>Descargar</v>
      </c>
    </row>
    <row r="4373" spans="1:18" x14ac:dyDescent="0.3">
      <c r="A4373">
        <v>1475979</v>
      </c>
      <c r="B4373" t="s">
        <v>18</v>
      </c>
      <c r="C4373" t="s">
        <v>100</v>
      </c>
      <c r="D4373" t="s">
        <v>651</v>
      </c>
      <c r="E4373" t="s">
        <v>3132</v>
      </c>
      <c r="F4373" t="s">
        <v>22</v>
      </c>
      <c r="G4373" t="s">
        <v>23</v>
      </c>
      <c r="H4373" t="s">
        <v>1781</v>
      </c>
      <c r="I4373" t="s">
        <v>25</v>
      </c>
      <c r="J4373" s="2">
        <v>45689.519895833328</v>
      </c>
      <c r="K4373">
        <v>1</v>
      </c>
      <c r="L4373">
        <v>2</v>
      </c>
      <c r="M4373">
        <v>2025</v>
      </c>
      <c r="N4373" t="s">
        <v>27</v>
      </c>
      <c r="O4373">
        <v>100</v>
      </c>
      <c r="P4373">
        <v>100</v>
      </c>
      <c r="R4373" s="3" t="str">
        <f>HYPERLINK("https://panda.att.com.mx/ODKServer/view/binaryData?blobKey=FSSuministroFluidosv3%5B%40version%3Dnull+and+%40uiVersion%3Dnull%5D%2Fdata%5B%40key%3Duuid%3A036586d8-b8e8-4417-8cb7-83de90324d72%5D%2FgroupInfoFuel%5B%40ordinal%3D1%5D%2FpicFuelRecibeInterno","Descargar")</f>
        <v>Descargar</v>
      </c>
    </row>
    <row r="4374" spans="1:18" x14ac:dyDescent="0.3">
      <c r="A4374">
        <v>1475975</v>
      </c>
      <c r="B4374" t="s">
        <v>18</v>
      </c>
      <c r="C4374" t="s">
        <v>167</v>
      </c>
      <c r="D4374" t="s">
        <v>168</v>
      </c>
      <c r="E4374" t="s">
        <v>169</v>
      </c>
      <c r="F4374" t="s">
        <v>22</v>
      </c>
      <c r="G4374" t="s">
        <v>83</v>
      </c>
      <c r="H4374" t="s">
        <v>58</v>
      </c>
      <c r="I4374" t="s">
        <v>25</v>
      </c>
      <c r="J4374" s="2">
        <v>45693.494768518518</v>
      </c>
      <c r="K4374">
        <v>5</v>
      </c>
      <c r="L4374">
        <v>2</v>
      </c>
      <c r="M4374">
        <v>2025</v>
      </c>
      <c r="N4374" t="s">
        <v>27</v>
      </c>
      <c r="O4374">
        <v>450</v>
      </c>
      <c r="P4374">
        <v>450</v>
      </c>
      <c r="R4374" s="3" t="str">
        <f>HYPERLINK("https://panda.att.com.mx/ODKServer/view/binaryData?blobKey=FSSuministroFluidosv3%5B%40version%3Dnull+and+%40uiVersion%3Dnull%5D%2Fdata%5B%40key%3Duuid%3Aff44bd58-cb8f-4c5b-927c-f6d5783b2196%5D%2FgroupInfoFuel%5B%40ordinal%3D1%5D%2FpicFuelRecibeInterno","Descargar")</f>
        <v>Descargar</v>
      </c>
    </row>
    <row r="4375" spans="1:18" x14ac:dyDescent="0.3">
      <c r="A4375">
        <v>1475929</v>
      </c>
      <c r="B4375" t="s">
        <v>18</v>
      </c>
      <c r="C4375" t="s">
        <v>150</v>
      </c>
      <c r="D4375" t="s">
        <v>230</v>
      </c>
      <c r="E4375" t="s">
        <v>399</v>
      </c>
      <c r="F4375" t="s">
        <v>22</v>
      </c>
      <c r="G4375" t="s">
        <v>23</v>
      </c>
      <c r="H4375" t="s">
        <v>1781</v>
      </c>
      <c r="I4375" t="s">
        <v>25</v>
      </c>
      <c r="J4375" s="2">
        <v>45693.41300925926</v>
      </c>
      <c r="K4375">
        <v>5</v>
      </c>
      <c r="L4375">
        <v>2</v>
      </c>
      <c r="M4375">
        <v>2025</v>
      </c>
      <c r="N4375" t="s">
        <v>27</v>
      </c>
      <c r="O4375">
        <v>200.1</v>
      </c>
      <c r="P4375">
        <v>200.1</v>
      </c>
      <c r="R4375" s="3" t="str">
        <f>HYPERLINK("https://panda.att.com.mx/ODKServer/view/binaryData?blobKey=FSSuministroFluidosv3%5B%40version%3Dnull+and+%40uiVersion%3Dnull%5D%2Fdata%5B%40key%3Duuid%3A7dba4a4a-a427-49d2-9d86-5799e9f071fc%5D%2FgroupInfoFuel%5B%40ordinal%3D1%5D%2FpicFuelRecibeInterno","Descargar")</f>
        <v>Descargar</v>
      </c>
    </row>
    <row r="4376" spans="1:18" x14ac:dyDescent="0.3">
      <c r="A4376">
        <v>1475913</v>
      </c>
      <c r="B4376" t="s">
        <v>18</v>
      </c>
      <c r="C4376" t="s">
        <v>59</v>
      </c>
      <c r="D4376" t="s">
        <v>574</v>
      </c>
      <c r="E4376" t="s">
        <v>3133</v>
      </c>
      <c r="F4376" t="s">
        <v>22</v>
      </c>
      <c r="G4376" t="s">
        <v>23</v>
      </c>
      <c r="H4376" t="s">
        <v>37</v>
      </c>
      <c r="I4376" t="s">
        <v>84</v>
      </c>
      <c r="J4376" s="2">
        <v>45693.455555555563</v>
      </c>
      <c r="K4376">
        <v>5</v>
      </c>
      <c r="L4376">
        <v>2</v>
      </c>
      <c r="M4376">
        <v>2025</v>
      </c>
      <c r="N4376" t="s">
        <v>27</v>
      </c>
      <c r="O4376">
        <v>350</v>
      </c>
      <c r="P4376">
        <v>350</v>
      </c>
      <c r="R4376" s="3" t="str">
        <f>HYPERLINK("https://panda.att.com.mx/ODKServer/view/binaryData?blobKey=FSSuministroFluidosv3%5B%40version%3Dnull+and+%40uiVersion%3Dnull%5D%2Fdata%5B%40key%3Duuid%3Af9ddd6ae-5df1-4404-85b1-b86eed4c148d%5D%2FgroupInfoFuel%5B%40ordinal%3D1%5D%2FpicFuelRecibeInterno","Descargar")</f>
        <v>Descargar</v>
      </c>
    </row>
    <row r="4377" spans="1:18" x14ac:dyDescent="0.3">
      <c r="A4377">
        <v>1475862</v>
      </c>
      <c r="B4377" t="s">
        <v>18</v>
      </c>
      <c r="C4377" t="s">
        <v>19</v>
      </c>
      <c r="D4377" t="s">
        <v>62</v>
      </c>
      <c r="E4377" t="s">
        <v>3134</v>
      </c>
      <c r="F4377" t="s">
        <v>22</v>
      </c>
      <c r="G4377" t="s">
        <v>23</v>
      </c>
      <c r="H4377" t="s">
        <v>24</v>
      </c>
      <c r="I4377" t="s">
        <v>25</v>
      </c>
      <c r="J4377" s="2">
        <v>45692.958067129628</v>
      </c>
      <c r="K4377">
        <v>4</v>
      </c>
      <c r="L4377">
        <v>2</v>
      </c>
      <c r="M4377">
        <v>2025</v>
      </c>
      <c r="N4377" t="s">
        <v>27</v>
      </c>
      <c r="O4377">
        <v>60</v>
      </c>
      <c r="P4377">
        <v>60</v>
      </c>
      <c r="R4377" s="3" t="str">
        <f>HYPERLINK("https://panda.att.com.mx/ODKServer/view/binaryData?blobKey=FSSuministroFluidosv3%5B%40version%3Dnull+and+%40uiVersion%3Dnull%5D%2Fdata%5B%40key%3Duuid%3Adc9c5128-9bd7-48bc-92cf-f98cc2082972%5D%2FgroupInfoFuel%5B%40ordinal%3D1%5D%2FpicFuelRecibeInterno","Descargar")</f>
        <v>Descargar</v>
      </c>
    </row>
    <row r="4378" spans="1:18" x14ac:dyDescent="0.3">
      <c r="A4378">
        <v>1475837</v>
      </c>
      <c r="B4378" t="s">
        <v>18</v>
      </c>
      <c r="C4378" t="s">
        <v>34</v>
      </c>
      <c r="D4378" t="s">
        <v>53</v>
      </c>
      <c r="E4378" t="s">
        <v>459</v>
      </c>
      <c r="F4378" t="s">
        <v>22</v>
      </c>
      <c r="G4378" t="s">
        <v>83</v>
      </c>
      <c r="H4378" t="s">
        <v>390</v>
      </c>
      <c r="I4378" t="s">
        <v>25</v>
      </c>
      <c r="J4378" s="2">
        <v>45692.598287037043</v>
      </c>
      <c r="K4378">
        <v>4</v>
      </c>
      <c r="L4378">
        <v>2</v>
      </c>
      <c r="M4378">
        <v>2025</v>
      </c>
      <c r="N4378" t="s">
        <v>27</v>
      </c>
      <c r="O4378">
        <v>450</v>
      </c>
      <c r="P4378">
        <v>450</v>
      </c>
      <c r="R4378" s="3" t="str">
        <f>HYPERLINK("https://panda.att.com.mx/ODKServer/view/binaryData?blobKey=FSSuministroFluidosv3%5B%40version%3Dnull+and+%40uiVersion%3Dnull%5D%2Fdata%5B%40key%3Duuid%3A6556b917-d9f2-4c66-8533-da9f03834c6f%5D%2FgroupInfoFuel%5B%40ordinal%3D1%5D%2FpicFuelRecibeInterno","Descargar")</f>
        <v>Descargar</v>
      </c>
    </row>
    <row r="4379" spans="1:18" x14ac:dyDescent="0.3">
      <c r="A4379">
        <v>1475836</v>
      </c>
      <c r="B4379" t="s">
        <v>18</v>
      </c>
      <c r="C4379" t="s">
        <v>34</v>
      </c>
      <c r="D4379" t="s">
        <v>53</v>
      </c>
      <c r="E4379" t="s">
        <v>457</v>
      </c>
      <c r="F4379" t="s">
        <v>22</v>
      </c>
      <c r="G4379" t="s">
        <v>83</v>
      </c>
      <c r="H4379" t="s">
        <v>390</v>
      </c>
      <c r="I4379" t="s">
        <v>25</v>
      </c>
      <c r="J4379" s="2">
        <v>45692.481030092589</v>
      </c>
      <c r="K4379">
        <v>4</v>
      </c>
      <c r="L4379">
        <v>2</v>
      </c>
      <c r="M4379">
        <v>2025</v>
      </c>
      <c r="N4379" t="s">
        <v>27</v>
      </c>
      <c r="O4379">
        <v>650</v>
      </c>
      <c r="P4379">
        <v>650</v>
      </c>
      <c r="R4379" s="3" t="str">
        <f>HYPERLINK("https://panda.att.com.mx/ODKServer/view/binaryData?blobKey=FSSuministroFluidosv3%5B%40version%3Dnull+and+%40uiVersion%3Dnull%5D%2Fdata%5B%40key%3Duuid%3Aff6ea999-bfff-4c9d-b0ad-d374927b6c53%5D%2FgroupInfoFuel%5B%40ordinal%3D1%5D%2FpicFuelRecibeInterno","Descargar")</f>
        <v>Descargar</v>
      </c>
    </row>
    <row r="4380" spans="1:18" x14ac:dyDescent="0.3">
      <c r="A4380">
        <v>1475727</v>
      </c>
      <c r="B4380" t="s">
        <v>18</v>
      </c>
      <c r="C4380" t="s">
        <v>19</v>
      </c>
      <c r="D4380" t="s">
        <v>20</v>
      </c>
      <c r="E4380" t="s">
        <v>3135</v>
      </c>
      <c r="F4380" t="s">
        <v>22</v>
      </c>
      <c r="G4380" t="s">
        <v>23</v>
      </c>
      <c r="H4380" t="s">
        <v>24</v>
      </c>
      <c r="I4380" t="s">
        <v>25</v>
      </c>
      <c r="J4380" t="s">
        <v>3136</v>
      </c>
      <c r="K4380">
        <v>31</v>
      </c>
      <c r="L4380">
        <v>1</v>
      </c>
      <c r="M4380">
        <v>2025</v>
      </c>
      <c r="N4380" t="s">
        <v>27</v>
      </c>
      <c r="O4380">
        <v>300</v>
      </c>
      <c r="P4380">
        <v>300</v>
      </c>
      <c r="R4380" s="3" t="str">
        <f>HYPERLINK("https://panda.att.com.mx/ODKServer/view/binaryData?blobKey=FSSuministroFluidosv3%5B%40version%3Dnull+and+%40uiVersion%3Dnull%5D%2Fdata%5B%40key%3Duuid%3A27d3dd4e-5c11-48db-8008-c4450bd98cd7%5D%2FgroupInfoFuel%5B%40ordinal%3D1%5D%2FpicFuelRecibeInterno","Descargar")</f>
        <v>Descargar</v>
      </c>
    </row>
    <row r="4381" spans="1:18" x14ac:dyDescent="0.3">
      <c r="A4381">
        <v>1475676</v>
      </c>
      <c r="B4381" t="s">
        <v>18</v>
      </c>
      <c r="C4381" t="s">
        <v>55</v>
      </c>
      <c r="D4381" t="s">
        <v>288</v>
      </c>
      <c r="E4381" t="s">
        <v>3033</v>
      </c>
      <c r="F4381" t="s">
        <v>22</v>
      </c>
      <c r="G4381" t="s">
        <v>47</v>
      </c>
      <c r="H4381" t="s">
        <v>1763</v>
      </c>
      <c r="I4381" t="s">
        <v>25</v>
      </c>
      <c r="J4381" s="2">
        <v>45692.68273148148</v>
      </c>
      <c r="K4381">
        <v>4</v>
      </c>
      <c r="L4381">
        <v>2</v>
      </c>
      <c r="M4381">
        <v>2025</v>
      </c>
      <c r="N4381" t="s">
        <v>27</v>
      </c>
      <c r="O4381">
        <v>250</v>
      </c>
      <c r="P4381">
        <v>250</v>
      </c>
      <c r="R4381" s="3" t="str">
        <f>HYPERLINK("https://panda.att.com.mx/ODKServer/view/binaryData?blobKey=FSSuministroFluidosv3%5B%40version%3Dnull+and+%40uiVersion%3Dnull%5D%2Fdata%5B%40key%3Duuid%3Ab6222e1f-9f24-4bd4-ad22-24184294701c%5D%2FgroupInfoFuel%5B%40ordinal%3D1%5D%2FpicFuelRecibeInterno","Descargar")</f>
        <v>Descargar</v>
      </c>
    </row>
    <row r="4382" spans="1:18" x14ac:dyDescent="0.3">
      <c r="A4382">
        <v>1475666</v>
      </c>
      <c r="B4382" t="s">
        <v>18</v>
      </c>
      <c r="C4382" t="s">
        <v>55</v>
      </c>
      <c r="D4382" t="s">
        <v>56</v>
      </c>
      <c r="E4382" t="s">
        <v>3122</v>
      </c>
      <c r="F4382" t="s">
        <v>22</v>
      </c>
      <c r="G4382" t="s">
        <v>47</v>
      </c>
      <c r="H4382" t="s">
        <v>1763</v>
      </c>
      <c r="I4382" t="s">
        <v>25</v>
      </c>
      <c r="J4382" t="s">
        <v>3137</v>
      </c>
      <c r="K4382">
        <v>31</v>
      </c>
      <c r="L4382">
        <v>1</v>
      </c>
      <c r="M4382">
        <v>2025</v>
      </c>
      <c r="N4382" t="s">
        <v>27</v>
      </c>
      <c r="O4382">
        <v>120</v>
      </c>
      <c r="P4382">
        <v>120</v>
      </c>
      <c r="R4382" s="3" t="str">
        <f>HYPERLINK("https://panda.att.com.mx/ODKServer/view/binaryData?blobKey=FSSuministroFluidosv3%5B%40version%3Dnull+and+%40uiVersion%3Dnull%5D%2Fdata%5B%40key%3Duuid%3Ab8434649-ae51-4406-94bd-52552cc4af42%5D%2FgroupInfoFuel%5B%40ordinal%3D1%5D%2FpicFuelRecibeInterno","Descargar")</f>
        <v>Descargar</v>
      </c>
    </row>
    <row r="4383" spans="1:18" x14ac:dyDescent="0.3">
      <c r="A4383">
        <v>1475665</v>
      </c>
      <c r="B4383" t="s">
        <v>18</v>
      </c>
      <c r="C4383" t="s">
        <v>55</v>
      </c>
      <c r="D4383" t="s">
        <v>56</v>
      </c>
      <c r="E4383" t="s">
        <v>3122</v>
      </c>
      <c r="F4383" t="s">
        <v>22</v>
      </c>
      <c r="G4383" t="s">
        <v>47</v>
      </c>
      <c r="H4383" t="s">
        <v>1763</v>
      </c>
      <c r="I4383" t="s">
        <v>25</v>
      </c>
      <c r="J4383" s="2">
        <v>45689.649317129632</v>
      </c>
      <c r="K4383">
        <v>1</v>
      </c>
      <c r="L4383">
        <v>2</v>
      </c>
      <c r="M4383">
        <v>2025</v>
      </c>
      <c r="N4383" t="s">
        <v>27</v>
      </c>
      <c r="O4383">
        <v>100</v>
      </c>
      <c r="P4383">
        <v>100</v>
      </c>
      <c r="R4383" s="3" t="str">
        <f>HYPERLINK("https://panda.att.com.mx/ODKServer/view/binaryData?blobKey=FSSuministroFluidosv3%5B%40version%3Dnull+and+%40uiVersion%3Dnull%5D%2Fdata%5B%40key%3Duuid%3Af3ae63d0-d26f-4ff6-ab72-7cd313719251%5D%2FgroupInfoFuel%5B%40ordinal%3D1%5D%2FpicFuelRecibeInterno","Descargar")</f>
        <v>Descargar</v>
      </c>
    </row>
    <row r="4384" spans="1:18" x14ac:dyDescent="0.3">
      <c r="A4384">
        <v>1475580</v>
      </c>
      <c r="B4384" t="s">
        <v>18</v>
      </c>
      <c r="C4384" t="s">
        <v>100</v>
      </c>
      <c r="D4384" t="s">
        <v>854</v>
      </c>
      <c r="E4384" t="s">
        <v>993</v>
      </c>
      <c r="F4384" t="s">
        <v>22</v>
      </c>
      <c r="G4384" t="s">
        <v>83</v>
      </c>
      <c r="H4384" t="s">
        <v>1781</v>
      </c>
      <c r="I4384" t="s">
        <v>25</v>
      </c>
      <c r="J4384" s="2">
        <v>45692.565497685187</v>
      </c>
      <c r="K4384">
        <v>4</v>
      </c>
      <c r="L4384">
        <v>2</v>
      </c>
      <c r="M4384">
        <v>2025</v>
      </c>
      <c r="N4384" t="s">
        <v>27</v>
      </c>
      <c r="O4384">
        <v>220</v>
      </c>
      <c r="P4384">
        <v>220</v>
      </c>
      <c r="R4384" s="3" t="str">
        <f>HYPERLINK("https://panda.att.com.mx/ODKServer/view/binaryData?blobKey=FSSuministroFluidosv3%5B%40version%3Dnull+and+%40uiVersion%3Dnull%5D%2Fdata%5B%40key%3Duuid%3A91fc772c-7e9b-4189-82ab-5e817a802062%5D%2FgroupInfoFuel%5B%40ordinal%3D1%5D%2FpicFuelRecibeInterno","Descargar")</f>
        <v>Descargar</v>
      </c>
    </row>
    <row r="4385" spans="1:18" x14ac:dyDescent="0.3">
      <c r="A4385">
        <v>1475488</v>
      </c>
      <c r="B4385" t="s">
        <v>18</v>
      </c>
      <c r="C4385" t="s">
        <v>59</v>
      </c>
      <c r="D4385" t="s">
        <v>307</v>
      </c>
      <c r="E4385" t="s">
        <v>308</v>
      </c>
      <c r="F4385" t="s">
        <v>22</v>
      </c>
      <c r="G4385" t="s">
        <v>23</v>
      </c>
      <c r="H4385" t="s">
        <v>37</v>
      </c>
      <c r="I4385" t="s">
        <v>25</v>
      </c>
      <c r="J4385" s="2">
        <v>45691.502928240741</v>
      </c>
      <c r="K4385">
        <v>3</v>
      </c>
      <c r="L4385">
        <v>2</v>
      </c>
      <c r="M4385">
        <v>2025</v>
      </c>
      <c r="N4385" t="s">
        <v>44</v>
      </c>
      <c r="O4385">
        <v>44</v>
      </c>
      <c r="P4385">
        <v>44</v>
      </c>
      <c r="R4385" s="3" t="str">
        <f>HYPERLINK("https://panda.att.com.mx/ODKServer/view/binaryData?blobKey=FSSuministroFluidosv3%5B%40version%3Dnull+and+%40uiVersion%3Dnull%5D%2Fdata%5B%40key%3Duuid%3Aaa612215-0352-4e6e-84cb-aa11f9e1ce06%5D%2FgroupInfoFuel%5B%40ordinal%3D1%5D%2FpicFuelRecibeInterno","Descargar")</f>
        <v>Descargar</v>
      </c>
    </row>
    <row r="4386" spans="1:18" x14ac:dyDescent="0.3">
      <c r="A4386">
        <v>1475426</v>
      </c>
      <c r="B4386" t="s">
        <v>18</v>
      </c>
      <c r="C4386" t="s">
        <v>55</v>
      </c>
      <c r="D4386" t="s">
        <v>56</v>
      </c>
      <c r="E4386" t="s">
        <v>1713</v>
      </c>
      <c r="F4386" t="s">
        <v>22</v>
      </c>
      <c r="G4386" t="s">
        <v>47</v>
      </c>
      <c r="H4386" t="s">
        <v>1763</v>
      </c>
      <c r="I4386" t="s">
        <v>25</v>
      </c>
      <c r="J4386" t="s">
        <v>3138</v>
      </c>
      <c r="K4386">
        <v>27</v>
      </c>
      <c r="L4386">
        <v>1</v>
      </c>
      <c r="M4386">
        <v>2025</v>
      </c>
      <c r="N4386" t="s">
        <v>27</v>
      </c>
      <c r="O4386">
        <v>200</v>
      </c>
      <c r="P4386">
        <v>200</v>
      </c>
      <c r="R4386" s="3" t="str">
        <f>HYPERLINK("https://panda.att.com.mx/ODKServer/view/binaryData?blobKey=FSSuministroFluidosv3%5B%40version%3Dnull+and+%40uiVersion%3Dnull%5D%2Fdata%5B%40key%3Duuid%3Ad6826295-0999-4e7f-a087-8c251016a52a%5D%2FgroupInfoFuel%5B%40ordinal%3D1%5D%2FpicFuelRecibeInterno","Descargar")</f>
        <v>Descargar</v>
      </c>
    </row>
    <row r="4387" spans="1:18" x14ac:dyDescent="0.3">
      <c r="A4387">
        <v>1475409</v>
      </c>
      <c r="B4387" t="s">
        <v>18</v>
      </c>
      <c r="C4387" t="s">
        <v>150</v>
      </c>
      <c r="D4387" t="s">
        <v>230</v>
      </c>
      <c r="E4387" t="s">
        <v>1510</v>
      </c>
      <c r="F4387" t="s">
        <v>22</v>
      </c>
      <c r="G4387" t="s">
        <v>23</v>
      </c>
      <c r="H4387" t="s">
        <v>1781</v>
      </c>
      <c r="I4387" t="s">
        <v>25</v>
      </c>
      <c r="J4387" s="2">
        <v>45692.370358796303</v>
      </c>
      <c r="K4387">
        <v>4</v>
      </c>
      <c r="L4387">
        <v>2</v>
      </c>
      <c r="M4387">
        <v>2025</v>
      </c>
      <c r="N4387" t="s">
        <v>27</v>
      </c>
      <c r="O4387">
        <v>300</v>
      </c>
      <c r="P4387">
        <v>300</v>
      </c>
      <c r="R4387" s="3" t="str">
        <f>HYPERLINK("https://panda.att.com.mx/ODKServer/view/binaryData?blobKey=FSSuministroFluidosv3%5B%40version%3Dnull+and+%40uiVersion%3Dnull%5D%2Fdata%5B%40key%3Duuid%3A872108a3-85b9-44d7-847f-ed5c671644aa%5D%2FgroupInfoFuel%5B%40ordinal%3D1%5D%2FpicFuelRecibeInterno","Descargar")</f>
        <v>Descargar</v>
      </c>
    </row>
    <row r="4388" spans="1:18" x14ac:dyDescent="0.3">
      <c r="A4388">
        <v>1475295</v>
      </c>
      <c r="B4388" t="s">
        <v>18</v>
      </c>
      <c r="C4388" t="s">
        <v>19</v>
      </c>
      <c r="D4388" t="s">
        <v>20</v>
      </c>
      <c r="E4388" t="s">
        <v>166</v>
      </c>
      <c r="F4388" t="s">
        <v>22</v>
      </c>
      <c r="G4388" t="s">
        <v>23</v>
      </c>
      <c r="H4388" t="s">
        <v>24</v>
      </c>
      <c r="I4388" t="s">
        <v>25</v>
      </c>
      <c r="J4388" s="2">
        <v>45692.495833333327</v>
      </c>
      <c r="K4388">
        <v>4</v>
      </c>
      <c r="L4388">
        <v>2</v>
      </c>
      <c r="M4388">
        <v>2025</v>
      </c>
      <c r="N4388" t="s">
        <v>27</v>
      </c>
      <c r="O4388">
        <v>400</v>
      </c>
      <c r="P4388">
        <v>400</v>
      </c>
      <c r="R4388" s="3" t="str">
        <f>HYPERLINK("https://panda.att.com.mx/ODKServer/view/binaryData?blobKey=FSSuministroFluidosv3%5B%40version%3Dnull+and+%40uiVersion%3Dnull%5D%2Fdata%5B%40key%3Duuid%3Aaddb6dca-ae32-459a-b8a1-6e183d512f8e%5D%2FgroupInfoFuel%5B%40ordinal%3D1%5D%2FpicFuelRecibeInterno","Descargar")</f>
        <v>Descargar</v>
      </c>
    </row>
    <row r="4389" spans="1:18" x14ac:dyDescent="0.3">
      <c r="A4389">
        <v>1475250</v>
      </c>
      <c r="B4389" t="s">
        <v>18</v>
      </c>
      <c r="C4389" t="s">
        <v>68</v>
      </c>
      <c r="D4389" t="s">
        <v>116</v>
      </c>
      <c r="E4389" t="s">
        <v>3097</v>
      </c>
      <c r="F4389" t="s">
        <v>22</v>
      </c>
      <c r="G4389" t="s">
        <v>23</v>
      </c>
      <c r="H4389" t="s">
        <v>37</v>
      </c>
      <c r="I4389" t="s">
        <v>25</v>
      </c>
      <c r="J4389" s="2">
        <v>45690.685810185183</v>
      </c>
      <c r="K4389">
        <v>2</v>
      </c>
      <c r="L4389">
        <v>2</v>
      </c>
      <c r="M4389">
        <v>2025</v>
      </c>
      <c r="N4389" t="s">
        <v>27</v>
      </c>
      <c r="O4389">
        <v>400</v>
      </c>
      <c r="P4389">
        <v>400</v>
      </c>
      <c r="R4389" s="3" t="str">
        <f>HYPERLINK("https://panda.att.com.mx/ODKServer/view/binaryData?blobKey=FSSuministroFluidosv3%5B%40version%3Dnull+and+%40uiVersion%3Dnull%5D%2Fdata%5B%40key%3Duuid%3A81fea935-e4fc-45ad-8ae7-bcd03396184b%5D%2FgroupInfoFuel%5B%40ordinal%3D1%5D%2FpicFuelRecibeInterno","Descargar")</f>
        <v>Descargar</v>
      </c>
    </row>
    <row r="4390" spans="1:18" x14ac:dyDescent="0.3">
      <c r="A4390">
        <v>1475204</v>
      </c>
      <c r="B4390" t="s">
        <v>18</v>
      </c>
      <c r="C4390" t="s">
        <v>28</v>
      </c>
      <c r="D4390" t="s">
        <v>513</v>
      </c>
      <c r="E4390" t="s">
        <v>2099</v>
      </c>
      <c r="F4390" t="s">
        <v>22</v>
      </c>
      <c r="G4390" t="s">
        <v>23</v>
      </c>
      <c r="H4390" t="s">
        <v>24</v>
      </c>
      <c r="I4390" t="s">
        <v>25</v>
      </c>
      <c r="J4390" s="2">
        <v>45691.548981481479</v>
      </c>
      <c r="K4390">
        <v>3</v>
      </c>
      <c r="L4390">
        <v>2</v>
      </c>
      <c r="M4390">
        <v>2025</v>
      </c>
      <c r="N4390" t="s">
        <v>44</v>
      </c>
      <c r="O4390">
        <v>50</v>
      </c>
      <c r="P4390">
        <v>50</v>
      </c>
      <c r="R4390" s="3" t="str">
        <f>HYPERLINK("https://panda.att.com.mx/ODKServer/view/binaryData?blobKey=FSSuministroFluidosv3%5B%40version%3Dnull+and+%40uiVersion%3Dnull%5D%2Fdata%5B%40key%3Duuid%3A60bb1a64-9a02-40d6-8fd6-949dc9910611%5D%2FgroupInfoFuel%5B%40ordinal%3D1%5D%2FpicFuelRecibeInterno","Descargar")</f>
        <v>Descargar</v>
      </c>
    </row>
    <row r="4391" spans="1:18" x14ac:dyDescent="0.3">
      <c r="A4391">
        <v>1475150</v>
      </c>
      <c r="B4391" t="s">
        <v>18</v>
      </c>
      <c r="C4391" t="s">
        <v>34</v>
      </c>
      <c r="D4391" t="s">
        <v>121</v>
      </c>
      <c r="E4391" t="s">
        <v>3086</v>
      </c>
      <c r="F4391" t="s">
        <v>22</v>
      </c>
      <c r="G4391" t="s">
        <v>23</v>
      </c>
      <c r="H4391" t="s">
        <v>37</v>
      </c>
      <c r="I4391" t="s">
        <v>25</v>
      </c>
      <c r="J4391" s="2">
        <v>45691.67759259259</v>
      </c>
      <c r="K4391">
        <v>3</v>
      </c>
      <c r="L4391">
        <v>2</v>
      </c>
      <c r="M4391">
        <v>2025</v>
      </c>
      <c r="N4391" t="s">
        <v>27</v>
      </c>
      <c r="O4391">
        <v>300</v>
      </c>
      <c r="P4391">
        <v>300</v>
      </c>
      <c r="R4391" s="3" t="str">
        <f>HYPERLINK("https://panda.att.com.mx/ODKServer/view/binaryData?blobKey=FSSuministroFluidosv3%5B%40version%3Dnull+and+%40uiVersion%3Dnull%5D%2Fdata%5B%40key%3Duuid%3Af2dc954a-f8e0-4a5a-b26c-ef724c0b2f95%5D%2FgroupInfoFuel%5B%40ordinal%3D1%5D%2FpicFuelRecibeInterno","Descargar")</f>
        <v>Descargar</v>
      </c>
    </row>
    <row r="4392" spans="1:18" x14ac:dyDescent="0.3">
      <c r="A4392">
        <v>1475149</v>
      </c>
      <c r="B4392" t="s">
        <v>18</v>
      </c>
      <c r="C4392" t="s">
        <v>34</v>
      </c>
      <c r="D4392" t="s">
        <v>121</v>
      </c>
      <c r="E4392" t="s">
        <v>3102</v>
      </c>
      <c r="F4392" t="s">
        <v>22</v>
      </c>
      <c r="G4392" t="s">
        <v>23</v>
      </c>
      <c r="H4392" t="s">
        <v>37</v>
      </c>
      <c r="I4392" t="s">
        <v>25</v>
      </c>
      <c r="J4392" s="2">
        <v>45691.651412037027</v>
      </c>
      <c r="K4392">
        <v>3</v>
      </c>
      <c r="L4392">
        <v>2</v>
      </c>
      <c r="M4392">
        <v>2025</v>
      </c>
      <c r="N4392" t="s">
        <v>27</v>
      </c>
      <c r="O4392">
        <v>200</v>
      </c>
      <c r="P4392">
        <v>200</v>
      </c>
      <c r="R4392" s="3" t="str">
        <f>HYPERLINK("https://panda.att.com.mx/ODKServer/view/binaryData?blobKey=FSSuministroFluidosv3%5B%40version%3Dnull+and+%40uiVersion%3Dnull%5D%2Fdata%5B%40key%3Duuid%3A3dff1911-2ca1-4b21-b054-98ae86ba8d1a%5D%2FgroupInfoFuel%5B%40ordinal%3D1%5D%2FpicFuelRecibeInterno","Descargar")</f>
        <v>Descargar</v>
      </c>
    </row>
    <row r="4393" spans="1:18" x14ac:dyDescent="0.3">
      <c r="A4393">
        <v>1475148</v>
      </c>
      <c r="B4393" t="s">
        <v>18</v>
      </c>
      <c r="C4393" t="s">
        <v>34</v>
      </c>
      <c r="D4393" t="s">
        <v>121</v>
      </c>
      <c r="E4393" t="s">
        <v>3041</v>
      </c>
      <c r="F4393" t="s">
        <v>22</v>
      </c>
      <c r="G4393" t="s">
        <v>23</v>
      </c>
      <c r="H4393" t="s">
        <v>37</v>
      </c>
      <c r="I4393" t="s">
        <v>25</v>
      </c>
      <c r="J4393" s="2">
        <v>45691.598622685182</v>
      </c>
      <c r="K4393">
        <v>3</v>
      </c>
      <c r="L4393">
        <v>2</v>
      </c>
      <c r="M4393">
        <v>2025</v>
      </c>
      <c r="N4393" t="s">
        <v>27</v>
      </c>
      <c r="O4393">
        <v>500</v>
      </c>
      <c r="P4393">
        <v>500</v>
      </c>
      <c r="R4393" s="3" t="str">
        <f>HYPERLINK("https://panda.att.com.mx/ODKServer/view/binaryData?blobKey=FSSuministroFluidosv3%5B%40version%3Dnull+and+%40uiVersion%3Dnull%5D%2Fdata%5B%40key%3Duuid%3A32ba6244-705e-4f7e-9a1c-78336f6b037e%5D%2FgroupInfoFuel%5B%40ordinal%3D1%5D%2FpicFuelRecibeInterno","Descargar")</f>
        <v>Descargar</v>
      </c>
    </row>
    <row r="4394" spans="1:18" x14ac:dyDescent="0.3">
      <c r="A4394">
        <v>1475109</v>
      </c>
      <c r="B4394" t="s">
        <v>18</v>
      </c>
      <c r="C4394" t="s">
        <v>55</v>
      </c>
      <c r="D4394" t="s">
        <v>56</v>
      </c>
      <c r="E4394" t="s">
        <v>1555</v>
      </c>
      <c r="F4394" t="s">
        <v>22</v>
      </c>
      <c r="G4394" t="s">
        <v>47</v>
      </c>
      <c r="H4394" t="s">
        <v>1763</v>
      </c>
      <c r="I4394" t="s">
        <v>25</v>
      </c>
      <c r="J4394" s="2">
        <v>45690.377326388887</v>
      </c>
      <c r="K4394">
        <v>2</v>
      </c>
      <c r="L4394">
        <v>2</v>
      </c>
      <c r="M4394">
        <v>2025</v>
      </c>
      <c r="N4394" t="s">
        <v>27</v>
      </c>
      <c r="O4394">
        <v>200</v>
      </c>
      <c r="P4394">
        <v>200</v>
      </c>
      <c r="R4394" s="3" t="str">
        <f>HYPERLINK("https://panda.att.com.mx/ODKServer/view/binaryData?blobKey=FSSuministroFluidosv3%5B%40version%3Dnull+and+%40uiVersion%3Dnull%5D%2Fdata%5B%40key%3Duuid%3A9bd8b364-acaf-4036-8cb1-2e325a469733%5D%2FgroupInfoFuel%5B%40ordinal%3D1%5D%2FpicFuelRecibeInterno","Descargar")</f>
        <v>Descargar</v>
      </c>
    </row>
    <row r="4395" spans="1:18" x14ac:dyDescent="0.3">
      <c r="A4395">
        <v>1475104</v>
      </c>
      <c r="B4395" t="s">
        <v>18</v>
      </c>
      <c r="C4395" t="s">
        <v>55</v>
      </c>
      <c r="D4395" t="s">
        <v>1836</v>
      </c>
      <c r="E4395" t="s">
        <v>1837</v>
      </c>
      <c r="F4395" t="s">
        <v>22</v>
      </c>
      <c r="G4395" t="s">
        <v>47</v>
      </c>
      <c r="H4395" t="s">
        <v>1763</v>
      </c>
      <c r="I4395" t="s">
        <v>25</v>
      </c>
      <c r="J4395" s="2">
        <v>45691.659062500003</v>
      </c>
      <c r="K4395">
        <v>3</v>
      </c>
      <c r="L4395">
        <v>2</v>
      </c>
      <c r="M4395">
        <v>2025</v>
      </c>
      <c r="N4395" t="s">
        <v>44</v>
      </c>
      <c r="O4395">
        <v>50</v>
      </c>
      <c r="P4395">
        <v>50</v>
      </c>
      <c r="R4395" s="3" t="str">
        <f>HYPERLINK("https://panda.att.com.mx/ODKServer/view/binaryData?blobKey=FSSuministroFluidosv3%5B%40version%3Dnull+and+%40uiVersion%3Dnull%5D%2Fdata%5B%40key%3Duuid%3Aa222c1c5-9ef7-4e98-9987-837eb51a137c%5D%2FgroupInfoFuel%5B%40ordinal%3D1%5D%2FpicFuelRecibeInterno","Descargar")</f>
        <v>Descargar</v>
      </c>
    </row>
    <row r="4396" spans="1:18" x14ac:dyDescent="0.3">
      <c r="A4396">
        <v>1475102</v>
      </c>
      <c r="B4396" t="s">
        <v>18</v>
      </c>
      <c r="C4396" t="s">
        <v>100</v>
      </c>
      <c r="D4396" t="s">
        <v>651</v>
      </c>
      <c r="E4396" t="s">
        <v>1833</v>
      </c>
      <c r="F4396" t="s">
        <v>22</v>
      </c>
      <c r="G4396" t="s">
        <v>83</v>
      </c>
      <c r="H4396" t="s">
        <v>1781</v>
      </c>
      <c r="I4396" t="s">
        <v>25</v>
      </c>
      <c r="J4396" s="2">
        <v>45691.637384259258</v>
      </c>
      <c r="K4396">
        <v>3</v>
      </c>
      <c r="L4396">
        <v>2</v>
      </c>
      <c r="M4396">
        <v>2025</v>
      </c>
      <c r="N4396" t="s">
        <v>27</v>
      </c>
      <c r="O4396">
        <v>190</v>
      </c>
      <c r="P4396">
        <v>190</v>
      </c>
      <c r="R4396" s="3" t="str">
        <f>HYPERLINK("https://panda.att.com.mx/ODKServer/view/binaryData?blobKey=FSSuministroFluidosv3%5B%40version%3Dnull+and+%40uiVersion%3Dnull%5D%2Fdata%5B%40key%3Duuid%3A354904fa-4b0b-4e83-b9e9-65981d0d9b7c%5D%2FgroupInfoFuel%5B%40ordinal%3D1%5D%2FpicFuelRecibeInterno","Descargar")</f>
        <v>Descargar</v>
      </c>
    </row>
    <row r="4397" spans="1:18" x14ac:dyDescent="0.3">
      <c r="A4397">
        <v>1475056</v>
      </c>
      <c r="B4397" t="s">
        <v>18</v>
      </c>
      <c r="C4397" t="s">
        <v>55</v>
      </c>
      <c r="D4397" t="s">
        <v>128</v>
      </c>
      <c r="E4397" t="s">
        <v>2000</v>
      </c>
      <c r="F4397" t="s">
        <v>22</v>
      </c>
      <c r="G4397" t="s">
        <v>47</v>
      </c>
      <c r="H4397" t="s">
        <v>1763</v>
      </c>
      <c r="I4397" t="s">
        <v>25</v>
      </c>
      <c r="J4397" s="2">
        <v>45691.416006944448</v>
      </c>
      <c r="K4397">
        <v>3</v>
      </c>
      <c r="L4397">
        <v>2</v>
      </c>
      <c r="M4397">
        <v>2025</v>
      </c>
      <c r="N4397" t="s">
        <v>27</v>
      </c>
      <c r="O4397">
        <v>400</v>
      </c>
      <c r="P4397">
        <v>400</v>
      </c>
      <c r="R4397" s="3" t="str">
        <f>HYPERLINK("https://panda.att.com.mx/ODKServer/view/binaryData?blobKey=FSSuministroFluidosv3%5B%40version%3Dnull+and+%40uiVersion%3Dnull%5D%2Fdata%5B%40key%3Duuid%3A562c6ae9-1158-41f0-ae8d-4a63d37f3477%5D%2FgroupInfoFuel%5B%40ordinal%3D1%5D%2FpicFuelRecibeInterno","Descargar")</f>
        <v>Descargar</v>
      </c>
    </row>
    <row r="4398" spans="1:18" x14ac:dyDescent="0.3">
      <c r="A4398">
        <v>1475000</v>
      </c>
      <c r="B4398" t="s">
        <v>18</v>
      </c>
      <c r="C4398" t="s">
        <v>19</v>
      </c>
      <c r="D4398" t="s">
        <v>45</v>
      </c>
      <c r="E4398" t="s">
        <v>241</v>
      </c>
      <c r="F4398" t="s">
        <v>22</v>
      </c>
      <c r="G4398" t="s">
        <v>23</v>
      </c>
      <c r="H4398" t="s">
        <v>24</v>
      </c>
      <c r="I4398" t="s">
        <v>25</v>
      </c>
      <c r="J4398" s="2">
        <v>45690.793749999997</v>
      </c>
      <c r="K4398">
        <v>2</v>
      </c>
      <c r="L4398">
        <v>2</v>
      </c>
      <c r="M4398">
        <v>2025</v>
      </c>
      <c r="N4398" t="s">
        <v>27</v>
      </c>
      <c r="O4398">
        <v>250</v>
      </c>
      <c r="P4398">
        <v>250</v>
      </c>
      <c r="R4398" s="3" t="str">
        <f>HYPERLINK("https://panda.att.com.mx/ODKServer/view/binaryData?blobKey=FSSuministroFluidosv3%5B%40version%3Dnull+and+%40uiVersion%3Dnull%5D%2Fdata%5B%40key%3Duuid%3A6e0e4e67-bde7-440d-b10d-22e54bcaca08%5D%2FgroupInfoFuel%5B%40ordinal%3D1%5D%2FpicFuelRecibeInterno","Descargar")</f>
        <v>Descargar</v>
      </c>
    </row>
    <row r="4399" spans="1:18" x14ac:dyDescent="0.3">
      <c r="A4399">
        <v>1474998</v>
      </c>
      <c r="B4399" t="s">
        <v>18</v>
      </c>
      <c r="C4399" t="s">
        <v>55</v>
      </c>
      <c r="D4399" t="s">
        <v>1836</v>
      </c>
      <c r="E4399" t="s">
        <v>1837</v>
      </c>
      <c r="F4399" t="s">
        <v>22</v>
      </c>
      <c r="G4399" t="s">
        <v>47</v>
      </c>
      <c r="H4399" t="s">
        <v>1763</v>
      </c>
      <c r="I4399" t="s">
        <v>25</v>
      </c>
      <c r="J4399" s="2">
        <v>45690.777349537027</v>
      </c>
      <c r="K4399">
        <v>2</v>
      </c>
      <c r="L4399">
        <v>2</v>
      </c>
      <c r="M4399">
        <v>2025</v>
      </c>
      <c r="N4399" t="s">
        <v>44</v>
      </c>
      <c r="O4399">
        <v>60</v>
      </c>
      <c r="P4399">
        <v>60</v>
      </c>
      <c r="R4399" s="3" t="str">
        <f>HYPERLINK("https://panda.att.com.mx/ODKServer/view/binaryData?blobKey=FSSuministroFluidosv3%5B%40version%3Dnull+and+%40uiVersion%3Dnull%5D%2Fdata%5B%40key%3Duuid%3A8834ef3e-49c9-4572-87a9-bf6c7efca431%5D%2FgroupInfoFuel%5B%40ordinal%3D1%5D%2FpicFuelRecibeInterno","Descargar")</f>
        <v>Descargar</v>
      </c>
    </row>
    <row r="4400" spans="1:18" x14ac:dyDescent="0.3">
      <c r="A4400">
        <v>1473524</v>
      </c>
      <c r="B4400" t="s">
        <v>18</v>
      </c>
      <c r="C4400" t="s">
        <v>34</v>
      </c>
      <c r="D4400" t="s">
        <v>53</v>
      </c>
      <c r="E4400" t="s">
        <v>3131</v>
      </c>
      <c r="F4400" t="s">
        <v>22</v>
      </c>
      <c r="G4400" t="s">
        <v>23</v>
      </c>
      <c r="H4400" t="s">
        <v>37</v>
      </c>
      <c r="I4400" t="s">
        <v>25</v>
      </c>
      <c r="J4400" t="s">
        <v>3139</v>
      </c>
      <c r="K4400">
        <v>30</v>
      </c>
      <c r="L4400">
        <v>1</v>
      </c>
      <c r="M4400">
        <v>2025</v>
      </c>
      <c r="N4400" t="s">
        <v>27</v>
      </c>
      <c r="O4400">
        <v>200</v>
      </c>
      <c r="P4400">
        <v>200</v>
      </c>
      <c r="R4400" s="3" t="str">
        <f>HYPERLINK("https://panda.att.com.mx/ODKServer/view/binaryData?blobKey=FSSuministroFluidosv3%5B%40version%3Dnull+and+%40uiVersion%3Dnull%5D%2Fdata%5B%40key%3Duuid%3Acb796586-8ac8-4fec-87e0-fb632d28b083%5D%2FgroupInfoFuel%5B%40ordinal%3D1%5D%2FpicFuelRecibeInterno","Descargar")</f>
        <v>Descargar</v>
      </c>
    </row>
    <row r="4401" spans="1:18" x14ac:dyDescent="0.3">
      <c r="A4401">
        <v>1473509</v>
      </c>
      <c r="B4401" t="s">
        <v>18</v>
      </c>
      <c r="C4401" t="s">
        <v>19</v>
      </c>
      <c r="D4401" t="s">
        <v>156</v>
      </c>
      <c r="E4401" t="s">
        <v>480</v>
      </c>
      <c r="F4401" t="s">
        <v>22</v>
      </c>
      <c r="G4401" t="s">
        <v>23</v>
      </c>
      <c r="H4401" t="s">
        <v>24</v>
      </c>
      <c r="I4401" t="s">
        <v>25</v>
      </c>
      <c r="J4401" t="s">
        <v>3140</v>
      </c>
      <c r="K4401">
        <v>27</v>
      </c>
      <c r="L4401">
        <v>1</v>
      </c>
      <c r="M4401">
        <v>2025</v>
      </c>
      <c r="N4401" t="s">
        <v>27</v>
      </c>
      <c r="O4401">
        <v>200</v>
      </c>
      <c r="Q4401">
        <v>200</v>
      </c>
      <c r="R4401" s="3" t="str">
        <f>HYPERLINK("https://panda.att.com.mx/ODKServer/view/binaryData?blobKey=FSSuministroFluidosv3%5B%40version%3Dnull+and+%40uiVersion%3Dnull%5D%2Fdata%5B%40key%3Duuid%3A1bdd8433-756c-44aa-8a50-11625fe5c657%5D%2FgroupInfoFuel%5B%40ordinal%3D1%5D%2FpicFuelRecibeInterno","Descargar")</f>
        <v>Descargar</v>
      </c>
    </row>
    <row r="4402" spans="1:18" x14ac:dyDescent="0.3">
      <c r="A4402">
        <v>1473508</v>
      </c>
      <c r="B4402" t="s">
        <v>18</v>
      </c>
      <c r="C4402" t="s">
        <v>59</v>
      </c>
      <c r="D4402" t="s">
        <v>1745</v>
      </c>
      <c r="E4402" t="s">
        <v>3141</v>
      </c>
      <c r="F4402" t="s">
        <v>22</v>
      </c>
      <c r="G4402" t="s">
        <v>23</v>
      </c>
      <c r="H4402" t="s">
        <v>24</v>
      </c>
      <c r="I4402" t="s">
        <v>25</v>
      </c>
      <c r="J4402" t="s">
        <v>3142</v>
      </c>
      <c r="K4402">
        <v>29</v>
      </c>
      <c r="L4402">
        <v>1</v>
      </c>
      <c r="M4402">
        <v>2025</v>
      </c>
      <c r="N4402" t="s">
        <v>44</v>
      </c>
      <c r="O4402">
        <v>27</v>
      </c>
      <c r="P4402">
        <v>27</v>
      </c>
      <c r="R4402" s="3" t="str">
        <f>HYPERLINK("https://panda.att.com.mx/ODKServer/view/binaryData?blobKey=FSSuministroFluidosv3%5B%40version%3Dnull+and+%40uiVersion%3Dnull%5D%2Fdata%5B%40key%3Duuid%3A4e701962-d4d4-445f-974f-6388f41d7928%5D%2FgroupInfoFuel%5B%40ordinal%3D1%5D%2FpicFuelRecibeInterno","Descargar")</f>
        <v>Descargar</v>
      </c>
    </row>
    <row r="4403" spans="1:18" x14ac:dyDescent="0.3">
      <c r="A4403">
        <v>1473482</v>
      </c>
      <c r="B4403" t="s">
        <v>18</v>
      </c>
      <c r="C4403" t="s">
        <v>100</v>
      </c>
      <c r="D4403" t="s">
        <v>101</v>
      </c>
      <c r="E4403" t="s">
        <v>126</v>
      </c>
      <c r="F4403" t="s">
        <v>22</v>
      </c>
      <c r="G4403" t="s">
        <v>23</v>
      </c>
      <c r="H4403" t="s">
        <v>1781</v>
      </c>
      <c r="I4403" t="s">
        <v>25</v>
      </c>
      <c r="J4403" t="s">
        <v>3143</v>
      </c>
      <c r="K4403">
        <v>30</v>
      </c>
      <c r="L4403">
        <v>1</v>
      </c>
      <c r="M4403">
        <v>2025</v>
      </c>
      <c r="N4403" t="s">
        <v>27</v>
      </c>
      <c r="O4403">
        <v>300</v>
      </c>
      <c r="P4403">
        <v>300</v>
      </c>
      <c r="R4403" s="3" t="str">
        <f>HYPERLINK("https://panda.att.com.mx/ODKServer/view/binaryData?blobKey=FSSuministroFluidosv3%5B%40version%3Dnull+and+%40uiVersion%3Dnull%5D%2Fdata%5B%40key%3Duuid%3Ae181af1c-0a56-4abb-808c-14616de947c6%5D%2FgroupInfoFuel%5B%40ordinal%3D1%5D%2FpicFuelRecibeInterno","Descargar")</f>
        <v>Descargar</v>
      </c>
    </row>
    <row r="4404" spans="1:18" x14ac:dyDescent="0.3">
      <c r="A4404">
        <v>1473470</v>
      </c>
      <c r="B4404" t="s">
        <v>18</v>
      </c>
      <c r="C4404" t="s">
        <v>68</v>
      </c>
      <c r="D4404" t="s">
        <v>78</v>
      </c>
      <c r="E4404" t="s">
        <v>3144</v>
      </c>
      <c r="F4404" t="s">
        <v>22</v>
      </c>
      <c r="G4404" t="s">
        <v>23</v>
      </c>
      <c r="H4404" t="s">
        <v>37</v>
      </c>
      <c r="I4404" t="s">
        <v>25</v>
      </c>
      <c r="J4404" t="s">
        <v>3145</v>
      </c>
      <c r="K4404">
        <v>30</v>
      </c>
      <c r="L4404">
        <v>1</v>
      </c>
      <c r="M4404">
        <v>2025</v>
      </c>
      <c r="N4404" t="s">
        <v>27</v>
      </c>
      <c r="O4404">
        <v>120</v>
      </c>
      <c r="P4404">
        <v>120</v>
      </c>
      <c r="R4404" s="3" t="str">
        <f>HYPERLINK("https://panda.att.com.mx/ODKServer/view/binaryData?blobKey=FSSuministroFluidosv3%5B%40version%3Dnull+and+%40uiVersion%3Dnull%5D%2Fdata%5B%40key%3Duuid%3Ac45dc4ef-ff13-42c7-bc55-2f3025d4b6de%5D%2FgroupInfoFuel%5B%40ordinal%3D1%5D%2FpicFuelRecibeInterno","Descargar")</f>
        <v>Descargar</v>
      </c>
    </row>
    <row r="4405" spans="1:18" x14ac:dyDescent="0.3">
      <c r="A4405">
        <v>1473364</v>
      </c>
      <c r="B4405" t="s">
        <v>18</v>
      </c>
      <c r="C4405" t="s">
        <v>55</v>
      </c>
      <c r="D4405" t="s">
        <v>56</v>
      </c>
      <c r="E4405" t="s">
        <v>3146</v>
      </c>
      <c r="F4405" t="s">
        <v>22</v>
      </c>
      <c r="G4405" t="s">
        <v>47</v>
      </c>
      <c r="H4405" t="s">
        <v>1763</v>
      </c>
      <c r="I4405" t="s">
        <v>25</v>
      </c>
      <c r="J4405" t="s">
        <v>3147</v>
      </c>
      <c r="K4405">
        <v>24</v>
      </c>
      <c r="L4405">
        <v>1</v>
      </c>
      <c r="M4405">
        <v>2025</v>
      </c>
      <c r="N4405" t="s">
        <v>27</v>
      </c>
      <c r="O4405">
        <v>100</v>
      </c>
      <c r="P4405">
        <v>100</v>
      </c>
      <c r="R4405" s="3" t="str">
        <f>HYPERLINK("https://panda.att.com.mx/ODKServer/view/binaryData?blobKey=FSSuministroFluidosv3%5B%40version%3Dnull+and+%40uiVersion%3Dnull%5D%2Fdata%5B%40key%3Duuid%3Aa1a7e35f-3207-45fa-9605-198c002fce26%5D%2FgroupInfoFuel%5B%40ordinal%3D1%5D%2FpicFuelRecibeInterno","Descargar")</f>
        <v>Descargar</v>
      </c>
    </row>
    <row r="4406" spans="1:18" x14ac:dyDescent="0.3">
      <c r="A4406">
        <v>1473349</v>
      </c>
      <c r="B4406" t="s">
        <v>18</v>
      </c>
      <c r="C4406" t="s">
        <v>55</v>
      </c>
      <c r="D4406" t="s">
        <v>56</v>
      </c>
      <c r="E4406" t="s">
        <v>3037</v>
      </c>
      <c r="F4406" t="s">
        <v>22</v>
      </c>
      <c r="G4406" t="s">
        <v>47</v>
      </c>
      <c r="H4406" t="s">
        <v>1763</v>
      </c>
      <c r="I4406" t="s">
        <v>25</v>
      </c>
      <c r="J4406" t="s">
        <v>3148</v>
      </c>
      <c r="K4406">
        <v>25</v>
      </c>
      <c r="L4406">
        <v>1</v>
      </c>
      <c r="M4406">
        <v>2025</v>
      </c>
      <c r="N4406" t="s">
        <v>27</v>
      </c>
      <c r="O4406">
        <v>200</v>
      </c>
      <c r="P4406">
        <v>200</v>
      </c>
      <c r="R4406" s="3" t="str">
        <f>HYPERLINK("https://panda.att.com.mx/ODKServer/view/binaryData?blobKey=FSSuministroFluidosv3%5B%40version%3Dnull+and+%40uiVersion%3Dnull%5D%2Fdata%5B%40key%3Duuid%3Ac609b759-e513-4240-8a60-7d364317518c%5D%2FgroupInfoFuel%5B%40ordinal%3D1%5D%2FpicFuelRecibeInterno","Descargar")</f>
        <v>Descargar</v>
      </c>
    </row>
    <row r="4407" spans="1:18" x14ac:dyDescent="0.3">
      <c r="A4407">
        <v>1473309</v>
      </c>
      <c r="B4407" t="s">
        <v>18</v>
      </c>
      <c r="C4407" t="s">
        <v>150</v>
      </c>
      <c r="D4407" t="s">
        <v>230</v>
      </c>
      <c r="E4407" t="s">
        <v>3149</v>
      </c>
      <c r="F4407" t="s">
        <v>22</v>
      </c>
      <c r="G4407" t="s">
        <v>47</v>
      </c>
      <c r="H4407" t="s">
        <v>1781</v>
      </c>
      <c r="I4407" t="s">
        <v>25</v>
      </c>
      <c r="J4407" t="s">
        <v>3150</v>
      </c>
      <c r="K4407">
        <v>30</v>
      </c>
      <c r="L4407">
        <v>1</v>
      </c>
      <c r="M4407">
        <v>2025</v>
      </c>
      <c r="N4407" t="s">
        <v>27</v>
      </c>
      <c r="O4407">
        <v>140</v>
      </c>
      <c r="P4407">
        <v>140</v>
      </c>
      <c r="R4407" s="3" t="str">
        <f>HYPERLINK("https://panda.att.com.mx/ODKServer/view/binaryData?blobKey=FSSuministroFluidosv3%5B%40version%3Dnull+and+%40uiVersion%3Dnull%5D%2Fdata%5B%40key%3Duuid%3Ae5d1bf6c-86c1-4378-9a79-2e58f71fc951%5D%2FgroupInfoFuel%5B%40ordinal%3D1%5D%2FpicFuelRecibeInterno","Descargar")</f>
        <v>Descargar</v>
      </c>
    </row>
    <row r="4408" spans="1:18" x14ac:dyDescent="0.3">
      <c r="A4408">
        <v>1473295</v>
      </c>
      <c r="B4408" t="s">
        <v>18</v>
      </c>
      <c r="C4408" t="s">
        <v>150</v>
      </c>
      <c r="D4408" t="s">
        <v>230</v>
      </c>
      <c r="E4408" t="s">
        <v>3149</v>
      </c>
      <c r="F4408" t="s">
        <v>22</v>
      </c>
      <c r="G4408" t="s">
        <v>47</v>
      </c>
      <c r="H4408" t="s">
        <v>1781</v>
      </c>
      <c r="I4408" t="s">
        <v>25</v>
      </c>
      <c r="J4408" t="s">
        <v>3151</v>
      </c>
      <c r="K4408">
        <v>30</v>
      </c>
      <c r="L4408">
        <v>1</v>
      </c>
      <c r="M4408">
        <v>2025</v>
      </c>
      <c r="N4408" t="s">
        <v>27</v>
      </c>
      <c r="O4408">
        <v>160</v>
      </c>
      <c r="P4408">
        <v>160</v>
      </c>
      <c r="R4408" s="3" t="str">
        <f>HYPERLINK("https://panda.att.com.mx/ODKServer/view/binaryData?blobKey=FSSuministroFluidosv3%5B%40version%3Dnull+and+%40uiVersion%3Dnull%5D%2Fdata%5B%40key%3Duuid%3A4ab030f0-e0b1-4943-aa21-49417aa65fc9%5D%2FgroupInfoFuel%5B%40ordinal%3D1%5D%2FpicFuelRecibeInterno","Descargar")</f>
        <v>Descargar</v>
      </c>
    </row>
    <row r="4409" spans="1:18" x14ac:dyDescent="0.3">
      <c r="A4409">
        <v>1473287</v>
      </c>
      <c r="B4409" t="s">
        <v>18</v>
      </c>
      <c r="C4409" t="s">
        <v>19</v>
      </c>
      <c r="D4409" t="s">
        <v>347</v>
      </c>
      <c r="E4409" t="s">
        <v>2309</v>
      </c>
      <c r="F4409" t="s">
        <v>22</v>
      </c>
      <c r="G4409" t="s">
        <v>23</v>
      </c>
      <c r="H4409" t="s">
        <v>24</v>
      </c>
      <c r="I4409" t="s">
        <v>25</v>
      </c>
      <c r="J4409" t="s">
        <v>3152</v>
      </c>
      <c r="K4409">
        <v>28</v>
      </c>
      <c r="L4409">
        <v>1</v>
      </c>
      <c r="M4409">
        <v>2025</v>
      </c>
      <c r="N4409" t="s">
        <v>27</v>
      </c>
      <c r="O4409">
        <v>200</v>
      </c>
      <c r="P4409">
        <v>200</v>
      </c>
      <c r="R4409" s="3" t="str">
        <f>HYPERLINK("https://panda.att.com.mx/ODKServer/view/binaryData?blobKey=FSSuministroFluidosv3%5B%40version%3Dnull+and+%40uiVersion%3Dnull%5D%2Fdata%5B%40key%3Duuid%3Acd7d7864-0c84-4f15-a71d-56afdbef06c0%5D%2FgroupInfoFuel%5B%40ordinal%3D1%5D%2FpicFuelRecibeInterno","Descargar")</f>
        <v>Descargar</v>
      </c>
    </row>
    <row r="4410" spans="1:18" x14ac:dyDescent="0.3">
      <c r="A4410">
        <v>1473284</v>
      </c>
      <c r="B4410" t="s">
        <v>18</v>
      </c>
      <c r="C4410" t="s">
        <v>150</v>
      </c>
      <c r="D4410" t="s">
        <v>230</v>
      </c>
      <c r="E4410" t="s">
        <v>3149</v>
      </c>
      <c r="F4410" t="s">
        <v>22</v>
      </c>
      <c r="G4410" t="s">
        <v>47</v>
      </c>
      <c r="H4410" t="s">
        <v>1781</v>
      </c>
      <c r="I4410" t="s">
        <v>25</v>
      </c>
      <c r="J4410" t="s">
        <v>3153</v>
      </c>
      <c r="K4410">
        <v>30</v>
      </c>
      <c r="L4410">
        <v>1</v>
      </c>
      <c r="M4410">
        <v>2025</v>
      </c>
      <c r="N4410" t="s">
        <v>27</v>
      </c>
      <c r="O4410">
        <v>180.01</v>
      </c>
      <c r="P4410">
        <v>180.01</v>
      </c>
      <c r="R4410" s="3" t="str">
        <f>HYPERLINK("https://panda.att.com.mx/ODKServer/view/binaryData?blobKey=FSSuministroFluidosv3%5B%40version%3Dnull+and+%40uiVersion%3Dnull%5D%2Fdata%5B%40key%3Duuid%3A937e8047-d914-45ca-a8b8-043caef24c6f%5D%2FgroupInfoFuel%5B%40ordinal%3D1%5D%2FpicFuelRecibeInterno","Descargar")</f>
        <v>Descargar</v>
      </c>
    </row>
    <row r="4411" spans="1:18" x14ac:dyDescent="0.3">
      <c r="A4411">
        <v>1473281</v>
      </c>
      <c r="B4411" t="s">
        <v>18</v>
      </c>
      <c r="C4411" t="s">
        <v>100</v>
      </c>
      <c r="D4411" t="s">
        <v>716</v>
      </c>
      <c r="E4411" t="s">
        <v>717</v>
      </c>
      <c r="F4411" t="s">
        <v>22</v>
      </c>
      <c r="G4411" t="s">
        <v>83</v>
      </c>
      <c r="H4411" t="s">
        <v>1781</v>
      </c>
      <c r="I4411" t="s">
        <v>25</v>
      </c>
      <c r="J4411" t="s">
        <v>3154</v>
      </c>
      <c r="K4411">
        <v>30</v>
      </c>
      <c r="L4411">
        <v>1</v>
      </c>
      <c r="M4411">
        <v>2025</v>
      </c>
      <c r="N4411" t="s">
        <v>27</v>
      </c>
      <c r="O4411">
        <v>150</v>
      </c>
      <c r="P4411">
        <v>150</v>
      </c>
      <c r="R4411" s="3" t="str">
        <f>HYPERLINK("https://panda.att.com.mx/ODKServer/view/binaryData?blobKey=FSSuministroFluidosv3%5B%40version%3Dnull+and+%40uiVersion%3Dnull%5D%2Fdata%5B%40key%3Duuid%3A922b19cb-f960-4ef1-964c-f5fc04510508%5D%2FgroupInfoFuel%5B%40ordinal%3D1%5D%2FpicFuelRecibeInterno","Descargar")</f>
        <v>Descargar</v>
      </c>
    </row>
    <row r="4412" spans="1:18" x14ac:dyDescent="0.3">
      <c r="A4412">
        <v>1473276</v>
      </c>
      <c r="B4412" t="s">
        <v>18</v>
      </c>
      <c r="C4412" t="s">
        <v>19</v>
      </c>
      <c r="D4412" t="s">
        <v>189</v>
      </c>
      <c r="E4412" t="s">
        <v>3050</v>
      </c>
      <c r="F4412" t="s">
        <v>22</v>
      </c>
      <c r="G4412" t="s">
        <v>23</v>
      </c>
      <c r="H4412" t="s">
        <v>24</v>
      </c>
      <c r="I4412" t="s">
        <v>25</v>
      </c>
      <c r="J4412" t="s">
        <v>3155</v>
      </c>
      <c r="K4412">
        <v>29</v>
      </c>
      <c r="L4412">
        <v>1</v>
      </c>
      <c r="M4412">
        <v>2025</v>
      </c>
      <c r="N4412" t="s">
        <v>27</v>
      </c>
      <c r="O4412">
        <v>200</v>
      </c>
      <c r="P4412">
        <v>200</v>
      </c>
      <c r="R4412" s="3" t="str">
        <f>HYPERLINK("https://panda.att.com.mx/ODKServer/view/binaryData?blobKey=FSSuministroFluidosv3%5B%40version%3Dnull+and+%40uiVersion%3Dnull%5D%2Fdata%5B%40key%3Duuid%3Ad9b7593a-e421-4704-b74a-742f9955bc75%5D%2FgroupInfoFuel%5B%40ordinal%3D1%5D%2FpicFuelRecibeInterno","Descargar")</f>
        <v>Descargar</v>
      </c>
    </row>
    <row r="4413" spans="1:18" x14ac:dyDescent="0.3">
      <c r="A4413">
        <v>1473255</v>
      </c>
      <c r="B4413" t="s">
        <v>18</v>
      </c>
      <c r="C4413" t="s">
        <v>150</v>
      </c>
      <c r="D4413" t="s">
        <v>230</v>
      </c>
      <c r="E4413" t="s">
        <v>3149</v>
      </c>
      <c r="F4413" t="s">
        <v>22</v>
      </c>
      <c r="G4413" t="s">
        <v>47</v>
      </c>
      <c r="H4413" t="s">
        <v>1781</v>
      </c>
      <c r="I4413" t="s">
        <v>25</v>
      </c>
      <c r="J4413" t="s">
        <v>3156</v>
      </c>
      <c r="K4413">
        <v>30</v>
      </c>
      <c r="L4413">
        <v>1</v>
      </c>
      <c r="M4413">
        <v>2025</v>
      </c>
      <c r="N4413" t="s">
        <v>27</v>
      </c>
      <c r="O4413">
        <v>100.04</v>
      </c>
      <c r="P4413">
        <v>100.04</v>
      </c>
      <c r="R4413" s="3" t="str">
        <f>HYPERLINK("https://panda.att.com.mx/ODKServer/view/binaryData?blobKey=FSSuministroFluidosv3%5B%40version%3Dnull+and+%40uiVersion%3Dnull%5D%2Fdata%5B%40key%3Duuid%3Ab397de7d-053b-47f7-8477-8313a4c3603e%5D%2FgroupInfoFuel%5B%40ordinal%3D1%5D%2FpicFuelRecibeInterno","Descargar")</f>
        <v>Descargar</v>
      </c>
    </row>
    <row r="4414" spans="1:18" x14ac:dyDescent="0.3">
      <c r="A4414">
        <v>1473252</v>
      </c>
      <c r="B4414" t="s">
        <v>18</v>
      </c>
      <c r="C4414" t="s">
        <v>19</v>
      </c>
      <c r="D4414" t="s">
        <v>347</v>
      </c>
      <c r="E4414" t="s">
        <v>2309</v>
      </c>
      <c r="F4414" t="s">
        <v>22</v>
      </c>
      <c r="G4414" t="s">
        <v>23</v>
      </c>
      <c r="H4414" t="s">
        <v>24</v>
      </c>
      <c r="I4414" t="s">
        <v>25</v>
      </c>
      <c r="J4414" t="s">
        <v>3157</v>
      </c>
      <c r="K4414">
        <v>26</v>
      </c>
      <c r="L4414">
        <v>1</v>
      </c>
      <c r="M4414">
        <v>2025</v>
      </c>
      <c r="N4414" t="s">
        <v>27</v>
      </c>
      <c r="O4414">
        <v>200</v>
      </c>
      <c r="P4414">
        <v>200</v>
      </c>
      <c r="R4414" s="3" t="str">
        <f>HYPERLINK("https://panda.att.com.mx/ODKServer/view/binaryData?blobKey=FSSuministroFluidosv3%5B%40version%3Dnull+and+%40uiVersion%3Dnull%5D%2Fdata%5B%40key%3Duuid%3Afb7a0129-8888-43b1-94ed-549f8827d836%5D%2FgroupInfoFuel%5B%40ordinal%3D1%5D%2FpicFuelRecibeInterno","Descargar")</f>
        <v>Descargar</v>
      </c>
    </row>
    <row r="4415" spans="1:18" x14ac:dyDescent="0.3">
      <c r="A4415">
        <v>1473249</v>
      </c>
      <c r="B4415" t="s">
        <v>18</v>
      </c>
      <c r="C4415" t="s">
        <v>150</v>
      </c>
      <c r="D4415" t="s">
        <v>230</v>
      </c>
      <c r="E4415" t="s">
        <v>3149</v>
      </c>
      <c r="F4415" t="s">
        <v>22</v>
      </c>
      <c r="G4415" t="s">
        <v>47</v>
      </c>
      <c r="H4415" t="s">
        <v>1781</v>
      </c>
      <c r="I4415" t="s">
        <v>25</v>
      </c>
      <c r="J4415" t="s">
        <v>3158</v>
      </c>
      <c r="K4415">
        <v>30</v>
      </c>
      <c r="L4415">
        <v>1</v>
      </c>
      <c r="M4415">
        <v>2025</v>
      </c>
      <c r="N4415" t="s">
        <v>27</v>
      </c>
      <c r="O4415">
        <v>100.01</v>
      </c>
      <c r="P4415">
        <v>100.01</v>
      </c>
      <c r="R4415" s="3" t="str">
        <f>HYPERLINK("https://panda.att.com.mx/ODKServer/view/binaryData?blobKey=FSSuministroFluidosv3%5B%40version%3Dnull+and+%40uiVersion%3Dnull%5D%2Fdata%5B%40key%3Duuid%3A7a8619e2-4415-4209-b620-965abc9aa04f%5D%2FgroupInfoFuel%5B%40ordinal%3D1%5D%2FpicFuelRecibeInterno","Descargar")</f>
        <v>Descargar</v>
      </c>
    </row>
    <row r="4416" spans="1:18" x14ac:dyDescent="0.3">
      <c r="A4416">
        <v>1473235</v>
      </c>
      <c r="B4416" t="s">
        <v>18</v>
      </c>
      <c r="C4416" t="s">
        <v>19</v>
      </c>
      <c r="D4416" t="s">
        <v>45</v>
      </c>
      <c r="E4416" t="s">
        <v>374</v>
      </c>
      <c r="F4416" t="s">
        <v>22</v>
      </c>
      <c r="G4416" t="s">
        <v>23</v>
      </c>
      <c r="H4416" t="s">
        <v>24</v>
      </c>
      <c r="I4416" t="s">
        <v>25</v>
      </c>
      <c r="J4416" t="s">
        <v>3159</v>
      </c>
      <c r="K4416">
        <v>24</v>
      </c>
      <c r="L4416">
        <v>1</v>
      </c>
      <c r="M4416">
        <v>2025</v>
      </c>
      <c r="N4416" t="s">
        <v>27</v>
      </c>
      <c r="O4416">
        <v>400</v>
      </c>
      <c r="P4416">
        <v>400</v>
      </c>
      <c r="R4416" s="3" t="str">
        <f>HYPERLINK("https://panda.att.com.mx/ODKServer/view/binaryData?blobKey=FSSuministroFluidosv3%5B%40version%3Dnull+and+%40uiVersion%3Dnull%5D%2Fdata%5B%40key%3Duuid%3Ae40a4c3c-b7bd-49f8-aa29-a06ef77446a6%5D%2FgroupInfoFuel%5B%40ordinal%3D1%5D%2FpicFuelRecibeInterno","Descargar")</f>
        <v>Descargar</v>
      </c>
    </row>
    <row r="4417" spans="1:18" x14ac:dyDescent="0.3">
      <c r="A4417">
        <v>1473231</v>
      </c>
      <c r="B4417" t="s">
        <v>18</v>
      </c>
      <c r="C4417" t="s">
        <v>19</v>
      </c>
      <c r="D4417" t="s">
        <v>347</v>
      </c>
      <c r="E4417" t="s">
        <v>2309</v>
      </c>
      <c r="F4417" t="s">
        <v>22</v>
      </c>
      <c r="G4417" t="s">
        <v>23</v>
      </c>
      <c r="H4417" t="s">
        <v>24</v>
      </c>
      <c r="I4417" t="s">
        <v>25</v>
      </c>
      <c r="J4417" t="s">
        <v>3160</v>
      </c>
      <c r="K4417">
        <v>24</v>
      </c>
      <c r="L4417">
        <v>1</v>
      </c>
      <c r="M4417">
        <v>2025</v>
      </c>
      <c r="N4417" t="s">
        <v>27</v>
      </c>
      <c r="O4417">
        <v>200</v>
      </c>
      <c r="P4417">
        <v>200</v>
      </c>
      <c r="R4417" s="3" t="str">
        <f>HYPERLINK("https://panda.att.com.mx/ODKServer/view/binaryData?blobKey=FSSuministroFluidosv3%5B%40version%3Dnull+and+%40uiVersion%3Dnull%5D%2Fdata%5B%40key%3Duuid%3Abf691602-0f70-490e-93d5-c818b4eaa96d%5D%2FgroupInfoFuel%5B%40ordinal%3D1%5D%2FpicFuelRecibeInterno","Descargar")</f>
        <v>Descargar</v>
      </c>
    </row>
    <row r="4418" spans="1:18" x14ac:dyDescent="0.3">
      <c r="A4418">
        <v>1473221</v>
      </c>
      <c r="B4418" t="s">
        <v>18</v>
      </c>
      <c r="C4418" t="s">
        <v>59</v>
      </c>
      <c r="D4418" t="s">
        <v>60</v>
      </c>
      <c r="E4418" t="s">
        <v>2207</v>
      </c>
      <c r="F4418" t="s">
        <v>22</v>
      </c>
      <c r="G4418" t="s">
        <v>23</v>
      </c>
      <c r="H4418" t="s">
        <v>37</v>
      </c>
      <c r="I4418" t="s">
        <v>25</v>
      </c>
      <c r="J4418" t="s">
        <v>3161</v>
      </c>
      <c r="K4418">
        <v>25</v>
      </c>
      <c r="L4418">
        <v>1</v>
      </c>
      <c r="M4418">
        <v>2025</v>
      </c>
      <c r="N4418" t="s">
        <v>27</v>
      </c>
      <c r="O4418">
        <v>118.76</v>
      </c>
      <c r="P4418">
        <v>118.76</v>
      </c>
      <c r="R4418" s="3" t="str">
        <f>HYPERLINK("https://panda.att.com.mx/ODKServer/view/binaryData?blobKey=FSSuministroFluidosv3%5B%40version%3Dnull+and+%40uiVersion%3Dnull%5D%2Fdata%5B%40key%3Duuid%3A8640e3b1-6c53-407f-b397-2df063b00aa1%5D%2FgroupInfoFuel%5B%40ordinal%3D1%5D%2FpicFuelRecibeInterno","Descargar")</f>
        <v>Descargar</v>
      </c>
    </row>
    <row r="4419" spans="1:18" x14ac:dyDescent="0.3">
      <c r="A4419">
        <v>1473215</v>
      </c>
      <c r="B4419" t="s">
        <v>18</v>
      </c>
      <c r="C4419" t="s">
        <v>28</v>
      </c>
      <c r="D4419" t="s">
        <v>467</v>
      </c>
      <c r="E4419" t="s">
        <v>2085</v>
      </c>
      <c r="F4419" t="s">
        <v>22</v>
      </c>
      <c r="G4419" t="s">
        <v>23</v>
      </c>
      <c r="H4419" t="s">
        <v>24</v>
      </c>
      <c r="I4419" t="s">
        <v>25</v>
      </c>
      <c r="J4419" t="s">
        <v>3162</v>
      </c>
      <c r="K4419">
        <v>26</v>
      </c>
      <c r="L4419">
        <v>1</v>
      </c>
      <c r="M4419">
        <v>2025</v>
      </c>
      <c r="N4419" t="s">
        <v>44</v>
      </c>
      <c r="O4419">
        <v>60</v>
      </c>
      <c r="P4419">
        <v>60</v>
      </c>
      <c r="R4419" s="3" t="str">
        <f>HYPERLINK("https://panda.att.com.mx/ODKServer/view/binaryData?blobKey=FSSuministroFluidosv3%5B%40version%3Dnull+and+%40uiVersion%3Dnull%5D%2Fdata%5B%40key%3Duuid%3A77097497-b14a-4c01-8d6f-21ee584414af%5D%2FgroupInfoFuel%5B%40ordinal%3D1%5D%2FpicFuelRecibeInterno","Descargar")</f>
        <v>Descargar</v>
      </c>
    </row>
    <row r="4420" spans="1:18" x14ac:dyDescent="0.3">
      <c r="A4420">
        <v>1473033</v>
      </c>
      <c r="B4420" t="s">
        <v>18</v>
      </c>
      <c r="C4420" t="s">
        <v>167</v>
      </c>
      <c r="D4420" t="s">
        <v>264</v>
      </c>
      <c r="E4420" t="s">
        <v>836</v>
      </c>
      <c r="F4420" t="s">
        <v>22</v>
      </c>
      <c r="G4420" t="s">
        <v>47</v>
      </c>
      <c r="H4420" t="s">
        <v>58</v>
      </c>
      <c r="I4420" t="s">
        <v>25</v>
      </c>
      <c r="J4420" t="s">
        <v>3163</v>
      </c>
      <c r="K4420">
        <v>29</v>
      </c>
      <c r="L4420">
        <v>1</v>
      </c>
      <c r="M4420">
        <v>2025</v>
      </c>
      <c r="N4420" t="s">
        <v>27</v>
      </c>
      <c r="O4420">
        <v>151</v>
      </c>
      <c r="P4420">
        <v>151</v>
      </c>
      <c r="R4420" s="3" t="str">
        <f>HYPERLINK("https://panda.att.com.mx/ODKServer/view/binaryData?blobKey=FSSuministroFluidosv3%5B%40version%3Dnull+and+%40uiVersion%3Dnull%5D%2Fdata%5B%40key%3Duuid%3A432b6912-e747-4513-93ba-2586355579cb%5D%2FgroupInfoFuel%5B%40ordinal%3D1%5D%2FpicFuelRecibeInterno","Descargar")</f>
        <v>Descargar</v>
      </c>
    </row>
    <row r="4421" spans="1:18" x14ac:dyDescent="0.3">
      <c r="A4421">
        <v>1473032</v>
      </c>
      <c r="B4421" t="s">
        <v>18</v>
      </c>
      <c r="C4421" t="s">
        <v>167</v>
      </c>
      <c r="D4421" t="s">
        <v>264</v>
      </c>
      <c r="E4421" t="s">
        <v>284</v>
      </c>
      <c r="F4421" t="s">
        <v>22</v>
      </c>
      <c r="G4421" t="s">
        <v>47</v>
      </c>
      <c r="H4421" t="s">
        <v>58</v>
      </c>
      <c r="I4421" t="s">
        <v>25</v>
      </c>
      <c r="J4421" t="s">
        <v>3164</v>
      </c>
      <c r="K4421">
        <v>29</v>
      </c>
      <c r="L4421">
        <v>1</v>
      </c>
      <c r="M4421">
        <v>2025</v>
      </c>
      <c r="N4421" t="s">
        <v>27</v>
      </c>
      <c r="O4421">
        <v>250</v>
      </c>
      <c r="P4421">
        <v>250</v>
      </c>
      <c r="R4421" s="3" t="str">
        <f>HYPERLINK("https://panda.att.com.mx/ODKServer/view/binaryData?blobKey=FSSuministroFluidosv3%5B%40version%3Dnull+and+%40uiVersion%3Dnull%5D%2Fdata%5B%40key%3Duuid%3A6b26ed2e-9111-4967-9012-c2b86f8558b4%5D%2FgroupInfoFuel%5B%40ordinal%3D1%5D%2FpicFuelRecibeInterno","Descargar")</f>
        <v>Descargar</v>
      </c>
    </row>
    <row r="4422" spans="1:18" x14ac:dyDescent="0.3">
      <c r="A4422">
        <v>1473003</v>
      </c>
      <c r="B4422" t="s">
        <v>18</v>
      </c>
      <c r="C4422" t="s">
        <v>55</v>
      </c>
      <c r="D4422" t="s">
        <v>56</v>
      </c>
      <c r="E4422" t="s">
        <v>3165</v>
      </c>
      <c r="F4422" t="s">
        <v>22</v>
      </c>
      <c r="G4422" t="s">
        <v>47</v>
      </c>
      <c r="H4422" t="s">
        <v>1763</v>
      </c>
      <c r="I4422" t="s">
        <v>25</v>
      </c>
      <c r="J4422" t="s">
        <v>3166</v>
      </c>
      <c r="K4422">
        <v>24</v>
      </c>
      <c r="L4422">
        <v>1</v>
      </c>
      <c r="M4422">
        <v>2025</v>
      </c>
      <c r="N4422" t="s">
        <v>27</v>
      </c>
      <c r="O4422">
        <v>100</v>
      </c>
      <c r="P4422">
        <v>100</v>
      </c>
      <c r="R4422" s="3" t="str">
        <f>HYPERLINK("https://panda.att.com.mx/ODKServer/view/binaryData?blobKey=FSSuministroFluidosv3%5B%40version%3Dnull+and+%40uiVersion%3Dnull%5D%2Fdata%5B%40key%3Duuid%3Aae0e42d8-21d0-4cd4-afd1-e70cda8cf810%5D%2FgroupInfoFuel%5B%40ordinal%3D1%5D%2FpicFuelRecibeInterno","Descargar")</f>
        <v>Descargar</v>
      </c>
    </row>
    <row r="4423" spans="1:18" x14ac:dyDescent="0.3">
      <c r="A4423">
        <v>1472997</v>
      </c>
      <c r="B4423" t="s">
        <v>18</v>
      </c>
      <c r="C4423" t="s">
        <v>55</v>
      </c>
      <c r="D4423" t="s">
        <v>56</v>
      </c>
      <c r="E4423" t="s">
        <v>2144</v>
      </c>
      <c r="F4423" t="s">
        <v>22</v>
      </c>
      <c r="G4423" t="s">
        <v>47</v>
      </c>
      <c r="H4423" t="s">
        <v>1763</v>
      </c>
      <c r="I4423" t="s">
        <v>25</v>
      </c>
      <c r="J4423" t="s">
        <v>3167</v>
      </c>
      <c r="K4423">
        <v>20</v>
      </c>
      <c r="L4423">
        <v>1</v>
      </c>
      <c r="M4423">
        <v>2025</v>
      </c>
      <c r="N4423" t="s">
        <v>27</v>
      </c>
      <c r="O4423">
        <v>100</v>
      </c>
      <c r="P4423">
        <v>100</v>
      </c>
      <c r="R4423" s="3" t="str">
        <f>HYPERLINK("https://panda.att.com.mx/ODKServer/view/binaryData?blobKey=FSSuministroFluidosv3%5B%40version%3Dnull+and+%40uiVersion%3Dnull%5D%2Fdata%5B%40key%3Duuid%3A06960180-5e61-4717-a4a4-cc75dce91cf4%5D%2FgroupInfoFuel%5B%40ordinal%3D1%5D%2FpicFuelRecibeInterno","Descargar")</f>
        <v>Descargar</v>
      </c>
    </row>
    <row r="4424" spans="1:18" x14ac:dyDescent="0.3">
      <c r="A4424">
        <v>1472996</v>
      </c>
      <c r="B4424" t="s">
        <v>18</v>
      </c>
      <c r="C4424" t="s">
        <v>55</v>
      </c>
      <c r="D4424" t="s">
        <v>56</v>
      </c>
      <c r="E4424" t="s">
        <v>1713</v>
      </c>
      <c r="F4424" t="s">
        <v>22</v>
      </c>
      <c r="G4424" t="s">
        <v>47</v>
      </c>
      <c r="H4424" t="s">
        <v>1763</v>
      </c>
      <c r="I4424" t="s">
        <v>25</v>
      </c>
      <c r="J4424" t="s">
        <v>3168</v>
      </c>
      <c r="K4424">
        <v>23</v>
      </c>
      <c r="L4424">
        <v>1</v>
      </c>
      <c r="M4424">
        <v>2025</v>
      </c>
      <c r="N4424" t="s">
        <v>27</v>
      </c>
      <c r="O4424">
        <v>200</v>
      </c>
      <c r="P4424">
        <v>200</v>
      </c>
      <c r="R4424" s="3" t="str">
        <f>HYPERLINK("https://panda.att.com.mx/ODKServer/view/binaryData?blobKey=FSSuministroFluidosv3%5B%40version%3Dnull+and+%40uiVersion%3Dnull%5D%2Fdata%5B%40key%3Duuid%3A8e27fcd7-20cb-4929-b119-268205413ef0%5D%2FgroupInfoFuel%5B%40ordinal%3D1%5D%2FpicFuelRecibeInterno","Descargar")</f>
        <v>Descargar</v>
      </c>
    </row>
    <row r="4425" spans="1:18" x14ac:dyDescent="0.3">
      <c r="A4425">
        <v>1474995</v>
      </c>
      <c r="B4425" t="s">
        <v>18</v>
      </c>
      <c r="C4425" t="s">
        <v>34</v>
      </c>
      <c r="D4425" t="s">
        <v>121</v>
      </c>
      <c r="E4425" t="s">
        <v>3102</v>
      </c>
      <c r="F4425" t="s">
        <v>22</v>
      </c>
      <c r="G4425" t="s">
        <v>23</v>
      </c>
      <c r="H4425" t="s">
        <v>37</v>
      </c>
      <c r="I4425" t="s">
        <v>25</v>
      </c>
      <c r="J4425" t="s">
        <v>3169</v>
      </c>
      <c r="K4425">
        <v>31</v>
      </c>
      <c r="L4425">
        <v>1</v>
      </c>
      <c r="M4425">
        <v>2025</v>
      </c>
      <c r="N4425" t="s">
        <v>27</v>
      </c>
      <c r="O4425">
        <v>200</v>
      </c>
      <c r="P4425">
        <v>200</v>
      </c>
      <c r="R4425" s="3" t="str">
        <f>HYPERLINK("https://panda.att.com.mx/ODKServer/view/binaryData?blobKey=FSSuministroFluidosv3%5B%40version%3Dnull+and+%40uiVersion%3Dnull%5D%2Fdata%5B%40key%3Duuid%3Acb8e2e6e-ff46-4ec4-affb-063f02eb8226%5D%2FgroupInfoFuel%5B%40ordinal%3D1%5D%2FpicFuelRecibeInterno","Descargar")</f>
        <v>Descargar</v>
      </c>
    </row>
    <row r="4426" spans="1:18" x14ac:dyDescent="0.3">
      <c r="A4426">
        <v>1474991</v>
      </c>
      <c r="B4426" t="s">
        <v>18</v>
      </c>
      <c r="C4426" t="s">
        <v>34</v>
      </c>
      <c r="D4426" t="s">
        <v>53</v>
      </c>
      <c r="E4426" t="s">
        <v>3131</v>
      </c>
      <c r="F4426" t="s">
        <v>22</v>
      </c>
      <c r="G4426" t="s">
        <v>23</v>
      </c>
      <c r="H4426" t="s">
        <v>37</v>
      </c>
      <c r="I4426" t="s">
        <v>25</v>
      </c>
      <c r="J4426" s="2">
        <v>45690.757847222223</v>
      </c>
      <c r="K4426">
        <v>2</v>
      </c>
      <c r="L4426">
        <v>2</v>
      </c>
      <c r="M4426">
        <v>2025</v>
      </c>
      <c r="N4426" t="s">
        <v>27</v>
      </c>
      <c r="O4426">
        <v>200</v>
      </c>
      <c r="P4426">
        <v>200</v>
      </c>
      <c r="R4426" s="3" t="str">
        <f>HYPERLINK("https://panda.att.com.mx/ODKServer/view/binaryData?blobKey=FSSuministroFluidosv3%5B%40version%3Dnull+and+%40uiVersion%3Dnull%5D%2Fdata%5B%40key%3Duuid%3A94e92c56-1803-451c-b807-9e8d6795d247%5D%2FgroupInfoFuel%5B%40ordinal%3D1%5D%2FpicFuelRecibeInterno","Descargar")</f>
        <v>Descargar</v>
      </c>
    </row>
    <row r="4427" spans="1:18" x14ac:dyDescent="0.3">
      <c r="A4427">
        <v>1474967</v>
      </c>
      <c r="B4427" t="s">
        <v>18</v>
      </c>
      <c r="C4427" t="s">
        <v>19</v>
      </c>
      <c r="D4427" t="s">
        <v>156</v>
      </c>
      <c r="E4427" t="s">
        <v>516</v>
      </c>
      <c r="F4427" t="s">
        <v>22</v>
      </c>
      <c r="G4427" t="s">
        <v>23</v>
      </c>
      <c r="H4427" t="s">
        <v>24</v>
      </c>
      <c r="I4427" t="s">
        <v>25</v>
      </c>
      <c r="J4427" s="2">
        <v>45690.617673611108</v>
      </c>
      <c r="K4427">
        <v>2</v>
      </c>
      <c r="L4427">
        <v>2</v>
      </c>
      <c r="M4427">
        <v>2025</v>
      </c>
      <c r="N4427" t="s">
        <v>44</v>
      </c>
      <c r="O4427">
        <v>52</v>
      </c>
      <c r="P4427">
        <v>52</v>
      </c>
      <c r="R4427" s="3" t="str">
        <f>HYPERLINK("https://panda.att.com.mx/ODKServer/view/binaryData?blobKey=FSSuministroFluidosv3%5B%40version%3Dnull+and+%40uiVersion%3Dnull%5D%2Fdata%5B%40key%3Duuid%3A7f28e65a-afcc-4050-b3f1-0698bc87b4aa%5D%2FgroupInfoFuel%5B%40ordinal%3D1%5D%2FpicFuelRecibeInterno","Descargar")</f>
        <v>Descargar</v>
      </c>
    </row>
    <row r="4428" spans="1:18" x14ac:dyDescent="0.3">
      <c r="A4428">
        <v>1474966</v>
      </c>
      <c r="B4428" t="s">
        <v>18</v>
      </c>
      <c r="C4428" t="s">
        <v>34</v>
      </c>
      <c r="D4428" t="s">
        <v>121</v>
      </c>
      <c r="E4428" t="s">
        <v>3041</v>
      </c>
      <c r="F4428" t="s">
        <v>22</v>
      </c>
      <c r="G4428" t="s">
        <v>23</v>
      </c>
      <c r="H4428" t="s">
        <v>37</v>
      </c>
      <c r="I4428" t="s">
        <v>25</v>
      </c>
      <c r="J4428" t="s">
        <v>3170</v>
      </c>
      <c r="K4428">
        <v>31</v>
      </c>
      <c r="L4428">
        <v>1</v>
      </c>
      <c r="M4428">
        <v>2025</v>
      </c>
      <c r="N4428" t="s">
        <v>27</v>
      </c>
      <c r="O4428">
        <v>150</v>
      </c>
      <c r="P4428">
        <v>150</v>
      </c>
      <c r="R4428" s="3" t="str">
        <f>HYPERLINK("https://panda.att.com.mx/ODKServer/view/binaryData?blobKey=FSSuministroFluidosv3%5B%40version%3Dnull+and+%40uiVersion%3Dnull%5D%2Fdata%5B%40key%3Duuid%3Ab70ebd15-eb69-46cc-bb43-7558a1fdd21c%5D%2FgroupInfoFuel%5B%40ordinal%3D1%5D%2FpicFuelRecibeInterno","Descargar")</f>
        <v>Descargar</v>
      </c>
    </row>
    <row r="4429" spans="1:18" x14ac:dyDescent="0.3">
      <c r="A4429">
        <v>1474965</v>
      </c>
      <c r="B4429" t="s">
        <v>18</v>
      </c>
      <c r="C4429" t="s">
        <v>34</v>
      </c>
      <c r="D4429" t="s">
        <v>121</v>
      </c>
      <c r="E4429" t="s">
        <v>3086</v>
      </c>
      <c r="F4429" t="s">
        <v>22</v>
      </c>
      <c r="G4429" t="s">
        <v>23</v>
      </c>
      <c r="H4429" t="s">
        <v>37</v>
      </c>
      <c r="I4429" t="s">
        <v>25</v>
      </c>
      <c r="J4429" t="s">
        <v>3171</v>
      </c>
      <c r="K4429">
        <v>31</v>
      </c>
      <c r="L4429">
        <v>1</v>
      </c>
      <c r="M4429">
        <v>2025</v>
      </c>
      <c r="N4429" t="s">
        <v>27</v>
      </c>
      <c r="O4429">
        <v>300</v>
      </c>
      <c r="P4429">
        <v>300</v>
      </c>
      <c r="R4429" s="3" t="str">
        <f>HYPERLINK("https://panda.att.com.mx/ODKServer/view/binaryData?blobKey=FSSuministroFluidosv3%5B%40version%3Dnull+and+%40uiVersion%3Dnull%5D%2Fdata%5B%40key%3Duuid%3Ad0c5645f-03a3-4332-ab6f-c583bb1812f2%5D%2FgroupInfoFuel%5B%40ordinal%3D1%5D%2FpicFuelRecibeInterno","Descargar")</f>
        <v>Descargar</v>
      </c>
    </row>
    <row r="4430" spans="1:18" x14ac:dyDescent="0.3">
      <c r="A4430">
        <v>1474961</v>
      </c>
      <c r="B4430" t="s">
        <v>18</v>
      </c>
      <c r="C4430" t="s">
        <v>100</v>
      </c>
      <c r="D4430" t="s">
        <v>716</v>
      </c>
      <c r="E4430" t="s">
        <v>717</v>
      </c>
      <c r="F4430" t="s">
        <v>22</v>
      </c>
      <c r="G4430" t="s">
        <v>83</v>
      </c>
      <c r="H4430" t="s">
        <v>1781</v>
      </c>
      <c r="I4430" t="s">
        <v>25</v>
      </c>
      <c r="J4430" s="2">
        <v>45690.627928240741</v>
      </c>
      <c r="K4430">
        <v>2</v>
      </c>
      <c r="L4430">
        <v>2</v>
      </c>
      <c r="M4430">
        <v>2025</v>
      </c>
      <c r="N4430" t="s">
        <v>27</v>
      </c>
      <c r="O4430">
        <v>97</v>
      </c>
      <c r="P4430">
        <v>97</v>
      </c>
      <c r="R4430" s="3" t="str">
        <f>HYPERLINK("https://panda.att.com.mx/ODKServer/view/binaryData?blobKey=FSSuministroFluidosv3%5B%40version%3Dnull+and+%40uiVersion%3Dnull%5D%2Fdata%5B%40key%3Duuid%3A96c4def8-58ea-4b31-9837-730bb3189a23%5D%2FgroupInfoFuel%5B%40ordinal%3D1%5D%2FpicFuelRecibeInterno","Descargar")</f>
        <v>Descargar</v>
      </c>
    </row>
    <row r="4431" spans="1:18" x14ac:dyDescent="0.3">
      <c r="A4431">
        <v>1474948</v>
      </c>
      <c r="B4431" t="s">
        <v>18</v>
      </c>
      <c r="C4431" t="s">
        <v>55</v>
      </c>
      <c r="D4431" t="s">
        <v>128</v>
      </c>
      <c r="E4431" t="s">
        <v>129</v>
      </c>
      <c r="F4431" t="s">
        <v>22</v>
      </c>
      <c r="G4431" t="s">
        <v>47</v>
      </c>
      <c r="H4431" t="s">
        <v>1763</v>
      </c>
      <c r="I4431" t="s">
        <v>25</v>
      </c>
      <c r="J4431" s="2">
        <v>45689.50608796296</v>
      </c>
      <c r="K4431">
        <v>1</v>
      </c>
      <c r="L4431">
        <v>2</v>
      </c>
      <c r="M4431">
        <v>2025</v>
      </c>
      <c r="N4431" t="s">
        <v>27</v>
      </c>
      <c r="O4431">
        <v>250</v>
      </c>
      <c r="P4431">
        <v>250</v>
      </c>
      <c r="R4431" s="3" t="str">
        <f>HYPERLINK("https://panda.att.com.mx/ODKServer/view/binaryData?blobKey=FSSuministroFluidosv3%5B%40version%3Dnull+and+%40uiVersion%3Dnull%5D%2Fdata%5B%40key%3Duuid%3A02580015-db4b-48e8-8779-a66d15f787b6%5D%2FgroupInfoFuel%5B%40ordinal%3D1%5D%2FpicFuelRecibeInterno","Descargar")</f>
        <v>Descargar</v>
      </c>
    </row>
    <row r="4432" spans="1:18" x14ac:dyDescent="0.3">
      <c r="A4432">
        <v>1474942</v>
      </c>
      <c r="B4432" t="s">
        <v>18</v>
      </c>
      <c r="C4432" t="s">
        <v>150</v>
      </c>
      <c r="D4432" t="s">
        <v>230</v>
      </c>
      <c r="E4432" t="s">
        <v>399</v>
      </c>
      <c r="F4432" t="s">
        <v>22</v>
      </c>
      <c r="G4432" t="s">
        <v>23</v>
      </c>
      <c r="H4432" t="s">
        <v>1781</v>
      </c>
      <c r="I4432" t="s">
        <v>25</v>
      </c>
      <c r="J4432" s="2">
        <v>45690.473402777781</v>
      </c>
      <c r="K4432">
        <v>2</v>
      </c>
      <c r="L4432">
        <v>2</v>
      </c>
      <c r="M4432">
        <v>2025</v>
      </c>
      <c r="N4432" t="s">
        <v>27</v>
      </c>
      <c r="O4432">
        <v>200.01</v>
      </c>
      <c r="P4432">
        <v>200.01</v>
      </c>
      <c r="R4432" s="3" t="str">
        <f>HYPERLINK("https://panda.att.com.mx/ODKServer/view/binaryData?blobKey=FSSuministroFluidosv3%5B%40version%3Dnull+and+%40uiVersion%3Dnull%5D%2Fdata%5B%40key%3Duuid%3A742af20c-1545-4206-80d1-551a212dd369%5D%2FgroupInfoFuel%5B%40ordinal%3D1%5D%2FpicFuelRecibeInterno","Descargar")</f>
        <v>Descargar</v>
      </c>
    </row>
    <row r="4433" spans="1:18" x14ac:dyDescent="0.3">
      <c r="A4433">
        <v>1474938</v>
      </c>
      <c r="B4433" t="s">
        <v>18</v>
      </c>
      <c r="C4433" t="s">
        <v>150</v>
      </c>
      <c r="D4433" t="s">
        <v>230</v>
      </c>
      <c r="E4433" t="s">
        <v>3149</v>
      </c>
      <c r="F4433" t="s">
        <v>22</v>
      </c>
      <c r="G4433" t="s">
        <v>47</v>
      </c>
      <c r="H4433" t="s">
        <v>1781</v>
      </c>
      <c r="I4433" t="s">
        <v>25</v>
      </c>
      <c r="J4433" s="2">
        <v>45690.422847222217</v>
      </c>
      <c r="K4433">
        <v>2</v>
      </c>
      <c r="L4433">
        <v>2</v>
      </c>
      <c r="M4433">
        <v>2025</v>
      </c>
      <c r="N4433" t="s">
        <v>27</v>
      </c>
      <c r="O4433">
        <v>100.01</v>
      </c>
      <c r="P4433">
        <v>100.01</v>
      </c>
      <c r="R4433" s="3" t="str">
        <f>HYPERLINK("https://panda.att.com.mx/ODKServer/view/binaryData?blobKey=FSSuministroFluidosv3%5B%40version%3Dnull+and+%40uiVersion%3Dnull%5D%2Fdata%5B%40key%3Duuid%3Aacb9412b-aa64-44d5-b608-cb53aa4c65f9%5D%2FgroupInfoFuel%5B%40ordinal%3D1%5D%2FpicFuelRecibeInterno","Descargar")</f>
        <v>Descargar</v>
      </c>
    </row>
    <row r="4434" spans="1:18" x14ac:dyDescent="0.3">
      <c r="A4434">
        <v>1474897</v>
      </c>
      <c r="B4434" t="s">
        <v>18</v>
      </c>
      <c r="C4434" t="s">
        <v>28</v>
      </c>
      <c r="D4434" t="s">
        <v>66</v>
      </c>
      <c r="E4434" t="s">
        <v>1213</v>
      </c>
      <c r="F4434" t="s">
        <v>22</v>
      </c>
      <c r="G4434" t="s">
        <v>23</v>
      </c>
      <c r="H4434" t="s">
        <v>24</v>
      </c>
      <c r="I4434" t="s">
        <v>25</v>
      </c>
      <c r="J4434" t="s">
        <v>3172</v>
      </c>
      <c r="K4434">
        <v>31</v>
      </c>
      <c r="L4434">
        <v>1</v>
      </c>
      <c r="M4434">
        <v>2025</v>
      </c>
      <c r="N4434" t="s">
        <v>44</v>
      </c>
      <c r="O4434">
        <v>40</v>
      </c>
      <c r="P4434">
        <v>40</v>
      </c>
      <c r="R4434" s="3" t="str">
        <f>HYPERLINK("https://panda.att.com.mx/ODKServer/view/binaryData?blobKey=FSSuministroFluidosv3%5B%40version%3Dnull+and+%40uiVersion%3Dnull%5D%2Fdata%5B%40key%3Duuid%3Aa1bded13-c302-427c-9e6f-b87ab2c92e0f%5D%2FgroupInfoFuel%5B%40ordinal%3D1%5D%2FpicFuelRecibeInterno","Descargar")</f>
        <v>Descargar</v>
      </c>
    </row>
    <row r="4435" spans="1:18" x14ac:dyDescent="0.3">
      <c r="A4435">
        <v>1474881</v>
      </c>
      <c r="B4435" t="s">
        <v>18</v>
      </c>
      <c r="C4435" t="s">
        <v>55</v>
      </c>
      <c r="D4435" t="s">
        <v>56</v>
      </c>
      <c r="E4435" t="s">
        <v>2316</v>
      </c>
      <c r="F4435" t="s">
        <v>22</v>
      </c>
      <c r="G4435" t="s">
        <v>47</v>
      </c>
      <c r="H4435" t="s">
        <v>1763</v>
      </c>
      <c r="I4435" t="s">
        <v>25</v>
      </c>
      <c r="J4435" s="2">
        <v>45689.444525462961</v>
      </c>
      <c r="K4435">
        <v>1</v>
      </c>
      <c r="L4435">
        <v>2</v>
      </c>
      <c r="M4435">
        <v>2025</v>
      </c>
      <c r="N4435" t="s">
        <v>27</v>
      </c>
      <c r="O4435">
        <v>100</v>
      </c>
      <c r="P4435">
        <v>100</v>
      </c>
      <c r="R4435" s="3" t="str">
        <f>HYPERLINK("https://panda.att.com.mx/ODKServer/view/binaryData?blobKey=FSSuministroFluidosv3%5B%40version%3Dnull+and+%40uiVersion%3Dnull%5D%2Fdata%5B%40key%3Duuid%3A4caea6ff-5f4b-4125-a0e5-e34d11acbe35%5D%2FgroupInfoFuel%5B%40ordinal%3D1%5D%2FpicFuelRecibeInterno","Descargar")</f>
        <v>Descargar</v>
      </c>
    </row>
    <row r="4436" spans="1:18" x14ac:dyDescent="0.3">
      <c r="A4436">
        <v>1474880</v>
      </c>
      <c r="B4436" t="s">
        <v>18</v>
      </c>
      <c r="C4436" t="s">
        <v>34</v>
      </c>
      <c r="D4436" t="s">
        <v>53</v>
      </c>
      <c r="E4436" t="s">
        <v>3128</v>
      </c>
      <c r="F4436" t="s">
        <v>22</v>
      </c>
      <c r="G4436" t="s">
        <v>23</v>
      </c>
      <c r="H4436" t="s">
        <v>37</v>
      </c>
      <c r="I4436" t="s">
        <v>25</v>
      </c>
      <c r="J4436" s="2">
        <v>45689.782418981478</v>
      </c>
      <c r="K4436">
        <v>1</v>
      </c>
      <c r="L4436">
        <v>2</v>
      </c>
      <c r="M4436">
        <v>2025</v>
      </c>
      <c r="N4436" t="s">
        <v>27</v>
      </c>
      <c r="O4436">
        <v>400</v>
      </c>
      <c r="P4436">
        <v>400</v>
      </c>
      <c r="R4436" s="3" t="str">
        <f>HYPERLINK("https://panda.att.com.mx/ODKServer/view/binaryData?blobKey=FSSuministroFluidosv3%5B%40version%3Dnull+and+%40uiVersion%3Dnull%5D%2Fdata%5B%40key%3Duuid%3Af82b13cf-425f-42b9-9a9a-a7bc7f9fc92b%5D%2FgroupInfoFuel%5B%40ordinal%3D1%5D%2FpicFuelRecibeInterno","Descargar")</f>
        <v>Descargar</v>
      </c>
    </row>
    <row r="4437" spans="1:18" x14ac:dyDescent="0.3">
      <c r="A4437">
        <v>1474876</v>
      </c>
      <c r="B4437" t="s">
        <v>18</v>
      </c>
      <c r="C4437" t="s">
        <v>34</v>
      </c>
      <c r="D4437" t="s">
        <v>53</v>
      </c>
      <c r="E4437" t="s">
        <v>3109</v>
      </c>
      <c r="F4437" t="s">
        <v>22</v>
      </c>
      <c r="G4437" t="s">
        <v>23</v>
      </c>
      <c r="H4437" t="s">
        <v>37</v>
      </c>
      <c r="I4437" t="s">
        <v>25</v>
      </c>
      <c r="J4437" s="2">
        <v>45689.774513888893</v>
      </c>
      <c r="K4437">
        <v>1</v>
      </c>
      <c r="L4437">
        <v>2</v>
      </c>
      <c r="M4437">
        <v>2025</v>
      </c>
      <c r="N4437" t="s">
        <v>27</v>
      </c>
      <c r="O4437">
        <v>300</v>
      </c>
      <c r="P4437">
        <v>300</v>
      </c>
      <c r="R4437" s="3" t="str">
        <f>HYPERLINK("https://panda.att.com.mx/ODKServer/view/binaryData?blobKey=FSSuministroFluidosv3%5B%40version%3Dnull+and+%40uiVersion%3Dnull%5D%2Fdata%5B%40key%3Duuid%3Ac6eac5b8-1638-40d5-80fb-5a5d1c5cbf7c%5D%2FgroupInfoFuel%5B%40ordinal%3D1%5D%2FpicFuelRecibeInterno","Descargar")</f>
        <v>Descargar</v>
      </c>
    </row>
    <row r="4438" spans="1:18" x14ac:dyDescent="0.3">
      <c r="A4438">
        <v>1474858</v>
      </c>
      <c r="B4438" t="s">
        <v>18</v>
      </c>
      <c r="C4438" t="s">
        <v>100</v>
      </c>
      <c r="D4438" t="s">
        <v>716</v>
      </c>
      <c r="E4438" t="s">
        <v>717</v>
      </c>
      <c r="F4438" t="s">
        <v>22</v>
      </c>
      <c r="G4438" t="s">
        <v>83</v>
      </c>
      <c r="H4438" t="s">
        <v>1781</v>
      </c>
      <c r="I4438" t="s">
        <v>25</v>
      </c>
      <c r="J4438" s="2">
        <v>45689.7028587963</v>
      </c>
      <c r="K4438">
        <v>1</v>
      </c>
      <c r="L4438">
        <v>2</v>
      </c>
      <c r="M4438">
        <v>2025</v>
      </c>
      <c r="N4438" t="s">
        <v>27</v>
      </c>
      <c r="O4438">
        <v>150</v>
      </c>
      <c r="P4438">
        <v>150</v>
      </c>
      <c r="R4438" s="3" t="str">
        <f>HYPERLINK("https://panda.att.com.mx/ODKServer/view/binaryData?blobKey=FSSuministroFluidosv3%5B%40version%3Dnull+and+%40uiVersion%3Dnull%5D%2Fdata%5B%40key%3Duuid%3A7ef1c52e-f804-4bbc-8a31-0cc3d40c244f%5D%2FgroupInfoFuel%5B%40ordinal%3D1%5D%2FpicFuelRecibeInterno","Descargar")</f>
        <v>Descargar</v>
      </c>
    </row>
    <row r="4439" spans="1:18" x14ac:dyDescent="0.3">
      <c r="A4439">
        <v>1474850</v>
      </c>
      <c r="B4439" t="s">
        <v>18</v>
      </c>
      <c r="C4439" t="s">
        <v>28</v>
      </c>
      <c r="D4439" t="s">
        <v>181</v>
      </c>
      <c r="E4439" t="s">
        <v>3173</v>
      </c>
      <c r="F4439" t="s">
        <v>22</v>
      </c>
      <c r="G4439" t="s">
        <v>23</v>
      </c>
      <c r="H4439" t="s">
        <v>24</v>
      </c>
      <c r="I4439" t="s">
        <v>25</v>
      </c>
      <c r="J4439" t="s">
        <v>3174</v>
      </c>
      <c r="K4439">
        <v>25</v>
      </c>
      <c r="L4439">
        <v>1</v>
      </c>
      <c r="M4439">
        <v>2025</v>
      </c>
      <c r="N4439" t="s">
        <v>44</v>
      </c>
      <c r="O4439">
        <v>30</v>
      </c>
      <c r="Q4439">
        <v>30</v>
      </c>
      <c r="R4439" s="3" t="str">
        <f>HYPERLINK("https://panda.att.com.mx/ODKServer/view/binaryData?blobKey=FSSuministroFluidosv3%5B%40version%3Dnull+and+%40uiVersion%3Dnull%5D%2Fdata%5B%40key%3Duuid%3A6f9d976b-cf4b-47f1-bcae-040eec0dd7db%5D%2FgroupInfoFuel%5B%40ordinal%3D1%5D%2FpicFuelRecibeInterno","Descargar")</f>
        <v>Descargar</v>
      </c>
    </row>
    <row r="4440" spans="1:18" x14ac:dyDescent="0.3">
      <c r="A4440">
        <v>1474824</v>
      </c>
      <c r="B4440" t="s">
        <v>18</v>
      </c>
      <c r="C4440" t="s">
        <v>100</v>
      </c>
      <c r="D4440" t="s">
        <v>651</v>
      </c>
      <c r="E4440" t="s">
        <v>1833</v>
      </c>
      <c r="F4440" t="s">
        <v>22</v>
      </c>
      <c r="G4440" t="s">
        <v>83</v>
      </c>
      <c r="H4440" t="s">
        <v>1781</v>
      </c>
      <c r="I4440" t="s">
        <v>25</v>
      </c>
      <c r="J4440" s="2">
        <v>45689.523657407408</v>
      </c>
      <c r="K4440">
        <v>1</v>
      </c>
      <c r="L4440">
        <v>2</v>
      </c>
      <c r="M4440">
        <v>2025</v>
      </c>
      <c r="N4440" t="s">
        <v>27</v>
      </c>
      <c r="O4440">
        <v>100</v>
      </c>
      <c r="P4440">
        <v>100</v>
      </c>
      <c r="R4440" s="3" t="str">
        <f>HYPERLINK("https://panda.att.com.mx/ODKServer/view/binaryData?blobKey=FSSuministroFluidosv3%5B%40version%3Dnull+and+%40uiVersion%3Dnull%5D%2Fdata%5B%40key%3Duuid%3A96787b75-0ca1-4ab2-9d8e-5ef38a00e976%5D%2FgroupInfoFuel%5B%40ordinal%3D1%5D%2FpicFuelRecibeInterno","Descargar")</f>
        <v>Descargar</v>
      </c>
    </row>
    <row r="4441" spans="1:18" x14ac:dyDescent="0.3">
      <c r="A4441">
        <v>1474812</v>
      </c>
      <c r="B4441" t="s">
        <v>18</v>
      </c>
      <c r="C4441" t="s">
        <v>100</v>
      </c>
      <c r="D4441" t="s">
        <v>854</v>
      </c>
      <c r="E4441" t="s">
        <v>993</v>
      </c>
      <c r="F4441" t="s">
        <v>22</v>
      </c>
      <c r="G4441" t="s">
        <v>83</v>
      </c>
      <c r="H4441" t="s">
        <v>1781</v>
      </c>
      <c r="I4441" t="s">
        <v>25</v>
      </c>
      <c r="J4441" s="2">
        <v>45689.460405092592</v>
      </c>
      <c r="K4441">
        <v>1</v>
      </c>
      <c r="L4441">
        <v>2</v>
      </c>
      <c r="M4441">
        <v>2025</v>
      </c>
      <c r="N4441" t="s">
        <v>27</v>
      </c>
      <c r="O4441">
        <v>220</v>
      </c>
      <c r="P4441">
        <v>220</v>
      </c>
      <c r="R4441" s="3" t="str">
        <f>HYPERLINK("https://panda.att.com.mx/ODKServer/view/binaryData?blobKey=FSSuministroFluidosv3%5B%40version%3Dnull+and+%40uiVersion%3Dnull%5D%2Fdata%5B%40key%3Duuid%3Afed07951-7681-49dd-b1cf-8159b5d93166%5D%2FgroupInfoFuel%5B%40ordinal%3D1%5D%2FpicFuelRecibeInterno","Descargar")</f>
        <v>Descargar</v>
      </c>
    </row>
    <row r="4442" spans="1:18" x14ac:dyDescent="0.3">
      <c r="A4442">
        <v>1474811</v>
      </c>
      <c r="B4442" t="s">
        <v>18</v>
      </c>
      <c r="C4442" t="s">
        <v>55</v>
      </c>
      <c r="D4442" t="s">
        <v>89</v>
      </c>
      <c r="E4442" t="s">
        <v>2991</v>
      </c>
      <c r="F4442" t="s">
        <v>22</v>
      </c>
      <c r="G4442" t="s">
        <v>47</v>
      </c>
      <c r="H4442" t="s">
        <v>1763</v>
      </c>
      <c r="I4442" t="s">
        <v>25</v>
      </c>
      <c r="J4442" s="2">
        <v>45689.474490740737</v>
      </c>
      <c r="K4442">
        <v>1</v>
      </c>
      <c r="L4442">
        <v>2</v>
      </c>
      <c r="M4442">
        <v>2025</v>
      </c>
      <c r="N4442" t="s">
        <v>44</v>
      </c>
      <c r="O4442">
        <v>50</v>
      </c>
      <c r="P4442">
        <v>50</v>
      </c>
      <c r="R4442" s="3" t="str">
        <f>HYPERLINK("https://panda.att.com.mx/ODKServer/view/binaryData?blobKey=FSSuministroFluidosv3%5B%40version%3Dnull+and+%40uiVersion%3Dnull%5D%2Fdata%5B%40key%3Duuid%3A971514a1-ed83-4957-b85f-bd41873662ee%5D%2FgroupInfoFuel%5B%40ordinal%3D1%5D%2FpicFuelRecibeInterno","Descargar")</f>
        <v>Descargar</v>
      </c>
    </row>
    <row r="4443" spans="1:18" x14ac:dyDescent="0.3">
      <c r="A4443">
        <v>1474785</v>
      </c>
      <c r="B4443" t="s">
        <v>18</v>
      </c>
      <c r="C4443" t="s">
        <v>150</v>
      </c>
      <c r="D4443" t="s">
        <v>230</v>
      </c>
      <c r="E4443" t="s">
        <v>1510</v>
      </c>
      <c r="F4443" t="s">
        <v>22</v>
      </c>
      <c r="G4443" t="s">
        <v>23</v>
      </c>
      <c r="H4443" t="s">
        <v>1781</v>
      </c>
      <c r="I4443" t="s">
        <v>25</v>
      </c>
      <c r="J4443" s="2">
        <v>45689.386782407397</v>
      </c>
      <c r="K4443">
        <v>1</v>
      </c>
      <c r="L4443">
        <v>2</v>
      </c>
      <c r="M4443">
        <v>2025</v>
      </c>
      <c r="N4443" t="s">
        <v>27</v>
      </c>
      <c r="O4443">
        <v>250</v>
      </c>
      <c r="P4443">
        <v>250</v>
      </c>
      <c r="R4443" s="3" t="str">
        <f>HYPERLINK("https://panda.att.com.mx/ODKServer/view/binaryData?blobKey=FSSuministroFluidosv3%5B%40version%3Dnull+and+%40uiVersion%3Dnull%5D%2Fdata%5B%40key%3Duuid%3Ada112105-3f7a-4ca3-8962-04fb40a950ce%5D%2FgroupInfoFuel%5B%40ordinal%3D1%5D%2FpicFuelRecibeInterno","Descargar")</f>
        <v>Descargar</v>
      </c>
    </row>
    <row r="4444" spans="1:18" x14ac:dyDescent="0.3">
      <c r="A4444">
        <v>1474780</v>
      </c>
      <c r="B4444" t="s">
        <v>18</v>
      </c>
      <c r="C4444" t="s">
        <v>28</v>
      </c>
      <c r="D4444" t="s">
        <v>66</v>
      </c>
      <c r="E4444" t="s">
        <v>846</v>
      </c>
      <c r="F4444" t="s">
        <v>22</v>
      </c>
      <c r="G4444" t="s">
        <v>23</v>
      </c>
      <c r="H4444" t="s">
        <v>24</v>
      </c>
      <c r="I4444" t="s">
        <v>25</v>
      </c>
      <c r="J4444" t="s">
        <v>3175</v>
      </c>
      <c r="K4444">
        <v>31</v>
      </c>
      <c r="L4444">
        <v>1</v>
      </c>
      <c r="M4444">
        <v>2025</v>
      </c>
      <c r="N4444" t="s">
        <v>44</v>
      </c>
      <c r="O4444">
        <v>40</v>
      </c>
      <c r="Q4444">
        <v>40</v>
      </c>
      <c r="R4444" s="3" t="str">
        <f>HYPERLINK("https://panda.att.com.mx/ODKServer/view/binaryData?blobKey=FSSuministroFluidosv3%5B%40version%3Dnull+and+%40uiVersion%3Dnull%5D%2Fdata%5B%40key%3Duuid%3Acff5679d-efc2-4599-b68c-4ff2a936a045%5D%2FgroupInfoFuel%5B%40ordinal%3D1%5D%2FpicFuelRecibeInterno","Descargar")</f>
        <v>Descargar</v>
      </c>
    </row>
    <row r="4445" spans="1:18" x14ac:dyDescent="0.3">
      <c r="A4445">
        <v>1474664</v>
      </c>
      <c r="B4445" t="s">
        <v>18</v>
      </c>
      <c r="C4445" t="s">
        <v>19</v>
      </c>
      <c r="D4445" t="s">
        <v>175</v>
      </c>
      <c r="E4445" t="s">
        <v>1368</v>
      </c>
      <c r="F4445" t="s">
        <v>22</v>
      </c>
      <c r="G4445" t="s">
        <v>23</v>
      </c>
      <c r="H4445" t="s">
        <v>24</v>
      </c>
      <c r="I4445" t="s">
        <v>25</v>
      </c>
      <c r="J4445" t="s">
        <v>3176</v>
      </c>
      <c r="K4445">
        <v>26</v>
      </c>
      <c r="L4445">
        <v>1</v>
      </c>
      <c r="M4445">
        <v>2025</v>
      </c>
      <c r="N4445" t="s">
        <v>27</v>
      </c>
      <c r="O4445">
        <v>100</v>
      </c>
      <c r="P4445">
        <v>100</v>
      </c>
      <c r="R4445" s="3" t="str">
        <f>HYPERLINK("https://panda.att.com.mx/ODKServer/view/binaryData?blobKey=FSSuministroFluidosv3%5B%40version%3Dnull+and+%40uiVersion%3Dnull%5D%2Fdata%5B%40key%3Duuid%3A32507da1-f8ed-43c0-9b5d-3cfe7fef834f%5D%2FgroupInfoFuel%5B%40ordinal%3D1%5D%2FpicFuelRecibeInterno","Descargar")</f>
        <v>Descargar</v>
      </c>
    </row>
    <row r="4446" spans="1:18" x14ac:dyDescent="0.3">
      <c r="A4446">
        <v>1474661</v>
      </c>
      <c r="B4446" t="s">
        <v>18</v>
      </c>
      <c r="C4446" t="s">
        <v>28</v>
      </c>
      <c r="D4446" t="s">
        <v>66</v>
      </c>
      <c r="E4446" t="s">
        <v>2962</v>
      </c>
      <c r="F4446" t="s">
        <v>22</v>
      </c>
      <c r="G4446" t="s">
        <v>23</v>
      </c>
      <c r="H4446" t="s">
        <v>24</v>
      </c>
      <c r="I4446" t="s">
        <v>25</v>
      </c>
      <c r="J4446" t="s">
        <v>3177</v>
      </c>
      <c r="K4446">
        <v>29</v>
      </c>
      <c r="L4446">
        <v>1</v>
      </c>
      <c r="M4446">
        <v>2025</v>
      </c>
      <c r="N4446" t="s">
        <v>27</v>
      </c>
      <c r="O4446">
        <v>100</v>
      </c>
      <c r="P4446">
        <v>100</v>
      </c>
      <c r="R4446" s="3" t="str">
        <f>HYPERLINK("https://panda.att.com.mx/ODKServer/view/binaryData?blobKey=FSSuministroFluidosv3%5B%40version%3Dnull+and+%40uiVersion%3Dnull%5D%2Fdata%5B%40key%3Duuid%3A1511570c-34a9-4a4d-b015-254a4f66c94d%5D%2FgroupInfoFuel%5B%40ordinal%3D1%5D%2FpicFuelRecibeInterno","Descargar")</f>
        <v>Descargar</v>
      </c>
    </row>
    <row r="4447" spans="1:18" x14ac:dyDescent="0.3">
      <c r="A4447">
        <v>1474615</v>
      </c>
      <c r="B4447" t="s">
        <v>18</v>
      </c>
      <c r="C4447" t="s">
        <v>28</v>
      </c>
      <c r="D4447" t="s">
        <v>181</v>
      </c>
      <c r="E4447" t="s">
        <v>3178</v>
      </c>
      <c r="F4447" t="s">
        <v>22</v>
      </c>
      <c r="G4447" t="s">
        <v>23</v>
      </c>
      <c r="H4447" t="s">
        <v>24</v>
      </c>
      <c r="I4447" t="s">
        <v>25</v>
      </c>
      <c r="J4447" t="s">
        <v>3179</v>
      </c>
      <c r="K4447">
        <v>31</v>
      </c>
      <c r="L4447">
        <v>1</v>
      </c>
      <c r="M4447">
        <v>2025</v>
      </c>
      <c r="N4447" t="s">
        <v>27</v>
      </c>
      <c r="O4447">
        <v>150</v>
      </c>
      <c r="P4447">
        <v>150</v>
      </c>
      <c r="R4447" s="3" t="str">
        <f>HYPERLINK("https://panda.att.com.mx/ODKServer/view/binaryData?blobKey=FSSuministroFluidosv3%5B%40version%3Dnull+and+%40uiVersion%3Dnull%5D%2Fdata%5B%40key%3Duuid%3Ac94437b3-ad1b-4c85-b3fe-c6ad5b4a02f2%5D%2FgroupInfoFuel%5B%40ordinal%3D1%5D%2FpicFuelRecibeInterno","Descargar")</f>
        <v>Descargar</v>
      </c>
    </row>
    <row r="4448" spans="1:18" x14ac:dyDescent="0.3">
      <c r="A4448">
        <v>1474614</v>
      </c>
      <c r="B4448" t="s">
        <v>18</v>
      </c>
      <c r="C4448" t="s">
        <v>55</v>
      </c>
      <c r="D4448" t="s">
        <v>56</v>
      </c>
      <c r="E4448" t="s">
        <v>3180</v>
      </c>
      <c r="F4448" t="s">
        <v>22</v>
      </c>
      <c r="G4448" t="s">
        <v>47</v>
      </c>
      <c r="H4448" t="s">
        <v>1763</v>
      </c>
      <c r="I4448" t="s">
        <v>25</v>
      </c>
      <c r="J4448" t="s">
        <v>3181</v>
      </c>
      <c r="K4448">
        <v>16</v>
      </c>
      <c r="L4448">
        <v>1</v>
      </c>
      <c r="M4448">
        <v>2025</v>
      </c>
      <c r="N4448" t="s">
        <v>27</v>
      </c>
      <c r="O4448">
        <v>100</v>
      </c>
      <c r="P4448">
        <v>100</v>
      </c>
      <c r="R4448" s="3" t="str">
        <f>HYPERLINK("https://panda.att.com.mx/ODKServer/view/binaryData?blobKey=FSSuministroFluidosv3%5B%40version%3Dnull+and+%40uiVersion%3Dnull%5D%2Fdata%5B%40key%3Duuid%3A101cdc7d-cdc8-41cf-bf89-f72b92cf2e3e%5D%2FgroupInfoFuel%5B%40ordinal%3D1%5D%2FpicFuelRecibeInterno","Descargar")</f>
        <v>Descargar</v>
      </c>
    </row>
    <row r="4449" spans="1:18" x14ac:dyDescent="0.3">
      <c r="A4449">
        <v>1474608</v>
      </c>
      <c r="B4449" t="s">
        <v>18</v>
      </c>
      <c r="C4449" t="s">
        <v>55</v>
      </c>
      <c r="D4449" t="s">
        <v>56</v>
      </c>
      <c r="E4449" t="s">
        <v>1555</v>
      </c>
      <c r="F4449" t="s">
        <v>22</v>
      </c>
      <c r="G4449" t="s">
        <v>47</v>
      </c>
      <c r="H4449" t="s">
        <v>1763</v>
      </c>
      <c r="I4449" t="s">
        <v>25</v>
      </c>
      <c r="J4449" t="s">
        <v>3182</v>
      </c>
      <c r="K4449">
        <v>31</v>
      </c>
      <c r="L4449">
        <v>1</v>
      </c>
      <c r="M4449">
        <v>2025</v>
      </c>
      <c r="N4449" t="s">
        <v>27</v>
      </c>
      <c r="O4449">
        <v>300</v>
      </c>
      <c r="P4449">
        <v>300</v>
      </c>
      <c r="R4449" s="3" t="str">
        <f>HYPERLINK("https://panda.att.com.mx/ODKServer/view/binaryData?blobKey=FSSuministroFluidosv3%5B%40version%3Dnull+and+%40uiVersion%3Dnull%5D%2Fdata%5B%40key%3Duuid%3A0eb02166-c327-410d-a4ba-fa13e6b0d07a%5D%2FgroupInfoFuel%5B%40ordinal%3D1%5D%2FpicFuelRecibeInterno","Descargar")</f>
        <v>Descargar</v>
      </c>
    </row>
    <row r="4450" spans="1:18" x14ac:dyDescent="0.3">
      <c r="A4450">
        <v>1472985</v>
      </c>
      <c r="B4450" t="s">
        <v>18</v>
      </c>
      <c r="C4450" t="s">
        <v>55</v>
      </c>
      <c r="D4450" t="s">
        <v>56</v>
      </c>
      <c r="E4450" t="s">
        <v>2089</v>
      </c>
      <c r="F4450" t="s">
        <v>22</v>
      </c>
      <c r="G4450" t="s">
        <v>47</v>
      </c>
      <c r="H4450" t="s">
        <v>1763</v>
      </c>
      <c r="I4450" t="s">
        <v>25</v>
      </c>
      <c r="J4450" t="s">
        <v>3183</v>
      </c>
      <c r="K4450">
        <v>23</v>
      </c>
      <c r="L4450">
        <v>1</v>
      </c>
      <c r="M4450">
        <v>2025</v>
      </c>
      <c r="N4450" t="s">
        <v>27</v>
      </c>
      <c r="O4450">
        <v>100</v>
      </c>
      <c r="P4450">
        <v>100</v>
      </c>
      <c r="R4450" s="3" t="str">
        <f>HYPERLINK("https://panda.att.com.mx/ODKServer/view/binaryData?blobKey=FSSuministroFluidosv3%5B%40version%3Dnull+and+%40uiVersion%3Dnull%5D%2Fdata%5B%40key%3Duuid%3A6e648fe1-8252-4ac5-9d2a-89d157ccde68%5D%2FgroupInfoFuel%5B%40ordinal%3D1%5D%2FpicFuelRecibeInterno","Descargar")</f>
        <v>Descargar</v>
      </c>
    </row>
    <row r="4451" spans="1:18" x14ac:dyDescent="0.3">
      <c r="A4451">
        <v>1472984</v>
      </c>
      <c r="B4451" t="s">
        <v>18</v>
      </c>
      <c r="C4451" t="s">
        <v>55</v>
      </c>
      <c r="D4451" t="s">
        <v>56</v>
      </c>
      <c r="E4451" t="s">
        <v>3184</v>
      </c>
      <c r="F4451" t="s">
        <v>22</v>
      </c>
      <c r="G4451" t="s">
        <v>47</v>
      </c>
      <c r="H4451" t="s">
        <v>1763</v>
      </c>
      <c r="I4451" t="s">
        <v>25</v>
      </c>
      <c r="J4451" t="s">
        <v>3185</v>
      </c>
      <c r="K4451">
        <v>24</v>
      </c>
      <c r="L4451">
        <v>1</v>
      </c>
      <c r="M4451">
        <v>2025</v>
      </c>
      <c r="N4451" t="s">
        <v>27</v>
      </c>
      <c r="O4451">
        <v>100</v>
      </c>
      <c r="P4451">
        <v>100</v>
      </c>
      <c r="R4451" s="3" t="str">
        <f>HYPERLINK("https://panda.att.com.mx/ODKServer/view/binaryData?blobKey=FSSuministroFluidosv3%5B%40version%3Dnull+and+%40uiVersion%3Dnull%5D%2Fdata%5B%40key%3Duuid%3A9da5afa4-1099-4dfd-afa9-898197092123%5D%2FgroupInfoFuel%5B%40ordinal%3D1%5D%2FpicFuelRecibeInterno","Descargar")</f>
        <v>Descargar</v>
      </c>
    </row>
    <row r="4452" spans="1:18" x14ac:dyDescent="0.3">
      <c r="A4452">
        <v>1472981</v>
      </c>
      <c r="B4452" t="s">
        <v>18</v>
      </c>
      <c r="C4452" t="s">
        <v>55</v>
      </c>
      <c r="D4452" t="s">
        <v>56</v>
      </c>
      <c r="E4452" t="s">
        <v>3184</v>
      </c>
      <c r="F4452" t="s">
        <v>22</v>
      </c>
      <c r="G4452" t="s">
        <v>47</v>
      </c>
      <c r="H4452" t="s">
        <v>1763</v>
      </c>
      <c r="I4452" t="s">
        <v>25</v>
      </c>
      <c r="J4452" t="s">
        <v>3186</v>
      </c>
      <c r="K4452">
        <v>23</v>
      </c>
      <c r="L4452">
        <v>1</v>
      </c>
      <c r="M4452">
        <v>2025</v>
      </c>
      <c r="N4452" t="s">
        <v>27</v>
      </c>
      <c r="O4452">
        <v>100</v>
      </c>
      <c r="P4452">
        <v>100</v>
      </c>
      <c r="R4452" s="3" t="str">
        <f>HYPERLINK("https://panda.att.com.mx/ODKServer/view/binaryData?blobKey=FSSuministroFluidosv3%5B%40version%3Dnull+and+%40uiVersion%3Dnull%5D%2Fdata%5B%40key%3Duuid%3A3921c9a6-e012-4119-9087-8a82a1749633%5D%2FgroupInfoFuel%5B%40ordinal%3D1%5D%2FpicFuelRecibeInterno","Descargar")</f>
        <v>Descargar</v>
      </c>
    </row>
    <row r="4453" spans="1:18" x14ac:dyDescent="0.3">
      <c r="A4453">
        <v>1472980</v>
      </c>
      <c r="B4453" t="s">
        <v>18</v>
      </c>
      <c r="C4453" t="s">
        <v>55</v>
      </c>
      <c r="D4453" t="s">
        <v>56</v>
      </c>
      <c r="E4453" t="s">
        <v>3184</v>
      </c>
      <c r="F4453" t="s">
        <v>22</v>
      </c>
      <c r="G4453" t="s">
        <v>47</v>
      </c>
      <c r="H4453" t="s">
        <v>1763</v>
      </c>
      <c r="I4453" t="s">
        <v>25</v>
      </c>
      <c r="J4453" t="s">
        <v>3187</v>
      </c>
      <c r="K4453">
        <v>22</v>
      </c>
      <c r="L4453">
        <v>1</v>
      </c>
      <c r="M4453">
        <v>2025</v>
      </c>
      <c r="N4453" t="s">
        <v>27</v>
      </c>
      <c r="O4453">
        <v>100</v>
      </c>
      <c r="P4453">
        <v>100</v>
      </c>
      <c r="R4453" s="3" t="str">
        <f>HYPERLINK("https://panda.att.com.mx/ODKServer/view/binaryData?blobKey=FSSuministroFluidosv3%5B%40version%3Dnull+and+%40uiVersion%3Dnull%5D%2Fdata%5B%40key%3Duuid%3Af8b2c646-179d-4031-9470-db7a9ec9882d%5D%2FgroupInfoFuel%5B%40ordinal%3D1%5D%2FpicFuelRecibeInterno","Descargar")</f>
        <v>Descargar</v>
      </c>
    </row>
    <row r="4454" spans="1:18" x14ac:dyDescent="0.3">
      <c r="A4454">
        <v>1472975</v>
      </c>
      <c r="B4454" t="s">
        <v>18</v>
      </c>
      <c r="C4454" t="s">
        <v>55</v>
      </c>
      <c r="D4454" t="s">
        <v>56</v>
      </c>
      <c r="E4454" t="s">
        <v>3146</v>
      </c>
      <c r="F4454" t="s">
        <v>22</v>
      </c>
      <c r="G4454" t="s">
        <v>47</v>
      </c>
      <c r="H4454" t="s">
        <v>1763</v>
      </c>
      <c r="I4454" t="s">
        <v>25</v>
      </c>
      <c r="J4454" t="s">
        <v>3188</v>
      </c>
      <c r="K4454">
        <v>21</v>
      </c>
      <c r="L4454">
        <v>1</v>
      </c>
      <c r="M4454">
        <v>2025</v>
      </c>
      <c r="N4454" t="s">
        <v>27</v>
      </c>
      <c r="O4454">
        <v>100</v>
      </c>
      <c r="P4454">
        <v>100</v>
      </c>
      <c r="R4454" s="3" t="str">
        <f>HYPERLINK("https://panda.att.com.mx/ODKServer/view/binaryData?blobKey=FSSuministroFluidosv3%5B%40version%3Dnull+and+%40uiVersion%3Dnull%5D%2Fdata%5B%40key%3Duuid%3A3fcb0973-56f8-4d91-980c-4688d38720ab%5D%2FgroupInfoFuel%5B%40ordinal%3D1%5D%2FpicFuelRecibeInterno","Descargar")</f>
        <v>Descargar</v>
      </c>
    </row>
    <row r="4455" spans="1:18" x14ac:dyDescent="0.3">
      <c r="A4455">
        <v>1472974</v>
      </c>
      <c r="B4455" t="s">
        <v>18</v>
      </c>
      <c r="C4455" t="s">
        <v>55</v>
      </c>
      <c r="D4455" t="s">
        <v>56</v>
      </c>
      <c r="E4455" t="s">
        <v>3146</v>
      </c>
      <c r="F4455" t="s">
        <v>22</v>
      </c>
      <c r="G4455" t="s">
        <v>47</v>
      </c>
      <c r="H4455" t="s">
        <v>1763</v>
      </c>
      <c r="I4455" t="s">
        <v>25</v>
      </c>
      <c r="J4455" t="s">
        <v>3189</v>
      </c>
      <c r="K4455">
        <v>20</v>
      </c>
      <c r="L4455">
        <v>1</v>
      </c>
      <c r="M4455">
        <v>2025</v>
      </c>
      <c r="N4455" t="s">
        <v>27</v>
      </c>
      <c r="O4455">
        <v>150</v>
      </c>
      <c r="P4455">
        <v>150</v>
      </c>
      <c r="R4455" s="3" t="str">
        <f>HYPERLINK("https://panda.att.com.mx/ODKServer/view/binaryData?blobKey=FSSuministroFluidosv3%5B%40version%3Dnull+and+%40uiVersion%3Dnull%5D%2Fdata%5B%40key%3Duuid%3A6f5becd2-6714-432b-a344-53e2e9e23d86%5D%2FgroupInfoFuel%5B%40ordinal%3D1%5D%2FpicFuelRecibeInterno","Descargar")</f>
        <v>Descargar</v>
      </c>
    </row>
    <row r="4456" spans="1:18" x14ac:dyDescent="0.3">
      <c r="A4456">
        <v>1472962</v>
      </c>
      <c r="B4456" t="s">
        <v>18</v>
      </c>
      <c r="C4456" t="s">
        <v>55</v>
      </c>
      <c r="D4456" t="s">
        <v>56</v>
      </c>
      <c r="E4456" t="s">
        <v>320</v>
      </c>
      <c r="F4456" t="s">
        <v>22</v>
      </c>
      <c r="G4456" t="s">
        <v>47</v>
      </c>
      <c r="H4456" t="s">
        <v>1763</v>
      </c>
      <c r="I4456" t="s">
        <v>25</v>
      </c>
      <c r="J4456" t="s">
        <v>3190</v>
      </c>
      <c r="K4456">
        <v>25</v>
      </c>
      <c r="L4456">
        <v>1</v>
      </c>
      <c r="M4456">
        <v>2025</v>
      </c>
      <c r="N4456" t="s">
        <v>27</v>
      </c>
      <c r="O4456">
        <v>300</v>
      </c>
      <c r="P4456">
        <v>300</v>
      </c>
      <c r="R4456" s="3" t="str">
        <f>HYPERLINK("https://panda.att.com.mx/ODKServer/view/binaryData?blobKey=FSSuministroFluidosv3%5B%40version%3Dnull+and+%40uiVersion%3Dnull%5D%2Fdata%5B%40key%3Duuid%3Ae1939d37-4f2c-4908-a472-fd7a2ea5f05d%5D%2FgroupInfoFuel%5B%40ordinal%3D1%5D%2FpicFuelRecibeInterno","Descargar")</f>
        <v>Descargar</v>
      </c>
    </row>
    <row r="4457" spans="1:18" x14ac:dyDescent="0.3">
      <c r="A4457">
        <v>1472961</v>
      </c>
      <c r="B4457" t="s">
        <v>18</v>
      </c>
      <c r="C4457" t="s">
        <v>55</v>
      </c>
      <c r="D4457" t="s">
        <v>56</v>
      </c>
      <c r="E4457" t="s">
        <v>320</v>
      </c>
      <c r="F4457" t="s">
        <v>22</v>
      </c>
      <c r="G4457" t="s">
        <v>47</v>
      </c>
      <c r="H4457" t="s">
        <v>1763</v>
      </c>
      <c r="I4457" t="s">
        <v>25</v>
      </c>
      <c r="J4457" t="s">
        <v>3191</v>
      </c>
      <c r="K4457">
        <v>23</v>
      </c>
      <c r="L4457">
        <v>1</v>
      </c>
      <c r="M4457">
        <v>2025</v>
      </c>
      <c r="N4457" t="s">
        <v>27</v>
      </c>
      <c r="O4457">
        <v>200</v>
      </c>
      <c r="P4457">
        <v>200</v>
      </c>
      <c r="R4457" s="3" t="str">
        <f>HYPERLINK("https://panda.att.com.mx/ODKServer/view/binaryData?blobKey=FSSuministroFluidosv3%5B%40version%3Dnull+and+%40uiVersion%3Dnull%5D%2Fdata%5B%40key%3Duuid%3A1ef8e7a6-fbb0-4520-80db-7dbd4382d012%5D%2FgroupInfoFuel%5B%40ordinal%3D1%5D%2FpicFuelRecibeInterno","Descargar")</f>
        <v>Descargar</v>
      </c>
    </row>
    <row r="4458" spans="1:18" x14ac:dyDescent="0.3">
      <c r="A4458">
        <v>1472956</v>
      </c>
      <c r="B4458" t="s">
        <v>18</v>
      </c>
      <c r="C4458" t="s">
        <v>55</v>
      </c>
      <c r="D4458" t="s">
        <v>56</v>
      </c>
      <c r="E4458" t="s">
        <v>320</v>
      </c>
      <c r="F4458" t="s">
        <v>22</v>
      </c>
      <c r="G4458" t="s">
        <v>47</v>
      </c>
      <c r="H4458" t="s">
        <v>1763</v>
      </c>
      <c r="I4458" t="s">
        <v>25</v>
      </c>
      <c r="J4458" t="s">
        <v>3192</v>
      </c>
      <c r="K4458">
        <v>17</v>
      </c>
      <c r="L4458">
        <v>1</v>
      </c>
      <c r="M4458">
        <v>2025</v>
      </c>
      <c r="N4458" t="s">
        <v>27</v>
      </c>
      <c r="O4458">
        <v>300</v>
      </c>
      <c r="P4458">
        <v>300</v>
      </c>
      <c r="R4458" s="3" t="str">
        <f>HYPERLINK("https://panda.att.com.mx/ODKServer/view/binaryData?blobKey=FSSuministroFluidosv3%5B%40version%3Dnull+and+%40uiVersion%3Dnull%5D%2Fdata%5B%40key%3Duuid%3A05ae6724-0c9b-45e8-9e3e-5c387dd56359%5D%2FgroupInfoFuel%5B%40ordinal%3D1%5D%2FpicFuelRecibeInterno","Descargar")</f>
        <v>Descargar</v>
      </c>
    </row>
    <row r="4459" spans="1:18" x14ac:dyDescent="0.3">
      <c r="A4459">
        <v>1472955</v>
      </c>
      <c r="B4459" t="s">
        <v>18</v>
      </c>
      <c r="C4459" t="s">
        <v>55</v>
      </c>
      <c r="D4459" t="s">
        <v>56</v>
      </c>
      <c r="E4459" t="s">
        <v>320</v>
      </c>
      <c r="F4459" t="s">
        <v>22</v>
      </c>
      <c r="G4459" t="s">
        <v>47</v>
      </c>
      <c r="H4459" t="s">
        <v>1763</v>
      </c>
      <c r="I4459" t="s">
        <v>25</v>
      </c>
      <c r="J4459" t="s">
        <v>3193</v>
      </c>
      <c r="K4459">
        <v>14</v>
      </c>
      <c r="L4459">
        <v>1</v>
      </c>
      <c r="M4459">
        <v>2025</v>
      </c>
      <c r="N4459" t="s">
        <v>27</v>
      </c>
      <c r="O4459">
        <v>300</v>
      </c>
      <c r="P4459">
        <v>300</v>
      </c>
      <c r="R4459" s="3" t="str">
        <f>HYPERLINK("https://panda.att.com.mx/ODKServer/view/binaryData?blobKey=FSSuministroFluidosv3%5B%40version%3Dnull+and+%40uiVersion%3Dnull%5D%2Fdata%5B%40key%3Duuid%3A71f9ac11-9bf9-441f-b5e9-fdc459a40f06%5D%2FgroupInfoFuel%5B%40ordinal%3D1%5D%2FpicFuelRecibeInterno","Descargar")</f>
        <v>Descargar</v>
      </c>
    </row>
    <row r="4460" spans="1:18" x14ac:dyDescent="0.3">
      <c r="A4460">
        <v>1472842</v>
      </c>
      <c r="B4460" t="s">
        <v>18</v>
      </c>
      <c r="C4460" t="s">
        <v>19</v>
      </c>
      <c r="D4460" t="s">
        <v>20</v>
      </c>
      <c r="E4460" t="s">
        <v>275</v>
      </c>
      <c r="F4460" t="s">
        <v>22</v>
      </c>
      <c r="G4460" t="s">
        <v>23</v>
      </c>
      <c r="H4460" t="s">
        <v>24</v>
      </c>
      <c r="I4460" t="s">
        <v>25</v>
      </c>
      <c r="J4460" t="s">
        <v>3194</v>
      </c>
      <c r="K4460">
        <v>29</v>
      </c>
      <c r="L4460">
        <v>1</v>
      </c>
      <c r="M4460">
        <v>2025</v>
      </c>
      <c r="N4460" t="s">
        <v>27</v>
      </c>
      <c r="O4460">
        <v>300</v>
      </c>
      <c r="P4460">
        <v>300</v>
      </c>
      <c r="R4460" s="3" t="str">
        <f>HYPERLINK("https://panda.att.com.mx/ODKServer/view/binaryData?blobKey=FSSuministroFluidosv3%5B%40version%3Dnull+and+%40uiVersion%3Dnull%5D%2Fdata%5B%40key%3Duuid%3Ae176f2f8-4a73-488c-a4c7-841732312a61%5D%2FgroupInfoFuel%5B%40ordinal%3D1%5D%2FpicFuelRecibeInterno","Descargar")</f>
        <v>Descargar</v>
      </c>
    </row>
    <row r="4461" spans="1:18" x14ac:dyDescent="0.3">
      <c r="A4461">
        <v>1472819</v>
      </c>
      <c r="B4461" t="s">
        <v>18</v>
      </c>
      <c r="C4461" t="s">
        <v>150</v>
      </c>
      <c r="D4461" t="s">
        <v>230</v>
      </c>
      <c r="E4461" t="s">
        <v>1510</v>
      </c>
      <c r="F4461" t="s">
        <v>22</v>
      </c>
      <c r="G4461" t="s">
        <v>47</v>
      </c>
      <c r="H4461" t="s">
        <v>1781</v>
      </c>
      <c r="I4461" t="s">
        <v>25</v>
      </c>
      <c r="J4461" t="s">
        <v>3195</v>
      </c>
      <c r="K4461">
        <v>29</v>
      </c>
      <c r="L4461">
        <v>1</v>
      </c>
      <c r="M4461">
        <v>2025</v>
      </c>
      <c r="N4461" t="s">
        <v>27</v>
      </c>
      <c r="O4461">
        <v>300.02</v>
      </c>
      <c r="P4461">
        <v>300.02</v>
      </c>
      <c r="R4461" s="3" t="str">
        <f>HYPERLINK("https://panda.att.com.mx/ODKServer/view/binaryData?blobKey=FSSuministroFluidosv3%5B%40version%3Dnull+and+%40uiVersion%3Dnull%5D%2Fdata%5B%40key%3Duuid%3Aa75745c8-0aae-4789-bdf5-228ae45b23da%5D%2FgroupInfoFuel%5B%40ordinal%3D1%5D%2FpicFuelRecibeInterno","Descargar")</f>
        <v>Descargar</v>
      </c>
    </row>
    <row r="4462" spans="1:18" x14ac:dyDescent="0.3">
      <c r="A4462">
        <v>1472738</v>
      </c>
      <c r="B4462" t="s">
        <v>18</v>
      </c>
      <c r="C4462" t="s">
        <v>68</v>
      </c>
      <c r="D4462" t="s">
        <v>116</v>
      </c>
      <c r="E4462" t="s">
        <v>3097</v>
      </c>
      <c r="F4462" t="s">
        <v>22</v>
      </c>
      <c r="G4462" t="s">
        <v>23</v>
      </c>
      <c r="H4462" t="s">
        <v>37</v>
      </c>
      <c r="I4462" t="s">
        <v>25</v>
      </c>
      <c r="J4462" t="s">
        <v>3196</v>
      </c>
      <c r="K4462">
        <v>29</v>
      </c>
      <c r="L4462">
        <v>1</v>
      </c>
      <c r="M4462">
        <v>2025</v>
      </c>
      <c r="N4462" t="s">
        <v>27</v>
      </c>
      <c r="O4462">
        <v>400</v>
      </c>
      <c r="P4462">
        <v>400</v>
      </c>
      <c r="R4462" s="3" t="str">
        <f>HYPERLINK("https://panda.att.com.mx/ODKServer/view/binaryData?blobKey=FSSuministroFluidosv3%5B%40version%3Dnull+and+%40uiVersion%3Dnull%5D%2Fdata%5B%40key%3Duuid%3A0fe1e7fc-001c-4653-9a74-4c8ffbf5bfc4%5D%2FgroupInfoFuel%5B%40ordinal%3D1%5D%2FpicFuelRecibeInterno","Descargar")</f>
        <v>Descargar</v>
      </c>
    </row>
    <row r="4463" spans="1:18" x14ac:dyDescent="0.3">
      <c r="A4463">
        <v>1472715</v>
      </c>
      <c r="B4463" t="s">
        <v>18</v>
      </c>
      <c r="C4463" t="s">
        <v>100</v>
      </c>
      <c r="D4463" t="s">
        <v>854</v>
      </c>
      <c r="E4463" t="s">
        <v>993</v>
      </c>
      <c r="F4463" t="s">
        <v>22</v>
      </c>
      <c r="G4463" t="s">
        <v>83</v>
      </c>
      <c r="H4463" t="s">
        <v>1781</v>
      </c>
      <c r="I4463" t="s">
        <v>25</v>
      </c>
      <c r="J4463" t="s">
        <v>3197</v>
      </c>
      <c r="K4463">
        <v>29</v>
      </c>
      <c r="L4463">
        <v>1</v>
      </c>
      <c r="M4463">
        <v>2025</v>
      </c>
      <c r="N4463" t="s">
        <v>27</v>
      </c>
      <c r="O4463">
        <v>220</v>
      </c>
      <c r="P4463">
        <v>220</v>
      </c>
      <c r="R4463" s="3" t="str">
        <f>HYPERLINK("https://panda.att.com.mx/ODKServer/view/binaryData?blobKey=FSSuministroFluidosv3%5B%40version%3Dnull+and+%40uiVersion%3Dnull%5D%2Fdata%5B%40key%3Duuid%3Afcef2cf7-34bc-495e-8a33-78ca4c20a321%5D%2FgroupInfoFuel%5B%40ordinal%3D1%5D%2FpicFuelRecibeInterno","Descargar")</f>
        <v>Descargar</v>
      </c>
    </row>
    <row r="4464" spans="1:18" x14ac:dyDescent="0.3">
      <c r="A4464">
        <v>1472710</v>
      </c>
      <c r="B4464" t="s">
        <v>18</v>
      </c>
      <c r="C4464" t="s">
        <v>150</v>
      </c>
      <c r="D4464" t="s">
        <v>1550</v>
      </c>
      <c r="E4464" t="s">
        <v>1551</v>
      </c>
      <c r="F4464" t="s">
        <v>22</v>
      </c>
      <c r="G4464" t="s">
        <v>47</v>
      </c>
      <c r="H4464" t="s">
        <v>1781</v>
      </c>
      <c r="I4464" t="s">
        <v>25</v>
      </c>
      <c r="J4464" t="s">
        <v>3198</v>
      </c>
      <c r="K4464">
        <v>29</v>
      </c>
      <c r="L4464">
        <v>1</v>
      </c>
      <c r="M4464">
        <v>2025</v>
      </c>
      <c r="N4464" t="s">
        <v>27</v>
      </c>
      <c r="O4464">
        <v>180</v>
      </c>
      <c r="P4464">
        <v>180</v>
      </c>
      <c r="R4464" s="3" t="str">
        <f>HYPERLINK("https://panda.att.com.mx/ODKServer/view/binaryData?blobKey=FSSuministroFluidosv3%5B%40version%3Dnull+and+%40uiVersion%3Dnull%5D%2Fdata%5B%40key%3Duuid%3Aae3e698d-d976-48ea-8125-58b71db5e503%5D%2FgroupInfoFuel%5B%40ordinal%3D1%5D%2FpicFuelRecibeInterno","Descargar")</f>
        <v>Descargar</v>
      </c>
    </row>
    <row r="4465" spans="1:18" x14ac:dyDescent="0.3">
      <c r="A4465">
        <v>1472696</v>
      </c>
      <c r="B4465" t="s">
        <v>18</v>
      </c>
      <c r="C4465" t="s">
        <v>167</v>
      </c>
      <c r="D4465" t="s">
        <v>264</v>
      </c>
      <c r="E4465" t="s">
        <v>3199</v>
      </c>
      <c r="F4465" t="s">
        <v>22</v>
      </c>
      <c r="G4465" t="s">
        <v>47</v>
      </c>
      <c r="H4465" t="s">
        <v>58</v>
      </c>
      <c r="I4465" t="s">
        <v>25</v>
      </c>
      <c r="J4465" t="s">
        <v>3200</v>
      </c>
      <c r="K4465">
        <v>29</v>
      </c>
      <c r="L4465">
        <v>1</v>
      </c>
      <c r="M4465">
        <v>2025</v>
      </c>
      <c r="N4465" t="s">
        <v>27</v>
      </c>
      <c r="O4465">
        <v>21</v>
      </c>
      <c r="P4465">
        <v>21</v>
      </c>
      <c r="R4465" s="3" t="str">
        <f>HYPERLINK("https://panda.att.com.mx/ODKServer/view/binaryData?blobKey=FSSuministroFluidosv3%5B%40version%3Dnull+and+%40uiVersion%3Dnull%5D%2Fdata%5B%40key%3Duuid%3Af93d6e14-0bca-41d3-adee-e27d8adbc905%5D%2FgroupInfoFuel%5B%40ordinal%3D1%5D%2FpicFuelRecibeInterno","Descargar")</f>
        <v>Descargar</v>
      </c>
    </row>
    <row r="4466" spans="1:18" x14ac:dyDescent="0.3">
      <c r="A4466">
        <v>1472647</v>
      </c>
      <c r="B4466" t="s">
        <v>18</v>
      </c>
      <c r="C4466" t="s">
        <v>150</v>
      </c>
      <c r="D4466" t="s">
        <v>230</v>
      </c>
      <c r="E4466" t="s">
        <v>890</v>
      </c>
      <c r="F4466" t="s">
        <v>22</v>
      </c>
      <c r="G4466" t="s">
        <v>47</v>
      </c>
      <c r="H4466" t="s">
        <v>1781</v>
      </c>
      <c r="I4466" t="s">
        <v>25</v>
      </c>
      <c r="J4466" t="s">
        <v>3201</v>
      </c>
      <c r="K4466">
        <v>29</v>
      </c>
      <c r="L4466">
        <v>1</v>
      </c>
      <c r="M4466">
        <v>2025</v>
      </c>
      <c r="N4466" t="s">
        <v>27</v>
      </c>
      <c r="O4466">
        <v>160</v>
      </c>
      <c r="P4466">
        <v>160</v>
      </c>
      <c r="R4466" s="3" t="str">
        <f>HYPERLINK("https://panda.att.com.mx/ODKServer/view/binaryData?blobKey=FSSuministroFluidosv3%5B%40version%3Dnull+and+%40uiVersion%3Dnull%5D%2Fdata%5B%40key%3Duuid%3A0ed753bf-5ac0-40e1-a9ce-ea7258387e06%5D%2FgroupInfoFuel%5B%40ordinal%3D1%5D%2FpicFuelRecibeInterno","Descargar")</f>
        <v>Descargar</v>
      </c>
    </row>
    <row r="4467" spans="1:18" x14ac:dyDescent="0.3">
      <c r="A4467">
        <v>1472584</v>
      </c>
      <c r="B4467" t="s">
        <v>18</v>
      </c>
      <c r="C4467" t="s">
        <v>55</v>
      </c>
      <c r="D4467" t="s">
        <v>1836</v>
      </c>
      <c r="E4467" t="s">
        <v>3202</v>
      </c>
      <c r="F4467" t="s">
        <v>22</v>
      </c>
      <c r="G4467" t="s">
        <v>47</v>
      </c>
      <c r="H4467" t="s">
        <v>1763</v>
      </c>
      <c r="I4467" t="s">
        <v>25</v>
      </c>
      <c r="J4467" t="s">
        <v>3203</v>
      </c>
      <c r="K4467">
        <v>29</v>
      </c>
      <c r="L4467">
        <v>1</v>
      </c>
      <c r="M4467">
        <v>2025</v>
      </c>
      <c r="N4467" t="s">
        <v>27</v>
      </c>
      <c r="O4467">
        <v>300</v>
      </c>
      <c r="P4467">
        <v>300</v>
      </c>
      <c r="R4467" s="3" t="str">
        <f>HYPERLINK("https://panda.att.com.mx/ODKServer/view/binaryData?blobKey=FSSuministroFluidosv3%5B%40version%3Dnull+and+%40uiVersion%3Dnull%5D%2Fdata%5B%40key%3Duuid%3A24f2a276-62a2-4716-b831-69d3b087c29d%5D%2FgroupInfoFuel%5B%40ordinal%3D1%5D%2FpicFuelRecibeInterno","Descargar")</f>
        <v>Descargar</v>
      </c>
    </row>
    <row r="4468" spans="1:18" x14ac:dyDescent="0.3">
      <c r="A4468">
        <v>1472578</v>
      </c>
      <c r="B4468" t="s">
        <v>18</v>
      </c>
      <c r="C4468" t="s">
        <v>55</v>
      </c>
      <c r="D4468" t="s">
        <v>3204</v>
      </c>
      <c r="E4468" t="s">
        <v>3205</v>
      </c>
      <c r="F4468" t="s">
        <v>22</v>
      </c>
      <c r="G4468" t="s">
        <v>23</v>
      </c>
      <c r="H4468" t="s">
        <v>1781</v>
      </c>
      <c r="I4468" t="s">
        <v>25</v>
      </c>
      <c r="J4468" t="s">
        <v>3206</v>
      </c>
      <c r="K4468">
        <v>28</v>
      </c>
      <c r="L4468">
        <v>1</v>
      </c>
      <c r="M4468">
        <v>2025</v>
      </c>
      <c r="N4468" t="s">
        <v>27</v>
      </c>
      <c r="O4468">
        <v>56</v>
      </c>
      <c r="P4468">
        <v>56</v>
      </c>
      <c r="R4468" s="3" t="str">
        <f>HYPERLINK("https://panda.att.com.mx/ODKServer/view/binaryData?blobKey=FSSuministroFluidosv3%5B%40version%3Dnull+and+%40uiVersion%3Dnull%5D%2Fdata%5B%40key%3Duuid%3A83f289c5-468a-4b16-aef6-e3622e306e24%5D%2FgroupInfoFuel%5B%40ordinal%3D1%5D%2FpicFuelRecibeInterno","Descargar")</f>
        <v>Descargar</v>
      </c>
    </row>
    <row r="4469" spans="1:18" x14ac:dyDescent="0.3">
      <c r="A4469">
        <v>1472561</v>
      </c>
      <c r="B4469" t="s">
        <v>18</v>
      </c>
      <c r="C4469" t="s">
        <v>150</v>
      </c>
      <c r="D4469" t="s">
        <v>230</v>
      </c>
      <c r="E4469" t="s">
        <v>399</v>
      </c>
      <c r="F4469" t="s">
        <v>22</v>
      </c>
      <c r="G4469" t="s">
        <v>47</v>
      </c>
      <c r="H4469" t="s">
        <v>1781</v>
      </c>
      <c r="I4469" t="s">
        <v>25</v>
      </c>
      <c r="J4469" t="s">
        <v>3207</v>
      </c>
      <c r="K4469">
        <v>29</v>
      </c>
      <c r="L4469">
        <v>1</v>
      </c>
      <c r="M4469">
        <v>2025</v>
      </c>
      <c r="N4469" t="s">
        <v>27</v>
      </c>
      <c r="O4469">
        <v>150.01</v>
      </c>
      <c r="P4469">
        <v>150.01</v>
      </c>
      <c r="R4469" s="3" t="str">
        <f>HYPERLINK("https://panda.att.com.mx/ODKServer/view/binaryData?blobKey=FSSuministroFluidosv3%5B%40version%3Dnull+and+%40uiVersion%3Dnull%5D%2Fdata%5B%40key%3Duuid%3A1ad89be3-cfbd-4982-9c6f-26cd44a1689a%5D%2FgroupInfoFuel%5B%40ordinal%3D1%5D%2FpicFuelRecibeInterno","Descargar")</f>
        <v>Descargar</v>
      </c>
    </row>
    <row r="4470" spans="1:18" x14ac:dyDescent="0.3">
      <c r="A4470">
        <v>1472533</v>
      </c>
      <c r="B4470" t="s">
        <v>18</v>
      </c>
      <c r="C4470" t="s">
        <v>28</v>
      </c>
      <c r="D4470" t="s">
        <v>181</v>
      </c>
      <c r="E4470" t="s">
        <v>3178</v>
      </c>
      <c r="F4470" t="s">
        <v>22</v>
      </c>
      <c r="G4470" t="s">
        <v>23</v>
      </c>
      <c r="H4470" t="s">
        <v>24</v>
      </c>
      <c r="I4470" t="s">
        <v>25</v>
      </c>
      <c r="J4470" t="s">
        <v>3208</v>
      </c>
      <c r="K4470">
        <v>25</v>
      </c>
      <c r="L4470">
        <v>1</v>
      </c>
      <c r="M4470">
        <v>2025</v>
      </c>
      <c r="N4470" t="s">
        <v>27</v>
      </c>
      <c r="O4470">
        <v>150</v>
      </c>
      <c r="P4470">
        <v>150</v>
      </c>
      <c r="R4470" s="3" t="str">
        <f>HYPERLINK("https://panda.att.com.mx/ODKServer/view/binaryData?blobKey=FSSuministroFluidosv3%5B%40version%3Dnull+and+%40uiVersion%3Dnull%5D%2Fdata%5B%40key%3Duuid%3A2786991e-cfdb-4568-951d-2262ae287aee%5D%2FgroupInfoFuel%5B%40ordinal%3D1%5D%2FpicFuelRecibeInterno","Descargar")</f>
        <v>Descargar</v>
      </c>
    </row>
    <row r="4471" spans="1:18" x14ac:dyDescent="0.3">
      <c r="A4471">
        <v>1472527</v>
      </c>
      <c r="B4471" t="s">
        <v>18</v>
      </c>
      <c r="C4471" t="s">
        <v>28</v>
      </c>
      <c r="D4471" t="s">
        <v>181</v>
      </c>
      <c r="E4471" t="s">
        <v>3178</v>
      </c>
      <c r="F4471" t="s">
        <v>22</v>
      </c>
      <c r="G4471" t="s">
        <v>23</v>
      </c>
      <c r="H4471" t="s">
        <v>24</v>
      </c>
      <c r="I4471" t="s">
        <v>25</v>
      </c>
      <c r="J4471" t="s">
        <v>3209</v>
      </c>
      <c r="K4471">
        <v>27</v>
      </c>
      <c r="L4471">
        <v>1</v>
      </c>
      <c r="M4471">
        <v>2025</v>
      </c>
      <c r="N4471" t="s">
        <v>27</v>
      </c>
      <c r="O4471">
        <v>150</v>
      </c>
      <c r="P4471">
        <v>150</v>
      </c>
      <c r="R4471" s="3" t="str">
        <f>HYPERLINK("https://panda.att.com.mx/ODKServer/view/binaryData?blobKey=FSSuministroFluidosv3%5B%40version%3Dnull+and+%40uiVersion%3Dnull%5D%2Fdata%5B%40key%3Duuid%3Aaaaccaa3-5288-4692-9473-3db19afedbe2%5D%2FgroupInfoFuel%5B%40ordinal%3D1%5D%2FpicFuelRecibeInterno","Descargar")</f>
        <v>Descargar</v>
      </c>
    </row>
    <row r="4472" spans="1:18" x14ac:dyDescent="0.3">
      <c r="A4472">
        <v>1472517</v>
      </c>
      <c r="B4472" t="s">
        <v>18</v>
      </c>
      <c r="C4472" t="s">
        <v>28</v>
      </c>
      <c r="D4472" t="s">
        <v>181</v>
      </c>
      <c r="E4472" t="s">
        <v>3178</v>
      </c>
      <c r="F4472" t="s">
        <v>22</v>
      </c>
      <c r="G4472" t="s">
        <v>23</v>
      </c>
      <c r="H4472" t="s">
        <v>24</v>
      </c>
      <c r="I4472" t="s">
        <v>25</v>
      </c>
      <c r="J4472" t="s">
        <v>3210</v>
      </c>
      <c r="K4472">
        <v>29</v>
      </c>
      <c r="L4472">
        <v>1</v>
      </c>
      <c r="M4472">
        <v>2025</v>
      </c>
      <c r="N4472" t="s">
        <v>27</v>
      </c>
      <c r="O4472">
        <v>200</v>
      </c>
      <c r="P4472">
        <v>200</v>
      </c>
      <c r="R4472" s="3" t="str">
        <f>HYPERLINK("https://panda.att.com.mx/ODKServer/view/binaryData?blobKey=FSSuministroFluidosv3%5B%40version%3Dnull+and+%40uiVersion%3Dnull%5D%2Fdata%5B%40key%3Duuid%3A689f97d8-143c-4f54-9990-15ff4856c55b%5D%2FgroupInfoFuel%5B%40ordinal%3D1%5D%2FpicFuelRecibeInterno","Descargar")</f>
        <v>Descargar</v>
      </c>
    </row>
    <row r="4473" spans="1:18" x14ac:dyDescent="0.3">
      <c r="A4473">
        <v>1472487</v>
      </c>
      <c r="B4473" t="s">
        <v>18</v>
      </c>
      <c r="C4473" t="s">
        <v>34</v>
      </c>
      <c r="D4473" t="s">
        <v>53</v>
      </c>
      <c r="E4473" t="s">
        <v>144</v>
      </c>
      <c r="F4473" t="s">
        <v>22</v>
      </c>
      <c r="G4473" t="s">
        <v>23</v>
      </c>
      <c r="H4473" t="s">
        <v>37</v>
      </c>
      <c r="I4473" t="s">
        <v>25</v>
      </c>
      <c r="J4473" t="s">
        <v>3211</v>
      </c>
      <c r="K4473">
        <v>29</v>
      </c>
      <c r="L4473">
        <v>1</v>
      </c>
      <c r="M4473">
        <v>2025</v>
      </c>
      <c r="N4473" t="s">
        <v>27</v>
      </c>
      <c r="O4473">
        <v>300</v>
      </c>
      <c r="P4473">
        <v>300</v>
      </c>
      <c r="R4473" s="3" t="str">
        <f>HYPERLINK("https://panda.att.com.mx/ODKServer/view/binaryData?blobKey=FSSuministroFluidosv3%5B%40version%3Dnull+and+%40uiVersion%3Dnull%5D%2Fdata%5B%40key%3Duuid%3A2154259c-091d-4822-90de-dc1f4a134780%5D%2FgroupInfoFuel%5B%40ordinal%3D1%5D%2FpicFuelRecibeInterno","Descargar")</f>
        <v>Descargar</v>
      </c>
    </row>
    <row r="4474" spans="1:18" x14ac:dyDescent="0.3">
      <c r="A4474">
        <v>1472486</v>
      </c>
      <c r="B4474" t="s">
        <v>18</v>
      </c>
      <c r="C4474" t="s">
        <v>55</v>
      </c>
      <c r="D4474" t="s">
        <v>56</v>
      </c>
      <c r="E4474" t="s">
        <v>3212</v>
      </c>
      <c r="F4474" t="s">
        <v>22</v>
      </c>
      <c r="G4474" t="s">
        <v>47</v>
      </c>
      <c r="H4474" t="s">
        <v>1763</v>
      </c>
      <c r="I4474" t="s">
        <v>25</v>
      </c>
      <c r="J4474" t="s">
        <v>3213</v>
      </c>
      <c r="K4474">
        <v>17</v>
      </c>
      <c r="L4474">
        <v>1</v>
      </c>
      <c r="M4474">
        <v>2025</v>
      </c>
      <c r="N4474" t="s">
        <v>27</v>
      </c>
      <c r="O4474">
        <v>250</v>
      </c>
      <c r="P4474">
        <v>250</v>
      </c>
      <c r="R4474" s="3" t="str">
        <f>HYPERLINK("https://panda.att.com.mx/ODKServer/view/binaryData?blobKey=FSSuministroFluidosv3%5B%40version%3Dnull+and+%40uiVersion%3Dnull%5D%2Fdata%5B%40key%3Duuid%3A3f1e58f8-1c84-45a2-b3ae-58327fcb2224%5D%2FgroupInfoFuel%5B%40ordinal%3D1%5D%2FpicFuelRecibeInterno","Descargar")</f>
        <v>Descargar</v>
      </c>
    </row>
    <row r="4475" spans="1:18" x14ac:dyDescent="0.3">
      <c r="A4475">
        <v>1472473</v>
      </c>
      <c r="B4475" t="s">
        <v>18</v>
      </c>
      <c r="C4475" t="s">
        <v>100</v>
      </c>
      <c r="D4475" t="s">
        <v>651</v>
      </c>
      <c r="E4475" t="s">
        <v>1833</v>
      </c>
      <c r="F4475" t="s">
        <v>22</v>
      </c>
      <c r="G4475" t="s">
        <v>23</v>
      </c>
      <c r="H4475" t="s">
        <v>1781</v>
      </c>
      <c r="I4475" t="s">
        <v>25</v>
      </c>
      <c r="J4475" t="s">
        <v>3214</v>
      </c>
      <c r="K4475">
        <v>29</v>
      </c>
      <c r="L4475">
        <v>1</v>
      </c>
      <c r="M4475">
        <v>2025</v>
      </c>
      <c r="N4475" t="s">
        <v>27</v>
      </c>
      <c r="O4475">
        <v>180</v>
      </c>
      <c r="P4475">
        <v>180</v>
      </c>
      <c r="R4475" s="3" t="str">
        <f>HYPERLINK("https://panda.att.com.mx/ODKServer/view/binaryData?blobKey=FSSuministroFluidosv3%5B%40version%3Dnull+and+%40uiVersion%3Dnull%5D%2Fdata%5B%40key%3Duuid%3Adce61cd5-ee70-469d-8132-1f877b0ad700%5D%2FgroupInfoFuel%5B%40ordinal%3D1%5D%2FpicFuelRecibeInterno","Descargar")</f>
        <v>Descargar</v>
      </c>
    </row>
    <row r="4476" spans="1:18" x14ac:dyDescent="0.3">
      <c r="A4476">
        <v>1472438</v>
      </c>
      <c r="B4476" t="s">
        <v>18</v>
      </c>
      <c r="C4476" t="s">
        <v>150</v>
      </c>
      <c r="D4476" t="s">
        <v>2224</v>
      </c>
      <c r="E4476" t="s">
        <v>3215</v>
      </c>
      <c r="F4476" t="s">
        <v>22</v>
      </c>
      <c r="G4476" t="s">
        <v>47</v>
      </c>
      <c r="H4476" t="s">
        <v>1781</v>
      </c>
      <c r="I4476" t="s">
        <v>25</v>
      </c>
      <c r="J4476" t="s">
        <v>3216</v>
      </c>
      <c r="K4476">
        <v>29</v>
      </c>
      <c r="L4476">
        <v>1</v>
      </c>
      <c r="M4476">
        <v>2025</v>
      </c>
      <c r="N4476" t="s">
        <v>27</v>
      </c>
      <c r="O4476">
        <v>100.01</v>
      </c>
      <c r="P4476">
        <v>100.01</v>
      </c>
      <c r="R4476" s="3" t="str">
        <f>HYPERLINK("https://panda.att.com.mx/ODKServer/view/binaryData?blobKey=FSSuministroFluidosv3%5B%40version%3Dnull+and+%40uiVersion%3Dnull%5D%2Fdata%5B%40key%3Duuid%3A905ff43d-1b94-46d6-bffd-7198f271ab7f%5D%2FgroupInfoFuel%5B%40ordinal%3D1%5D%2FpicFuelRecibeInterno","Descargar")</f>
        <v>Descargar</v>
      </c>
    </row>
    <row r="4477" spans="1:18" x14ac:dyDescent="0.3">
      <c r="A4477">
        <v>1472433</v>
      </c>
      <c r="B4477" t="s">
        <v>18</v>
      </c>
      <c r="C4477" t="s">
        <v>167</v>
      </c>
      <c r="D4477" t="s">
        <v>509</v>
      </c>
      <c r="E4477" t="s">
        <v>3217</v>
      </c>
      <c r="F4477" t="s">
        <v>22</v>
      </c>
      <c r="G4477" t="s">
        <v>47</v>
      </c>
      <c r="H4477" t="s">
        <v>58</v>
      </c>
      <c r="I4477" t="s">
        <v>84</v>
      </c>
      <c r="J4477" t="s">
        <v>3218</v>
      </c>
      <c r="K4477">
        <v>25</v>
      </c>
      <c r="L4477">
        <v>1</v>
      </c>
      <c r="M4477">
        <v>2025</v>
      </c>
      <c r="N4477" t="s">
        <v>27</v>
      </c>
      <c r="O4477">
        <v>130</v>
      </c>
      <c r="P4477">
        <v>130</v>
      </c>
      <c r="R4477" s="3" t="str">
        <f>HYPERLINK("https://panda.att.com.mx/ODKServer/view/binaryData?blobKey=FSSuministroFluidosv3%5B%40version%3Dnull+and+%40uiVersion%3Dnull%5D%2Fdata%5B%40key%3Duuid%3A72d0044c-f93c-4b04-973c-564e534cce44%5D%2FgroupInfoFuel%5B%40ordinal%3D1%5D%2FpicFuelRecibeInterno","Descargar")</f>
        <v>Descargar</v>
      </c>
    </row>
    <row r="4478" spans="1:18" x14ac:dyDescent="0.3">
      <c r="A4478">
        <v>1472432</v>
      </c>
      <c r="B4478" t="s">
        <v>18</v>
      </c>
      <c r="C4478" t="s">
        <v>167</v>
      </c>
      <c r="D4478" t="s">
        <v>509</v>
      </c>
      <c r="E4478" t="s">
        <v>3219</v>
      </c>
      <c r="F4478" t="s">
        <v>22</v>
      </c>
      <c r="G4478" t="s">
        <v>47</v>
      </c>
      <c r="H4478" t="s">
        <v>58</v>
      </c>
      <c r="I4478" t="s">
        <v>25</v>
      </c>
      <c r="J4478" t="s">
        <v>3220</v>
      </c>
      <c r="K4478">
        <v>25</v>
      </c>
      <c r="L4478">
        <v>1</v>
      </c>
      <c r="M4478">
        <v>2025</v>
      </c>
      <c r="N4478" t="s">
        <v>27</v>
      </c>
      <c r="O4478">
        <v>150</v>
      </c>
      <c r="P4478">
        <v>150</v>
      </c>
      <c r="R4478" s="3" t="str">
        <f>HYPERLINK("https://panda.att.com.mx/ODKServer/view/binaryData?blobKey=FSSuministroFluidosv3%5B%40version%3Dnull+and+%40uiVersion%3Dnull%5D%2Fdata%5B%40key%3Duuid%3A2ba0719d-05c6-4357-ae5e-30fe8af7323c%5D%2FgroupInfoFuel%5B%40ordinal%3D1%5D%2FpicFuelRecibeInterno","Descargar")</f>
        <v>Descargar</v>
      </c>
    </row>
    <row r="4479" spans="1:18" x14ac:dyDescent="0.3">
      <c r="A4479">
        <v>1472374</v>
      </c>
      <c r="B4479" t="s">
        <v>18</v>
      </c>
      <c r="C4479" t="s">
        <v>55</v>
      </c>
      <c r="D4479" t="s">
        <v>56</v>
      </c>
      <c r="E4479" t="s">
        <v>320</v>
      </c>
      <c r="F4479" t="s">
        <v>22</v>
      </c>
      <c r="G4479" t="s">
        <v>47</v>
      </c>
      <c r="H4479" t="s">
        <v>1763</v>
      </c>
      <c r="I4479" t="s">
        <v>25</v>
      </c>
      <c r="J4479" t="s">
        <v>3221</v>
      </c>
      <c r="K4479">
        <v>2</v>
      </c>
      <c r="L4479">
        <v>1</v>
      </c>
      <c r="M4479">
        <v>2025</v>
      </c>
      <c r="N4479" t="s">
        <v>27</v>
      </c>
      <c r="O4479">
        <v>300</v>
      </c>
      <c r="P4479">
        <v>300</v>
      </c>
      <c r="R4479" s="3" t="str">
        <f>HYPERLINK("https://panda.att.com.mx/ODKServer/view/binaryData?blobKey=FSSuministroFluidosv3%5B%40version%3Dnull+and+%40uiVersion%3Dnull%5D%2Fdata%5B%40key%3Duuid%3Aa50996ea-b8cf-4177-9dc2-66c7dd494ae6%5D%2FgroupInfoFuel%5B%40ordinal%3D1%5D%2FpicFuelRecibeInterno","Descargar")</f>
        <v>Descargar</v>
      </c>
    </row>
    <row r="4480" spans="1:18" x14ac:dyDescent="0.3">
      <c r="A4480">
        <v>1472373</v>
      </c>
      <c r="B4480" t="s">
        <v>18</v>
      </c>
      <c r="C4480" t="s">
        <v>55</v>
      </c>
      <c r="D4480" t="s">
        <v>56</v>
      </c>
      <c r="E4480" t="s">
        <v>3222</v>
      </c>
      <c r="F4480" t="s">
        <v>22</v>
      </c>
      <c r="G4480" t="s">
        <v>47</v>
      </c>
      <c r="H4480" t="s">
        <v>1763</v>
      </c>
      <c r="I4480" t="s">
        <v>25</v>
      </c>
      <c r="J4480" t="s">
        <v>3223</v>
      </c>
      <c r="K4480">
        <v>18</v>
      </c>
      <c r="L4480">
        <v>1</v>
      </c>
      <c r="M4480">
        <v>2025</v>
      </c>
      <c r="N4480" t="s">
        <v>27</v>
      </c>
      <c r="O4480">
        <v>150</v>
      </c>
      <c r="P4480">
        <v>150</v>
      </c>
      <c r="R4480" s="3" t="str">
        <f>HYPERLINK("https://panda.att.com.mx/ODKServer/view/binaryData?blobKey=FSSuministroFluidosv3%5B%40version%3Dnull+and+%40uiVersion%3Dnull%5D%2Fdata%5B%40key%3Duuid%3A89f010a1-db8e-483e-951e-c96c235a4c11%5D%2FgroupInfoFuel%5B%40ordinal%3D1%5D%2FpicFuelRecibeInterno","Descargar")</f>
        <v>Descargar</v>
      </c>
    </row>
    <row r="4481" spans="1:18" x14ac:dyDescent="0.3">
      <c r="A4481">
        <v>1472372</v>
      </c>
      <c r="B4481" t="s">
        <v>18</v>
      </c>
      <c r="C4481" t="s">
        <v>55</v>
      </c>
      <c r="D4481" t="s">
        <v>56</v>
      </c>
      <c r="E4481" t="s">
        <v>668</v>
      </c>
      <c r="F4481" t="s">
        <v>22</v>
      </c>
      <c r="G4481" t="s">
        <v>47</v>
      </c>
      <c r="H4481" t="s">
        <v>1763</v>
      </c>
      <c r="I4481" t="s">
        <v>25</v>
      </c>
      <c r="J4481" t="s">
        <v>3224</v>
      </c>
      <c r="K4481">
        <v>21</v>
      </c>
      <c r="L4481">
        <v>1</v>
      </c>
      <c r="M4481">
        <v>2025</v>
      </c>
      <c r="N4481" t="s">
        <v>27</v>
      </c>
      <c r="O4481">
        <v>50</v>
      </c>
      <c r="P4481">
        <v>50</v>
      </c>
      <c r="R4481" s="3" t="str">
        <f>HYPERLINK("https://panda.att.com.mx/ODKServer/view/binaryData?blobKey=FSSuministroFluidosv3%5B%40version%3Dnull+and+%40uiVersion%3Dnull%5D%2Fdata%5B%40key%3Duuid%3Ac176b3bb-9d39-46db-b1c7-f5604d0bfafe%5D%2FgroupInfoFuel%5B%40ordinal%3D1%5D%2FpicFuelRecibeInterno","Descargar")</f>
        <v>Descargar</v>
      </c>
    </row>
    <row r="4482" spans="1:18" x14ac:dyDescent="0.3">
      <c r="A4482">
        <v>1472292</v>
      </c>
      <c r="B4482" t="s">
        <v>18</v>
      </c>
      <c r="C4482" t="s">
        <v>28</v>
      </c>
      <c r="D4482" t="s">
        <v>1054</v>
      </c>
      <c r="E4482" t="s">
        <v>3225</v>
      </c>
      <c r="F4482" t="s">
        <v>22</v>
      </c>
      <c r="G4482" t="s">
        <v>23</v>
      </c>
      <c r="H4482" t="s">
        <v>24</v>
      </c>
      <c r="I4482" t="s">
        <v>25</v>
      </c>
      <c r="J4482" t="s">
        <v>3226</v>
      </c>
      <c r="K4482">
        <v>27</v>
      </c>
      <c r="L4482">
        <v>1</v>
      </c>
      <c r="M4482">
        <v>2025</v>
      </c>
      <c r="N4482" t="s">
        <v>27</v>
      </c>
      <c r="O4482">
        <v>250</v>
      </c>
      <c r="P4482">
        <v>250</v>
      </c>
      <c r="R4482" s="3" t="str">
        <f>HYPERLINK("https://panda.att.com.mx/ODKServer/view/binaryData?blobKey=FSSuministroFluidosv3%5B%40version%3Dnull+and+%40uiVersion%3Dnull%5D%2Fdata%5B%40key%3Duuid%3A58902dbe-1a44-42ca-ac0c-2b10a5cedadf%5D%2FgroupInfoFuel%5B%40ordinal%3D1%5D%2FpicFuelRecibeInterno","Descargar")</f>
        <v>Descargar</v>
      </c>
    </row>
    <row r="4483" spans="1:18" x14ac:dyDescent="0.3">
      <c r="A4483">
        <v>1472240</v>
      </c>
      <c r="B4483" t="s">
        <v>18</v>
      </c>
      <c r="C4483" t="s">
        <v>28</v>
      </c>
      <c r="D4483" t="s">
        <v>181</v>
      </c>
      <c r="E4483" t="s">
        <v>3173</v>
      </c>
      <c r="F4483" t="s">
        <v>22</v>
      </c>
      <c r="G4483" t="s">
        <v>23</v>
      </c>
      <c r="H4483" t="s">
        <v>24</v>
      </c>
      <c r="I4483" t="s">
        <v>25</v>
      </c>
      <c r="J4483" t="s">
        <v>3227</v>
      </c>
      <c r="K4483">
        <v>24</v>
      </c>
      <c r="L4483">
        <v>1</v>
      </c>
      <c r="M4483">
        <v>2025</v>
      </c>
      <c r="N4483" t="s">
        <v>44</v>
      </c>
      <c r="O4483">
        <v>40</v>
      </c>
      <c r="P4483">
        <v>40</v>
      </c>
      <c r="R4483" s="3" t="str">
        <f>HYPERLINK("https://panda.att.com.mx/ODKServer/view/binaryData?blobKey=FSSuministroFluidosv3%5B%40version%3Dnull+and+%40uiVersion%3Dnull%5D%2Fdata%5B%40key%3Duuid%3A5a1534d5-6bb0-4623-95a4-6ffb02751726%5D%2FgroupInfoFuel%5B%40ordinal%3D1%5D%2FpicFuelRecibeInterno","Descargar")</f>
        <v>Descargar</v>
      </c>
    </row>
    <row r="4484" spans="1:18" x14ac:dyDescent="0.3">
      <c r="A4484">
        <v>1472239</v>
      </c>
      <c r="B4484" t="s">
        <v>18</v>
      </c>
      <c r="C4484" t="s">
        <v>28</v>
      </c>
      <c r="D4484" t="s">
        <v>181</v>
      </c>
      <c r="E4484" t="s">
        <v>1574</v>
      </c>
      <c r="F4484" t="s">
        <v>22</v>
      </c>
      <c r="G4484" t="s">
        <v>47</v>
      </c>
      <c r="H4484" t="s">
        <v>24</v>
      </c>
      <c r="I4484" t="s">
        <v>25</v>
      </c>
      <c r="J4484" t="s">
        <v>3228</v>
      </c>
      <c r="K4484">
        <v>23</v>
      </c>
      <c r="L4484">
        <v>1</v>
      </c>
      <c r="M4484">
        <v>2025</v>
      </c>
      <c r="N4484" t="s">
        <v>27</v>
      </c>
      <c r="O4484">
        <v>400</v>
      </c>
      <c r="Q4484">
        <v>400</v>
      </c>
      <c r="R4484" s="3" t="str">
        <f>HYPERLINK("https://panda.att.com.mx/ODKServer/view/binaryData?blobKey=FSSuministroFluidosv3%5B%40version%3Dnull+and+%40uiVersion%3Dnull%5D%2Fdata%5B%40key%3Duuid%3A8d8cb5f7-780c-495e-8631-2b3996c8ae34%5D%2FgroupInfoFuel%5B%40ordinal%3D1%5D%2FpicFuelRecibeInterno","Descargar")</f>
        <v>Descargar</v>
      </c>
    </row>
    <row r="4485" spans="1:18" x14ac:dyDescent="0.3">
      <c r="A4485">
        <v>1472230</v>
      </c>
      <c r="B4485" t="s">
        <v>18</v>
      </c>
      <c r="C4485" t="s">
        <v>59</v>
      </c>
      <c r="D4485" t="s">
        <v>60</v>
      </c>
      <c r="E4485" t="s">
        <v>3229</v>
      </c>
      <c r="F4485" t="s">
        <v>22</v>
      </c>
      <c r="G4485" t="s">
        <v>23</v>
      </c>
      <c r="H4485" t="s">
        <v>37</v>
      </c>
      <c r="I4485" t="s">
        <v>25</v>
      </c>
      <c r="J4485" t="s">
        <v>3230</v>
      </c>
      <c r="K4485">
        <v>28</v>
      </c>
      <c r="L4485">
        <v>1</v>
      </c>
      <c r="M4485">
        <v>2025</v>
      </c>
      <c r="N4485" t="s">
        <v>27</v>
      </c>
      <c r="O4485">
        <v>248</v>
      </c>
      <c r="Q4485">
        <v>248</v>
      </c>
      <c r="R4485" s="3" t="str">
        <f>HYPERLINK("https://panda.att.com.mx/ODKServer/view/binaryData?blobKey=FSSuministroFluidosv3%5B%40version%3Dnull+and+%40uiVersion%3Dnull%5D%2Fdata%5B%40key%3Duuid%3A3c08b067-42e6-415d-9465-581b44f540ed%5D%2FgroupInfoFuel%5B%40ordinal%3D1%5D%2FpicFuelRecibeInterno","Descargar")</f>
        <v>Descargar</v>
      </c>
    </row>
    <row r="4486" spans="1:18" x14ac:dyDescent="0.3">
      <c r="A4486">
        <v>1472057</v>
      </c>
      <c r="B4486" t="s">
        <v>18</v>
      </c>
      <c r="C4486" t="s">
        <v>34</v>
      </c>
      <c r="D4486" t="s">
        <v>53</v>
      </c>
      <c r="E4486" t="s">
        <v>3109</v>
      </c>
      <c r="F4486" t="s">
        <v>22</v>
      </c>
      <c r="G4486" t="s">
        <v>23</v>
      </c>
      <c r="H4486" t="s">
        <v>37</v>
      </c>
      <c r="I4486" t="s">
        <v>25</v>
      </c>
      <c r="J4486" t="s">
        <v>3231</v>
      </c>
      <c r="K4486">
        <v>27</v>
      </c>
      <c r="L4486">
        <v>1</v>
      </c>
      <c r="M4486">
        <v>2025</v>
      </c>
      <c r="N4486" t="s">
        <v>27</v>
      </c>
      <c r="O4486">
        <v>300</v>
      </c>
      <c r="P4486">
        <v>300</v>
      </c>
      <c r="R4486" s="3" t="str">
        <f>HYPERLINK("https://panda.att.com.mx/ODKServer/view/binaryData?blobKey=FSSuministroFluidosv3%5B%40version%3Dnull+and+%40uiVersion%3Dnull%5D%2Fdata%5B%40key%3Duuid%3A91c78cdb-8afd-47fd-b6c0-fdee2da8365d%5D%2FgroupInfoFuel%5B%40ordinal%3D1%5D%2FpicFuelRecibeInterno","Descargar")</f>
        <v>Descargar</v>
      </c>
    </row>
    <row r="4487" spans="1:18" x14ac:dyDescent="0.3">
      <c r="A4487">
        <v>1472045</v>
      </c>
      <c r="B4487" t="s">
        <v>18</v>
      </c>
      <c r="C4487" t="s">
        <v>55</v>
      </c>
      <c r="D4487" t="s">
        <v>56</v>
      </c>
      <c r="E4487" t="s">
        <v>1555</v>
      </c>
      <c r="F4487" t="s">
        <v>22</v>
      </c>
      <c r="G4487" t="s">
        <v>47</v>
      </c>
      <c r="H4487" t="s">
        <v>1763</v>
      </c>
      <c r="I4487" t="s">
        <v>25</v>
      </c>
      <c r="J4487" t="s">
        <v>3232</v>
      </c>
      <c r="K4487">
        <v>28</v>
      </c>
      <c r="L4487">
        <v>1</v>
      </c>
      <c r="M4487">
        <v>2025</v>
      </c>
      <c r="N4487" t="s">
        <v>27</v>
      </c>
      <c r="O4487">
        <v>300</v>
      </c>
      <c r="P4487">
        <v>300</v>
      </c>
      <c r="R4487" s="3" t="str">
        <f>HYPERLINK("https://panda.att.com.mx/ODKServer/view/binaryData?blobKey=FSSuministroFluidosv3%5B%40version%3Dnull+and+%40uiVersion%3Dnull%5D%2Fdata%5B%40key%3Duuid%3Adc6d09c2-f5a2-4a59-81fe-82c818435449%5D%2FgroupInfoFuel%5B%40ordinal%3D1%5D%2FpicFuelRecibeInterno","Descargar")</f>
        <v>Descargar</v>
      </c>
    </row>
    <row r="4488" spans="1:18" x14ac:dyDescent="0.3">
      <c r="A4488">
        <v>1471949</v>
      </c>
      <c r="B4488" t="s">
        <v>18</v>
      </c>
      <c r="C4488" t="s">
        <v>19</v>
      </c>
      <c r="D4488" t="s">
        <v>45</v>
      </c>
      <c r="E4488" t="s">
        <v>3233</v>
      </c>
      <c r="F4488" t="s">
        <v>22</v>
      </c>
      <c r="G4488" t="s">
        <v>23</v>
      </c>
      <c r="H4488" t="s">
        <v>24</v>
      </c>
      <c r="I4488" t="s">
        <v>25</v>
      </c>
      <c r="J4488" t="s">
        <v>3234</v>
      </c>
      <c r="K4488">
        <v>28</v>
      </c>
      <c r="L4488">
        <v>1</v>
      </c>
      <c r="M4488">
        <v>2025</v>
      </c>
      <c r="N4488" t="s">
        <v>27</v>
      </c>
      <c r="O4488">
        <v>300</v>
      </c>
      <c r="P4488">
        <v>300</v>
      </c>
      <c r="R4488" s="3" t="str">
        <f>HYPERLINK("https://panda.att.com.mx/ODKServer/view/binaryData?blobKey=FSSuministroFluidosv3%5B%40version%3Dnull+and+%40uiVersion%3Dnull%5D%2Fdata%5B%40key%3Duuid%3Abca728f2-af09-47ef-8064-cc377dd925c2%5D%2FgroupInfoFuel%5B%40ordinal%3D1%5D%2FpicFuelRecibeInterno","Descargar")</f>
        <v>Descargar</v>
      </c>
    </row>
    <row r="4489" spans="1:18" x14ac:dyDescent="0.3">
      <c r="A4489">
        <v>1471916</v>
      </c>
      <c r="B4489" t="s">
        <v>18</v>
      </c>
      <c r="C4489" t="s">
        <v>100</v>
      </c>
      <c r="D4489" t="s">
        <v>716</v>
      </c>
      <c r="E4489" t="s">
        <v>3235</v>
      </c>
      <c r="F4489" t="s">
        <v>22</v>
      </c>
      <c r="G4489" t="s">
        <v>23</v>
      </c>
      <c r="H4489" t="s">
        <v>1781</v>
      </c>
      <c r="I4489" t="s">
        <v>25</v>
      </c>
      <c r="J4489" t="s">
        <v>3236</v>
      </c>
      <c r="K4489">
        <v>28</v>
      </c>
      <c r="L4489">
        <v>1</v>
      </c>
      <c r="M4489">
        <v>2025</v>
      </c>
      <c r="N4489" t="s">
        <v>27</v>
      </c>
      <c r="O4489">
        <v>71</v>
      </c>
      <c r="P4489">
        <v>71</v>
      </c>
      <c r="R4489" s="3" t="str">
        <f>HYPERLINK("https://panda.att.com.mx/ODKServer/view/binaryData?blobKey=FSSuministroFluidosv3%5B%40version%3Dnull+and+%40uiVersion%3Dnull%5D%2Fdata%5B%40key%3Duuid%3Ae2966401-70a0-4409-ac34-98334528ccbd%5D%2FgroupInfoFuel%5B%40ordinal%3D1%5D%2FpicFuelRecibeInterno","Descargar")</f>
        <v>Descargar</v>
      </c>
    </row>
    <row r="4490" spans="1:18" x14ac:dyDescent="0.3">
      <c r="A4490">
        <v>1471885</v>
      </c>
      <c r="B4490" t="s">
        <v>18</v>
      </c>
      <c r="C4490" t="s">
        <v>59</v>
      </c>
      <c r="D4490" t="s">
        <v>60</v>
      </c>
      <c r="E4490" t="s">
        <v>2207</v>
      </c>
      <c r="F4490" t="s">
        <v>22</v>
      </c>
      <c r="G4490" t="s">
        <v>23</v>
      </c>
      <c r="H4490" t="s">
        <v>37</v>
      </c>
      <c r="I4490" t="s">
        <v>25</v>
      </c>
      <c r="J4490" t="s">
        <v>3237</v>
      </c>
      <c r="K4490">
        <v>27</v>
      </c>
      <c r="L4490">
        <v>1</v>
      </c>
      <c r="M4490">
        <v>2025</v>
      </c>
      <c r="N4490" t="s">
        <v>27</v>
      </c>
      <c r="O4490">
        <v>130</v>
      </c>
      <c r="P4490">
        <v>130</v>
      </c>
      <c r="R4490" s="3" t="str">
        <f>HYPERLINK("https://panda.att.com.mx/ODKServer/view/binaryData?blobKey=FSSuministroFluidosv3%5B%40version%3Dnull+and+%40uiVersion%3Dnull%5D%2Fdata%5B%40key%3Duuid%3A17d0a08e-fced-4045-b08d-b898ae2e7233%5D%2FgroupInfoFuel%5B%40ordinal%3D1%5D%2FpicFuelRecibeInterno","Descargar")</f>
        <v>Descargar</v>
      </c>
    </row>
    <row r="4491" spans="1:18" x14ac:dyDescent="0.3">
      <c r="A4491">
        <v>1471863</v>
      </c>
      <c r="B4491" t="s">
        <v>18</v>
      </c>
      <c r="C4491" t="s">
        <v>55</v>
      </c>
      <c r="D4491" t="s">
        <v>89</v>
      </c>
      <c r="E4491" t="s">
        <v>1538</v>
      </c>
      <c r="F4491" t="s">
        <v>22</v>
      </c>
      <c r="G4491" t="s">
        <v>47</v>
      </c>
      <c r="H4491" t="s">
        <v>1763</v>
      </c>
      <c r="I4491" t="s">
        <v>25</v>
      </c>
      <c r="J4491" t="s">
        <v>3238</v>
      </c>
      <c r="K4491">
        <v>18</v>
      </c>
      <c r="L4491">
        <v>1</v>
      </c>
      <c r="M4491">
        <v>2025</v>
      </c>
      <c r="N4491" t="s">
        <v>27</v>
      </c>
      <c r="O4491">
        <v>200</v>
      </c>
      <c r="P4491">
        <v>200</v>
      </c>
      <c r="R4491" s="3" t="str">
        <f>HYPERLINK("https://panda.att.com.mx/ODKServer/view/binaryData?blobKey=FSSuministroFluidosv3%5B%40version%3Dnull+and+%40uiVersion%3Dnull%5D%2Fdata%5B%40key%3Duuid%3A65f5ece6-05c3-494c-b466-83746fbab745%5D%2FgroupInfoFuel%5B%40ordinal%3D1%5D%2FpicFuelRecibeInterno","Descargar")</f>
        <v>Descargar</v>
      </c>
    </row>
    <row r="4492" spans="1:18" x14ac:dyDescent="0.3">
      <c r="A4492">
        <v>1471862</v>
      </c>
      <c r="B4492" t="s">
        <v>18</v>
      </c>
      <c r="C4492" t="s">
        <v>55</v>
      </c>
      <c r="D4492" t="s">
        <v>89</v>
      </c>
      <c r="E4492" t="s">
        <v>885</v>
      </c>
      <c r="F4492" t="s">
        <v>22</v>
      </c>
      <c r="G4492" t="s">
        <v>47</v>
      </c>
      <c r="H4492" t="s">
        <v>1763</v>
      </c>
      <c r="I4492" t="s">
        <v>25</v>
      </c>
      <c r="J4492" t="s">
        <v>3239</v>
      </c>
      <c r="K4492">
        <v>18</v>
      </c>
      <c r="L4492">
        <v>1</v>
      </c>
      <c r="M4492">
        <v>2025</v>
      </c>
      <c r="N4492" t="s">
        <v>27</v>
      </c>
      <c r="O4492">
        <v>200</v>
      </c>
      <c r="P4492">
        <v>200</v>
      </c>
      <c r="R4492" s="3" t="str">
        <f>HYPERLINK("https://panda.att.com.mx/ODKServer/view/binaryData?blobKey=FSSuministroFluidosv3%5B%40version%3Dnull+and+%40uiVersion%3Dnull%5D%2Fdata%5B%40key%3Duuid%3A81c9ba2d-167c-4fca-b662-1d249a04fa2b%5D%2FgroupInfoFuel%5B%40ordinal%3D1%5D%2FpicFuelRecibeInterno","Descargar")</f>
        <v>Descargar</v>
      </c>
    </row>
    <row r="4493" spans="1:18" x14ac:dyDescent="0.3">
      <c r="A4493">
        <v>1471861</v>
      </c>
      <c r="B4493" t="s">
        <v>18</v>
      </c>
      <c r="C4493" t="s">
        <v>55</v>
      </c>
      <c r="D4493" t="s">
        <v>89</v>
      </c>
      <c r="E4493" t="s">
        <v>90</v>
      </c>
      <c r="F4493" t="s">
        <v>22</v>
      </c>
      <c r="G4493" t="s">
        <v>47</v>
      </c>
      <c r="H4493" t="s">
        <v>1763</v>
      </c>
      <c r="I4493" t="s">
        <v>25</v>
      </c>
      <c r="J4493" t="s">
        <v>3240</v>
      </c>
      <c r="K4493">
        <v>20</v>
      </c>
      <c r="L4493">
        <v>1</v>
      </c>
      <c r="M4493">
        <v>2025</v>
      </c>
      <c r="N4493" t="s">
        <v>27</v>
      </c>
      <c r="O4493">
        <v>250</v>
      </c>
      <c r="P4493">
        <v>250</v>
      </c>
      <c r="R4493" s="3" t="str">
        <f>HYPERLINK("https://panda.att.com.mx/ODKServer/view/binaryData?blobKey=FSSuministroFluidosv3%5B%40version%3Dnull+and+%40uiVersion%3Dnull%5D%2Fdata%5B%40key%3Duuid%3A41671008-e480-4749-9650-99f18c19873d%5D%2FgroupInfoFuel%5B%40ordinal%3D1%5D%2FpicFuelRecibeInterno","Descargar")</f>
        <v>Descargar</v>
      </c>
    </row>
    <row r="4494" spans="1:18" x14ac:dyDescent="0.3">
      <c r="A4494">
        <v>1471820</v>
      </c>
      <c r="B4494" t="s">
        <v>18</v>
      </c>
      <c r="C4494" t="s">
        <v>19</v>
      </c>
      <c r="D4494" t="s">
        <v>175</v>
      </c>
      <c r="E4494" t="s">
        <v>263</v>
      </c>
      <c r="F4494" t="s">
        <v>22</v>
      </c>
      <c r="G4494" t="s">
        <v>23</v>
      </c>
      <c r="H4494" t="s">
        <v>24</v>
      </c>
      <c r="I4494" t="s">
        <v>25</v>
      </c>
      <c r="J4494" t="s">
        <v>3241</v>
      </c>
      <c r="K4494">
        <v>27</v>
      </c>
      <c r="L4494">
        <v>1</v>
      </c>
      <c r="M4494">
        <v>2025</v>
      </c>
      <c r="N4494" t="s">
        <v>44</v>
      </c>
      <c r="O4494">
        <v>40</v>
      </c>
      <c r="Q4494">
        <v>40</v>
      </c>
      <c r="R4494" s="3" t="str">
        <f>HYPERLINK("https://panda.att.com.mx/ODKServer/view/binaryData?blobKey=FSSuministroFluidosv3%5B%40version%3Dnull+and+%40uiVersion%3Dnull%5D%2Fdata%5B%40key%3Duuid%3A4c410d57-4868-4de9-b05e-54b40ffff281%5D%2FgroupInfoFuel%5B%40ordinal%3D1%5D%2FpicFuelRecibeInterno","Descargar")</f>
        <v>Descargar</v>
      </c>
    </row>
    <row r="4495" spans="1:18" x14ac:dyDescent="0.3">
      <c r="A4495">
        <v>1471747</v>
      </c>
      <c r="B4495" t="s">
        <v>18</v>
      </c>
      <c r="C4495" t="s">
        <v>100</v>
      </c>
      <c r="D4495" t="s">
        <v>716</v>
      </c>
      <c r="E4495" t="s">
        <v>717</v>
      </c>
      <c r="F4495" t="s">
        <v>22</v>
      </c>
      <c r="G4495" t="s">
        <v>83</v>
      </c>
      <c r="H4495" t="s">
        <v>1781</v>
      </c>
      <c r="I4495" t="s">
        <v>25</v>
      </c>
      <c r="J4495" t="s">
        <v>3242</v>
      </c>
      <c r="K4495">
        <v>28</v>
      </c>
      <c r="L4495">
        <v>1</v>
      </c>
      <c r="M4495">
        <v>2025</v>
      </c>
      <c r="N4495" t="s">
        <v>27</v>
      </c>
      <c r="O4495">
        <v>145</v>
      </c>
      <c r="P4495">
        <v>145</v>
      </c>
      <c r="R4495" s="3" t="str">
        <f>HYPERLINK("https://panda.att.com.mx/ODKServer/view/binaryData?blobKey=FSSuministroFluidosv3%5B%40version%3Dnull+and+%40uiVersion%3Dnull%5D%2Fdata%5B%40key%3Duuid%3A783e8d05-9466-47ed-98c8-c8cf2ede790f%5D%2FgroupInfoFuel%5B%40ordinal%3D1%5D%2FpicFuelRecibeInterno","Descargar")</f>
        <v>Descargar</v>
      </c>
    </row>
    <row r="4496" spans="1:18" x14ac:dyDescent="0.3">
      <c r="A4496">
        <v>1471683</v>
      </c>
      <c r="B4496" t="s">
        <v>18</v>
      </c>
      <c r="C4496" t="s">
        <v>150</v>
      </c>
      <c r="D4496" t="s">
        <v>230</v>
      </c>
      <c r="E4496" t="s">
        <v>3243</v>
      </c>
      <c r="F4496" t="s">
        <v>22</v>
      </c>
      <c r="G4496" t="s">
        <v>47</v>
      </c>
      <c r="H4496" t="s">
        <v>1781</v>
      </c>
      <c r="I4496" t="s">
        <v>25</v>
      </c>
      <c r="J4496" t="s">
        <v>3244</v>
      </c>
      <c r="K4496">
        <v>28</v>
      </c>
      <c r="L4496">
        <v>1</v>
      </c>
      <c r="M4496">
        <v>2025</v>
      </c>
      <c r="N4496" t="s">
        <v>27</v>
      </c>
      <c r="O4496">
        <v>150.01</v>
      </c>
      <c r="P4496">
        <v>150.01</v>
      </c>
      <c r="R4496" s="3" t="str">
        <f>HYPERLINK("https://panda.att.com.mx/ODKServer/view/binaryData?blobKey=FSSuministroFluidosv3%5B%40version%3Dnull+and+%40uiVersion%3Dnull%5D%2Fdata%5B%40key%3Duuid%3A3eb5f8ed-685a-4a92-a40f-492a20df2b70%5D%2FgroupInfoFuel%5B%40ordinal%3D1%5D%2FpicFuelRecibeInterno","Descargar")</f>
        <v>Descargar</v>
      </c>
    </row>
    <row r="4497" spans="1:18" x14ac:dyDescent="0.3">
      <c r="A4497">
        <v>1471613</v>
      </c>
      <c r="B4497" t="s">
        <v>18</v>
      </c>
      <c r="C4497" t="s">
        <v>28</v>
      </c>
      <c r="D4497" t="s">
        <v>181</v>
      </c>
      <c r="E4497" t="s">
        <v>2989</v>
      </c>
      <c r="F4497" t="s">
        <v>22</v>
      </c>
      <c r="G4497" t="s">
        <v>23</v>
      </c>
      <c r="H4497" t="s">
        <v>24</v>
      </c>
      <c r="I4497" t="s">
        <v>25</v>
      </c>
      <c r="J4497" t="s">
        <v>3245</v>
      </c>
      <c r="K4497">
        <v>26</v>
      </c>
      <c r="L4497">
        <v>1</v>
      </c>
      <c r="M4497">
        <v>2025</v>
      </c>
      <c r="N4497" t="s">
        <v>27</v>
      </c>
      <c r="O4497">
        <v>100</v>
      </c>
      <c r="P4497">
        <v>100</v>
      </c>
      <c r="R4497" s="3" t="str">
        <f>HYPERLINK("https://panda.att.com.mx/ODKServer/view/binaryData?blobKey=FSSuministroFluidosv3%5B%40version%3Dnull+and+%40uiVersion%3Dnull%5D%2Fdata%5B%40key%3Duuid%3Ae734d5ab-61ed-4504-a074-7d464f5fa733%5D%2FgroupInfoFuel%5B%40ordinal%3D1%5D%2FpicFuelRecibeInterno","Descargar")</f>
        <v>Descargar</v>
      </c>
    </row>
    <row r="4498" spans="1:18" x14ac:dyDescent="0.3">
      <c r="A4498">
        <v>1471612</v>
      </c>
      <c r="B4498" t="s">
        <v>18</v>
      </c>
      <c r="C4498" t="s">
        <v>28</v>
      </c>
      <c r="D4498" t="s">
        <v>513</v>
      </c>
      <c r="E4498" t="s">
        <v>3246</v>
      </c>
      <c r="F4498" t="s">
        <v>22</v>
      </c>
      <c r="G4498" t="s">
        <v>23</v>
      </c>
      <c r="H4498" t="s">
        <v>24</v>
      </c>
      <c r="I4498" t="s">
        <v>25</v>
      </c>
      <c r="J4498" t="s">
        <v>3247</v>
      </c>
      <c r="K4498">
        <v>27</v>
      </c>
      <c r="L4498">
        <v>1</v>
      </c>
      <c r="M4498">
        <v>2025</v>
      </c>
      <c r="N4498" t="s">
        <v>27</v>
      </c>
      <c r="O4498">
        <v>250</v>
      </c>
      <c r="Q4498">
        <v>250</v>
      </c>
      <c r="R4498" s="3" t="str">
        <f>HYPERLINK("https://panda.att.com.mx/ODKServer/view/binaryData?blobKey=FSSuministroFluidosv3%5B%40version%3Dnull+and+%40uiVersion%3Dnull%5D%2Fdata%5B%40key%3Duuid%3A47eb0dae-e5c6-45ae-bbdf-6927a8d6d622%5D%2FgroupInfoFuel%5B%40ordinal%3D1%5D%2FpicFuelRecibeInterno","Descargar")</f>
        <v>Descargar</v>
      </c>
    </row>
    <row r="4499" spans="1:18" x14ac:dyDescent="0.3">
      <c r="A4499">
        <v>1471580</v>
      </c>
      <c r="B4499" t="s">
        <v>18</v>
      </c>
      <c r="C4499" t="s">
        <v>19</v>
      </c>
      <c r="D4499" t="s">
        <v>189</v>
      </c>
      <c r="E4499" t="s">
        <v>3050</v>
      </c>
      <c r="F4499" t="s">
        <v>22</v>
      </c>
      <c r="G4499" t="s">
        <v>23</v>
      </c>
      <c r="H4499" t="s">
        <v>24</v>
      </c>
      <c r="I4499" t="s">
        <v>25</v>
      </c>
      <c r="J4499" t="s">
        <v>3248</v>
      </c>
      <c r="K4499">
        <v>27</v>
      </c>
      <c r="L4499">
        <v>1</v>
      </c>
      <c r="M4499">
        <v>2025</v>
      </c>
      <c r="N4499" t="s">
        <v>27</v>
      </c>
      <c r="O4499">
        <v>200</v>
      </c>
      <c r="P4499">
        <v>200</v>
      </c>
      <c r="R4499" s="3" t="str">
        <f>HYPERLINK("https://panda.att.com.mx/ODKServer/view/binaryData?blobKey=FSSuministroFluidosv3%5B%40version%3Dnull+and+%40uiVersion%3Dnull%5D%2Fdata%5B%40key%3Duuid%3A7bbec240-9dd2-4b4f-b33b-dedfc4cedc6f%5D%2FgroupInfoFuel%5B%40ordinal%3D1%5D%2FpicFuelRecibeInterno","Descargar")</f>
        <v>Descargar</v>
      </c>
    </row>
    <row r="4500" spans="1:18" x14ac:dyDescent="0.3">
      <c r="A4500">
        <v>1470850</v>
      </c>
      <c r="B4500" t="s">
        <v>18</v>
      </c>
      <c r="C4500" t="s">
        <v>19</v>
      </c>
      <c r="D4500" t="s">
        <v>189</v>
      </c>
      <c r="E4500" t="s">
        <v>3050</v>
      </c>
      <c r="F4500" t="s">
        <v>22</v>
      </c>
      <c r="G4500" t="s">
        <v>23</v>
      </c>
      <c r="H4500" t="s">
        <v>24</v>
      </c>
      <c r="I4500" t="s">
        <v>25</v>
      </c>
      <c r="J4500" t="s">
        <v>3249</v>
      </c>
      <c r="K4500">
        <v>25</v>
      </c>
      <c r="L4500">
        <v>1</v>
      </c>
      <c r="M4500">
        <v>2025</v>
      </c>
      <c r="N4500" t="s">
        <v>27</v>
      </c>
      <c r="O4500">
        <v>230</v>
      </c>
      <c r="P4500">
        <v>230</v>
      </c>
      <c r="R4500" s="3" t="str">
        <f>HYPERLINK("https://panda.att.com.mx/ODKServer/view/binaryData?blobKey=FSSuministroFluidosv3%5B%40version%3Dnull+and+%40uiVersion%3Dnull%5D%2Fdata%5B%40key%3Duuid%3A6fa84b97-4907-4b94-9e75-3b0a46e4bef9%5D%2FgroupInfoFuel%5B%40ordinal%3D1%5D%2FpicFuelRecibeInterno","Descargar")</f>
        <v>Descargar</v>
      </c>
    </row>
    <row r="4501" spans="1:18" x14ac:dyDescent="0.3">
      <c r="A4501">
        <v>1470849</v>
      </c>
      <c r="B4501" t="s">
        <v>18</v>
      </c>
      <c r="C4501" t="s">
        <v>19</v>
      </c>
      <c r="D4501" t="s">
        <v>189</v>
      </c>
      <c r="E4501" t="s">
        <v>3050</v>
      </c>
      <c r="F4501" t="s">
        <v>22</v>
      </c>
      <c r="G4501" t="s">
        <v>23</v>
      </c>
      <c r="H4501" t="s">
        <v>24</v>
      </c>
      <c r="I4501" t="s">
        <v>25</v>
      </c>
      <c r="J4501" t="s">
        <v>3250</v>
      </c>
      <c r="K4501">
        <v>23</v>
      </c>
      <c r="L4501">
        <v>1</v>
      </c>
      <c r="M4501">
        <v>2025</v>
      </c>
      <c r="N4501" t="s">
        <v>27</v>
      </c>
      <c r="O4501">
        <v>250</v>
      </c>
      <c r="P4501">
        <v>250</v>
      </c>
      <c r="R4501" s="3" t="str">
        <f>HYPERLINK("https://panda.att.com.mx/ODKServer/view/binaryData?blobKey=FSSuministroFluidosv3%5B%40version%3Dnull+and+%40uiVersion%3Dnull%5D%2Fdata%5B%40key%3Duuid%3Aa89c8395-705b-4409-a35f-18e38967e2b8%5D%2FgroupInfoFuel%5B%40ordinal%3D1%5D%2FpicFuelRecibeInterno","Descargar")</f>
        <v>Descargar</v>
      </c>
    </row>
    <row r="4502" spans="1:18" x14ac:dyDescent="0.3">
      <c r="A4502">
        <v>1470844</v>
      </c>
      <c r="B4502" t="s">
        <v>18</v>
      </c>
      <c r="C4502" t="s">
        <v>100</v>
      </c>
      <c r="D4502" t="s">
        <v>716</v>
      </c>
      <c r="E4502" t="s">
        <v>717</v>
      </c>
      <c r="F4502" t="s">
        <v>22</v>
      </c>
      <c r="G4502" t="s">
        <v>83</v>
      </c>
      <c r="H4502" t="s">
        <v>1781</v>
      </c>
      <c r="I4502" t="s">
        <v>25</v>
      </c>
      <c r="J4502" t="s">
        <v>3251</v>
      </c>
      <c r="K4502">
        <v>26</v>
      </c>
      <c r="L4502">
        <v>1</v>
      </c>
      <c r="M4502">
        <v>2025</v>
      </c>
      <c r="N4502" t="s">
        <v>27</v>
      </c>
      <c r="O4502">
        <v>120</v>
      </c>
      <c r="P4502">
        <v>120</v>
      </c>
      <c r="R4502" s="3" t="str">
        <f>HYPERLINK("https://panda.att.com.mx/ODKServer/view/binaryData?blobKey=FSSuministroFluidosv3%5B%40version%3Dnull+and+%40uiVersion%3Dnull%5D%2Fdata%5B%40key%3Duuid%3Aea575d82-5c91-4b30-b71f-1fcfb05619a3%5D%2FgroupInfoFuel%5B%40ordinal%3D1%5D%2FpicFuelRecibeInterno","Descargar")</f>
        <v>Descargar</v>
      </c>
    </row>
    <row r="4503" spans="1:18" x14ac:dyDescent="0.3">
      <c r="A4503">
        <v>1470827</v>
      </c>
      <c r="B4503" t="s">
        <v>18</v>
      </c>
      <c r="C4503" t="s">
        <v>68</v>
      </c>
      <c r="D4503" t="s">
        <v>116</v>
      </c>
      <c r="E4503" t="s">
        <v>3252</v>
      </c>
      <c r="F4503" t="s">
        <v>22</v>
      </c>
      <c r="G4503" t="s">
        <v>23</v>
      </c>
      <c r="H4503" t="s">
        <v>37</v>
      </c>
      <c r="I4503" t="s">
        <v>25</v>
      </c>
      <c r="J4503" t="s">
        <v>3253</v>
      </c>
      <c r="K4503">
        <v>26</v>
      </c>
      <c r="L4503">
        <v>1</v>
      </c>
      <c r="M4503">
        <v>2025</v>
      </c>
      <c r="N4503" t="s">
        <v>44</v>
      </c>
      <c r="O4503">
        <v>50</v>
      </c>
      <c r="P4503">
        <v>50</v>
      </c>
      <c r="R4503" s="3" t="str">
        <f>HYPERLINK("https://panda.att.com.mx/ODKServer/view/binaryData?blobKey=FSSuministroFluidosv3%5B%40version%3Dnull+and+%40uiVersion%3Dnull%5D%2Fdata%5B%40key%3Duuid%3A0ca1ed83-a451-4736-acf2-87b251839694%5D%2FgroupInfoFuel%5B%40ordinal%3D1%5D%2FpicFuelRecibeInterno","Descargar")</f>
        <v>Descargar</v>
      </c>
    </row>
    <row r="4504" spans="1:18" x14ac:dyDescent="0.3">
      <c r="A4504">
        <v>1470802</v>
      </c>
      <c r="B4504" t="s">
        <v>18</v>
      </c>
      <c r="C4504" t="s">
        <v>55</v>
      </c>
      <c r="D4504" t="s">
        <v>64</v>
      </c>
      <c r="E4504" t="s">
        <v>1392</v>
      </c>
      <c r="F4504" t="s">
        <v>22</v>
      </c>
      <c r="G4504" t="s">
        <v>47</v>
      </c>
      <c r="H4504" t="s">
        <v>1763</v>
      </c>
      <c r="I4504" t="s">
        <v>25</v>
      </c>
      <c r="J4504" t="s">
        <v>3254</v>
      </c>
      <c r="K4504">
        <v>26</v>
      </c>
      <c r="L4504">
        <v>1</v>
      </c>
      <c r="M4504">
        <v>2025</v>
      </c>
      <c r="N4504" t="s">
        <v>27</v>
      </c>
      <c r="O4504">
        <v>150</v>
      </c>
      <c r="P4504">
        <v>150</v>
      </c>
      <c r="R4504" s="3" t="str">
        <f>HYPERLINK("https://panda.att.com.mx/ODKServer/view/binaryData?blobKey=FSSuministroFluidosv3%5B%40version%3Dnull+and+%40uiVersion%3Dnull%5D%2Fdata%5B%40key%3Duuid%3Af866d499-8410-4ec4-acea-53b5ce73fe80%5D%2FgroupInfoFuel%5B%40ordinal%3D1%5D%2FpicFuelRecibeInterno","Descargar")</f>
        <v>Descargar</v>
      </c>
    </row>
    <row r="4505" spans="1:18" x14ac:dyDescent="0.3">
      <c r="A4505">
        <v>1470769</v>
      </c>
      <c r="B4505" t="s">
        <v>18</v>
      </c>
      <c r="C4505" t="s">
        <v>100</v>
      </c>
      <c r="D4505" t="s">
        <v>854</v>
      </c>
      <c r="E4505" t="s">
        <v>993</v>
      </c>
      <c r="F4505" t="s">
        <v>22</v>
      </c>
      <c r="G4505" t="s">
        <v>83</v>
      </c>
      <c r="H4505" t="s">
        <v>1781</v>
      </c>
      <c r="I4505" t="s">
        <v>25</v>
      </c>
      <c r="J4505" t="s">
        <v>3255</v>
      </c>
      <c r="K4505">
        <v>26</v>
      </c>
      <c r="L4505">
        <v>1</v>
      </c>
      <c r="M4505">
        <v>2025</v>
      </c>
      <c r="N4505" t="s">
        <v>27</v>
      </c>
      <c r="O4505">
        <v>220</v>
      </c>
      <c r="P4505">
        <v>220</v>
      </c>
      <c r="R4505" s="3" t="str">
        <f>HYPERLINK("https://panda.att.com.mx/ODKServer/view/binaryData?blobKey=FSSuministroFluidosv3%5B%40version%3Dnull+and+%40uiVersion%3Dnull%5D%2Fdata%5B%40key%3Duuid%3Aa693417a-2c07-4ffb-90c7-00b94776fbea%5D%2FgroupInfoFuel%5B%40ordinal%3D1%5D%2FpicFuelRecibeInterno","Descargar")</f>
        <v>Descargar</v>
      </c>
    </row>
    <row r="4506" spans="1:18" x14ac:dyDescent="0.3">
      <c r="A4506">
        <v>1470759</v>
      </c>
      <c r="B4506" t="s">
        <v>18</v>
      </c>
      <c r="C4506" t="s">
        <v>150</v>
      </c>
      <c r="D4506" t="s">
        <v>230</v>
      </c>
      <c r="E4506" t="s">
        <v>1510</v>
      </c>
      <c r="F4506" t="s">
        <v>22</v>
      </c>
      <c r="G4506" t="s">
        <v>47</v>
      </c>
      <c r="H4506" t="s">
        <v>1781</v>
      </c>
      <c r="I4506" t="s">
        <v>25</v>
      </c>
      <c r="J4506" t="s">
        <v>3256</v>
      </c>
      <c r="K4506">
        <v>26</v>
      </c>
      <c r="L4506">
        <v>1</v>
      </c>
      <c r="M4506">
        <v>2025</v>
      </c>
      <c r="N4506" t="s">
        <v>27</v>
      </c>
      <c r="O4506">
        <v>300.02</v>
      </c>
      <c r="P4506">
        <v>300.02</v>
      </c>
      <c r="R4506" s="3" t="str">
        <f>HYPERLINK("https://panda.att.com.mx/ODKServer/view/binaryData?blobKey=FSSuministroFluidosv3%5B%40version%3Dnull+and+%40uiVersion%3Dnull%5D%2Fdata%5B%40key%3Duuid%3A4fc0858a-5f76-44e3-903c-77b0e1e485f6%5D%2FgroupInfoFuel%5B%40ordinal%3D1%5D%2FpicFuelRecibeInterno","Descargar")</f>
        <v>Descargar</v>
      </c>
    </row>
    <row r="4507" spans="1:18" x14ac:dyDescent="0.3">
      <c r="A4507">
        <v>1470712</v>
      </c>
      <c r="B4507" t="s">
        <v>18</v>
      </c>
      <c r="C4507" t="s">
        <v>68</v>
      </c>
      <c r="D4507" t="s">
        <v>78</v>
      </c>
      <c r="E4507" t="s">
        <v>2997</v>
      </c>
      <c r="F4507" t="s">
        <v>22</v>
      </c>
      <c r="G4507" t="s">
        <v>23</v>
      </c>
      <c r="H4507" t="s">
        <v>37</v>
      </c>
      <c r="I4507" t="s">
        <v>25</v>
      </c>
      <c r="J4507" t="s">
        <v>3257</v>
      </c>
      <c r="K4507">
        <v>25</v>
      </c>
      <c r="L4507">
        <v>1</v>
      </c>
      <c r="M4507">
        <v>2025</v>
      </c>
      <c r="N4507" t="s">
        <v>27</v>
      </c>
      <c r="O4507">
        <v>80</v>
      </c>
      <c r="Q4507">
        <v>80</v>
      </c>
      <c r="R4507" s="3" t="str">
        <f>HYPERLINK("https://panda.att.com.mx/ODKServer/view/binaryData?blobKey=FSSuministroFluidosv3%5B%40version%3Dnull+and+%40uiVersion%3Dnull%5D%2Fdata%5B%40key%3Duuid%3A45336568-c1b9-4181-be78-915e378b3e28%5D%2FgroupInfoFuel%5B%40ordinal%3D1%5D%2FpicFuelRecibeInterno","Descargar")</f>
        <v>Descargar</v>
      </c>
    </row>
    <row r="4508" spans="1:18" x14ac:dyDescent="0.3">
      <c r="A4508">
        <v>1470702</v>
      </c>
      <c r="B4508" t="s">
        <v>18</v>
      </c>
      <c r="C4508" t="s">
        <v>19</v>
      </c>
      <c r="D4508" t="s">
        <v>156</v>
      </c>
      <c r="E4508" t="s">
        <v>2145</v>
      </c>
      <c r="F4508" t="s">
        <v>22</v>
      </c>
      <c r="G4508" t="s">
        <v>23</v>
      </c>
      <c r="H4508" t="s">
        <v>24</v>
      </c>
      <c r="I4508" t="s">
        <v>25</v>
      </c>
      <c r="J4508" t="s">
        <v>3258</v>
      </c>
      <c r="K4508">
        <v>25</v>
      </c>
      <c r="L4508">
        <v>1</v>
      </c>
      <c r="M4508">
        <v>2025</v>
      </c>
      <c r="N4508" t="s">
        <v>44</v>
      </c>
      <c r="O4508">
        <v>55</v>
      </c>
      <c r="P4508">
        <v>55</v>
      </c>
      <c r="R4508" s="3" t="str">
        <f>HYPERLINK("https://panda.att.com.mx/ODKServer/view/binaryData?blobKey=FSSuministroFluidosv3%5B%40version%3Dnull+and+%40uiVersion%3Dnull%5D%2Fdata%5B%40key%3Duuid%3A6870eb5b-107d-4f74-aa25-fb8d7761b3fa%5D%2FgroupInfoFuel%5B%40ordinal%3D1%5D%2FpicFuelRecibeInterno","Descargar")</f>
        <v>Descargar</v>
      </c>
    </row>
    <row r="4509" spans="1:18" x14ac:dyDescent="0.3">
      <c r="A4509">
        <v>1470698</v>
      </c>
      <c r="B4509" t="s">
        <v>18</v>
      </c>
      <c r="C4509" t="s">
        <v>100</v>
      </c>
      <c r="D4509" t="s">
        <v>716</v>
      </c>
      <c r="E4509" t="s">
        <v>717</v>
      </c>
      <c r="F4509" t="s">
        <v>22</v>
      </c>
      <c r="G4509" t="s">
        <v>83</v>
      </c>
      <c r="H4509" t="s">
        <v>1781</v>
      </c>
      <c r="I4509" t="s">
        <v>25</v>
      </c>
      <c r="J4509" t="s">
        <v>3259</v>
      </c>
      <c r="K4509">
        <v>25</v>
      </c>
      <c r="L4509">
        <v>1</v>
      </c>
      <c r="M4509">
        <v>2025</v>
      </c>
      <c r="N4509" t="s">
        <v>27</v>
      </c>
      <c r="O4509">
        <v>100</v>
      </c>
      <c r="P4509">
        <v>100</v>
      </c>
      <c r="R4509" s="3" t="str">
        <f>HYPERLINK("https://panda.att.com.mx/ODKServer/view/binaryData?blobKey=FSSuministroFluidosv3%5B%40version%3Dnull+and+%40uiVersion%3Dnull%5D%2Fdata%5B%40key%3Duuid%3A547caf34-b67c-471f-b791-18d6b1d0a811%5D%2FgroupInfoFuel%5B%40ordinal%3D1%5D%2FpicFuelRecibeInterno","Descargar")</f>
        <v>Descargar</v>
      </c>
    </row>
    <row r="4510" spans="1:18" x14ac:dyDescent="0.3">
      <c r="A4510">
        <v>1470615</v>
      </c>
      <c r="B4510" t="s">
        <v>18</v>
      </c>
      <c r="C4510" t="s">
        <v>28</v>
      </c>
      <c r="D4510" t="s">
        <v>429</v>
      </c>
      <c r="E4510" t="s">
        <v>3260</v>
      </c>
      <c r="F4510" t="s">
        <v>22</v>
      </c>
      <c r="G4510" t="s">
        <v>23</v>
      </c>
      <c r="H4510" t="s">
        <v>24</v>
      </c>
      <c r="I4510" t="s">
        <v>25</v>
      </c>
      <c r="J4510" t="s">
        <v>3261</v>
      </c>
      <c r="K4510">
        <v>25</v>
      </c>
      <c r="L4510">
        <v>1</v>
      </c>
      <c r="M4510">
        <v>2025</v>
      </c>
      <c r="N4510" t="s">
        <v>27</v>
      </c>
      <c r="O4510">
        <v>400</v>
      </c>
      <c r="P4510">
        <v>400</v>
      </c>
      <c r="R4510" s="3" t="str">
        <f>HYPERLINK("https://panda.att.com.mx/ODKServer/view/binaryData?blobKey=FSSuministroFluidosv3%5B%40version%3Dnull+and+%40uiVersion%3Dnull%5D%2Fdata%5B%40key%3Duuid%3A226eb60a-1064-4f7b-8b4d-8b0d7f43f069%5D%2FgroupInfoFuel%5B%40ordinal%3D1%5D%2FpicFuelRecibeInterno","Descargar")</f>
        <v>Descargar</v>
      </c>
    </row>
    <row r="4511" spans="1:18" x14ac:dyDescent="0.3">
      <c r="A4511">
        <v>1470614</v>
      </c>
      <c r="B4511" t="s">
        <v>18</v>
      </c>
      <c r="C4511" t="s">
        <v>55</v>
      </c>
      <c r="D4511" t="s">
        <v>1836</v>
      </c>
      <c r="E4511" t="s">
        <v>3202</v>
      </c>
      <c r="F4511" t="s">
        <v>22</v>
      </c>
      <c r="G4511" t="s">
        <v>47</v>
      </c>
      <c r="H4511" t="s">
        <v>1763</v>
      </c>
      <c r="I4511" t="s">
        <v>25</v>
      </c>
      <c r="J4511" t="s">
        <v>3262</v>
      </c>
      <c r="K4511">
        <v>24</v>
      </c>
      <c r="L4511">
        <v>1</v>
      </c>
      <c r="M4511">
        <v>2025</v>
      </c>
      <c r="N4511" t="s">
        <v>27</v>
      </c>
      <c r="O4511">
        <v>300</v>
      </c>
      <c r="P4511">
        <v>300</v>
      </c>
      <c r="R4511" s="3" t="str">
        <f>HYPERLINK("https://panda.att.com.mx/ODKServer/view/binaryData?blobKey=FSSuministroFluidosv3%5B%40version%3Dnull+and+%40uiVersion%3Dnull%5D%2Fdata%5B%40key%3Duuid%3Aa03e3e7f-3a82-40fb-8b6b-abbcbcb94060%5D%2FgroupInfoFuel%5B%40ordinal%3D1%5D%2FpicFuelRecibeInterno","Descargar")</f>
        <v>Descargar</v>
      </c>
    </row>
    <row r="4512" spans="1:18" x14ac:dyDescent="0.3">
      <c r="A4512">
        <v>1470583</v>
      </c>
      <c r="B4512" t="s">
        <v>18</v>
      </c>
      <c r="C4512" t="s">
        <v>55</v>
      </c>
      <c r="D4512" t="s">
        <v>56</v>
      </c>
      <c r="E4512" t="s">
        <v>1555</v>
      </c>
      <c r="F4512" t="s">
        <v>22</v>
      </c>
      <c r="G4512" t="s">
        <v>47</v>
      </c>
      <c r="H4512" t="s">
        <v>1763</v>
      </c>
      <c r="I4512" t="s">
        <v>25</v>
      </c>
      <c r="J4512" t="s">
        <v>3263</v>
      </c>
      <c r="K4512">
        <v>23</v>
      </c>
      <c r="L4512">
        <v>1</v>
      </c>
      <c r="M4512">
        <v>2025</v>
      </c>
      <c r="N4512" t="s">
        <v>3264</v>
      </c>
      <c r="O4512">
        <v>200</v>
      </c>
      <c r="P4512">
        <v>200</v>
      </c>
      <c r="R4512" s="3" t="str">
        <f>HYPERLINK("https://panda.att.com.mx/ODKServer/view/binaryData?blobKey=FSSuministroFluidosv3%5B%40version%3Dnull+and+%40uiVersion%3Dnull%5D%2Fdata%5B%40key%3Duuid%3A364f1061-4422-4220-b41e-c247100f75e4%5D%2FgroupInfoFuel%5B%40ordinal%3D1%5D%2FpicFuelRecibeInterno","Descargar")</f>
        <v>Descargar</v>
      </c>
    </row>
    <row r="4513" spans="1:18" x14ac:dyDescent="0.3">
      <c r="A4513">
        <v>1470574</v>
      </c>
      <c r="B4513" t="s">
        <v>18</v>
      </c>
      <c r="C4513" t="s">
        <v>55</v>
      </c>
      <c r="D4513" t="s">
        <v>56</v>
      </c>
      <c r="E4513" t="s">
        <v>3265</v>
      </c>
      <c r="F4513" t="s">
        <v>22</v>
      </c>
      <c r="G4513" t="s">
        <v>47</v>
      </c>
      <c r="H4513" t="s">
        <v>1763</v>
      </c>
      <c r="I4513" t="s">
        <v>25</v>
      </c>
      <c r="J4513" t="s">
        <v>3266</v>
      </c>
      <c r="K4513">
        <v>17</v>
      </c>
      <c r="L4513">
        <v>1</v>
      </c>
      <c r="M4513">
        <v>2025</v>
      </c>
      <c r="N4513" t="s">
        <v>27</v>
      </c>
      <c r="O4513">
        <v>200</v>
      </c>
      <c r="P4513">
        <v>200</v>
      </c>
      <c r="R4513" s="3" t="str">
        <f>HYPERLINK("https://panda.att.com.mx/ODKServer/view/binaryData?blobKey=FSSuministroFluidosv3%5B%40version%3Dnull+and+%40uiVersion%3Dnull%5D%2Fdata%5B%40key%3Duuid%3A71fae88e-2cfb-4c9a-a98f-c9c870cb54fb%5D%2FgroupInfoFuel%5B%40ordinal%3D1%5D%2FpicFuelRecibeInterno","Descargar")</f>
        <v>Descargar</v>
      </c>
    </row>
    <row r="4514" spans="1:18" x14ac:dyDescent="0.3">
      <c r="A4514">
        <v>1470572</v>
      </c>
      <c r="B4514" t="s">
        <v>18</v>
      </c>
      <c r="C4514" t="s">
        <v>150</v>
      </c>
      <c r="D4514" t="s">
        <v>230</v>
      </c>
      <c r="E4514" t="s">
        <v>399</v>
      </c>
      <c r="F4514" t="s">
        <v>22</v>
      </c>
      <c r="G4514" t="s">
        <v>47</v>
      </c>
      <c r="H4514" t="s">
        <v>1781</v>
      </c>
      <c r="I4514" t="s">
        <v>25</v>
      </c>
      <c r="J4514" t="s">
        <v>3267</v>
      </c>
      <c r="K4514">
        <v>25</v>
      </c>
      <c r="L4514">
        <v>1</v>
      </c>
      <c r="M4514">
        <v>2025</v>
      </c>
      <c r="N4514" t="s">
        <v>27</v>
      </c>
      <c r="O4514">
        <v>100.04</v>
      </c>
      <c r="P4514">
        <v>100.04</v>
      </c>
      <c r="R4514" s="3" t="str">
        <f>HYPERLINK("https://panda.att.com.mx/ODKServer/view/binaryData?blobKey=FSSuministroFluidosv3%5B%40version%3Dnull+and+%40uiVersion%3Dnull%5D%2Fdata%5B%40key%3Duuid%3Aef66b87b-fda1-4fc5-8a8b-f819b7c3d3cb%5D%2FgroupInfoFuel%5B%40ordinal%3D1%5D%2FpicFuelRecibeInterno","Descargar")</f>
        <v>Descargar</v>
      </c>
    </row>
    <row r="4515" spans="1:18" x14ac:dyDescent="0.3">
      <c r="A4515">
        <v>1470571</v>
      </c>
      <c r="B4515" t="s">
        <v>18</v>
      </c>
      <c r="C4515" t="s">
        <v>68</v>
      </c>
      <c r="D4515" t="s">
        <v>91</v>
      </c>
      <c r="E4515" t="s">
        <v>103</v>
      </c>
      <c r="F4515" t="s">
        <v>22</v>
      </c>
      <c r="G4515" t="s">
        <v>23</v>
      </c>
      <c r="H4515" t="s">
        <v>37</v>
      </c>
      <c r="I4515" t="s">
        <v>25</v>
      </c>
      <c r="J4515" t="s">
        <v>3268</v>
      </c>
      <c r="K4515">
        <v>24</v>
      </c>
      <c r="L4515">
        <v>1</v>
      </c>
      <c r="M4515">
        <v>2025</v>
      </c>
      <c r="N4515" t="s">
        <v>27</v>
      </c>
      <c r="O4515">
        <v>75</v>
      </c>
      <c r="P4515">
        <v>75</v>
      </c>
      <c r="R4515" s="3" t="str">
        <f>HYPERLINK("https://panda.att.com.mx/ODKServer/view/binaryData?blobKey=FSSuministroFluidosv3%5B%40version%3Dnull+and+%40uiVersion%3Dnull%5D%2Fdata%5B%40key%3Duuid%3Acd916a79-adf2-4f62-8d1f-00ecbf1ec6d3%5D%2FgroupInfoFuel%5B%40ordinal%3D1%5D%2FpicFuelRecibeInterno","Descargar")</f>
        <v>Descargar</v>
      </c>
    </row>
    <row r="4516" spans="1:18" x14ac:dyDescent="0.3">
      <c r="A4516">
        <v>1470570</v>
      </c>
      <c r="B4516" t="s">
        <v>18</v>
      </c>
      <c r="C4516" t="s">
        <v>55</v>
      </c>
      <c r="D4516" t="s">
        <v>56</v>
      </c>
      <c r="E4516" t="s">
        <v>3180</v>
      </c>
      <c r="F4516" t="s">
        <v>22</v>
      </c>
      <c r="G4516" t="s">
        <v>47</v>
      </c>
      <c r="H4516" t="s">
        <v>1763</v>
      </c>
      <c r="I4516" t="s">
        <v>25</v>
      </c>
      <c r="J4516" t="s">
        <v>3269</v>
      </c>
      <c r="K4516">
        <v>15</v>
      </c>
      <c r="L4516">
        <v>1</v>
      </c>
      <c r="M4516">
        <v>2025</v>
      </c>
      <c r="N4516" t="s">
        <v>27</v>
      </c>
      <c r="O4516">
        <v>200</v>
      </c>
      <c r="P4516">
        <v>200</v>
      </c>
      <c r="R4516" s="3" t="str">
        <f>HYPERLINK("https://panda.att.com.mx/ODKServer/view/binaryData?blobKey=FSSuministroFluidosv3%5B%40version%3Dnull+and+%40uiVersion%3Dnull%5D%2Fdata%5B%40key%3Duuid%3Ad46499dd-f87c-4a95-a08f-547b4ef5bf1d%5D%2FgroupInfoFuel%5B%40ordinal%3D1%5D%2FpicFuelRecibeInterno","Descargar")</f>
        <v>Descargar</v>
      </c>
    </row>
    <row r="4517" spans="1:18" x14ac:dyDescent="0.3">
      <c r="A4517">
        <v>1470567</v>
      </c>
      <c r="B4517" t="s">
        <v>18</v>
      </c>
      <c r="C4517" t="s">
        <v>55</v>
      </c>
      <c r="D4517" t="s">
        <v>56</v>
      </c>
      <c r="E4517" t="s">
        <v>3270</v>
      </c>
      <c r="F4517" t="s">
        <v>22</v>
      </c>
      <c r="G4517" t="s">
        <v>47</v>
      </c>
      <c r="H4517" t="s">
        <v>1763</v>
      </c>
      <c r="I4517" t="s">
        <v>25</v>
      </c>
      <c r="J4517" t="s">
        <v>3271</v>
      </c>
      <c r="K4517">
        <v>21</v>
      </c>
      <c r="L4517">
        <v>1</v>
      </c>
      <c r="M4517">
        <v>2025</v>
      </c>
      <c r="N4517" t="s">
        <v>27</v>
      </c>
      <c r="O4517">
        <v>200</v>
      </c>
      <c r="P4517">
        <v>200</v>
      </c>
      <c r="R4517" s="3" t="str">
        <f>HYPERLINK("https://panda.att.com.mx/ODKServer/view/binaryData?blobKey=FSSuministroFluidosv3%5B%40version%3Dnull+and+%40uiVersion%3Dnull%5D%2Fdata%5B%40key%3Duuid%3Afadee897-b4e0-4512-b319-879d181f07c7%5D%2FgroupInfoFuel%5B%40ordinal%3D1%5D%2FpicFuelRecibeInterno","Descargar")</f>
        <v>Descargar</v>
      </c>
    </row>
    <row r="4518" spans="1:18" x14ac:dyDescent="0.3">
      <c r="A4518">
        <v>1470562</v>
      </c>
      <c r="B4518" t="s">
        <v>18</v>
      </c>
      <c r="C4518" t="s">
        <v>55</v>
      </c>
      <c r="D4518" t="s">
        <v>56</v>
      </c>
      <c r="E4518" t="s">
        <v>3272</v>
      </c>
      <c r="F4518" t="s">
        <v>22</v>
      </c>
      <c r="G4518" t="s">
        <v>47</v>
      </c>
      <c r="H4518" t="s">
        <v>1763</v>
      </c>
      <c r="I4518" t="s">
        <v>25</v>
      </c>
      <c r="J4518" t="s">
        <v>3273</v>
      </c>
      <c r="K4518">
        <v>21</v>
      </c>
      <c r="L4518">
        <v>1</v>
      </c>
      <c r="M4518">
        <v>2025</v>
      </c>
      <c r="N4518" t="s">
        <v>27</v>
      </c>
      <c r="O4518">
        <v>300</v>
      </c>
      <c r="P4518">
        <v>300</v>
      </c>
      <c r="R4518" s="3" t="str">
        <f>HYPERLINK("https://panda.att.com.mx/ODKServer/view/binaryData?blobKey=FSSuministroFluidosv3%5B%40version%3Dnull+and+%40uiVersion%3Dnull%5D%2Fdata%5B%40key%3Duuid%3Aaadc9b0c-dc48-47f5-8f65-1c2b8d5e8a80%5D%2FgroupInfoFuel%5B%40ordinal%3D1%5D%2FpicFuelRecibeInterno","Descargar")</f>
        <v>Descargar</v>
      </c>
    </row>
    <row r="4519" spans="1:18" x14ac:dyDescent="0.3">
      <c r="A4519">
        <v>1470560</v>
      </c>
      <c r="B4519" t="s">
        <v>18</v>
      </c>
      <c r="C4519" t="s">
        <v>55</v>
      </c>
      <c r="D4519" t="s">
        <v>56</v>
      </c>
      <c r="E4519" t="s">
        <v>3274</v>
      </c>
      <c r="F4519" t="s">
        <v>22</v>
      </c>
      <c r="G4519" t="s">
        <v>47</v>
      </c>
      <c r="H4519" t="s">
        <v>1763</v>
      </c>
      <c r="I4519" t="s">
        <v>25</v>
      </c>
      <c r="J4519" t="s">
        <v>3275</v>
      </c>
      <c r="K4519">
        <v>21</v>
      </c>
      <c r="L4519">
        <v>1</v>
      </c>
      <c r="M4519">
        <v>2025</v>
      </c>
      <c r="N4519" t="s">
        <v>27</v>
      </c>
      <c r="O4519">
        <v>100</v>
      </c>
      <c r="P4519">
        <v>100</v>
      </c>
      <c r="R4519" s="3" t="str">
        <f>HYPERLINK("https://panda.att.com.mx/ODKServer/view/binaryData?blobKey=FSSuministroFluidosv3%5B%40version%3Dnull+and+%40uiVersion%3Dnull%5D%2Fdata%5B%40key%3Duuid%3Ad552bd2f-ecd2-43bd-9b60-a12dbe72abe5%5D%2FgroupInfoFuel%5B%40ordinal%3D1%5D%2FpicFuelRecibeInterno","Descargar")</f>
        <v>Descargar</v>
      </c>
    </row>
    <row r="4520" spans="1:18" x14ac:dyDescent="0.3">
      <c r="A4520">
        <v>1470556</v>
      </c>
      <c r="B4520" t="s">
        <v>18</v>
      </c>
      <c r="C4520" t="s">
        <v>150</v>
      </c>
      <c r="D4520" t="s">
        <v>2224</v>
      </c>
      <c r="E4520" t="s">
        <v>2225</v>
      </c>
      <c r="F4520" t="s">
        <v>22</v>
      </c>
      <c r="G4520" t="s">
        <v>47</v>
      </c>
      <c r="H4520" t="s">
        <v>1781</v>
      </c>
      <c r="I4520" t="s">
        <v>25</v>
      </c>
      <c r="J4520" t="s">
        <v>3276</v>
      </c>
      <c r="K4520">
        <v>25</v>
      </c>
      <c r="L4520">
        <v>1</v>
      </c>
      <c r="M4520">
        <v>2025</v>
      </c>
      <c r="N4520" t="s">
        <v>27</v>
      </c>
      <c r="O4520">
        <v>200.01</v>
      </c>
      <c r="P4520">
        <v>200.01</v>
      </c>
      <c r="R4520" s="3" t="str">
        <f>HYPERLINK("https://panda.att.com.mx/ODKServer/view/binaryData?blobKey=FSSuministroFluidosv3%5B%40version%3Dnull+and+%40uiVersion%3Dnull%5D%2Fdata%5B%40key%3Duuid%3A1e036d42-6407-4241-aa2f-d1a0d287a37f%5D%2FgroupInfoFuel%5B%40ordinal%3D1%5D%2FpicFuelRecibeInterno","Descargar")</f>
        <v>Descargar</v>
      </c>
    </row>
    <row r="4521" spans="1:18" x14ac:dyDescent="0.3">
      <c r="A4521">
        <v>1470542</v>
      </c>
      <c r="B4521" t="s">
        <v>18</v>
      </c>
      <c r="C4521" t="s">
        <v>150</v>
      </c>
      <c r="D4521" t="s">
        <v>151</v>
      </c>
      <c r="E4521" t="s">
        <v>236</v>
      </c>
      <c r="F4521" t="s">
        <v>22</v>
      </c>
      <c r="G4521" t="s">
        <v>23</v>
      </c>
      <c r="H4521" t="s">
        <v>1781</v>
      </c>
      <c r="I4521" t="s">
        <v>25</v>
      </c>
      <c r="J4521" t="s">
        <v>3277</v>
      </c>
      <c r="K4521">
        <v>25</v>
      </c>
      <c r="L4521">
        <v>1</v>
      </c>
      <c r="M4521">
        <v>2025</v>
      </c>
      <c r="N4521" t="s">
        <v>27</v>
      </c>
      <c r="O4521">
        <v>300</v>
      </c>
      <c r="P4521">
        <v>300</v>
      </c>
      <c r="R4521" s="3" t="str">
        <f>HYPERLINK("https://panda.att.com.mx/ODKServer/view/binaryData?blobKey=FSSuministroFluidosv3%5B%40version%3Dnull+and+%40uiVersion%3Dnull%5D%2Fdata%5B%40key%3Duuid%3Ac1831355-a8a3-4f7b-9823-7b7287cdbad2%5D%2FgroupInfoFuel%5B%40ordinal%3D1%5D%2FpicFuelRecibeInterno","Descargar")</f>
        <v>Descargar</v>
      </c>
    </row>
    <row r="4522" spans="1:18" x14ac:dyDescent="0.3">
      <c r="A4522">
        <v>1470527</v>
      </c>
      <c r="B4522" t="s">
        <v>18</v>
      </c>
      <c r="C4522" t="s">
        <v>28</v>
      </c>
      <c r="D4522" t="s">
        <v>2641</v>
      </c>
      <c r="E4522" t="s">
        <v>2642</v>
      </c>
      <c r="F4522" t="s">
        <v>22</v>
      </c>
      <c r="G4522" t="s">
        <v>47</v>
      </c>
      <c r="H4522" t="s">
        <v>24</v>
      </c>
      <c r="I4522" t="s">
        <v>25</v>
      </c>
      <c r="J4522" t="s">
        <v>3278</v>
      </c>
      <c r="K4522">
        <v>22</v>
      </c>
      <c r="L4522">
        <v>1</v>
      </c>
      <c r="M4522">
        <v>2025</v>
      </c>
      <c r="N4522" t="s">
        <v>44</v>
      </c>
      <c r="O4522">
        <v>50</v>
      </c>
      <c r="P4522">
        <v>50</v>
      </c>
      <c r="R4522" s="3" t="str">
        <f>HYPERLINK("https://panda.att.com.mx/ODKServer/view/binaryData?blobKey=FSSuministroFluidosv3%5B%40version%3Dnull+and+%40uiVersion%3Dnull%5D%2Fdata%5B%40key%3Duuid%3A607dd7dc-ecaf-45f3-b91e-cb9c427f38e5%5D%2FgroupInfoFuel%5B%40ordinal%3D1%5D%2FpicFuelRecibeInterno","Descargar")</f>
        <v>Descargar</v>
      </c>
    </row>
    <row r="4523" spans="1:18" x14ac:dyDescent="0.3">
      <c r="A4523">
        <v>1470526</v>
      </c>
      <c r="B4523" t="s">
        <v>18</v>
      </c>
      <c r="C4523" t="s">
        <v>28</v>
      </c>
      <c r="D4523" t="s">
        <v>66</v>
      </c>
      <c r="E4523" t="s">
        <v>1408</v>
      </c>
      <c r="F4523" t="s">
        <v>22</v>
      </c>
      <c r="G4523" t="s">
        <v>47</v>
      </c>
      <c r="H4523" t="s">
        <v>24</v>
      </c>
      <c r="I4523" t="s">
        <v>25</v>
      </c>
      <c r="J4523" t="s">
        <v>3279</v>
      </c>
      <c r="K4523">
        <v>24</v>
      </c>
      <c r="L4523">
        <v>1</v>
      </c>
      <c r="M4523">
        <v>2025</v>
      </c>
      <c r="N4523" t="s">
        <v>44</v>
      </c>
      <c r="O4523">
        <v>40</v>
      </c>
      <c r="Q4523">
        <v>40</v>
      </c>
      <c r="R4523" s="3" t="str">
        <f>HYPERLINK("https://panda.att.com.mx/ODKServer/view/binaryData?blobKey=FSSuministroFluidosv3%5B%40version%3Dnull+and+%40uiVersion%3Dnull%5D%2Fdata%5B%40key%3Duuid%3Aa2ae2278-1196-4b16-8e90-894e330589f1%5D%2FgroupInfoFuel%5B%40ordinal%3D1%5D%2FpicFuelRecibeInterno","Descargar")</f>
        <v>Descargar</v>
      </c>
    </row>
    <row r="4524" spans="1:18" x14ac:dyDescent="0.3">
      <c r="A4524">
        <v>1470492</v>
      </c>
      <c r="B4524" t="s">
        <v>18</v>
      </c>
      <c r="C4524" t="s">
        <v>183</v>
      </c>
      <c r="D4524" t="s">
        <v>3280</v>
      </c>
      <c r="E4524" t="s">
        <v>3281</v>
      </c>
      <c r="F4524" t="s">
        <v>22</v>
      </c>
      <c r="G4524" t="s">
        <v>23</v>
      </c>
      <c r="H4524" t="s">
        <v>37</v>
      </c>
      <c r="I4524" t="s">
        <v>25</v>
      </c>
      <c r="J4524" t="s">
        <v>3282</v>
      </c>
      <c r="K4524">
        <v>24</v>
      </c>
      <c r="L4524">
        <v>1</v>
      </c>
      <c r="M4524">
        <v>2025</v>
      </c>
      <c r="N4524" t="s">
        <v>27</v>
      </c>
      <c r="O4524">
        <v>130</v>
      </c>
      <c r="P4524">
        <v>130</v>
      </c>
      <c r="R4524" s="3" t="str">
        <f>HYPERLINK("https://panda.att.com.mx/ODKServer/view/binaryData?blobKey=FSSuministroFluidosv3%5B%40version%3Dnull+and+%40uiVersion%3Dnull%5D%2Fdata%5B%40key%3Duuid%3A464117f0-1807-4f08-82da-3b6afe305b06%5D%2FgroupInfoFuel%5B%40ordinal%3D1%5D%2FpicFuelRecibeInterno","Descargar")</f>
        <v>Descargar</v>
      </c>
    </row>
    <row r="4525" spans="1:18" x14ac:dyDescent="0.3">
      <c r="A4525">
        <v>1474601</v>
      </c>
      <c r="B4525" t="s">
        <v>18</v>
      </c>
      <c r="C4525" t="s">
        <v>19</v>
      </c>
      <c r="D4525" t="s">
        <v>42</v>
      </c>
      <c r="E4525" t="s">
        <v>2273</v>
      </c>
      <c r="F4525" t="s">
        <v>22</v>
      </c>
      <c r="G4525" t="s">
        <v>23</v>
      </c>
      <c r="H4525" t="s">
        <v>24</v>
      </c>
      <c r="I4525" t="s">
        <v>25</v>
      </c>
      <c r="J4525" t="s">
        <v>3283</v>
      </c>
      <c r="K4525">
        <v>3</v>
      </c>
      <c r="L4525">
        <v>1</v>
      </c>
      <c r="M4525">
        <v>2025</v>
      </c>
      <c r="N4525" t="s">
        <v>44</v>
      </c>
      <c r="O4525">
        <v>42</v>
      </c>
      <c r="P4525">
        <v>42</v>
      </c>
      <c r="R4525" s="3" t="str">
        <f>HYPERLINK("https://panda.att.com.mx/ODKServer/view/binaryData?blobKey=FSSuministroFluidosv3%5B%40version%3Dnull+and+%40uiVersion%3Dnull%5D%2Fdata%5B%40key%3Duuid%3Aac1bdace-9f0c-4dcc-912d-8ea1c0290624%5D%2FgroupInfoFuel%5B%40ordinal%3D1%5D%2FpicFuelRecibeInterno","Descargar")</f>
        <v>Descargar</v>
      </c>
    </row>
    <row r="4526" spans="1:18" x14ac:dyDescent="0.3">
      <c r="A4526">
        <v>1474599</v>
      </c>
      <c r="B4526" t="s">
        <v>18</v>
      </c>
      <c r="C4526" t="s">
        <v>55</v>
      </c>
      <c r="D4526" t="s">
        <v>56</v>
      </c>
      <c r="E4526" t="s">
        <v>3037</v>
      </c>
      <c r="F4526" t="s">
        <v>22</v>
      </c>
      <c r="G4526" t="s">
        <v>47</v>
      </c>
      <c r="H4526" t="s">
        <v>1763</v>
      </c>
      <c r="I4526" t="s">
        <v>25</v>
      </c>
      <c r="J4526" t="s">
        <v>3284</v>
      </c>
      <c r="K4526">
        <v>31</v>
      </c>
      <c r="L4526">
        <v>1</v>
      </c>
      <c r="M4526">
        <v>2025</v>
      </c>
      <c r="N4526" t="s">
        <v>27</v>
      </c>
      <c r="O4526">
        <v>300</v>
      </c>
      <c r="P4526">
        <v>300</v>
      </c>
      <c r="R4526" s="3" t="str">
        <f>HYPERLINK("https://panda.att.com.mx/ODKServer/view/binaryData?blobKey=FSSuministroFluidosv3%5B%40version%3Dnull+and+%40uiVersion%3Dnull%5D%2Fdata%5B%40key%3Duuid%3A6bb60107-e80d-4312-a8eb-cdf7f7e2d468%5D%2FgroupInfoFuel%5B%40ordinal%3D1%5D%2FpicFuelRecibeInterno","Descargar")</f>
        <v>Descargar</v>
      </c>
    </row>
    <row r="4527" spans="1:18" x14ac:dyDescent="0.3">
      <c r="A4527">
        <v>1474507</v>
      </c>
      <c r="B4527" t="s">
        <v>18</v>
      </c>
      <c r="C4527" t="s">
        <v>183</v>
      </c>
      <c r="D4527" t="s">
        <v>278</v>
      </c>
      <c r="E4527" t="s">
        <v>3285</v>
      </c>
      <c r="F4527" t="s">
        <v>22</v>
      </c>
      <c r="G4527" t="s">
        <v>23</v>
      </c>
      <c r="H4527" t="s">
        <v>37</v>
      </c>
      <c r="I4527" t="s">
        <v>25</v>
      </c>
      <c r="J4527" t="s">
        <v>3286</v>
      </c>
      <c r="K4527">
        <v>31</v>
      </c>
      <c r="L4527">
        <v>1</v>
      </c>
      <c r="M4527">
        <v>2025</v>
      </c>
      <c r="N4527" t="s">
        <v>27</v>
      </c>
      <c r="O4527">
        <v>150</v>
      </c>
      <c r="P4527">
        <v>150</v>
      </c>
      <c r="R4527" s="3" t="str">
        <f>HYPERLINK("https://panda.att.com.mx/ODKServer/view/binaryData?blobKey=FSSuministroFluidosv3%5B%40version%3Dnull+and+%40uiVersion%3Dnull%5D%2Fdata%5B%40key%3Duuid%3A985418fa-d4db-454f-bf39-6125433c1b01%5D%2FgroupInfoFuel%5B%40ordinal%3D1%5D%2FpicFuelRecibeInterno","Descargar")</f>
        <v>Descargar</v>
      </c>
    </row>
    <row r="4528" spans="1:18" x14ac:dyDescent="0.3">
      <c r="A4528">
        <v>1474480</v>
      </c>
      <c r="B4528" t="s">
        <v>18</v>
      </c>
      <c r="C4528" t="s">
        <v>100</v>
      </c>
      <c r="D4528" t="s">
        <v>651</v>
      </c>
      <c r="E4528" t="s">
        <v>1832</v>
      </c>
      <c r="F4528" t="s">
        <v>22</v>
      </c>
      <c r="G4528" t="s">
        <v>23</v>
      </c>
      <c r="H4528" t="s">
        <v>1781</v>
      </c>
      <c r="I4528" t="s">
        <v>25</v>
      </c>
      <c r="J4528" t="s">
        <v>3287</v>
      </c>
      <c r="K4528">
        <v>31</v>
      </c>
      <c r="L4528">
        <v>1</v>
      </c>
      <c r="M4528">
        <v>2025</v>
      </c>
      <c r="N4528" t="s">
        <v>27</v>
      </c>
      <c r="O4528">
        <v>250</v>
      </c>
      <c r="P4528">
        <v>250</v>
      </c>
      <c r="R4528" s="3" t="str">
        <f>HYPERLINK("https://panda.att.com.mx/ODKServer/view/binaryData?blobKey=FSSuministroFluidosv3%5B%40version%3Dnull+and+%40uiVersion%3Dnull%5D%2Fdata%5B%40key%3Duuid%3A9674e138-b51d-48ae-83cd-4c0c7f491447%5D%2FgroupInfoFuel%5B%40ordinal%3D1%5D%2FpicFuelRecibeInterno","Descargar")</f>
        <v>Descargar</v>
      </c>
    </row>
    <row r="4529" spans="1:18" x14ac:dyDescent="0.3">
      <c r="A4529">
        <v>1474428</v>
      </c>
      <c r="B4529" t="s">
        <v>18</v>
      </c>
      <c r="C4529" t="s">
        <v>167</v>
      </c>
      <c r="D4529" t="s">
        <v>509</v>
      </c>
      <c r="E4529" t="s">
        <v>924</v>
      </c>
      <c r="F4529" t="s">
        <v>22</v>
      </c>
      <c r="G4529" t="s">
        <v>47</v>
      </c>
      <c r="H4529" t="s">
        <v>58</v>
      </c>
      <c r="I4529" t="s">
        <v>25</v>
      </c>
      <c r="J4529" t="s">
        <v>3288</v>
      </c>
      <c r="K4529">
        <v>30</v>
      </c>
      <c r="L4529">
        <v>1</v>
      </c>
      <c r="M4529">
        <v>2025</v>
      </c>
      <c r="N4529" t="s">
        <v>27</v>
      </c>
      <c r="O4529">
        <v>150</v>
      </c>
      <c r="P4529">
        <v>150</v>
      </c>
      <c r="R4529" s="3" t="str">
        <f>HYPERLINK("https://panda.att.com.mx/ODKServer/view/binaryData?blobKey=FSSuministroFluidosv3%5B%40version%3Dnull+and+%40uiVersion%3Dnull%5D%2Fdata%5B%40key%3Duuid%3Ab3601ac6-86fb-4c3b-87c5-c930ca553ccd%5D%2FgroupInfoFuel%5B%40ordinal%3D1%5D%2FpicFuelRecibeInterno","Descargar")</f>
        <v>Descargar</v>
      </c>
    </row>
    <row r="4530" spans="1:18" x14ac:dyDescent="0.3">
      <c r="A4530">
        <v>1474235</v>
      </c>
      <c r="B4530" t="s">
        <v>18</v>
      </c>
      <c r="C4530" t="s">
        <v>19</v>
      </c>
      <c r="D4530" t="s">
        <v>45</v>
      </c>
      <c r="E4530" t="s">
        <v>752</v>
      </c>
      <c r="F4530" t="s">
        <v>22</v>
      </c>
      <c r="G4530" t="s">
        <v>23</v>
      </c>
      <c r="H4530" t="s">
        <v>24</v>
      </c>
      <c r="I4530" t="s">
        <v>25</v>
      </c>
      <c r="J4530" t="s">
        <v>3289</v>
      </c>
      <c r="K4530">
        <v>30</v>
      </c>
      <c r="L4530">
        <v>1</v>
      </c>
      <c r="M4530">
        <v>2025</v>
      </c>
      <c r="N4530" t="s">
        <v>27</v>
      </c>
      <c r="O4530">
        <v>400</v>
      </c>
      <c r="P4530">
        <v>400</v>
      </c>
      <c r="R4530" s="3" t="str">
        <f>HYPERLINK("https://panda.att.com.mx/ODKServer/view/binaryData?blobKey=FSSuministroFluidosv3%5B%40version%3Dnull+and+%40uiVersion%3Dnull%5D%2Fdata%5B%40key%3Duuid%3A4a85a9a0-0441-49f7-9502-385e399b9c4b%5D%2FgroupInfoFuel%5B%40ordinal%3D1%5D%2FpicFuelRecibeInterno","Descargar")</f>
        <v>Descargar</v>
      </c>
    </row>
    <row r="4531" spans="1:18" x14ac:dyDescent="0.3">
      <c r="A4531">
        <v>1474208</v>
      </c>
      <c r="B4531" t="s">
        <v>18</v>
      </c>
      <c r="C4531" t="s">
        <v>19</v>
      </c>
      <c r="D4531" t="s">
        <v>189</v>
      </c>
      <c r="E4531" t="s">
        <v>3290</v>
      </c>
      <c r="F4531" t="s">
        <v>22</v>
      </c>
      <c r="G4531" t="s">
        <v>23</v>
      </c>
      <c r="H4531" t="s">
        <v>24</v>
      </c>
      <c r="I4531" t="s">
        <v>25</v>
      </c>
      <c r="J4531" t="s">
        <v>3291</v>
      </c>
      <c r="K4531">
        <v>29</v>
      </c>
      <c r="L4531">
        <v>1</v>
      </c>
      <c r="M4531">
        <v>2025</v>
      </c>
      <c r="N4531" t="s">
        <v>27</v>
      </c>
      <c r="O4531">
        <v>100</v>
      </c>
      <c r="P4531">
        <v>100</v>
      </c>
      <c r="R4531" s="3" t="str">
        <f>HYPERLINK("https://panda.att.com.mx/ODKServer/view/binaryData?blobKey=FSSuministroFluidosv3%5B%40version%3Dnull+and+%40uiVersion%3Dnull%5D%2Fdata%5B%40key%3Duuid%3A98f78940-83dd-4474-b372-3af0a77de4b7%5D%2FgroupInfoFuel%5B%40ordinal%3D1%5D%2FpicFuelRecibeInterno","Descargar")</f>
        <v>Descargar</v>
      </c>
    </row>
    <row r="4532" spans="1:18" x14ac:dyDescent="0.3">
      <c r="A4532">
        <v>1474196</v>
      </c>
      <c r="B4532" t="s">
        <v>18</v>
      </c>
      <c r="C4532" t="s">
        <v>100</v>
      </c>
      <c r="D4532" t="s">
        <v>651</v>
      </c>
      <c r="E4532" t="s">
        <v>1833</v>
      </c>
      <c r="F4532" t="s">
        <v>22</v>
      </c>
      <c r="G4532" t="s">
        <v>83</v>
      </c>
      <c r="H4532" t="s">
        <v>1781</v>
      </c>
      <c r="I4532" t="s">
        <v>25</v>
      </c>
      <c r="J4532" t="s">
        <v>3292</v>
      </c>
      <c r="K4532">
        <v>31</v>
      </c>
      <c r="L4532">
        <v>1</v>
      </c>
      <c r="M4532">
        <v>2025</v>
      </c>
      <c r="N4532" t="s">
        <v>27</v>
      </c>
      <c r="O4532">
        <v>200</v>
      </c>
      <c r="P4532">
        <v>200</v>
      </c>
      <c r="R4532" s="3" t="str">
        <f>HYPERLINK("https://panda.att.com.mx/ODKServer/view/binaryData?blobKey=FSSuministroFluidosv3%5B%40version%3Dnull+and+%40uiVersion%3Dnull%5D%2Fdata%5B%40key%3Duuid%3A9fa2209f-4d5c-47ff-b239-a9afcd695910%5D%2FgroupInfoFuel%5B%40ordinal%3D1%5D%2FpicFuelRecibeInterno","Descargar")</f>
        <v>Descargar</v>
      </c>
    </row>
    <row r="4533" spans="1:18" x14ac:dyDescent="0.3">
      <c r="A4533">
        <v>1474162</v>
      </c>
      <c r="B4533" t="s">
        <v>18</v>
      </c>
      <c r="C4533" t="s">
        <v>150</v>
      </c>
      <c r="D4533" t="s">
        <v>230</v>
      </c>
      <c r="E4533" t="s">
        <v>399</v>
      </c>
      <c r="F4533" t="s">
        <v>22</v>
      </c>
      <c r="G4533" t="s">
        <v>47</v>
      </c>
      <c r="H4533" t="s">
        <v>1781</v>
      </c>
      <c r="I4533" t="s">
        <v>25</v>
      </c>
      <c r="J4533" t="s">
        <v>3293</v>
      </c>
      <c r="K4533">
        <v>31</v>
      </c>
      <c r="L4533">
        <v>1</v>
      </c>
      <c r="M4533">
        <v>2025</v>
      </c>
      <c r="N4533" t="s">
        <v>27</v>
      </c>
      <c r="O4533">
        <v>100.01</v>
      </c>
      <c r="P4533">
        <v>100.01</v>
      </c>
      <c r="R4533" s="3" t="str">
        <f>HYPERLINK("https://panda.att.com.mx/ODKServer/view/binaryData?blobKey=FSSuministroFluidosv3%5B%40version%3Dnull+and+%40uiVersion%3Dnull%5D%2Fdata%5B%40key%3Duuid%3Ab5bee8fb-9e89-441b-b777-44db0226b19b%5D%2FgroupInfoFuel%5B%40ordinal%3D1%5D%2FpicFuelRecibeInterno","Descargar")</f>
        <v>Descargar</v>
      </c>
    </row>
    <row r="4534" spans="1:18" x14ac:dyDescent="0.3">
      <c r="A4534">
        <v>1474049</v>
      </c>
      <c r="B4534" t="s">
        <v>18</v>
      </c>
      <c r="C4534" t="s">
        <v>150</v>
      </c>
      <c r="D4534" t="s">
        <v>2224</v>
      </c>
      <c r="E4534" t="s">
        <v>3215</v>
      </c>
      <c r="F4534" t="s">
        <v>22</v>
      </c>
      <c r="G4534" t="s">
        <v>47</v>
      </c>
      <c r="H4534" t="s">
        <v>1781</v>
      </c>
      <c r="I4534" t="s">
        <v>25</v>
      </c>
      <c r="J4534" t="s">
        <v>3294</v>
      </c>
      <c r="K4534">
        <v>31</v>
      </c>
      <c r="L4534">
        <v>1</v>
      </c>
      <c r="M4534">
        <v>2025</v>
      </c>
      <c r="N4534" t="s">
        <v>27</v>
      </c>
      <c r="O4534">
        <v>100.02</v>
      </c>
      <c r="P4534">
        <v>100.02</v>
      </c>
      <c r="R4534" s="3" t="str">
        <f>HYPERLINK("https://panda.att.com.mx/ODKServer/view/binaryData?blobKey=FSSuministroFluidosv3%5B%40version%3Dnull+and+%40uiVersion%3Dnull%5D%2Fdata%5B%40key%3Duuid%3A346c3cb7-fd7b-4ec9-b75e-2b9825a492a2%5D%2FgroupInfoFuel%5B%40ordinal%3D1%5D%2FpicFuelRecibeInterno","Descargar")</f>
        <v>Descargar</v>
      </c>
    </row>
    <row r="4535" spans="1:18" x14ac:dyDescent="0.3">
      <c r="A4535">
        <v>1474040</v>
      </c>
      <c r="B4535" t="s">
        <v>18</v>
      </c>
      <c r="C4535" t="s">
        <v>55</v>
      </c>
      <c r="D4535" t="s">
        <v>128</v>
      </c>
      <c r="E4535" t="s">
        <v>2000</v>
      </c>
      <c r="F4535" t="s">
        <v>22</v>
      </c>
      <c r="G4535" t="s">
        <v>47</v>
      </c>
      <c r="H4535" t="s">
        <v>1763</v>
      </c>
      <c r="I4535" t="s">
        <v>25</v>
      </c>
      <c r="J4535" t="s">
        <v>3295</v>
      </c>
      <c r="K4535">
        <v>31</v>
      </c>
      <c r="L4535">
        <v>1</v>
      </c>
      <c r="M4535">
        <v>2025</v>
      </c>
      <c r="N4535" t="s">
        <v>27</v>
      </c>
      <c r="O4535">
        <v>400</v>
      </c>
      <c r="P4535">
        <v>400</v>
      </c>
      <c r="R4535" s="3" t="str">
        <f>HYPERLINK("https://panda.att.com.mx/ODKServer/view/binaryData?blobKey=FSSuministroFluidosv3%5B%40version%3Dnull+and+%40uiVersion%3Dnull%5D%2Fdata%5B%40key%3Duuid%3A9e00127c-4bb8-469a-8273-35cc5615e313%5D%2FgroupInfoFuel%5B%40ordinal%3D1%5D%2FpicFuelRecibeInterno","Descargar")</f>
        <v>Descargar</v>
      </c>
    </row>
    <row r="4536" spans="1:18" x14ac:dyDescent="0.3">
      <c r="A4536">
        <v>1474027</v>
      </c>
      <c r="B4536" t="s">
        <v>18</v>
      </c>
      <c r="C4536" t="s">
        <v>68</v>
      </c>
      <c r="D4536" t="s">
        <v>132</v>
      </c>
      <c r="E4536" t="s">
        <v>3296</v>
      </c>
      <c r="F4536" t="s">
        <v>22</v>
      </c>
      <c r="G4536" t="s">
        <v>23</v>
      </c>
      <c r="H4536" t="s">
        <v>37</v>
      </c>
      <c r="I4536" t="s">
        <v>25</v>
      </c>
      <c r="J4536" t="s">
        <v>3297</v>
      </c>
      <c r="K4536">
        <v>31</v>
      </c>
      <c r="L4536">
        <v>1</v>
      </c>
      <c r="M4536">
        <v>2025</v>
      </c>
      <c r="N4536" t="s">
        <v>27</v>
      </c>
      <c r="O4536">
        <v>100</v>
      </c>
      <c r="P4536">
        <v>100</v>
      </c>
      <c r="R4536" s="3" t="str">
        <f>HYPERLINK("https://panda.att.com.mx/ODKServer/view/binaryData?blobKey=FSSuministroFluidosv3%5B%40version%3Dnull+and+%40uiVersion%3Dnull%5D%2Fdata%5B%40key%3Duuid%3Aab28c5af-2165-487d-9e01-09060e284988%5D%2FgroupInfoFuel%5B%40ordinal%3D1%5D%2FpicFuelRecibeInterno","Descargar")</f>
        <v>Descargar</v>
      </c>
    </row>
    <row r="4537" spans="1:18" x14ac:dyDescent="0.3">
      <c r="A4537">
        <v>1473993</v>
      </c>
      <c r="B4537" t="s">
        <v>18</v>
      </c>
      <c r="C4537" t="s">
        <v>55</v>
      </c>
      <c r="D4537" t="s">
        <v>288</v>
      </c>
      <c r="E4537" t="s">
        <v>3298</v>
      </c>
      <c r="F4537" t="s">
        <v>22</v>
      </c>
      <c r="G4537" t="s">
        <v>47</v>
      </c>
      <c r="H4537" t="s">
        <v>1763</v>
      </c>
      <c r="I4537" t="s">
        <v>25</v>
      </c>
      <c r="J4537" t="s">
        <v>3299</v>
      </c>
      <c r="K4537">
        <v>31</v>
      </c>
      <c r="L4537">
        <v>1</v>
      </c>
      <c r="M4537">
        <v>2025</v>
      </c>
      <c r="N4537" t="s">
        <v>27</v>
      </c>
      <c r="O4537">
        <v>200</v>
      </c>
      <c r="P4537">
        <v>200</v>
      </c>
      <c r="R4537" s="3" t="str">
        <f>HYPERLINK("https://panda.att.com.mx/ODKServer/view/binaryData?blobKey=FSSuministroFluidosv3%5B%40version%3Dnull+and+%40uiVersion%3Dnull%5D%2Fdata%5B%40key%3Duuid%3A837fe92c-749c-4901-bdc0-5ed87451aca7%5D%2FgroupInfoFuel%5B%40ordinal%3D1%5D%2FpicFuelRecibeInterno","Descargar")</f>
        <v>Descargar</v>
      </c>
    </row>
    <row r="4538" spans="1:18" x14ac:dyDescent="0.3">
      <c r="A4538">
        <v>1473989</v>
      </c>
      <c r="B4538" t="s">
        <v>18</v>
      </c>
      <c r="C4538" t="s">
        <v>34</v>
      </c>
      <c r="D4538" t="s">
        <v>53</v>
      </c>
      <c r="E4538" t="s">
        <v>3109</v>
      </c>
      <c r="F4538" t="s">
        <v>22</v>
      </c>
      <c r="G4538" t="s">
        <v>23</v>
      </c>
      <c r="H4538" t="s">
        <v>37</v>
      </c>
      <c r="I4538" t="s">
        <v>25</v>
      </c>
      <c r="J4538" t="s">
        <v>3300</v>
      </c>
      <c r="K4538">
        <v>29</v>
      </c>
      <c r="L4538">
        <v>1</v>
      </c>
      <c r="M4538">
        <v>2025</v>
      </c>
      <c r="N4538" t="s">
        <v>27</v>
      </c>
      <c r="O4538">
        <v>500</v>
      </c>
      <c r="P4538">
        <v>500</v>
      </c>
      <c r="R4538" s="3" t="str">
        <f>HYPERLINK("https://panda.att.com.mx/ODKServer/view/binaryData?blobKey=FSSuministroFluidosv3%5B%40version%3Dnull+and+%40uiVersion%3Dnull%5D%2Fdata%5B%40key%3Duuid%3A3269269b-718e-472f-8f3d-94ab7e70cdea%5D%2FgroupInfoFuel%5B%40ordinal%3D1%5D%2FpicFuelRecibeInterno","Descargar")</f>
        <v>Descargar</v>
      </c>
    </row>
    <row r="4539" spans="1:18" x14ac:dyDescent="0.3">
      <c r="A4539">
        <v>1473984</v>
      </c>
      <c r="B4539" t="s">
        <v>18</v>
      </c>
      <c r="C4539" t="s">
        <v>55</v>
      </c>
      <c r="D4539" t="s">
        <v>89</v>
      </c>
      <c r="E4539" t="s">
        <v>3301</v>
      </c>
      <c r="F4539" t="s">
        <v>22</v>
      </c>
      <c r="G4539" t="s">
        <v>47</v>
      </c>
      <c r="H4539" t="s">
        <v>1763</v>
      </c>
      <c r="I4539" t="s">
        <v>25</v>
      </c>
      <c r="J4539" t="s">
        <v>3302</v>
      </c>
      <c r="K4539">
        <v>31</v>
      </c>
      <c r="L4539">
        <v>1</v>
      </c>
      <c r="M4539">
        <v>2025</v>
      </c>
      <c r="N4539" t="s">
        <v>44</v>
      </c>
      <c r="O4539">
        <v>40</v>
      </c>
      <c r="P4539">
        <v>40</v>
      </c>
      <c r="R4539" s="3" t="str">
        <f>HYPERLINK("https://panda.att.com.mx/ODKServer/view/binaryData?blobKey=FSSuministroFluidosv3%5B%40version%3Dnull+and+%40uiVersion%3Dnull%5D%2Fdata%5B%40key%3Duuid%3Ac907eff6-6dda-4215-b371-af51ff180f76%5D%2FgroupInfoFuel%5B%40ordinal%3D1%5D%2FpicFuelRecibeInterno","Descargar")</f>
        <v>Descargar</v>
      </c>
    </row>
    <row r="4540" spans="1:18" x14ac:dyDescent="0.3">
      <c r="A4540">
        <v>1473948</v>
      </c>
      <c r="B4540" t="s">
        <v>18</v>
      </c>
      <c r="C4540" t="s">
        <v>28</v>
      </c>
      <c r="D4540" t="s">
        <v>315</v>
      </c>
      <c r="E4540" t="s">
        <v>3303</v>
      </c>
      <c r="F4540" t="s">
        <v>22</v>
      </c>
      <c r="G4540" t="s">
        <v>23</v>
      </c>
      <c r="H4540" t="s">
        <v>24</v>
      </c>
      <c r="I4540" t="s">
        <v>25</v>
      </c>
      <c r="J4540" t="s">
        <v>3304</v>
      </c>
      <c r="K4540">
        <v>30</v>
      </c>
      <c r="L4540">
        <v>1</v>
      </c>
      <c r="M4540">
        <v>2025</v>
      </c>
      <c r="N4540" t="s">
        <v>44</v>
      </c>
      <c r="O4540">
        <v>30</v>
      </c>
      <c r="P4540">
        <v>30</v>
      </c>
      <c r="R4540" s="3" t="str">
        <f>HYPERLINK("https://panda.att.com.mx/ODKServer/view/binaryData?blobKey=FSSuministroFluidosv3%5B%40version%3Dnull+and+%40uiVersion%3Dnull%5D%2Fdata%5B%40key%3Duuid%3Ae0e23ae8-7cee-492e-acb6-ef145d3ca185%5D%2FgroupInfoFuel%5B%40ordinal%3D1%5D%2FpicFuelRecibeInterno","Descargar")</f>
        <v>Descargar</v>
      </c>
    </row>
    <row r="4541" spans="1:18" x14ac:dyDescent="0.3">
      <c r="A4541">
        <v>1473868</v>
      </c>
      <c r="B4541" t="s">
        <v>18</v>
      </c>
      <c r="C4541" t="s">
        <v>59</v>
      </c>
      <c r="D4541" t="s">
        <v>60</v>
      </c>
      <c r="E4541" t="s">
        <v>1014</v>
      </c>
      <c r="F4541" t="s">
        <v>22</v>
      </c>
      <c r="G4541" t="s">
        <v>23</v>
      </c>
      <c r="H4541" t="s">
        <v>37</v>
      </c>
      <c r="I4541" t="s">
        <v>25</v>
      </c>
      <c r="J4541" t="s">
        <v>3305</v>
      </c>
      <c r="K4541">
        <v>30</v>
      </c>
      <c r="L4541">
        <v>1</v>
      </c>
      <c r="M4541">
        <v>2025</v>
      </c>
      <c r="N4541" t="s">
        <v>27</v>
      </c>
      <c r="O4541">
        <v>50</v>
      </c>
      <c r="P4541">
        <v>50</v>
      </c>
      <c r="R4541" s="3" t="str">
        <f>HYPERLINK("https://panda.att.com.mx/ODKServer/view/binaryData?blobKey=FSSuministroFluidosv3%5B%40version%3Dnull+and+%40uiVersion%3Dnull%5D%2Fdata%5B%40key%3Duuid%3Afa29e0eb-9e15-43ed-838f-d9122025ec9b%5D%2FgroupInfoFuel%5B%40ordinal%3D1%5D%2FpicFuelRecibeInterno","Descargar")</f>
        <v>Descargar</v>
      </c>
    </row>
    <row r="4542" spans="1:18" x14ac:dyDescent="0.3">
      <c r="A4542">
        <v>1473821</v>
      </c>
      <c r="B4542" t="s">
        <v>18</v>
      </c>
      <c r="C4542" t="s">
        <v>28</v>
      </c>
      <c r="D4542" t="s">
        <v>181</v>
      </c>
      <c r="E4542" t="s">
        <v>2989</v>
      </c>
      <c r="F4542" t="s">
        <v>22</v>
      </c>
      <c r="G4542" t="s">
        <v>47</v>
      </c>
      <c r="H4542" t="s">
        <v>24</v>
      </c>
      <c r="I4542" t="s">
        <v>25</v>
      </c>
      <c r="J4542" t="s">
        <v>3306</v>
      </c>
      <c r="K4542">
        <v>28</v>
      </c>
      <c r="L4542">
        <v>1</v>
      </c>
      <c r="M4542">
        <v>2025</v>
      </c>
      <c r="N4542" t="s">
        <v>27</v>
      </c>
      <c r="O4542">
        <v>400</v>
      </c>
      <c r="P4542">
        <v>400</v>
      </c>
      <c r="R4542" s="3" t="str">
        <f>HYPERLINK("https://panda.att.com.mx/ODKServer/view/binaryData?blobKey=FSSuministroFluidosv3%5B%40version%3Dnull+and+%40uiVersion%3Dnull%5D%2Fdata%5B%40key%3Duuid%3A8dfd9f7e-7095-4359-9700-f494d19ca130%5D%2FgroupInfoFuel%5B%40ordinal%3D1%5D%2FpicFuelRecibeInterno","Descargar")</f>
        <v>Descargar</v>
      </c>
    </row>
    <row r="4543" spans="1:18" x14ac:dyDescent="0.3">
      <c r="A4543">
        <v>1473816</v>
      </c>
      <c r="B4543" t="s">
        <v>18</v>
      </c>
      <c r="C4543" t="s">
        <v>59</v>
      </c>
      <c r="D4543" t="s">
        <v>60</v>
      </c>
      <c r="E4543" t="s">
        <v>2207</v>
      </c>
      <c r="F4543" t="s">
        <v>22</v>
      </c>
      <c r="G4543" t="s">
        <v>23</v>
      </c>
      <c r="H4543" t="s">
        <v>37</v>
      </c>
      <c r="I4543" t="s">
        <v>25</v>
      </c>
      <c r="J4543" t="s">
        <v>3307</v>
      </c>
      <c r="K4543">
        <v>27</v>
      </c>
      <c r="L4543">
        <v>1</v>
      </c>
      <c r="M4543">
        <v>2025</v>
      </c>
      <c r="N4543" t="s">
        <v>27</v>
      </c>
      <c r="O4543">
        <v>130</v>
      </c>
      <c r="P4543">
        <v>130</v>
      </c>
      <c r="R4543" s="3" t="str">
        <f>HYPERLINK("https://panda.att.com.mx/ODKServer/view/binaryData?blobKey=FSSuministroFluidosv3%5B%40version%3Dnull+and+%40uiVersion%3Dnull%5D%2Fdata%5B%40key%3Duuid%3A7e30348f-8a8a-4430-9668-e9b75376ac90%5D%2FgroupInfoFuel%5B%40ordinal%3D1%5D%2FpicFuelRecibeInterno","Descargar")</f>
        <v>Descargar</v>
      </c>
    </row>
    <row r="4544" spans="1:18" x14ac:dyDescent="0.3">
      <c r="A4544">
        <v>1473787</v>
      </c>
      <c r="B4544" t="s">
        <v>18</v>
      </c>
      <c r="C4544" t="s">
        <v>59</v>
      </c>
      <c r="D4544" t="s">
        <v>60</v>
      </c>
      <c r="E4544" t="s">
        <v>2207</v>
      </c>
      <c r="F4544" t="s">
        <v>22</v>
      </c>
      <c r="G4544" t="s">
        <v>23</v>
      </c>
      <c r="H4544" t="s">
        <v>37</v>
      </c>
      <c r="I4544" t="s">
        <v>25</v>
      </c>
      <c r="J4544" t="s">
        <v>3308</v>
      </c>
      <c r="K4544">
        <v>30</v>
      </c>
      <c r="L4544">
        <v>1</v>
      </c>
      <c r="M4544">
        <v>2025</v>
      </c>
      <c r="N4544" t="s">
        <v>27</v>
      </c>
      <c r="O4544">
        <v>130</v>
      </c>
      <c r="P4544">
        <v>130</v>
      </c>
      <c r="R4544" s="3" t="str">
        <f>HYPERLINK("https://panda.att.com.mx/ODKServer/view/binaryData?blobKey=FSSuministroFluidosv3%5B%40version%3Dnull+and+%40uiVersion%3Dnull%5D%2Fdata%5B%40key%3Duuid%3Ab4596d3b-db28-49f5-b76a-b9134ec993fa%5D%2FgroupInfoFuel%5B%40ordinal%3D1%5D%2FpicFuelRecibeInterno","Descargar")</f>
        <v>Descargar</v>
      </c>
    </row>
    <row r="4545" spans="1:18" x14ac:dyDescent="0.3">
      <c r="A4545">
        <v>1473758</v>
      </c>
      <c r="B4545" t="s">
        <v>18</v>
      </c>
      <c r="C4545" t="s">
        <v>59</v>
      </c>
      <c r="D4545" t="s">
        <v>60</v>
      </c>
      <c r="E4545" t="s">
        <v>2207</v>
      </c>
      <c r="F4545" t="s">
        <v>22</v>
      </c>
      <c r="G4545" t="s">
        <v>23</v>
      </c>
      <c r="H4545" t="s">
        <v>37</v>
      </c>
      <c r="I4545" t="s">
        <v>25</v>
      </c>
      <c r="J4545" t="s">
        <v>3309</v>
      </c>
      <c r="K4545">
        <v>30</v>
      </c>
      <c r="L4545">
        <v>1</v>
      </c>
      <c r="M4545">
        <v>2025</v>
      </c>
      <c r="N4545" t="s">
        <v>27</v>
      </c>
      <c r="O4545">
        <v>130</v>
      </c>
      <c r="P4545">
        <v>130</v>
      </c>
      <c r="R4545" s="3" t="str">
        <f>HYPERLINK("https://panda.att.com.mx/ODKServer/view/binaryData?blobKey=FSSuministroFluidosv3%5B%40version%3Dnull+and+%40uiVersion%3Dnull%5D%2Fdata%5B%40key%3Duuid%3Ab399585b-d888-4407-8012-046d6b6ce9fd%5D%2FgroupInfoFuel%5B%40ordinal%3D1%5D%2FpicFuelRecibeInterno","Descargar")</f>
        <v>Descargar</v>
      </c>
    </row>
    <row r="4546" spans="1:18" x14ac:dyDescent="0.3">
      <c r="A4546">
        <v>1473687</v>
      </c>
      <c r="B4546" t="s">
        <v>18</v>
      </c>
      <c r="C4546" t="s">
        <v>68</v>
      </c>
      <c r="D4546" t="s">
        <v>69</v>
      </c>
      <c r="E4546" t="s">
        <v>1960</v>
      </c>
      <c r="F4546" t="s">
        <v>22</v>
      </c>
      <c r="G4546" t="s">
        <v>23</v>
      </c>
      <c r="H4546" t="s">
        <v>37</v>
      </c>
      <c r="I4546" t="s">
        <v>25</v>
      </c>
      <c r="J4546" t="s">
        <v>3310</v>
      </c>
      <c r="K4546">
        <v>30</v>
      </c>
      <c r="L4546">
        <v>1</v>
      </c>
      <c r="M4546">
        <v>2025</v>
      </c>
      <c r="N4546" t="s">
        <v>27</v>
      </c>
      <c r="O4546">
        <v>200</v>
      </c>
      <c r="P4546">
        <v>200</v>
      </c>
      <c r="R4546" s="3" t="str">
        <f>HYPERLINK("https://panda.att.com.mx/ODKServer/view/binaryData?blobKey=FSSuministroFluidosv3%5B%40version%3Dnull+and+%40uiVersion%3Dnull%5D%2Fdata%5B%40key%3Duuid%3A429389a1-9840-4f43-bb35-aa3b9fe9b954%5D%2FgroupInfoFuel%5B%40ordinal%3D1%5D%2FpicFuelRecibeInterno","Descargar")</f>
        <v>Descargar</v>
      </c>
    </row>
    <row r="4547" spans="1:18" x14ac:dyDescent="0.3">
      <c r="A4547">
        <v>1473618</v>
      </c>
      <c r="B4547" t="s">
        <v>18</v>
      </c>
      <c r="C4547" t="s">
        <v>34</v>
      </c>
      <c r="D4547" t="s">
        <v>53</v>
      </c>
      <c r="E4547" t="s">
        <v>3311</v>
      </c>
      <c r="F4547" t="s">
        <v>22</v>
      </c>
      <c r="G4547" t="s">
        <v>23</v>
      </c>
      <c r="H4547" t="s">
        <v>37</v>
      </c>
      <c r="I4547" t="s">
        <v>25</v>
      </c>
      <c r="J4547" t="s">
        <v>3312</v>
      </c>
      <c r="K4547">
        <v>30</v>
      </c>
      <c r="L4547">
        <v>1</v>
      </c>
      <c r="M4547">
        <v>2025</v>
      </c>
      <c r="N4547" t="s">
        <v>27</v>
      </c>
      <c r="O4547">
        <v>300</v>
      </c>
      <c r="P4547">
        <v>300</v>
      </c>
      <c r="R4547" s="3" t="str">
        <f>HYPERLINK("https://panda.att.com.mx/ODKServer/view/binaryData?blobKey=FSSuministroFluidosv3%5B%40version%3Dnull+and+%40uiVersion%3Dnull%5D%2Fdata%5B%40key%3Duuid%3Ac6e08d94-c676-4d37-9126-8f7d433bc95c%5D%2FgroupInfoFuel%5B%40ordinal%3D1%5D%2FpicFuelRecibeInterno","Descargar")</f>
        <v>Descargar</v>
      </c>
    </row>
    <row r="4548" spans="1:18" x14ac:dyDescent="0.3">
      <c r="A4548">
        <v>1473592</v>
      </c>
      <c r="B4548" t="s">
        <v>18</v>
      </c>
      <c r="C4548" t="s">
        <v>19</v>
      </c>
      <c r="D4548" t="s">
        <v>20</v>
      </c>
      <c r="E4548" t="s">
        <v>166</v>
      </c>
      <c r="F4548" t="s">
        <v>22</v>
      </c>
      <c r="G4548" t="s">
        <v>23</v>
      </c>
      <c r="H4548" t="s">
        <v>24</v>
      </c>
      <c r="I4548" t="s">
        <v>25</v>
      </c>
      <c r="J4548" t="s">
        <v>3313</v>
      </c>
      <c r="K4548">
        <v>30</v>
      </c>
      <c r="L4548">
        <v>1</v>
      </c>
      <c r="M4548">
        <v>2025</v>
      </c>
      <c r="N4548" t="s">
        <v>27</v>
      </c>
      <c r="O4548">
        <v>400</v>
      </c>
      <c r="P4548">
        <v>400</v>
      </c>
      <c r="R4548" s="3" t="str">
        <f>HYPERLINK("https://panda.att.com.mx/ODKServer/view/binaryData?blobKey=FSSuministroFluidosv3%5B%40version%3Dnull+and+%40uiVersion%3Dnull%5D%2Fdata%5B%40key%3Duuid%3A60f7dac1-0b36-4c4f-92d3-aa37d3d7b2d6%5D%2FgroupInfoFuel%5B%40ordinal%3D1%5D%2FpicFuelRecibeInterno","Descargar")</f>
        <v>Descargar</v>
      </c>
    </row>
    <row r="4549" spans="1:18" x14ac:dyDescent="0.3">
      <c r="A4549">
        <v>1473569</v>
      </c>
      <c r="B4549" t="s">
        <v>18</v>
      </c>
      <c r="C4549" t="s">
        <v>183</v>
      </c>
      <c r="D4549" t="s">
        <v>329</v>
      </c>
      <c r="E4549" t="s">
        <v>330</v>
      </c>
      <c r="F4549" t="s">
        <v>22</v>
      </c>
      <c r="G4549" t="s">
        <v>23</v>
      </c>
      <c r="H4549" t="s">
        <v>24</v>
      </c>
      <c r="I4549" t="s">
        <v>25</v>
      </c>
      <c r="J4549" t="s">
        <v>3314</v>
      </c>
      <c r="K4549">
        <v>30</v>
      </c>
      <c r="L4549">
        <v>1</v>
      </c>
      <c r="M4549">
        <v>2025</v>
      </c>
      <c r="N4549" t="s">
        <v>44</v>
      </c>
      <c r="O4549">
        <v>40</v>
      </c>
      <c r="P4549">
        <v>40</v>
      </c>
      <c r="R4549" s="3" t="str">
        <f>HYPERLINK("https://panda.att.com.mx/ODKServer/view/binaryData?blobKey=FSSuministroFluidosv3%5B%40version%3Dnull+and+%40uiVersion%3Dnull%5D%2Fdata%5B%40key%3Duuid%3A4e80b872-de1a-4556-8c87-367a1c6f7479%5D%2FgroupInfoFuel%5B%40ordinal%3D1%5D%2FpicFuelRecibeInterno","Descargar")</f>
        <v>Descargar</v>
      </c>
    </row>
    <row r="4550" spans="1:18" x14ac:dyDescent="0.3">
      <c r="A4550">
        <v>1471579</v>
      </c>
      <c r="B4550" t="s">
        <v>18</v>
      </c>
      <c r="C4550" t="s">
        <v>19</v>
      </c>
      <c r="D4550" t="s">
        <v>189</v>
      </c>
      <c r="E4550" t="s">
        <v>3315</v>
      </c>
      <c r="F4550" t="s">
        <v>22</v>
      </c>
      <c r="G4550" t="s">
        <v>23</v>
      </c>
      <c r="H4550" t="s">
        <v>24</v>
      </c>
      <c r="I4550" t="s">
        <v>25</v>
      </c>
      <c r="J4550" t="s">
        <v>3316</v>
      </c>
      <c r="K4550">
        <v>25</v>
      </c>
      <c r="L4550">
        <v>1</v>
      </c>
      <c r="M4550">
        <v>2025</v>
      </c>
      <c r="N4550" t="s">
        <v>27</v>
      </c>
      <c r="O4550">
        <v>20</v>
      </c>
      <c r="P4550">
        <v>20</v>
      </c>
      <c r="R4550" s="3" t="str">
        <f>HYPERLINK("https://panda.att.com.mx/ODKServer/view/binaryData?blobKey=FSSuministroFluidosv3%5B%40version%3Dnull+and+%40uiVersion%3Dnull%5D%2Fdata%5B%40key%3Duuid%3A67c8a95d-504d-4a5d-b8eb-b36716fd9f5c%5D%2FgroupInfoFuel%5B%40ordinal%3D1%5D%2FpicFuelRecibeInterno","Descargar")</f>
        <v>Descargar</v>
      </c>
    </row>
    <row r="4551" spans="1:18" x14ac:dyDescent="0.3">
      <c r="A4551">
        <v>1471525</v>
      </c>
      <c r="B4551" t="s">
        <v>18</v>
      </c>
      <c r="C4551" t="s">
        <v>34</v>
      </c>
      <c r="D4551" t="s">
        <v>121</v>
      </c>
      <c r="E4551" t="s">
        <v>3086</v>
      </c>
      <c r="F4551" t="s">
        <v>22</v>
      </c>
      <c r="G4551" t="s">
        <v>23</v>
      </c>
      <c r="H4551" t="s">
        <v>37</v>
      </c>
      <c r="I4551" t="s">
        <v>25</v>
      </c>
      <c r="J4551" t="s">
        <v>3317</v>
      </c>
      <c r="K4551">
        <v>27</v>
      </c>
      <c r="L4551">
        <v>1</v>
      </c>
      <c r="M4551">
        <v>2025</v>
      </c>
      <c r="N4551" t="s">
        <v>27</v>
      </c>
      <c r="O4551">
        <v>300</v>
      </c>
      <c r="P4551">
        <v>300</v>
      </c>
      <c r="R4551" s="3" t="str">
        <f>HYPERLINK("https://panda.att.com.mx/ODKServer/view/binaryData?blobKey=FSSuministroFluidosv3%5B%40version%3Dnull+and+%40uiVersion%3Dnull%5D%2Fdata%5B%40key%3Duuid%3A94b0a300-1f4e-4a54-b9c6-4d9bcb85241e%5D%2FgroupInfoFuel%5B%40ordinal%3D1%5D%2FpicFuelRecibeInterno","Descargar")</f>
        <v>Descargar</v>
      </c>
    </row>
    <row r="4552" spans="1:18" x14ac:dyDescent="0.3">
      <c r="A4552">
        <v>1471523</v>
      </c>
      <c r="B4552" t="s">
        <v>18</v>
      </c>
      <c r="C4552" t="s">
        <v>34</v>
      </c>
      <c r="D4552" t="s">
        <v>121</v>
      </c>
      <c r="E4552" t="s">
        <v>3102</v>
      </c>
      <c r="F4552" t="s">
        <v>22</v>
      </c>
      <c r="G4552" t="s">
        <v>23</v>
      </c>
      <c r="H4552" t="s">
        <v>37</v>
      </c>
      <c r="I4552" t="s">
        <v>25</v>
      </c>
      <c r="J4552" t="s">
        <v>3318</v>
      </c>
      <c r="K4552">
        <v>27</v>
      </c>
      <c r="L4552">
        <v>1</v>
      </c>
      <c r="M4552">
        <v>2025</v>
      </c>
      <c r="N4552" t="s">
        <v>27</v>
      </c>
      <c r="O4552">
        <v>200</v>
      </c>
      <c r="P4552">
        <v>200</v>
      </c>
      <c r="R4552" s="3" t="str">
        <f>HYPERLINK("https://panda.att.com.mx/ODKServer/view/binaryData?blobKey=FSSuministroFluidosv3%5B%40version%3Dnull+and+%40uiVersion%3Dnull%5D%2Fdata%5B%40key%3Duuid%3A0414e120-1dde-499d-a7c4-5f2dba372740%5D%2FgroupInfoFuel%5B%40ordinal%3D1%5D%2FpicFuelRecibeInterno","Descargar")</f>
        <v>Descargar</v>
      </c>
    </row>
    <row r="4553" spans="1:18" x14ac:dyDescent="0.3">
      <c r="A4553">
        <v>1471522</v>
      </c>
      <c r="B4553" t="s">
        <v>18</v>
      </c>
      <c r="C4553" t="s">
        <v>34</v>
      </c>
      <c r="D4553" t="s">
        <v>121</v>
      </c>
      <c r="E4553" t="s">
        <v>3041</v>
      </c>
      <c r="F4553" t="s">
        <v>22</v>
      </c>
      <c r="G4553" t="s">
        <v>23</v>
      </c>
      <c r="H4553" t="s">
        <v>37</v>
      </c>
      <c r="I4553" t="s">
        <v>25</v>
      </c>
      <c r="J4553" t="s">
        <v>3319</v>
      </c>
      <c r="K4553">
        <v>27</v>
      </c>
      <c r="L4553">
        <v>1</v>
      </c>
      <c r="M4553">
        <v>2025</v>
      </c>
      <c r="N4553" t="s">
        <v>27</v>
      </c>
      <c r="O4553">
        <v>500</v>
      </c>
      <c r="P4553">
        <v>500</v>
      </c>
      <c r="R4553" s="3" t="str">
        <f>HYPERLINK("https://panda.att.com.mx/ODKServer/view/binaryData?blobKey=FSSuministroFluidosv3%5B%40version%3Dnull+and+%40uiVersion%3Dnull%5D%2Fdata%5B%40key%3Duuid%3Ad9245d0f-3f05-4745-883f-ae164f25fa21%5D%2FgroupInfoFuel%5B%40ordinal%3D1%5D%2FpicFuelRecibeInterno","Descargar")</f>
        <v>Descargar</v>
      </c>
    </row>
    <row r="4554" spans="1:18" x14ac:dyDescent="0.3">
      <c r="A4554">
        <v>1471505</v>
      </c>
      <c r="B4554" t="s">
        <v>18</v>
      </c>
      <c r="C4554" t="s">
        <v>59</v>
      </c>
      <c r="D4554" t="s">
        <v>60</v>
      </c>
      <c r="E4554" t="s">
        <v>3320</v>
      </c>
      <c r="F4554" t="s">
        <v>22</v>
      </c>
      <c r="G4554" t="s">
        <v>23</v>
      </c>
      <c r="H4554" t="s">
        <v>37</v>
      </c>
      <c r="I4554" t="s">
        <v>25</v>
      </c>
      <c r="J4554" t="s">
        <v>3321</v>
      </c>
      <c r="K4554">
        <v>24</v>
      </c>
      <c r="L4554">
        <v>1</v>
      </c>
      <c r="M4554">
        <v>2025</v>
      </c>
      <c r="N4554" t="s">
        <v>27</v>
      </c>
      <c r="O4554">
        <v>450</v>
      </c>
      <c r="P4554">
        <v>450</v>
      </c>
      <c r="R4554" s="3" t="str">
        <f>HYPERLINK("https://panda.att.com.mx/ODKServer/view/binaryData?blobKey=FSSuministroFluidosv3%5B%40version%3Dnull+and+%40uiVersion%3Dnull%5D%2Fdata%5B%40key%3Duuid%3A4cc90e59-ee76-4e3c-9927-a934c1e6dc35%5D%2FgroupInfoFuel%5B%40ordinal%3D1%5D%2FpicFuelRecibeInterno","Descargar")</f>
        <v>Descargar</v>
      </c>
    </row>
    <row r="4555" spans="1:18" x14ac:dyDescent="0.3">
      <c r="A4555">
        <v>1471469</v>
      </c>
      <c r="B4555" t="s">
        <v>18</v>
      </c>
      <c r="C4555" t="s">
        <v>150</v>
      </c>
      <c r="D4555" t="s">
        <v>296</v>
      </c>
      <c r="E4555" t="s">
        <v>3322</v>
      </c>
      <c r="F4555" t="s">
        <v>22</v>
      </c>
      <c r="G4555" t="s">
        <v>23</v>
      </c>
      <c r="H4555" t="s">
        <v>1781</v>
      </c>
      <c r="I4555" t="s">
        <v>25</v>
      </c>
      <c r="J4555" t="s">
        <v>3323</v>
      </c>
      <c r="K4555">
        <v>27</v>
      </c>
      <c r="L4555">
        <v>1</v>
      </c>
      <c r="M4555">
        <v>2025</v>
      </c>
      <c r="N4555" t="s">
        <v>27</v>
      </c>
      <c r="O4555">
        <v>350</v>
      </c>
      <c r="P4555">
        <v>350</v>
      </c>
      <c r="R4555" s="3" t="str">
        <f>HYPERLINK("https://panda.att.com.mx/ODKServer/view/binaryData?blobKey=FSSuministroFluidosv3%5B%40version%3Dnull+and+%40uiVersion%3Dnull%5D%2Fdata%5B%40key%3Duuid%3Adab46eb4-71bd-477f-a8a8-227f02250fb1%5D%2FgroupInfoFuel%5B%40ordinal%3D1%5D%2FpicFuelRecibeInterno","Descargar")</f>
        <v>Descargar</v>
      </c>
    </row>
    <row r="4556" spans="1:18" x14ac:dyDescent="0.3">
      <c r="A4556">
        <v>1471407</v>
      </c>
      <c r="B4556" t="s">
        <v>18</v>
      </c>
      <c r="C4556" t="s">
        <v>34</v>
      </c>
      <c r="D4556" t="s">
        <v>121</v>
      </c>
      <c r="E4556" t="s">
        <v>3041</v>
      </c>
      <c r="F4556" t="s">
        <v>22</v>
      </c>
      <c r="G4556" t="s">
        <v>23</v>
      </c>
      <c r="H4556" t="s">
        <v>37</v>
      </c>
      <c r="I4556" t="s">
        <v>25</v>
      </c>
      <c r="J4556" t="s">
        <v>3324</v>
      </c>
      <c r="K4556">
        <v>24</v>
      </c>
      <c r="L4556">
        <v>1</v>
      </c>
      <c r="M4556">
        <v>2025</v>
      </c>
      <c r="N4556" t="s">
        <v>27</v>
      </c>
      <c r="O4556">
        <v>150</v>
      </c>
      <c r="P4556">
        <v>150</v>
      </c>
      <c r="R4556" s="3" t="str">
        <f>HYPERLINK("https://panda.att.com.mx/ODKServer/view/binaryData?blobKey=FSSuministroFluidosv3%5B%40version%3Dnull+and+%40uiVersion%3Dnull%5D%2Fdata%5B%40key%3Duuid%3A083c9383-09cb-40ff-a8ed-508d1fcaf603%5D%2FgroupInfoFuel%5B%40ordinal%3D1%5D%2FpicFuelRecibeInterno","Descargar")</f>
        <v>Descargar</v>
      </c>
    </row>
    <row r="4557" spans="1:18" x14ac:dyDescent="0.3">
      <c r="A4557">
        <v>1471379</v>
      </c>
      <c r="B4557" t="s">
        <v>18</v>
      </c>
      <c r="C4557" t="s">
        <v>34</v>
      </c>
      <c r="D4557" t="s">
        <v>121</v>
      </c>
      <c r="E4557" t="s">
        <v>3102</v>
      </c>
      <c r="F4557" t="s">
        <v>22</v>
      </c>
      <c r="G4557" t="s">
        <v>23</v>
      </c>
      <c r="H4557" t="s">
        <v>37</v>
      </c>
      <c r="I4557" t="s">
        <v>25</v>
      </c>
      <c r="J4557" t="s">
        <v>3325</v>
      </c>
      <c r="K4557">
        <v>24</v>
      </c>
      <c r="L4557">
        <v>1</v>
      </c>
      <c r="M4557">
        <v>2025</v>
      </c>
      <c r="N4557" t="s">
        <v>27</v>
      </c>
      <c r="O4557">
        <v>200</v>
      </c>
      <c r="P4557">
        <v>200</v>
      </c>
      <c r="R4557" s="3" t="str">
        <f>HYPERLINK("https://panda.att.com.mx/ODKServer/view/binaryData?blobKey=FSSuministroFluidosv3%5B%40version%3Dnull+and+%40uiVersion%3Dnull%5D%2Fdata%5B%40key%3Duuid%3A326ed2f9-9733-4a9c-b921-97cf2082b423%5D%2FgroupInfoFuel%5B%40ordinal%3D1%5D%2FpicFuelRecibeInterno","Descargar")</f>
        <v>Descargar</v>
      </c>
    </row>
    <row r="4558" spans="1:18" x14ac:dyDescent="0.3">
      <c r="A4558">
        <v>1471374</v>
      </c>
      <c r="B4558" t="s">
        <v>18</v>
      </c>
      <c r="C4558" t="s">
        <v>34</v>
      </c>
      <c r="D4558" t="s">
        <v>121</v>
      </c>
      <c r="E4558" t="s">
        <v>3086</v>
      </c>
      <c r="F4558" t="s">
        <v>22</v>
      </c>
      <c r="G4558" t="s">
        <v>23</v>
      </c>
      <c r="H4558" t="s">
        <v>37</v>
      </c>
      <c r="I4558" t="s">
        <v>25</v>
      </c>
      <c r="J4558" t="s">
        <v>3326</v>
      </c>
      <c r="K4558">
        <v>24</v>
      </c>
      <c r="L4558">
        <v>1</v>
      </c>
      <c r="M4558">
        <v>2025</v>
      </c>
      <c r="N4558" t="s">
        <v>27</v>
      </c>
      <c r="O4558">
        <v>300</v>
      </c>
      <c r="P4558">
        <v>300</v>
      </c>
      <c r="R4558" s="3" t="str">
        <f>HYPERLINK("https://panda.att.com.mx/ODKServer/view/binaryData?blobKey=FSSuministroFluidosv3%5B%40version%3Dnull+and+%40uiVersion%3Dnull%5D%2Fdata%5B%40key%3Duuid%3A77a49ce1-8984-48dc-b095-9f841fd8f658%5D%2FgroupInfoFuel%5B%40ordinal%3D1%5D%2FpicFuelRecibeInterno","Descargar")</f>
        <v>Descargar</v>
      </c>
    </row>
    <row r="4559" spans="1:18" x14ac:dyDescent="0.3">
      <c r="A4559">
        <v>1471317</v>
      </c>
      <c r="B4559" t="s">
        <v>18</v>
      </c>
      <c r="C4559" t="s">
        <v>19</v>
      </c>
      <c r="D4559" t="s">
        <v>140</v>
      </c>
      <c r="E4559" t="s">
        <v>3327</v>
      </c>
      <c r="F4559" t="s">
        <v>22</v>
      </c>
      <c r="G4559" t="s">
        <v>23</v>
      </c>
      <c r="H4559" t="s">
        <v>24</v>
      </c>
      <c r="I4559" t="s">
        <v>25</v>
      </c>
      <c r="J4559" t="s">
        <v>3328</v>
      </c>
      <c r="K4559">
        <v>27</v>
      </c>
      <c r="L4559">
        <v>1</v>
      </c>
      <c r="M4559">
        <v>2025</v>
      </c>
      <c r="N4559" t="s">
        <v>44</v>
      </c>
      <c r="O4559">
        <v>50</v>
      </c>
      <c r="P4559">
        <v>50</v>
      </c>
      <c r="R4559" s="3" t="str">
        <f>HYPERLINK("https://panda.att.com.mx/ODKServer/view/binaryData?blobKey=FSSuministroFluidosv3%5B%40version%3Dnull+and+%40uiVersion%3Dnull%5D%2Fdata%5B%40key%3Duuid%3A23e1aa30-7cc1-4a02-8693-573612616801%5D%2FgroupInfoFuel%5B%40ordinal%3D1%5D%2FpicFuelRecibeInterno","Descargar")</f>
        <v>Descargar</v>
      </c>
    </row>
    <row r="4560" spans="1:18" x14ac:dyDescent="0.3">
      <c r="A4560">
        <v>1471257</v>
      </c>
      <c r="B4560" t="s">
        <v>18</v>
      </c>
      <c r="C4560" t="s">
        <v>68</v>
      </c>
      <c r="D4560" t="s">
        <v>69</v>
      </c>
      <c r="E4560" t="s">
        <v>70</v>
      </c>
      <c r="F4560" t="s">
        <v>22</v>
      </c>
      <c r="G4560" t="s">
        <v>23</v>
      </c>
      <c r="H4560" t="s">
        <v>37</v>
      </c>
      <c r="I4560" t="s">
        <v>25</v>
      </c>
      <c r="J4560" t="s">
        <v>3329</v>
      </c>
      <c r="K4560">
        <v>27</v>
      </c>
      <c r="L4560">
        <v>1</v>
      </c>
      <c r="M4560">
        <v>2025</v>
      </c>
      <c r="N4560" t="s">
        <v>27</v>
      </c>
      <c r="O4560">
        <v>150</v>
      </c>
      <c r="P4560">
        <v>150</v>
      </c>
      <c r="R4560" s="3" t="str">
        <f>HYPERLINK("https://panda.att.com.mx/ODKServer/view/binaryData?blobKey=FSSuministroFluidosv3%5B%40version%3Dnull+and+%40uiVersion%3Dnull%5D%2Fdata%5B%40key%3Duuid%3A11559f5b-1faf-4b9a-95af-f51380446054%5D%2FgroupInfoFuel%5B%40ordinal%3D1%5D%2FpicFuelRecibeInterno","Descargar")</f>
        <v>Descargar</v>
      </c>
    </row>
    <row r="4561" spans="1:18" x14ac:dyDescent="0.3">
      <c r="A4561">
        <v>1471253</v>
      </c>
      <c r="B4561" t="s">
        <v>18</v>
      </c>
      <c r="C4561" t="s">
        <v>150</v>
      </c>
      <c r="D4561" t="s">
        <v>230</v>
      </c>
      <c r="E4561" t="s">
        <v>3149</v>
      </c>
      <c r="F4561" t="s">
        <v>22</v>
      </c>
      <c r="G4561" t="s">
        <v>47</v>
      </c>
      <c r="H4561" t="s">
        <v>1781</v>
      </c>
      <c r="I4561" t="s">
        <v>25</v>
      </c>
      <c r="J4561" t="s">
        <v>3330</v>
      </c>
      <c r="K4561">
        <v>27</v>
      </c>
      <c r="L4561">
        <v>1</v>
      </c>
      <c r="M4561">
        <v>2025</v>
      </c>
      <c r="N4561" t="s">
        <v>27</v>
      </c>
      <c r="O4561">
        <v>150.01</v>
      </c>
      <c r="P4561">
        <v>150.01</v>
      </c>
      <c r="R4561" s="3" t="str">
        <f>HYPERLINK("https://panda.att.com.mx/ODKServer/view/binaryData?blobKey=FSSuministroFluidosv3%5B%40version%3Dnull+and+%40uiVersion%3Dnull%5D%2Fdata%5B%40key%3Duuid%3A39cffffd-4ef8-4c98-8e48-2d70b1b18c74%5D%2FgroupInfoFuel%5B%40ordinal%3D1%5D%2FpicFuelRecibeInterno","Descargar")</f>
        <v>Descargar</v>
      </c>
    </row>
    <row r="4562" spans="1:18" x14ac:dyDescent="0.3">
      <c r="A4562">
        <v>1471217</v>
      </c>
      <c r="B4562" t="s">
        <v>18</v>
      </c>
      <c r="C4562" t="s">
        <v>19</v>
      </c>
      <c r="D4562" t="s">
        <v>45</v>
      </c>
      <c r="E4562" t="s">
        <v>752</v>
      </c>
      <c r="F4562" t="s">
        <v>22</v>
      </c>
      <c r="G4562" t="s">
        <v>23</v>
      </c>
      <c r="H4562" t="s">
        <v>24</v>
      </c>
      <c r="I4562" t="s">
        <v>25</v>
      </c>
      <c r="J4562" t="s">
        <v>3331</v>
      </c>
      <c r="K4562">
        <v>26</v>
      </c>
      <c r="L4562">
        <v>1</v>
      </c>
      <c r="M4562">
        <v>2025</v>
      </c>
      <c r="N4562" t="s">
        <v>27</v>
      </c>
      <c r="O4562">
        <v>400</v>
      </c>
      <c r="P4562">
        <v>400</v>
      </c>
      <c r="R4562" s="3" t="str">
        <f>HYPERLINK("https://panda.att.com.mx/ODKServer/view/binaryData?blobKey=FSSuministroFluidosv3%5B%40version%3Dnull+and+%40uiVersion%3Dnull%5D%2Fdata%5B%40key%3Duuid%3A25c5cee7-b4ca-4b6d-8214-fec2a4f0a48e%5D%2FgroupInfoFuel%5B%40ordinal%3D1%5D%2FpicFuelRecibeInterno","Descargar")</f>
        <v>Descargar</v>
      </c>
    </row>
    <row r="4563" spans="1:18" x14ac:dyDescent="0.3">
      <c r="A4563">
        <v>1471203</v>
      </c>
      <c r="B4563" t="s">
        <v>18</v>
      </c>
      <c r="C4563" t="s">
        <v>34</v>
      </c>
      <c r="D4563" t="s">
        <v>53</v>
      </c>
      <c r="E4563" t="s">
        <v>3131</v>
      </c>
      <c r="F4563" t="s">
        <v>22</v>
      </c>
      <c r="G4563" t="s">
        <v>23</v>
      </c>
      <c r="H4563" t="s">
        <v>37</v>
      </c>
      <c r="I4563" t="s">
        <v>25</v>
      </c>
      <c r="J4563" t="s">
        <v>3332</v>
      </c>
      <c r="K4563">
        <v>27</v>
      </c>
      <c r="L4563">
        <v>1</v>
      </c>
      <c r="M4563">
        <v>2025</v>
      </c>
      <c r="N4563" t="s">
        <v>27</v>
      </c>
      <c r="O4563">
        <v>200</v>
      </c>
      <c r="P4563">
        <v>200</v>
      </c>
      <c r="R4563" s="3" t="str">
        <f>HYPERLINK("https://panda.att.com.mx/ODKServer/view/binaryData?blobKey=FSSuministroFluidosv3%5B%40version%3Dnull+and+%40uiVersion%3Dnull%5D%2Fdata%5B%40key%3Duuid%3A3407fe0e-469d-4a52-8475-0e6c8513e57b%5D%2FgroupInfoFuel%5B%40ordinal%3D1%5D%2FpicFuelRecibeInterno","Descargar")</f>
        <v>Descargar</v>
      </c>
    </row>
    <row r="4564" spans="1:18" x14ac:dyDescent="0.3">
      <c r="A4564">
        <v>1471179</v>
      </c>
      <c r="B4564" t="s">
        <v>18</v>
      </c>
      <c r="C4564" t="s">
        <v>55</v>
      </c>
      <c r="D4564" t="s">
        <v>56</v>
      </c>
      <c r="E4564" t="s">
        <v>3146</v>
      </c>
      <c r="F4564" t="s">
        <v>22</v>
      </c>
      <c r="G4564" t="s">
        <v>47</v>
      </c>
      <c r="H4564" t="s">
        <v>1763</v>
      </c>
      <c r="I4564" t="s">
        <v>25</v>
      </c>
      <c r="J4564" t="s">
        <v>3333</v>
      </c>
      <c r="K4564">
        <v>23</v>
      </c>
      <c r="L4564">
        <v>1</v>
      </c>
      <c r="M4564">
        <v>2025</v>
      </c>
      <c r="N4564" t="s">
        <v>27</v>
      </c>
      <c r="O4564">
        <v>100</v>
      </c>
      <c r="P4564">
        <v>100</v>
      </c>
      <c r="R4564" s="3" t="str">
        <f>HYPERLINK("https://panda.att.com.mx/ODKServer/view/binaryData?blobKey=FSSuministroFluidosv3%5B%40version%3Dnull+and+%40uiVersion%3Dnull%5D%2Fdata%5B%40key%3Duuid%3Ac1345f7d-7173-4946-b96c-52a1d6936779%5D%2FgroupInfoFuel%5B%40ordinal%3D1%5D%2FpicFuelRecibeInterno","Descargar")</f>
        <v>Descargar</v>
      </c>
    </row>
    <row r="4565" spans="1:18" x14ac:dyDescent="0.3">
      <c r="A4565">
        <v>1471178</v>
      </c>
      <c r="B4565" t="s">
        <v>18</v>
      </c>
      <c r="C4565" t="s">
        <v>55</v>
      </c>
      <c r="D4565" t="s">
        <v>56</v>
      </c>
      <c r="E4565" t="s">
        <v>3146</v>
      </c>
      <c r="F4565" t="s">
        <v>22</v>
      </c>
      <c r="G4565" t="s">
        <v>47</v>
      </c>
      <c r="H4565" t="s">
        <v>1763</v>
      </c>
      <c r="I4565" t="s">
        <v>25</v>
      </c>
      <c r="J4565" t="s">
        <v>3334</v>
      </c>
      <c r="K4565">
        <v>22</v>
      </c>
      <c r="L4565">
        <v>1</v>
      </c>
      <c r="M4565">
        <v>2025</v>
      </c>
      <c r="N4565" t="s">
        <v>27</v>
      </c>
      <c r="O4565">
        <v>100</v>
      </c>
      <c r="P4565">
        <v>100</v>
      </c>
      <c r="R4565" s="3" t="str">
        <f>HYPERLINK("https://panda.att.com.mx/ODKServer/view/binaryData?blobKey=FSSuministroFluidosv3%5B%40version%3Dnull+and+%40uiVersion%3Dnull%5D%2Fdata%5B%40key%3Duuid%3A03a9e9c9-3be8-4ce0-9521-401861202c81%5D%2FgroupInfoFuel%5B%40ordinal%3D1%5D%2FpicFuelRecibeInterno","Descargar")</f>
        <v>Descargar</v>
      </c>
    </row>
    <row r="4566" spans="1:18" x14ac:dyDescent="0.3">
      <c r="A4566">
        <v>1471174</v>
      </c>
      <c r="B4566" t="s">
        <v>18</v>
      </c>
      <c r="C4566" t="s">
        <v>150</v>
      </c>
      <c r="D4566" t="s">
        <v>230</v>
      </c>
      <c r="E4566" t="s">
        <v>399</v>
      </c>
      <c r="F4566" t="s">
        <v>22</v>
      </c>
      <c r="G4566" t="s">
        <v>47</v>
      </c>
      <c r="H4566" t="s">
        <v>1781</v>
      </c>
      <c r="I4566" t="s">
        <v>25</v>
      </c>
      <c r="J4566" t="s">
        <v>3335</v>
      </c>
      <c r="K4566">
        <v>27</v>
      </c>
      <c r="L4566">
        <v>1</v>
      </c>
      <c r="M4566">
        <v>2025</v>
      </c>
      <c r="N4566" t="s">
        <v>27</v>
      </c>
      <c r="O4566">
        <v>200.4</v>
      </c>
      <c r="P4566">
        <v>200.4</v>
      </c>
      <c r="R4566" s="3" t="str">
        <f>HYPERLINK("https://panda.att.com.mx/ODKServer/view/binaryData?blobKey=FSSuministroFluidosv3%5B%40version%3Dnull+and+%40uiVersion%3Dnull%5D%2Fdata%5B%40key%3Duuid%3Af540a877-8c4f-4f3e-a67c-6a14552eb36c%5D%2FgroupInfoFuel%5B%40ordinal%3D1%5D%2FpicFuelRecibeInterno","Descargar")</f>
        <v>Descargar</v>
      </c>
    </row>
    <row r="4567" spans="1:18" x14ac:dyDescent="0.3">
      <c r="A4567">
        <v>1471173</v>
      </c>
      <c r="B4567" t="s">
        <v>18</v>
      </c>
      <c r="C4567" t="s">
        <v>55</v>
      </c>
      <c r="D4567" t="s">
        <v>56</v>
      </c>
      <c r="E4567" t="s">
        <v>1555</v>
      </c>
      <c r="F4567" t="s">
        <v>22</v>
      </c>
      <c r="G4567" t="s">
        <v>47</v>
      </c>
      <c r="H4567" t="s">
        <v>1763</v>
      </c>
      <c r="I4567" t="s">
        <v>25</v>
      </c>
      <c r="J4567" t="s">
        <v>3336</v>
      </c>
      <c r="K4567">
        <v>25</v>
      </c>
      <c r="L4567">
        <v>1</v>
      </c>
      <c r="M4567">
        <v>2025</v>
      </c>
      <c r="N4567" t="s">
        <v>27</v>
      </c>
      <c r="O4567">
        <v>300</v>
      </c>
      <c r="P4567">
        <v>300</v>
      </c>
      <c r="R4567" s="3" t="str">
        <f>HYPERLINK("https://panda.att.com.mx/ODKServer/view/binaryData?blobKey=FSSuministroFluidosv3%5B%40version%3Dnull+and+%40uiVersion%3Dnull%5D%2Fdata%5B%40key%3Duuid%3Ac454bfa3-47e5-4922-a4f8-04fdea3da23a%5D%2FgroupInfoFuel%5B%40ordinal%3D1%5D%2FpicFuelRecibeInterno","Descargar")</f>
        <v>Descargar</v>
      </c>
    </row>
    <row r="4568" spans="1:18" x14ac:dyDescent="0.3">
      <c r="A4568">
        <v>1471118</v>
      </c>
      <c r="B4568" t="s">
        <v>18</v>
      </c>
      <c r="C4568" t="s">
        <v>167</v>
      </c>
      <c r="D4568" t="s">
        <v>168</v>
      </c>
      <c r="E4568" t="s">
        <v>169</v>
      </c>
      <c r="F4568" t="s">
        <v>22</v>
      </c>
      <c r="G4568" t="s">
        <v>83</v>
      </c>
      <c r="H4568" t="s">
        <v>58</v>
      </c>
      <c r="I4568" t="s">
        <v>25</v>
      </c>
      <c r="J4568" t="s">
        <v>3337</v>
      </c>
      <c r="K4568">
        <v>27</v>
      </c>
      <c r="L4568">
        <v>1</v>
      </c>
      <c r="M4568">
        <v>2025</v>
      </c>
      <c r="N4568" t="s">
        <v>27</v>
      </c>
      <c r="O4568">
        <v>450</v>
      </c>
      <c r="P4568">
        <v>450</v>
      </c>
      <c r="R4568" s="3" t="str">
        <f>HYPERLINK("https://panda.att.com.mx/ODKServer/view/binaryData?blobKey=FSSuministroFluidosv3%5B%40version%3Dnull+and+%40uiVersion%3Dnull%5D%2Fdata%5B%40key%3Duuid%3A2ac9ccc1-d29c-4c33-8517-21077d666b71%5D%2FgroupInfoFuel%5B%40ordinal%3D1%5D%2FpicFuelRecibeInterno","Descargar")</f>
        <v>Descargar</v>
      </c>
    </row>
    <row r="4569" spans="1:18" x14ac:dyDescent="0.3">
      <c r="A4569">
        <v>1471099</v>
      </c>
      <c r="B4569" t="s">
        <v>18</v>
      </c>
      <c r="C4569" t="s">
        <v>59</v>
      </c>
      <c r="D4569" t="s">
        <v>357</v>
      </c>
      <c r="E4569" t="s">
        <v>3338</v>
      </c>
      <c r="F4569" t="s">
        <v>22</v>
      </c>
      <c r="G4569" t="s">
        <v>23</v>
      </c>
      <c r="H4569" t="s">
        <v>37</v>
      </c>
      <c r="I4569" t="s">
        <v>25</v>
      </c>
      <c r="J4569" t="s">
        <v>3339</v>
      </c>
      <c r="K4569">
        <v>27</v>
      </c>
      <c r="L4569">
        <v>1</v>
      </c>
      <c r="M4569">
        <v>2025</v>
      </c>
      <c r="N4569" t="s">
        <v>27</v>
      </c>
      <c r="O4569">
        <v>350</v>
      </c>
      <c r="P4569">
        <v>350</v>
      </c>
      <c r="R4569" s="3" t="str">
        <f>HYPERLINK("https://panda.att.com.mx/ODKServer/view/binaryData?blobKey=FSSuministroFluidosv3%5B%40version%3Dnull+and+%40uiVersion%3Dnull%5D%2Fdata%5B%40key%3Duuid%3Aa737080e-1e6e-48a9-b9a8-895bd2dec2d2%5D%2FgroupInfoFuel%5B%40ordinal%3D1%5D%2FpicFuelRecibeInterno","Descargar")</f>
        <v>Descargar</v>
      </c>
    </row>
    <row r="4570" spans="1:18" x14ac:dyDescent="0.3">
      <c r="A4570">
        <v>1471064</v>
      </c>
      <c r="B4570" t="s">
        <v>18</v>
      </c>
      <c r="C4570" t="s">
        <v>150</v>
      </c>
      <c r="D4570" t="s">
        <v>2224</v>
      </c>
      <c r="E4570" t="s">
        <v>3215</v>
      </c>
      <c r="F4570" t="s">
        <v>22</v>
      </c>
      <c r="G4570" t="s">
        <v>47</v>
      </c>
      <c r="H4570" t="s">
        <v>1781</v>
      </c>
      <c r="I4570" t="s">
        <v>25</v>
      </c>
      <c r="J4570" t="s">
        <v>3340</v>
      </c>
      <c r="K4570">
        <v>27</v>
      </c>
      <c r="L4570">
        <v>1</v>
      </c>
      <c r="M4570">
        <v>2025</v>
      </c>
      <c r="N4570" t="s">
        <v>27</v>
      </c>
      <c r="O4570">
        <v>100.01</v>
      </c>
      <c r="P4570">
        <v>100.01</v>
      </c>
      <c r="R4570" s="3" t="str">
        <f>HYPERLINK("https://panda.att.com.mx/ODKServer/view/binaryData?blobKey=FSSuministroFluidosv3%5B%40version%3Dnull+and+%40uiVersion%3Dnull%5D%2Fdata%5B%40key%3Duuid%3A99aef4c5-1729-4d97-9c9b-618bc023229a%5D%2FgroupInfoFuel%5B%40ordinal%3D1%5D%2FpicFuelRecibeInterno","Descargar")</f>
        <v>Descargar</v>
      </c>
    </row>
    <row r="4571" spans="1:18" x14ac:dyDescent="0.3">
      <c r="A4571">
        <v>1471047</v>
      </c>
      <c r="B4571" t="s">
        <v>18</v>
      </c>
      <c r="C4571" t="s">
        <v>55</v>
      </c>
      <c r="D4571" t="s">
        <v>128</v>
      </c>
      <c r="E4571" t="s">
        <v>2000</v>
      </c>
      <c r="F4571" t="s">
        <v>22</v>
      </c>
      <c r="G4571" t="s">
        <v>208</v>
      </c>
      <c r="H4571" t="s">
        <v>1763</v>
      </c>
      <c r="I4571" t="s">
        <v>25</v>
      </c>
      <c r="J4571" t="s">
        <v>3341</v>
      </c>
      <c r="K4571">
        <v>27</v>
      </c>
      <c r="L4571">
        <v>1</v>
      </c>
      <c r="M4571">
        <v>2025</v>
      </c>
      <c r="N4571" t="s">
        <v>27</v>
      </c>
      <c r="O4571">
        <v>400</v>
      </c>
      <c r="P4571">
        <v>400</v>
      </c>
      <c r="R4571" s="3" t="str">
        <f>HYPERLINK("https://panda.att.com.mx/ODKServer/view/binaryData?blobKey=FSSuministroFluidosv3%5B%40version%3Dnull+and+%40uiVersion%3Dnull%5D%2Fdata%5B%40key%3Duuid%3A95119753-d624-46c3-b138-ebd36a3bc8bc%5D%2FgroupInfoFuel%5B%40ordinal%3D1%5D%2FpicFuelRecibeInterno","Descargar")</f>
        <v>Descargar</v>
      </c>
    </row>
    <row r="4572" spans="1:18" x14ac:dyDescent="0.3">
      <c r="A4572">
        <v>1470953</v>
      </c>
      <c r="B4572" t="s">
        <v>18</v>
      </c>
      <c r="C4572" t="s">
        <v>19</v>
      </c>
      <c r="D4572" t="s">
        <v>20</v>
      </c>
      <c r="E4572" t="s">
        <v>166</v>
      </c>
      <c r="F4572" t="s">
        <v>22</v>
      </c>
      <c r="G4572" t="s">
        <v>23</v>
      </c>
      <c r="H4572" t="s">
        <v>24</v>
      </c>
      <c r="I4572" t="s">
        <v>25</v>
      </c>
      <c r="J4572" t="s">
        <v>3342</v>
      </c>
      <c r="K4572">
        <v>27</v>
      </c>
      <c r="L4572">
        <v>1</v>
      </c>
      <c r="M4572">
        <v>2025</v>
      </c>
      <c r="N4572" t="s">
        <v>27</v>
      </c>
      <c r="O4572">
        <v>200</v>
      </c>
      <c r="P4572">
        <v>200</v>
      </c>
      <c r="R4572" s="3" t="str">
        <f>HYPERLINK("https://panda.att.com.mx/ODKServer/view/binaryData?blobKey=FSSuministroFluidosv3%5B%40version%3Dnull+and+%40uiVersion%3Dnull%5D%2Fdata%5B%40key%3Duuid%3Ad013ddd2-9e95-4ade-a64b-ec1d0994acf8%5D%2FgroupInfoFuel%5B%40ordinal%3D1%5D%2FpicFuelRecibeInterno","Descargar")</f>
        <v>Descargar</v>
      </c>
    </row>
    <row r="4573" spans="1:18" x14ac:dyDescent="0.3">
      <c r="A4573">
        <v>1470898</v>
      </c>
      <c r="B4573" t="s">
        <v>18</v>
      </c>
      <c r="C4573" t="s">
        <v>68</v>
      </c>
      <c r="D4573" t="s">
        <v>78</v>
      </c>
      <c r="E4573" t="s">
        <v>3144</v>
      </c>
      <c r="F4573" t="s">
        <v>22</v>
      </c>
      <c r="G4573" t="s">
        <v>23</v>
      </c>
      <c r="H4573" t="s">
        <v>37</v>
      </c>
      <c r="I4573" t="s">
        <v>25</v>
      </c>
      <c r="J4573" t="s">
        <v>3343</v>
      </c>
      <c r="K4573">
        <v>25</v>
      </c>
      <c r="L4573">
        <v>1</v>
      </c>
      <c r="M4573">
        <v>2025</v>
      </c>
      <c r="N4573" t="s">
        <v>27</v>
      </c>
      <c r="O4573">
        <v>120</v>
      </c>
      <c r="P4573">
        <v>120</v>
      </c>
      <c r="R4573" s="3" t="str">
        <f>HYPERLINK("https://panda.att.com.mx/ODKServer/view/binaryData?blobKey=FSSuministroFluidosv3%5B%40version%3Dnull+and+%40uiVersion%3Dnull%5D%2Fdata%5B%40key%3Duuid%3Ac32fe70e-49e8-4633-bb3c-3fbad8f3b623%5D%2FgroupInfoFuel%5B%40ordinal%3D1%5D%2FpicFuelRecibeInterno","Descargar")</f>
        <v>Descargar</v>
      </c>
    </row>
    <row r="4574" spans="1:18" x14ac:dyDescent="0.3">
      <c r="A4574">
        <v>1470871</v>
      </c>
      <c r="B4574" t="s">
        <v>18</v>
      </c>
      <c r="C4574" t="s">
        <v>28</v>
      </c>
      <c r="D4574" t="s">
        <v>66</v>
      </c>
      <c r="E4574" t="s">
        <v>96</v>
      </c>
      <c r="F4574" t="s">
        <v>22</v>
      </c>
      <c r="G4574" t="s">
        <v>23</v>
      </c>
      <c r="H4574" t="s">
        <v>24</v>
      </c>
      <c r="I4574" t="s">
        <v>25</v>
      </c>
      <c r="J4574" t="s">
        <v>3344</v>
      </c>
      <c r="K4574">
        <v>25</v>
      </c>
      <c r="L4574">
        <v>1</v>
      </c>
      <c r="M4574">
        <v>2025</v>
      </c>
      <c r="N4574" t="s">
        <v>27</v>
      </c>
      <c r="O4574">
        <v>350</v>
      </c>
      <c r="P4574">
        <v>350</v>
      </c>
      <c r="R4574" s="3" t="str">
        <f>HYPERLINK("https://panda.att.com.mx/ODKServer/view/binaryData?blobKey=FSSuministroFluidosv3%5B%40version%3Dnull+and+%40uiVersion%3Dnull%5D%2Fdata%5B%40key%3Duuid%3A96c55a91-50f5-42e1-b075-4d7bea1f29de%5D%2FgroupInfoFuel%5B%40ordinal%3D1%5D%2FpicFuelRecibeInterno","Descargar")</f>
        <v>Descargar</v>
      </c>
    </row>
    <row r="4575" spans="1:18" x14ac:dyDescent="0.3">
      <c r="A4575">
        <v>1470483</v>
      </c>
      <c r="B4575" t="s">
        <v>18</v>
      </c>
      <c r="C4575" t="s">
        <v>150</v>
      </c>
      <c r="D4575" t="s">
        <v>230</v>
      </c>
      <c r="E4575" t="s">
        <v>3345</v>
      </c>
      <c r="F4575" t="s">
        <v>22</v>
      </c>
      <c r="G4575" t="s">
        <v>47</v>
      </c>
      <c r="H4575" t="s">
        <v>1781</v>
      </c>
      <c r="I4575" t="s">
        <v>25</v>
      </c>
      <c r="J4575" t="s">
        <v>3346</v>
      </c>
      <c r="K4575">
        <v>24</v>
      </c>
      <c r="L4575">
        <v>1</v>
      </c>
      <c r="M4575">
        <v>2025</v>
      </c>
      <c r="N4575" t="s">
        <v>44</v>
      </c>
      <c r="O4575">
        <v>42.11</v>
      </c>
      <c r="P4575">
        <v>42.11</v>
      </c>
      <c r="R4575" s="3" t="str">
        <f>HYPERLINK("https://panda.att.com.mx/ODKServer/view/binaryData?blobKey=FSSuministroFluidosv3%5B%40version%3Dnull+and+%40uiVersion%3Dnull%5D%2Fdata%5B%40key%3Duuid%3A77213b26-6688-4c46-b7ca-5bc8412108a6%5D%2FgroupInfoFuel%5B%40ordinal%3D1%5D%2FpicFuelRecibeInterno","Descargar")</f>
        <v>Descargar</v>
      </c>
    </row>
    <row r="4576" spans="1:18" x14ac:dyDescent="0.3">
      <c r="A4576">
        <v>1470435</v>
      </c>
      <c r="B4576" t="s">
        <v>18</v>
      </c>
      <c r="C4576" t="s">
        <v>19</v>
      </c>
      <c r="D4576" t="s">
        <v>62</v>
      </c>
      <c r="E4576" t="s">
        <v>1625</v>
      </c>
      <c r="F4576" t="s">
        <v>22</v>
      </c>
      <c r="G4576" t="s">
        <v>23</v>
      </c>
      <c r="H4576" t="s">
        <v>24</v>
      </c>
      <c r="I4576" t="s">
        <v>25</v>
      </c>
      <c r="J4576" t="s">
        <v>3347</v>
      </c>
      <c r="K4576">
        <v>24</v>
      </c>
      <c r="L4576">
        <v>1</v>
      </c>
      <c r="M4576">
        <v>2025</v>
      </c>
      <c r="N4576" t="s">
        <v>44</v>
      </c>
      <c r="O4576">
        <v>50</v>
      </c>
      <c r="P4576">
        <v>50</v>
      </c>
      <c r="R4576" s="3" t="str">
        <f>HYPERLINK("https://panda.att.com.mx/ODKServer/view/binaryData?blobKey=FSSuministroFluidosv3%5B%40version%3Dnull+and+%40uiVersion%3Dnull%5D%2Fdata%5B%40key%3Duuid%3Aef8aaf26-be72-4ecf-b4d0-b508b9329396%5D%2FgroupInfoFuel%5B%40ordinal%3D1%5D%2FpicFuelRecibeInterno","Descargar")</f>
        <v>Descargar</v>
      </c>
    </row>
    <row r="4577" spans="1:18" x14ac:dyDescent="0.3">
      <c r="A4577">
        <v>1470425</v>
      </c>
      <c r="B4577" t="s">
        <v>18</v>
      </c>
      <c r="C4577" t="s">
        <v>19</v>
      </c>
      <c r="D4577" t="s">
        <v>62</v>
      </c>
      <c r="E4577" t="s">
        <v>1625</v>
      </c>
      <c r="F4577" t="s">
        <v>22</v>
      </c>
      <c r="G4577" t="s">
        <v>23</v>
      </c>
      <c r="H4577" t="s">
        <v>24</v>
      </c>
      <c r="I4577" t="s">
        <v>25</v>
      </c>
      <c r="J4577" t="s">
        <v>3348</v>
      </c>
      <c r="K4577">
        <v>24</v>
      </c>
      <c r="L4577">
        <v>1</v>
      </c>
      <c r="M4577">
        <v>2025</v>
      </c>
      <c r="N4577" t="s">
        <v>27</v>
      </c>
      <c r="O4577">
        <v>50</v>
      </c>
      <c r="P4577">
        <v>50</v>
      </c>
      <c r="R4577" s="3" t="str">
        <f>HYPERLINK("https://panda.att.com.mx/ODKServer/view/binaryData?blobKey=FSSuministroFluidosv3%5B%40version%3Dnull+and+%40uiVersion%3Dnull%5D%2Fdata%5B%40key%3Duuid%3A8a7b9e0b-8b6f-4c60-a4cc-770c804fbb9a%5D%2FgroupInfoFuel%5B%40ordinal%3D1%5D%2FpicFuelRecibeInterno","Descargar")</f>
        <v>Descargar</v>
      </c>
    </row>
    <row r="4578" spans="1:18" x14ac:dyDescent="0.3">
      <c r="A4578">
        <v>1470408</v>
      </c>
      <c r="B4578" t="s">
        <v>18</v>
      </c>
      <c r="C4578" t="s">
        <v>19</v>
      </c>
      <c r="D4578" t="s">
        <v>140</v>
      </c>
      <c r="E4578" t="s">
        <v>257</v>
      </c>
      <c r="F4578" t="s">
        <v>22</v>
      </c>
      <c r="G4578" t="s">
        <v>23</v>
      </c>
      <c r="H4578" t="s">
        <v>24</v>
      </c>
      <c r="I4578" t="s">
        <v>25</v>
      </c>
      <c r="J4578" t="s">
        <v>3349</v>
      </c>
      <c r="K4578">
        <v>24</v>
      </c>
      <c r="L4578">
        <v>1</v>
      </c>
      <c r="M4578">
        <v>2025</v>
      </c>
      <c r="N4578" t="s">
        <v>27</v>
      </c>
      <c r="O4578">
        <v>126.78</v>
      </c>
      <c r="P4578">
        <v>126.78</v>
      </c>
      <c r="R4578" s="3" t="str">
        <f>HYPERLINK("https://panda.att.com.mx/ODKServer/view/binaryData?blobKey=FSSuministroFluidosv3%5B%40version%3Dnull+and+%40uiVersion%3Dnull%5D%2Fdata%5B%40key%3Duuid%3Abf539ff5-3de9-4479-b6dd-a94a2edacd1e%5D%2FgroupInfoFuel%5B%40ordinal%3D1%5D%2FpicFuelRecibeInterno","Descargar")</f>
        <v>Descargar</v>
      </c>
    </row>
    <row r="4579" spans="1:18" x14ac:dyDescent="0.3">
      <c r="A4579">
        <v>1470380</v>
      </c>
      <c r="B4579" t="s">
        <v>18</v>
      </c>
      <c r="C4579" t="s">
        <v>19</v>
      </c>
      <c r="D4579" t="s">
        <v>175</v>
      </c>
      <c r="E4579" t="s">
        <v>263</v>
      </c>
      <c r="F4579" t="s">
        <v>22</v>
      </c>
      <c r="G4579" t="s">
        <v>47</v>
      </c>
      <c r="H4579" t="s">
        <v>24</v>
      </c>
      <c r="I4579" t="s">
        <v>25</v>
      </c>
      <c r="J4579" t="s">
        <v>3350</v>
      </c>
      <c r="K4579">
        <v>23</v>
      </c>
      <c r="L4579">
        <v>1</v>
      </c>
      <c r="M4579">
        <v>2025</v>
      </c>
      <c r="N4579" t="s">
        <v>44</v>
      </c>
      <c r="O4579">
        <v>40</v>
      </c>
      <c r="P4579">
        <v>40</v>
      </c>
      <c r="R4579" s="3" t="str">
        <f>HYPERLINK("https://panda.att.com.mx/ODKServer/view/binaryData?blobKey=FSSuministroFluidosv3%5B%40version%3Dnull+and+%40uiVersion%3Dnull%5D%2Fdata%5B%40key%3Duuid%3Ad4f95ca2-630c-40c9-af4a-4886c75d36b3%5D%2FgroupInfoFuel%5B%40ordinal%3D1%5D%2FpicFuelRecibeInterno","Descargar")</f>
        <v>Descargar</v>
      </c>
    </row>
    <row r="4580" spans="1:18" x14ac:dyDescent="0.3">
      <c r="A4580">
        <v>1470379</v>
      </c>
      <c r="B4580" t="s">
        <v>18</v>
      </c>
      <c r="C4580" t="s">
        <v>28</v>
      </c>
      <c r="D4580" t="s">
        <v>66</v>
      </c>
      <c r="E4580" t="s">
        <v>2092</v>
      </c>
      <c r="F4580" t="s">
        <v>22</v>
      </c>
      <c r="G4580" t="s">
        <v>47</v>
      </c>
      <c r="H4580" t="s">
        <v>24</v>
      </c>
      <c r="I4580" t="s">
        <v>25</v>
      </c>
      <c r="J4580" t="s">
        <v>3351</v>
      </c>
      <c r="K4580">
        <v>22</v>
      </c>
      <c r="L4580">
        <v>1</v>
      </c>
      <c r="M4580">
        <v>2025</v>
      </c>
      <c r="N4580" t="s">
        <v>44</v>
      </c>
      <c r="O4580">
        <v>40</v>
      </c>
      <c r="P4580">
        <v>40</v>
      </c>
      <c r="R4580" s="3" t="str">
        <f>HYPERLINK("https://panda.att.com.mx/ODKServer/view/binaryData?blobKey=FSSuministroFluidosv3%5B%40version%3Dnull+and+%40uiVersion%3Dnull%5D%2Fdata%5B%40key%3Duuid%3Ad5843ead-5344-435f-9d49-73704d2eebe5%5D%2FgroupInfoFuel%5B%40ordinal%3D1%5D%2FpicFuelRecibeInterno","Descargar")</f>
        <v>Descargar</v>
      </c>
    </row>
    <row r="4581" spans="1:18" x14ac:dyDescent="0.3">
      <c r="A4581">
        <v>1470370</v>
      </c>
      <c r="B4581" t="s">
        <v>18</v>
      </c>
      <c r="C4581" t="s">
        <v>19</v>
      </c>
      <c r="D4581" t="s">
        <v>62</v>
      </c>
      <c r="E4581" t="s">
        <v>3352</v>
      </c>
      <c r="F4581" t="s">
        <v>22</v>
      </c>
      <c r="G4581" t="s">
        <v>23</v>
      </c>
      <c r="H4581" t="s">
        <v>24</v>
      </c>
      <c r="I4581" t="s">
        <v>25</v>
      </c>
      <c r="J4581" t="s">
        <v>3353</v>
      </c>
      <c r="K4581">
        <v>19</v>
      </c>
      <c r="L4581">
        <v>1</v>
      </c>
      <c r="M4581">
        <v>2025</v>
      </c>
      <c r="N4581" t="s">
        <v>44</v>
      </c>
      <c r="O4581">
        <v>40</v>
      </c>
      <c r="P4581">
        <v>40</v>
      </c>
      <c r="R4581" s="3" t="str">
        <f>HYPERLINK("https://panda.att.com.mx/ODKServer/view/binaryData?blobKey=FSSuministroFluidosv3%5B%40version%3Dnull+and+%40uiVersion%3Dnull%5D%2Fdata%5B%40key%3Duuid%3A6baa244b-b87a-4ee6-ac98-a743d10f37ef%5D%2FgroupInfoFuel%5B%40ordinal%3D1%5D%2FpicFuelRecibeInterno","Descargar")</f>
        <v>Descargar</v>
      </c>
    </row>
    <row r="4582" spans="1:18" x14ac:dyDescent="0.3">
      <c r="A4582">
        <v>1470369</v>
      </c>
      <c r="B4582" t="s">
        <v>18</v>
      </c>
      <c r="C4582" t="s">
        <v>19</v>
      </c>
      <c r="D4582" t="s">
        <v>175</v>
      </c>
      <c r="E4582" t="s">
        <v>1632</v>
      </c>
      <c r="F4582" t="s">
        <v>22</v>
      </c>
      <c r="G4582" t="s">
        <v>23</v>
      </c>
      <c r="H4582" t="s">
        <v>24</v>
      </c>
      <c r="I4582" t="s">
        <v>25</v>
      </c>
      <c r="J4582" t="s">
        <v>3354</v>
      </c>
      <c r="K4582">
        <v>22</v>
      </c>
      <c r="L4582">
        <v>1</v>
      </c>
      <c r="M4582">
        <v>2025</v>
      </c>
      <c r="N4582" t="s">
        <v>44</v>
      </c>
      <c r="O4582">
        <v>40</v>
      </c>
      <c r="P4582">
        <v>40</v>
      </c>
      <c r="R4582" s="3" t="str">
        <f>HYPERLINK("https://panda.att.com.mx/ODKServer/view/binaryData?blobKey=FSSuministroFluidosv3%5B%40version%3Dnull+and+%40uiVersion%3Dnull%5D%2Fdata%5B%40key%3Duuid%3Af49be0a5-f723-4f43-a8f7-5dcfdb38f45e%5D%2FgroupInfoFuel%5B%40ordinal%3D1%5D%2FpicFuelRecibeInterno","Descargar")</f>
        <v>Descargar</v>
      </c>
    </row>
    <row r="4583" spans="1:18" x14ac:dyDescent="0.3">
      <c r="A4583">
        <v>1470357</v>
      </c>
      <c r="B4583" t="s">
        <v>18</v>
      </c>
      <c r="C4583" t="s">
        <v>19</v>
      </c>
      <c r="D4583" t="s">
        <v>140</v>
      </c>
      <c r="E4583" t="s">
        <v>1599</v>
      </c>
      <c r="F4583" t="s">
        <v>22</v>
      </c>
      <c r="G4583" t="s">
        <v>23</v>
      </c>
      <c r="H4583" t="s">
        <v>24</v>
      </c>
      <c r="I4583" t="s">
        <v>25</v>
      </c>
      <c r="J4583" t="s">
        <v>3355</v>
      </c>
      <c r="K4583">
        <v>24</v>
      </c>
      <c r="L4583">
        <v>1</v>
      </c>
      <c r="M4583">
        <v>2025</v>
      </c>
      <c r="N4583" t="s">
        <v>27</v>
      </c>
      <c r="O4583">
        <v>126</v>
      </c>
      <c r="P4583">
        <v>126</v>
      </c>
      <c r="R4583" s="3" t="str">
        <f>HYPERLINK("https://panda.att.com.mx/ODKServer/view/binaryData?blobKey=FSSuministroFluidosv3%5B%40version%3Dnull+and+%40uiVersion%3Dnull%5D%2Fdata%5B%40key%3Duuid%3A3aae4e0f-3e56-4fbb-8679-9ec2a3f8b4b9%5D%2FgroupInfoFuel%5B%40ordinal%3D1%5D%2FpicFuelRecibeInterno","Descargar")</f>
        <v>Descargar</v>
      </c>
    </row>
    <row r="4584" spans="1:18" x14ac:dyDescent="0.3">
      <c r="A4584">
        <v>1470320</v>
      </c>
      <c r="B4584" t="s">
        <v>18</v>
      </c>
      <c r="C4584" t="s">
        <v>68</v>
      </c>
      <c r="D4584" t="s">
        <v>116</v>
      </c>
      <c r="E4584" t="s">
        <v>3097</v>
      </c>
      <c r="F4584" t="s">
        <v>22</v>
      </c>
      <c r="G4584" t="s">
        <v>23</v>
      </c>
      <c r="H4584" t="s">
        <v>37</v>
      </c>
      <c r="I4584" t="s">
        <v>25</v>
      </c>
      <c r="J4584" t="s">
        <v>3356</v>
      </c>
      <c r="K4584">
        <v>24</v>
      </c>
      <c r="L4584">
        <v>1</v>
      </c>
      <c r="M4584">
        <v>2025</v>
      </c>
      <c r="N4584" t="s">
        <v>27</v>
      </c>
      <c r="O4584">
        <v>400</v>
      </c>
      <c r="P4584">
        <v>400</v>
      </c>
      <c r="R4584" s="3" t="str">
        <f>HYPERLINK("https://panda.att.com.mx/ODKServer/view/binaryData?blobKey=FSSuministroFluidosv3%5B%40version%3Dnull+and+%40uiVersion%3Dnull%5D%2Fdata%5B%40key%3Duuid%3Aff7556d0-2c05-40c7-9eee-176a81c05769%5D%2FgroupInfoFuel%5B%40ordinal%3D1%5D%2FpicFuelRecibeInterno","Descargar")</f>
        <v>Descargar</v>
      </c>
    </row>
    <row r="4585" spans="1:18" x14ac:dyDescent="0.3">
      <c r="A4585">
        <v>1470311</v>
      </c>
      <c r="B4585" t="s">
        <v>18</v>
      </c>
      <c r="C4585" t="s">
        <v>19</v>
      </c>
      <c r="D4585" t="s">
        <v>140</v>
      </c>
      <c r="E4585" t="s">
        <v>1599</v>
      </c>
      <c r="F4585" t="s">
        <v>22</v>
      </c>
      <c r="G4585" t="s">
        <v>23</v>
      </c>
      <c r="H4585" t="s">
        <v>24</v>
      </c>
      <c r="I4585" t="s">
        <v>25</v>
      </c>
      <c r="J4585" t="s">
        <v>3357</v>
      </c>
      <c r="K4585">
        <v>22</v>
      </c>
      <c r="L4585">
        <v>1</v>
      </c>
      <c r="M4585">
        <v>2025</v>
      </c>
      <c r="N4585" t="s">
        <v>27</v>
      </c>
      <c r="O4585">
        <v>200</v>
      </c>
      <c r="P4585">
        <v>200</v>
      </c>
      <c r="R4585" s="3" t="str">
        <f>HYPERLINK("https://panda.att.com.mx/ODKServer/view/binaryData?blobKey=FSSuministroFluidosv3%5B%40version%3Dnull+and+%40uiVersion%3Dnull%5D%2Fdata%5B%40key%3Duuid%3A0a40e449-ceba-4a17-b6dd-f976d72cdcce%5D%2FgroupInfoFuel%5B%40ordinal%3D1%5D%2FpicFuelRecibeInterno","Descargar")</f>
        <v>Descargar</v>
      </c>
    </row>
    <row r="4586" spans="1:18" x14ac:dyDescent="0.3">
      <c r="A4586">
        <v>1470304</v>
      </c>
      <c r="B4586" t="s">
        <v>18</v>
      </c>
      <c r="C4586" t="s">
        <v>19</v>
      </c>
      <c r="D4586" t="s">
        <v>20</v>
      </c>
      <c r="E4586" t="s">
        <v>166</v>
      </c>
      <c r="F4586" t="s">
        <v>22</v>
      </c>
      <c r="G4586" t="s">
        <v>23</v>
      </c>
      <c r="H4586" t="s">
        <v>24</v>
      </c>
      <c r="I4586" t="s">
        <v>25</v>
      </c>
      <c r="J4586" t="s">
        <v>3358</v>
      </c>
      <c r="K4586">
        <v>24</v>
      </c>
      <c r="L4586">
        <v>1</v>
      </c>
      <c r="M4586">
        <v>2025</v>
      </c>
      <c r="N4586" t="s">
        <v>27</v>
      </c>
      <c r="O4586">
        <v>248.93</v>
      </c>
      <c r="P4586">
        <v>248.93</v>
      </c>
      <c r="R4586" s="3" t="str">
        <f>HYPERLINK("https://panda.att.com.mx/ODKServer/view/binaryData?blobKey=FSSuministroFluidosv3%5B%40version%3Dnull+and+%40uiVersion%3Dnull%5D%2Fdata%5B%40key%3Duuid%3A0e03dd77-73f9-40a7-ae21-3dbd059481d6%5D%2FgroupInfoFuel%5B%40ordinal%3D1%5D%2FpicFuelRecibeInterno","Descargar")</f>
        <v>Descargar</v>
      </c>
    </row>
    <row r="4587" spans="1:18" x14ac:dyDescent="0.3">
      <c r="A4587">
        <v>1470292</v>
      </c>
      <c r="B4587" t="s">
        <v>18</v>
      </c>
      <c r="C4587" t="s">
        <v>68</v>
      </c>
      <c r="D4587" t="s">
        <v>132</v>
      </c>
      <c r="E4587" t="s">
        <v>3359</v>
      </c>
      <c r="F4587" t="s">
        <v>22</v>
      </c>
      <c r="G4587" t="s">
        <v>23</v>
      </c>
      <c r="H4587" t="s">
        <v>37</v>
      </c>
      <c r="I4587" t="s">
        <v>25</v>
      </c>
      <c r="J4587" t="s">
        <v>3360</v>
      </c>
      <c r="K4587">
        <v>24</v>
      </c>
      <c r="L4587">
        <v>1</v>
      </c>
      <c r="M4587">
        <v>2025</v>
      </c>
      <c r="N4587" t="s">
        <v>44</v>
      </c>
      <c r="O4587">
        <v>55</v>
      </c>
      <c r="P4587">
        <v>55</v>
      </c>
      <c r="R4587" s="3" t="str">
        <f>HYPERLINK("https://panda.att.com.mx/ODKServer/view/binaryData?blobKey=FSSuministroFluidosv3%5B%40version%3Dnull+and+%40uiVersion%3Dnull%5D%2Fdata%5B%40key%3Duuid%3A73e14256-c2ab-419a-858f-19c303939430%5D%2FgroupInfoFuel%5B%40ordinal%3D1%5D%2FpicFuelRecibeInterno","Descargar")</f>
        <v>Descargar</v>
      </c>
    </row>
    <row r="4588" spans="1:18" x14ac:dyDescent="0.3">
      <c r="A4588">
        <v>1470282</v>
      </c>
      <c r="B4588" t="s">
        <v>18</v>
      </c>
      <c r="C4588" t="s">
        <v>19</v>
      </c>
      <c r="D4588" t="s">
        <v>62</v>
      </c>
      <c r="E4588" t="s">
        <v>1625</v>
      </c>
      <c r="F4588" t="s">
        <v>22</v>
      </c>
      <c r="G4588" t="s">
        <v>23</v>
      </c>
      <c r="H4588" t="s">
        <v>24</v>
      </c>
      <c r="I4588" t="s">
        <v>25</v>
      </c>
      <c r="J4588" t="s">
        <v>3361</v>
      </c>
      <c r="K4588">
        <v>16</v>
      </c>
      <c r="L4588">
        <v>1</v>
      </c>
      <c r="M4588">
        <v>2025</v>
      </c>
      <c r="N4588" t="s">
        <v>44</v>
      </c>
      <c r="O4588">
        <v>30</v>
      </c>
      <c r="P4588">
        <v>30</v>
      </c>
      <c r="R4588" s="3" t="str">
        <f>HYPERLINK("https://panda.att.com.mx/ODKServer/view/binaryData?blobKey=FSSuministroFluidosv3%5B%40version%3Dnull+and+%40uiVersion%3Dnull%5D%2Fdata%5B%40key%3Duuid%3A090cb4f2-8f40-4bba-90e5-5fe0f0a77ca3%5D%2FgroupInfoFuel%5B%40ordinal%3D1%5D%2FpicFuelRecibeInterno","Descargar")</f>
        <v>Descargar</v>
      </c>
    </row>
    <row r="4589" spans="1:18" x14ac:dyDescent="0.3">
      <c r="A4589">
        <v>1470272</v>
      </c>
      <c r="B4589" t="s">
        <v>18</v>
      </c>
      <c r="C4589" t="s">
        <v>150</v>
      </c>
      <c r="D4589" t="s">
        <v>230</v>
      </c>
      <c r="E4589" t="s">
        <v>1880</v>
      </c>
      <c r="F4589" t="s">
        <v>22</v>
      </c>
      <c r="G4589" t="s">
        <v>47</v>
      </c>
      <c r="H4589" t="s">
        <v>1781</v>
      </c>
      <c r="I4589" t="s">
        <v>25</v>
      </c>
      <c r="J4589" t="s">
        <v>3362</v>
      </c>
      <c r="K4589">
        <v>24</v>
      </c>
      <c r="L4589">
        <v>1</v>
      </c>
      <c r="M4589">
        <v>2025</v>
      </c>
      <c r="N4589" t="s">
        <v>27</v>
      </c>
      <c r="O4589">
        <v>300.06</v>
      </c>
      <c r="P4589">
        <v>300.06</v>
      </c>
      <c r="R4589" s="3" t="str">
        <f>HYPERLINK("https://panda.att.com.mx/ODKServer/view/binaryData?blobKey=FSSuministroFluidosv3%5B%40version%3Dnull+and+%40uiVersion%3Dnull%5D%2Fdata%5B%40key%3Duuid%3Aaa762abc-f275-48dc-b891-4c73ea9da86b%5D%2FgroupInfoFuel%5B%40ordinal%3D1%5D%2FpicFuelRecibeInterno","Descargar")</f>
        <v>Descargar</v>
      </c>
    </row>
    <row r="4590" spans="1:18" x14ac:dyDescent="0.3">
      <c r="A4590">
        <v>1470243</v>
      </c>
      <c r="B4590" t="s">
        <v>18</v>
      </c>
      <c r="C4590" t="s">
        <v>100</v>
      </c>
      <c r="D4590" t="s">
        <v>716</v>
      </c>
      <c r="E4590" t="s">
        <v>717</v>
      </c>
      <c r="F4590" t="s">
        <v>22</v>
      </c>
      <c r="G4590" t="s">
        <v>83</v>
      </c>
      <c r="H4590" t="s">
        <v>1781</v>
      </c>
      <c r="I4590" t="s">
        <v>25</v>
      </c>
      <c r="J4590" t="s">
        <v>3363</v>
      </c>
      <c r="K4590">
        <v>24</v>
      </c>
      <c r="L4590">
        <v>1</v>
      </c>
      <c r="M4590">
        <v>2025</v>
      </c>
      <c r="N4590" t="s">
        <v>27</v>
      </c>
      <c r="O4590">
        <v>150</v>
      </c>
      <c r="P4590">
        <v>150</v>
      </c>
      <c r="R4590" s="3" t="str">
        <f>HYPERLINK("https://panda.att.com.mx/ODKServer/view/binaryData?blobKey=FSSuministroFluidosv3%5B%40version%3Dnull+and+%40uiVersion%3Dnull%5D%2Fdata%5B%40key%3Duuid%3A099a548c-f117-4ad4-923b-49bcdc2ba976%5D%2FgroupInfoFuel%5B%40ordinal%3D1%5D%2FpicFuelRecibeInterno","Descargar")</f>
        <v>Descargar</v>
      </c>
    </row>
    <row r="4591" spans="1:18" x14ac:dyDescent="0.3">
      <c r="A4591">
        <v>1470213</v>
      </c>
      <c r="B4591" t="s">
        <v>18</v>
      </c>
      <c r="C4591" t="s">
        <v>19</v>
      </c>
      <c r="D4591" t="s">
        <v>62</v>
      </c>
      <c r="E4591" t="s">
        <v>1625</v>
      </c>
      <c r="F4591" t="s">
        <v>22</v>
      </c>
      <c r="G4591" t="s">
        <v>23</v>
      </c>
      <c r="H4591" t="s">
        <v>24</v>
      </c>
      <c r="I4591" t="s">
        <v>25</v>
      </c>
      <c r="J4591" t="s">
        <v>3364</v>
      </c>
      <c r="K4591">
        <v>11</v>
      </c>
      <c r="L4591">
        <v>1</v>
      </c>
      <c r="M4591">
        <v>2025</v>
      </c>
      <c r="N4591" t="s">
        <v>44</v>
      </c>
      <c r="O4591">
        <v>50</v>
      </c>
      <c r="P4591">
        <v>50</v>
      </c>
      <c r="R4591" s="3" t="str">
        <f>HYPERLINK("https://panda.att.com.mx/ODKServer/view/binaryData?blobKey=FSSuministroFluidosv3%5B%40version%3Dnull+and+%40uiVersion%3Dnull%5D%2Fdata%5B%40key%3Duuid%3Adc446a33-8106-4095-8b98-5d63ee9e091d%5D%2FgroupInfoFuel%5B%40ordinal%3D1%5D%2FpicFuelRecibeInterno","Descargar")</f>
        <v>Descargar</v>
      </c>
    </row>
    <row r="4592" spans="1:18" x14ac:dyDescent="0.3">
      <c r="A4592">
        <v>1470204</v>
      </c>
      <c r="B4592" t="s">
        <v>18</v>
      </c>
      <c r="C4592" t="s">
        <v>167</v>
      </c>
      <c r="D4592" t="s">
        <v>768</v>
      </c>
      <c r="E4592" t="s">
        <v>998</v>
      </c>
      <c r="F4592" t="s">
        <v>22</v>
      </c>
      <c r="G4592" t="s">
        <v>23</v>
      </c>
      <c r="H4592" t="s">
        <v>1781</v>
      </c>
      <c r="I4592" t="s">
        <v>25</v>
      </c>
      <c r="J4592" t="s">
        <v>3365</v>
      </c>
      <c r="K4592">
        <v>24</v>
      </c>
      <c r="L4592">
        <v>1</v>
      </c>
      <c r="M4592">
        <v>2025</v>
      </c>
      <c r="N4592" t="s">
        <v>27</v>
      </c>
      <c r="O4592">
        <v>378</v>
      </c>
      <c r="P4592">
        <v>378</v>
      </c>
      <c r="R4592" s="3" t="str">
        <f>HYPERLINK("https://panda.att.com.mx/ODKServer/view/binaryData?blobKey=FSSuministroFluidosv3%5B%40version%3Dnull+and+%40uiVersion%3Dnull%5D%2Fdata%5B%40key%3Duuid%3A9caab554-5e7f-4177-80f7-4363a4a1d9af%5D%2FgroupInfoFuel%5B%40ordinal%3D1%5D%2FpicFuelRecibeInterno","Descargar")</f>
        <v>Descargar</v>
      </c>
    </row>
    <row r="4593" spans="1:18" x14ac:dyDescent="0.3">
      <c r="A4593">
        <v>1470177</v>
      </c>
      <c r="B4593" t="s">
        <v>18</v>
      </c>
      <c r="C4593" t="s">
        <v>167</v>
      </c>
      <c r="D4593" t="s">
        <v>168</v>
      </c>
      <c r="E4593" t="s">
        <v>266</v>
      </c>
      <c r="F4593" t="s">
        <v>22</v>
      </c>
      <c r="G4593" t="s">
        <v>83</v>
      </c>
      <c r="H4593" t="s">
        <v>58</v>
      </c>
      <c r="I4593" t="s">
        <v>25</v>
      </c>
      <c r="J4593" t="s">
        <v>3366</v>
      </c>
      <c r="K4593">
        <v>24</v>
      </c>
      <c r="L4593">
        <v>1</v>
      </c>
      <c r="M4593">
        <v>2025</v>
      </c>
      <c r="N4593" t="s">
        <v>27</v>
      </c>
      <c r="O4593">
        <v>450</v>
      </c>
      <c r="P4593">
        <v>450</v>
      </c>
      <c r="R4593" s="3" t="str">
        <f>HYPERLINK("https://panda.att.com.mx/ODKServer/view/binaryData?blobKey=FSSuministroFluidosv3%5B%40version%3Dnull+and+%40uiVersion%3Dnull%5D%2Fdata%5B%40key%3Duuid%3A1fbdd217-ff78-408d-a1f0-2d52a200a555%5D%2FgroupInfoFuel%5B%40ordinal%3D1%5D%2FpicFuelRecibeInterno","Descargar")</f>
        <v>Descargar</v>
      </c>
    </row>
    <row r="4594" spans="1:18" x14ac:dyDescent="0.3">
      <c r="A4594">
        <v>1470134</v>
      </c>
      <c r="B4594" t="s">
        <v>18</v>
      </c>
      <c r="C4594" t="s">
        <v>55</v>
      </c>
      <c r="D4594" t="s">
        <v>128</v>
      </c>
      <c r="E4594" t="s">
        <v>3367</v>
      </c>
      <c r="F4594" t="s">
        <v>22</v>
      </c>
      <c r="G4594" t="s">
        <v>47</v>
      </c>
      <c r="H4594" t="s">
        <v>1763</v>
      </c>
      <c r="I4594" t="s">
        <v>25</v>
      </c>
      <c r="J4594" t="s">
        <v>3368</v>
      </c>
      <c r="K4594">
        <v>24</v>
      </c>
      <c r="L4594">
        <v>1</v>
      </c>
      <c r="M4594">
        <v>2025</v>
      </c>
      <c r="N4594" t="s">
        <v>44</v>
      </c>
      <c r="O4594">
        <v>25</v>
      </c>
      <c r="P4594">
        <v>25</v>
      </c>
      <c r="R4594" s="3" t="str">
        <f>HYPERLINK("https://panda.att.com.mx/ODKServer/view/binaryData?blobKey=FSSuministroFluidosv3%5B%40version%3Dnull+and+%40uiVersion%3Dnull%5D%2Fdata%5B%40key%3Duuid%3A0614d5f1-4b7b-4b3e-ae8f-0c9d84baa64b%5D%2FgroupInfoFuel%5B%40ordinal%3D1%5D%2FpicFuelRecibeInterno","Descargar")</f>
        <v>Descargar</v>
      </c>
    </row>
    <row r="4595" spans="1:18" x14ac:dyDescent="0.3">
      <c r="A4595">
        <v>1470126</v>
      </c>
      <c r="B4595" t="s">
        <v>18</v>
      </c>
      <c r="C4595" t="s">
        <v>34</v>
      </c>
      <c r="D4595" t="s">
        <v>53</v>
      </c>
      <c r="E4595" t="s">
        <v>299</v>
      </c>
      <c r="F4595" t="s">
        <v>22</v>
      </c>
      <c r="G4595" t="s">
        <v>23</v>
      </c>
      <c r="H4595" t="s">
        <v>24</v>
      </c>
      <c r="I4595" t="s">
        <v>25</v>
      </c>
      <c r="J4595" t="s">
        <v>3369</v>
      </c>
      <c r="K4595">
        <v>24</v>
      </c>
      <c r="L4595">
        <v>1</v>
      </c>
      <c r="M4595">
        <v>2025</v>
      </c>
      <c r="N4595" t="s">
        <v>27</v>
      </c>
      <c r="O4595">
        <v>400</v>
      </c>
      <c r="Q4595">
        <v>400</v>
      </c>
      <c r="R4595" s="3" t="str">
        <f>HYPERLINK("https://panda.att.com.mx/ODKServer/view/binaryData?blobKey=FSSuministroFluidosv3%5B%40version%3Dnull+and+%40uiVersion%3Dnull%5D%2Fdata%5B%40key%3Duuid%3A3d4fd673-116a-4695-ad25-ae43bb99dcc7%5D%2FgroupInfoFuel%5B%40ordinal%3D1%5D%2FpicFuelRecibeInterno","Descargar")</f>
        <v>Descargar</v>
      </c>
    </row>
    <row r="4596" spans="1:18" x14ac:dyDescent="0.3">
      <c r="A4596">
        <v>1470097</v>
      </c>
      <c r="B4596" t="s">
        <v>18</v>
      </c>
      <c r="C4596" t="s">
        <v>28</v>
      </c>
      <c r="D4596" t="s">
        <v>118</v>
      </c>
      <c r="E4596" t="s">
        <v>2815</v>
      </c>
      <c r="F4596" t="s">
        <v>22</v>
      </c>
      <c r="G4596" t="s">
        <v>47</v>
      </c>
      <c r="H4596" t="s">
        <v>24</v>
      </c>
      <c r="I4596" t="s">
        <v>25</v>
      </c>
      <c r="J4596" t="s">
        <v>3370</v>
      </c>
      <c r="K4596">
        <v>22</v>
      </c>
      <c r="L4596">
        <v>1</v>
      </c>
      <c r="M4596">
        <v>2025</v>
      </c>
      <c r="N4596" t="s">
        <v>44</v>
      </c>
      <c r="O4596">
        <v>40</v>
      </c>
      <c r="P4596">
        <v>40</v>
      </c>
      <c r="R4596" s="3" t="str">
        <f>HYPERLINK("https://panda.att.com.mx/ODKServer/view/binaryData?blobKey=FSSuministroFluidosv3%5B%40version%3Dnull+and+%40uiVersion%3Dnull%5D%2Fdata%5B%40key%3Duuid%3Aad438bf2-bae0-45d9-a03b-6d126b924f79%5D%2FgroupInfoFuel%5B%40ordinal%3D1%5D%2FpicFuelRecibeInterno","Descargar")</f>
        <v>Descargar</v>
      </c>
    </row>
    <row r="4597" spans="1:18" x14ac:dyDescent="0.3">
      <c r="A4597">
        <v>1469977</v>
      </c>
      <c r="B4597" t="s">
        <v>18</v>
      </c>
      <c r="C4597" t="s">
        <v>28</v>
      </c>
      <c r="D4597" t="s">
        <v>66</v>
      </c>
      <c r="E4597" t="s">
        <v>1213</v>
      </c>
      <c r="F4597" t="s">
        <v>22</v>
      </c>
      <c r="G4597" t="s">
        <v>47</v>
      </c>
      <c r="H4597" t="s">
        <v>24</v>
      </c>
      <c r="I4597" t="s">
        <v>25</v>
      </c>
      <c r="J4597" t="s">
        <v>3371</v>
      </c>
      <c r="K4597">
        <v>22</v>
      </c>
      <c r="L4597">
        <v>1</v>
      </c>
      <c r="M4597">
        <v>2025</v>
      </c>
      <c r="N4597" t="s">
        <v>44</v>
      </c>
      <c r="O4597">
        <v>30</v>
      </c>
      <c r="P4597">
        <v>30</v>
      </c>
      <c r="R4597" s="3" t="str">
        <f>HYPERLINK("https://panda.att.com.mx/ODKServer/view/binaryData?blobKey=FSSuministroFluidosv3%5B%40version%3Dnull+and+%40uiVersion%3Dnull%5D%2Fdata%5B%40key%3Duuid%3A6f1ac5b9-fcbd-474e-81a1-20b3613c4eed%5D%2FgroupInfoFuel%5B%40ordinal%3D1%5D%2FpicFuelRecibeInterno","Descargar")</f>
        <v>Descargar</v>
      </c>
    </row>
    <row r="4598" spans="1:18" x14ac:dyDescent="0.3">
      <c r="A4598">
        <v>1469972</v>
      </c>
      <c r="B4598" t="s">
        <v>18</v>
      </c>
      <c r="C4598" t="s">
        <v>28</v>
      </c>
      <c r="D4598" t="s">
        <v>66</v>
      </c>
      <c r="E4598" t="s">
        <v>104</v>
      </c>
      <c r="F4598" t="s">
        <v>22</v>
      </c>
      <c r="G4598" t="s">
        <v>47</v>
      </c>
      <c r="H4598" t="s">
        <v>24</v>
      </c>
      <c r="I4598" t="s">
        <v>25</v>
      </c>
      <c r="J4598" t="s">
        <v>3372</v>
      </c>
      <c r="K4598">
        <v>24</v>
      </c>
      <c r="L4598">
        <v>1</v>
      </c>
      <c r="M4598">
        <v>2025</v>
      </c>
      <c r="N4598" t="s">
        <v>44</v>
      </c>
      <c r="O4598">
        <v>200</v>
      </c>
      <c r="P4598">
        <v>200</v>
      </c>
      <c r="R4598" s="3" t="str">
        <f>HYPERLINK("https://panda.att.com.mx/ODKServer/view/binaryData?blobKey=FSSuministroFluidosv3%5B%40version%3Dnull+and+%40uiVersion%3Dnull%5D%2Fdata%5B%40key%3Duuid%3Aa7777055-ea43-4559-ad06-ec1d3d8360a8%5D%2FgroupInfoFuel%5B%40ordinal%3D1%5D%2FpicFuelRecibeInterno","Descargar")</f>
        <v>Descargar</v>
      </c>
    </row>
    <row r="4599" spans="1:18" x14ac:dyDescent="0.3">
      <c r="A4599">
        <v>1469963</v>
      </c>
      <c r="B4599" t="s">
        <v>18</v>
      </c>
      <c r="C4599" t="s">
        <v>55</v>
      </c>
      <c r="D4599" t="s">
        <v>128</v>
      </c>
      <c r="E4599" t="s">
        <v>2000</v>
      </c>
      <c r="F4599" t="s">
        <v>22</v>
      </c>
      <c r="G4599" t="s">
        <v>47</v>
      </c>
      <c r="H4599" t="s">
        <v>1763</v>
      </c>
      <c r="I4599" t="s">
        <v>25</v>
      </c>
      <c r="J4599" t="s">
        <v>3373</v>
      </c>
      <c r="K4599">
        <v>24</v>
      </c>
      <c r="L4599">
        <v>1</v>
      </c>
      <c r="M4599">
        <v>2025</v>
      </c>
      <c r="N4599" t="s">
        <v>27</v>
      </c>
      <c r="O4599">
        <v>400</v>
      </c>
      <c r="P4599">
        <v>400</v>
      </c>
      <c r="R4599" s="3" t="str">
        <f>HYPERLINK("https://panda.att.com.mx/ODKServer/view/binaryData?blobKey=FSSuministroFluidosv3%5B%40version%3Dnull+and+%40uiVersion%3Dnull%5D%2Fdata%5B%40key%3Duuid%3Ad305c79b-7c4c-4da8-ab5f-f747a29994cc%5D%2FgroupInfoFuel%5B%40ordinal%3D1%5D%2FpicFuelRecibeInterno","Descargar")</f>
        <v>Descargar</v>
      </c>
    </row>
    <row r="4600" spans="1:18" x14ac:dyDescent="0.3">
      <c r="A4600">
        <v>1469948</v>
      </c>
      <c r="B4600" t="s">
        <v>18</v>
      </c>
      <c r="C4600" t="s">
        <v>34</v>
      </c>
      <c r="D4600" t="s">
        <v>292</v>
      </c>
      <c r="E4600" t="s">
        <v>293</v>
      </c>
      <c r="F4600" t="s">
        <v>22</v>
      </c>
      <c r="G4600" t="s">
        <v>23</v>
      </c>
      <c r="H4600" t="s">
        <v>37</v>
      </c>
      <c r="I4600" t="s">
        <v>25</v>
      </c>
      <c r="J4600" t="s">
        <v>3374</v>
      </c>
      <c r="K4600">
        <v>24</v>
      </c>
      <c r="L4600">
        <v>1</v>
      </c>
      <c r="M4600">
        <v>2025</v>
      </c>
      <c r="N4600" t="s">
        <v>27</v>
      </c>
      <c r="O4600">
        <v>550</v>
      </c>
      <c r="P4600">
        <v>550</v>
      </c>
      <c r="R4600" s="3" t="str">
        <f>HYPERLINK("https://panda.att.com.mx/ODKServer/view/binaryData?blobKey=FSSuministroFluidosv3%5B%40version%3Dnull+and+%40uiVersion%3Dnull%5D%2Fdata%5B%40key%3Duuid%3A62bf93ff-3fda-4c37-94c3-8ebe28617e81%5D%2FgroupInfoFuel%5B%40ordinal%3D1%5D%2FpicFuelRecibeInterno","Descargar")</f>
        <v>Descargar</v>
      </c>
    </row>
    <row r="4601" spans="1:18" x14ac:dyDescent="0.3">
      <c r="A4601">
        <v>1469943</v>
      </c>
      <c r="B4601" t="s">
        <v>18</v>
      </c>
      <c r="C4601" t="s">
        <v>55</v>
      </c>
      <c r="D4601" t="s">
        <v>56</v>
      </c>
      <c r="E4601" t="s">
        <v>1555</v>
      </c>
      <c r="F4601" t="s">
        <v>22</v>
      </c>
      <c r="G4601" t="s">
        <v>47</v>
      </c>
      <c r="H4601" t="s">
        <v>1763</v>
      </c>
      <c r="I4601" t="s">
        <v>25</v>
      </c>
      <c r="J4601" t="s">
        <v>3375</v>
      </c>
      <c r="K4601">
        <v>20</v>
      </c>
      <c r="L4601">
        <v>1</v>
      </c>
      <c r="M4601">
        <v>2025</v>
      </c>
      <c r="N4601" t="s">
        <v>27</v>
      </c>
      <c r="O4601">
        <v>300</v>
      </c>
      <c r="P4601">
        <v>300</v>
      </c>
      <c r="R4601" s="3" t="str">
        <f>HYPERLINK("https://panda.att.com.mx/ODKServer/view/binaryData?blobKey=FSSuministroFluidosv3%5B%40version%3Dnull+and+%40uiVersion%3Dnull%5D%2Fdata%5B%40key%3Duuid%3A12347f8c-3aa9-43f0-b7ac-9c08a171d2a1%5D%2FgroupInfoFuel%5B%40ordinal%3D1%5D%2FpicFuelRecibeInterno","Descargar")</f>
        <v>Descargar</v>
      </c>
    </row>
    <row r="4602" spans="1:18" x14ac:dyDescent="0.3">
      <c r="A4602">
        <v>1469938</v>
      </c>
      <c r="B4602" t="s">
        <v>18</v>
      </c>
      <c r="C4602" t="s">
        <v>55</v>
      </c>
      <c r="D4602" t="s">
        <v>56</v>
      </c>
      <c r="E4602" t="s">
        <v>3376</v>
      </c>
      <c r="F4602" t="s">
        <v>22</v>
      </c>
      <c r="G4602" t="s">
        <v>47</v>
      </c>
      <c r="H4602" t="s">
        <v>1763</v>
      </c>
      <c r="I4602" t="s">
        <v>25</v>
      </c>
      <c r="J4602" t="s">
        <v>3377</v>
      </c>
      <c r="K4602">
        <v>22</v>
      </c>
      <c r="L4602">
        <v>1</v>
      </c>
      <c r="M4602">
        <v>2025</v>
      </c>
      <c r="N4602" t="s">
        <v>27</v>
      </c>
      <c r="O4602">
        <v>42</v>
      </c>
      <c r="Q4602">
        <v>42</v>
      </c>
      <c r="R4602" s="3" t="str">
        <f>HYPERLINK("https://panda.att.com.mx/ODKServer/view/binaryData?blobKey=FSSuministroFluidosv3%5B%40version%3Dnull+and+%40uiVersion%3Dnull%5D%2Fdata%5B%40key%3Duuid%3Ad76c2dc1-fb19-4a85-a7a8-b9a414ae7933%5D%2FgroupInfoFuel%5B%40ordinal%3D1%5D%2FpicFuelRecibeInterno","Descargar")</f>
        <v>Descargar</v>
      </c>
    </row>
    <row r="4603" spans="1:18" x14ac:dyDescent="0.3">
      <c r="A4603">
        <v>1469934</v>
      </c>
      <c r="B4603" t="s">
        <v>18</v>
      </c>
      <c r="C4603" t="s">
        <v>55</v>
      </c>
      <c r="D4603" t="s">
        <v>56</v>
      </c>
      <c r="E4603" t="s">
        <v>471</v>
      </c>
      <c r="F4603" t="s">
        <v>22</v>
      </c>
      <c r="G4603" t="s">
        <v>47</v>
      </c>
      <c r="H4603" t="s">
        <v>1763</v>
      </c>
      <c r="I4603" t="s">
        <v>25</v>
      </c>
      <c r="J4603" t="s">
        <v>3378</v>
      </c>
      <c r="K4603">
        <v>22</v>
      </c>
      <c r="L4603">
        <v>1</v>
      </c>
      <c r="M4603">
        <v>2025</v>
      </c>
      <c r="N4603" t="s">
        <v>27</v>
      </c>
      <c r="O4603">
        <v>100</v>
      </c>
      <c r="P4603">
        <v>100</v>
      </c>
      <c r="R4603" s="3" t="str">
        <f>HYPERLINK("https://panda.att.com.mx/ODKServer/view/binaryData?blobKey=FSSuministroFluidosv3%5B%40version%3Dnull+and+%40uiVersion%3Dnull%5D%2Fdata%5B%40key%3Duuid%3A217388b9-068a-424e-89b5-f0c89dc05c91%5D%2FgroupInfoFuel%5B%40ordinal%3D1%5D%2FpicFuelRecibeInterno","Descargar")</f>
        <v>Descargar</v>
      </c>
    </row>
    <row r="4604" spans="1:18" x14ac:dyDescent="0.3">
      <c r="A4604">
        <v>1469899</v>
      </c>
      <c r="B4604" t="s">
        <v>18</v>
      </c>
      <c r="C4604" t="s">
        <v>19</v>
      </c>
      <c r="D4604" t="s">
        <v>20</v>
      </c>
      <c r="E4604" t="s">
        <v>378</v>
      </c>
      <c r="F4604" t="s">
        <v>22</v>
      </c>
      <c r="G4604" t="s">
        <v>23</v>
      </c>
      <c r="H4604" t="s">
        <v>24</v>
      </c>
      <c r="I4604" t="s">
        <v>25</v>
      </c>
      <c r="J4604" t="s">
        <v>3379</v>
      </c>
      <c r="K4604">
        <v>24</v>
      </c>
      <c r="L4604">
        <v>1</v>
      </c>
      <c r="M4604">
        <v>2025</v>
      </c>
      <c r="N4604" t="s">
        <v>27</v>
      </c>
      <c r="O4604">
        <v>200</v>
      </c>
      <c r="P4604">
        <v>200</v>
      </c>
      <c r="R4604" s="3" t="str">
        <f>HYPERLINK("https://panda.att.com.mx/ODKServer/view/binaryData?blobKey=FSSuministroFluidosv3%5B%40version%3Dnull+and+%40uiVersion%3Dnull%5D%2Fdata%5B%40key%3Duuid%3A56457a03-9837-40e3-a213-07e804f729d9%5D%2FgroupInfoFuel%5B%40ordinal%3D1%5D%2FpicFuelRecibeInterno","Descargar")</f>
        <v>Descargar</v>
      </c>
    </row>
    <row r="4605" spans="1:18" x14ac:dyDescent="0.3">
      <c r="A4605">
        <v>1469874</v>
      </c>
      <c r="B4605" t="s">
        <v>18</v>
      </c>
      <c r="C4605" t="s">
        <v>28</v>
      </c>
      <c r="D4605" t="s">
        <v>66</v>
      </c>
      <c r="E4605" t="s">
        <v>1884</v>
      </c>
      <c r="F4605" t="s">
        <v>22</v>
      </c>
      <c r="G4605" t="s">
        <v>47</v>
      </c>
      <c r="H4605" t="s">
        <v>24</v>
      </c>
      <c r="I4605" t="s">
        <v>25</v>
      </c>
      <c r="J4605" t="s">
        <v>3380</v>
      </c>
      <c r="K4605">
        <v>22</v>
      </c>
      <c r="L4605">
        <v>1</v>
      </c>
      <c r="M4605">
        <v>2025</v>
      </c>
      <c r="N4605" t="s">
        <v>27</v>
      </c>
      <c r="O4605">
        <v>600</v>
      </c>
      <c r="P4605">
        <v>600</v>
      </c>
      <c r="R4605" s="3" t="str">
        <f>HYPERLINK("https://panda.att.com.mx/ODKServer/view/binaryData?blobKey=FSSuministroFluidosv3%5B%40version%3Dnull+and+%40uiVersion%3Dnull%5D%2Fdata%5B%40key%3Duuid%3A02f78790-7c1c-4044-8d7f-a8b4cea4d485%5D%2FgroupInfoFuel%5B%40ordinal%3D1%5D%2FpicFuelRecibeInterno","Descargar")</f>
        <v>Descargar</v>
      </c>
    </row>
    <row r="4606" spans="1:18" x14ac:dyDescent="0.3">
      <c r="A4606">
        <v>1469860</v>
      </c>
      <c r="B4606" t="s">
        <v>18</v>
      </c>
      <c r="C4606" t="s">
        <v>34</v>
      </c>
      <c r="D4606" t="s">
        <v>53</v>
      </c>
      <c r="E4606" t="s">
        <v>144</v>
      </c>
      <c r="F4606" t="s">
        <v>22</v>
      </c>
      <c r="G4606" t="s">
        <v>23</v>
      </c>
      <c r="H4606" t="s">
        <v>37</v>
      </c>
      <c r="I4606" t="s">
        <v>25</v>
      </c>
      <c r="J4606" t="s">
        <v>3381</v>
      </c>
      <c r="K4606">
        <v>23</v>
      </c>
      <c r="L4606">
        <v>1</v>
      </c>
      <c r="M4606">
        <v>2025</v>
      </c>
      <c r="N4606" t="s">
        <v>27</v>
      </c>
      <c r="O4606">
        <v>350</v>
      </c>
      <c r="P4606">
        <v>350</v>
      </c>
      <c r="R4606" s="3" t="str">
        <f>HYPERLINK("https://panda.att.com.mx/ODKServer/view/binaryData?blobKey=FSSuministroFluidosv3%5B%40version%3Dnull+and+%40uiVersion%3Dnull%5D%2Fdata%5B%40key%3Duuid%3A13a6b801-b3cb-4524-8194-8b0a89b0d2c5%5D%2FgroupInfoFuel%5B%40ordinal%3D1%5D%2FpicFuelRecibeInterno","Descargar")</f>
        <v>Descargar</v>
      </c>
    </row>
    <row r="4607" spans="1:18" x14ac:dyDescent="0.3">
      <c r="A4607">
        <v>1469849</v>
      </c>
      <c r="B4607" t="s">
        <v>18</v>
      </c>
      <c r="C4607" t="s">
        <v>59</v>
      </c>
      <c r="D4607" t="s">
        <v>60</v>
      </c>
      <c r="E4607" t="s">
        <v>2207</v>
      </c>
      <c r="F4607" t="s">
        <v>22</v>
      </c>
      <c r="G4607" t="s">
        <v>23</v>
      </c>
      <c r="H4607" t="s">
        <v>37</v>
      </c>
      <c r="I4607" t="s">
        <v>25</v>
      </c>
      <c r="J4607" t="s">
        <v>3382</v>
      </c>
      <c r="K4607">
        <v>22</v>
      </c>
      <c r="L4607">
        <v>1</v>
      </c>
      <c r="M4607">
        <v>2025</v>
      </c>
      <c r="N4607" t="s">
        <v>27</v>
      </c>
      <c r="O4607">
        <v>124.52</v>
      </c>
      <c r="P4607">
        <v>124.52</v>
      </c>
      <c r="R4607" s="3" t="str">
        <f>HYPERLINK("https://panda.att.com.mx/ODKServer/view/binaryData?blobKey=FSSuministroFluidosv3%5B%40version%3Dnull+and+%40uiVersion%3Dnull%5D%2Fdata%5B%40key%3Duuid%3A7905fb70-b81a-412e-aad2-9efc314be758%5D%2FgroupInfoFuel%5B%40ordinal%3D1%5D%2FpicFuelRecibeInterno","Descargar")</f>
        <v>Descargar</v>
      </c>
    </row>
    <row r="4608" spans="1:18" x14ac:dyDescent="0.3">
      <c r="A4608">
        <v>1469843</v>
      </c>
      <c r="B4608" t="s">
        <v>18</v>
      </c>
      <c r="C4608" t="s">
        <v>59</v>
      </c>
      <c r="D4608" t="s">
        <v>60</v>
      </c>
      <c r="E4608" t="s">
        <v>2207</v>
      </c>
      <c r="F4608" t="s">
        <v>22</v>
      </c>
      <c r="G4608" t="s">
        <v>23</v>
      </c>
      <c r="H4608" t="s">
        <v>37</v>
      </c>
      <c r="I4608" t="s">
        <v>25</v>
      </c>
      <c r="J4608" t="s">
        <v>3383</v>
      </c>
      <c r="K4608">
        <v>21</v>
      </c>
      <c r="L4608">
        <v>1</v>
      </c>
      <c r="M4608">
        <v>2025</v>
      </c>
      <c r="N4608" t="s">
        <v>27</v>
      </c>
      <c r="O4608">
        <v>76.08</v>
      </c>
      <c r="P4608">
        <v>76.08</v>
      </c>
      <c r="R4608" s="3" t="str">
        <f>HYPERLINK("https://panda.att.com.mx/ODKServer/view/binaryData?blobKey=FSSuministroFluidosv3%5B%40version%3Dnull+and+%40uiVersion%3Dnull%5D%2Fdata%5B%40key%3Duuid%3A4dabc925-1e9c-47c2-bc94-cc3025d74da8%5D%2FgroupInfoFuel%5B%40ordinal%3D1%5D%2FpicFuelRecibeInterno","Descargar")</f>
        <v>Descargar</v>
      </c>
    </row>
    <row r="4609" spans="1:18" x14ac:dyDescent="0.3">
      <c r="A4609">
        <v>1469841</v>
      </c>
      <c r="B4609" t="s">
        <v>18</v>
      </c>
      <c r="C4609" t="s">
        <v>28</v>
      </c>
      <c r="D4609" t="s">
        <v>181</v>
      </c>
      <c r="E4609" t="s">
        <v>2629</v>
      </c>
      <c r="F4609" t="s">
        <v>22</v>
      </c>
      <c r="G4609" t="s">
        <v>47</v>
      </c>
      <c r="H4609" t="s">
        <v>24</v>
      </c>
      <c r="I4609" t="s">
        <v>25</v>
      </c>
      <c r="J4609" t="s">
        <v>3384</v>
      </c>
      <c r="K4609">
        <v>22</v>
      </c>
      <c r="L4609">
        <v>1</v>
      </c>
      <c r="M4609">
        <v>2025</v>
      </c>
      <c r="N4609" t="s">
        <v>44</v>
      </c>
      <c r="O4609">
        <v>50</v>
      </c>
      <c r="P4609">
        <v>50</v>
      </c>
      <c r="R4609" s="3" t="str">
        <f>HYPERLINK("https://panda.att.com.mx/ODKServer/view/binaryData?blobKey=FSSuministroFluidosv3%5B%40version%3Dnull+and+%40uiVersion%3Dnull%5D%2Fdata%5B%40key%3Duuid%3A4f3f6ec8-0d2b-4f60-992e-0259c7a74939%5D%2FgroupInfoFuel%5B%40ordinal%3D1%5D%2FpicFuelRecibeInterno","Descargar")</f>
        <v>Descargar</v>
      </c>
    </row>
    <row r="4610" spans="1:18" x14ac:dyDescent="0.3">
      <c r="A4610">
        <v>1469809</v>
      </c>
      <c r="B4610" t="s">
        <v>18</v>
      </c>
      <c r="C4610" t="s">
        <v>183</v>
      </c>
      <c r="D4610" t="s">
        <v>3280</v>
      </c>
      <c r="E4610" t="s">
        <v>3281</v>
      </c>
      <c r="F4610" t="s">
        <v>22</v>
      </c>
      <c r="G4610" t="s">
        <v>23</v>
      </c>
      <c r="H4610" t="s">
        <v>37</v>
      </c>
      <c r="I4610" t="s">
        <v>25</v>
      </c>
      <c r="J4610" t="s">
        <v>3385</v>
      </c>
      <c r="K4610">
        <v>23</v>
      </c>
      <c r="L4610">
        <v>1</v>
      </c>
      <c r="M4610">
        <v>2025</v>
      </c>
      <c r="N4610" t="s">
        <v>27</v>
      </c>
      <c r="O4610">
        <v>130</v>
      </c>
      <c r="P4610">
        <v>130</v>
      </c>
      <c r="R4610" s="3" t="str">
        <f>HYPERLINK("https://panda.att.com.mx/ODKServer/view/binaryData?blobKey=FSSuministroFluidosv3%5B%40version%3Dnull+and+%40uiVersion%3Dnull%5D%2Fdata%5B%40key%3Duuid%3Ab4a8d0be-51d7-4a27-87a1-df752ef78d69%5D%2FgroupInfoFuel%5B%40ordinal%3D1%5D%2FpicFuelRecibeInterno","Descargar")</f>
        <v>Descargar</v>
      </c>
    </row>
    <row r="4611" spans="1:18" x14ac:dyDescent="0.3">
      <c r="A4611">
        <v>1469760</v>
      </c>
      <c r="B4611" t="s">
        <v>18</v>
      </c>
      <c r="C4611" t="s">
        <v>100</v>
      </c>
      <c r="D4611" t="s">
        <v>101</v>
      </c>
      <c r="E4611" t="s">
        <v>3386</v>
      </c>
      <c r="F4611" t="s">
        <v>22</v>
      </c>
      <c r="G4611" t="s">
        <v>23</v>
      </c>
      <c r="H4611" t="s">
        <v>1781</v>
      </c>
      <c r="I4611" t="s">
        <v>25</v>
      </c>
      <c r="J4611" t="s">
        <v>3387</v>
      </c>
      <c r="K4611">
        <v>23</v>
      </c>
      <c r="L4611">
        <v>1</v>
      </c>
      <c r="M4611">
        <v>2025</v>
      </c>
      <c r="N4611" t="s">
        <v>27</v>
      </c>
      <c r="O4611">
        <v>150</v>
      </c>
      <c r="P4611">
        <v>150</v>
      </c>
      <c r="R4611" s="3" t="str">
        <f>HYPERLINK("https://panda.att.com.mx/ODKServer/view/binaryData?blobKey=FSSuministroFluidosv3%5B%40version%3Dnull+and+%40uiVersion%3Dnull%5D%2Fdata%5B%40key%3Duuid%3A00e0805b-5ab7-4144-89ef-6f403db9ac20%5D%2FgroupInfoFuel%5B%40ordinal%3D1%5D%2FpicFuelRecibeInterno","Descargar")</f>
        <v>Descargar</v>
      </c>
    </row>
    <row r="4612" spans="1:18" x14ac:dyDescent="0.3">
      <c r="A4612">
        <v>1469664</v>
      </c>
      <c r="B4612" t="s">
        <v>18</v>
      </c>
      <c r="C4612" t="s">
        <v>55</v>
      </c>
      <c r="D4612" t="s">
        <v>56</v>
      </c>
      <c r="E4612" t="s">
        <v>3037</v>
      </c>
      <c r="F4612" t="s">
        <v>22</v>
      </c>
      <c r="G4612" t="s">
        <v>47</v>
      </c>
      <c r="H4612" t="s">
        <v>1763</v>
      </c>
      <c r="I4612" t="s">
        <v>25</v>
      </c>
      <c r="J4612" t="s">
        <v>3388</v>
      </c>
      <c r="K4612">
        <v>23</v>
      </c>
      <c r="L4612">
        <v>1</v>
      </c>
      <c r="M4612">
        <v>2025</v>
      </c>
      <c r="N4612" t="s">
        <v>27</v>
      </c>
      <c r="O4612">
        <v>200</v>
      </c>
      <c r="P4612">
        <v>200</v>
      </c>
      <c r="R4612" s="3" t="str">
        <f>HYPERLINK("https://panda.att.com.mx/ODKServer/view/binaryData?blobKey=FSSuministroFluidosv3%5B%40version%3Dnull+and+%40uiVersion%3Dnull%5D%2Fdata%5B%40key%3Duuid%3A936b2efe-a8df-4573-b9f7-1a5f3061007d%5D%2FgroupInfoFuel%5B%40ordinal%3D1%5D%2FpicFuelRecibeInterno","Descargar")</f>
        <v>Descargar</v>
      </c>
    </row>
    <row r="4613" spans="1:18" x14ac:dyDescent="0.3">
      <c r="A4613">
        <v>1469645</v>
      </c>
      <c r="B4613" t="s">
        <v>18</v>
      </c>
      <c r="C4613" t="s">
        <v>55</v>
      </c>
      <c r="D4613" t="s">
        <v>56</v>
      </c>
      <c r="E4613" t="s">
        <v>2089</v>
      </c>
      <c r="F4613" t="s">
        <v>22</v>
      </c>
      <c r="G4613" t="s">
        <v>47</v>
      </c>
      <c r="H4613" t="s">
        <v>1763</v>
      </c>
      <c r="I4613" t="s">
        <v>25</v>
      </c>
      <c r="J4613" t="s">
        <v>3389</v>
      </c>
      <c r="K4613">
        <v>22</v>
      </c>
      <c r="L4613">
        <v>1</v>
      </c>
      <c r="M4613">
        <v>2025</v>
      </c>
      <c r="N4613" t="s">
        <v>27</v>
      </c>
      <c r="O4613">
        <v>150</v>
      </c>
      <c r="P4613">
        <v>150</v>
      </c>
      <c r="R4613" s="3" t="str">
        <f>HYPERLINK("https://panda.att.com.mx/ODKServer/view/binaryData?blobKey=FSSuministroFluidosv3%5B%40version%3Dnull+and+%40uiVersion%3Dnull%5D%2Fdata%5B%40key%3Duuid%3Ac09ec412-fe94-473f-af6a-8e1f0239d424%5D%2FgroupInfoFuel%5B%40ordinal%3D1%5D%2FpicFuelRecibeInterno","Descargar")</f>
        <v>Descargar</v>
      </c>
    </row>
    <row r="4614" spans="1:18" x14ac:dyDescent="0.3">
      <c r="A4614">
        <v>1469642</v>
      </c>
      <c r="B4614" t="s">
        <v>18</v>
      </c>
      <c r="C4614" t="s">
        <v>28</v>
      </c>
      <c r="D4614" t="s">
        <v>181</v>
      </c>
      <c r="E4614" t="s">
        <v>3390</v>
      </c>
      <c r="F4614" t="s">
        <v>22</v>
      </c>
      <c r="G4614" t="s">
        <v>47</v>
      </c>
      <c r="H4614" t="s">
        <v>24</v>
      </c>
      <c r="I4614" t="s">
        <v>25</v>
      </c>
      <c r="J4614" t="s">
        <v>3391</v>
      </c>
      <c r="K4614">
        <v>17</v>
      </c>
      <c r="L4614">
        <v>1</v>
      </c>
      <c r="M4614">
        <v>2025</v>
      </c>
      <c r="N4614" t="s">
        <v>27</v>
      </c>
      <c r="O4614">
        <v>300</v>
      </c>
      <c r="P4614">
        <v>300</v>
      </c>
      <c r="R4614" s="3" t="str">
        <f>HYPERLINK("https://panda.att.com.mx/ODKServer/view/binaryData?blobKey=FSSuministroFluidosv3%5B%40version%3Dnull+and+%40uiVersion%3Dnull%5D%2Fdata%5B%40key%3Duuid%3Af70e90e7-797b-4a5b-9b91-7cefd3b5278c%5D%2FgroupInfoFuel%5B%40ordinal%3D1%5D%2FpicFuelRecibeInterno","Descargar")</f>
        <v>Descargar</v>
      </c>
    </row>
    <row r="4615" spans="1:18" x14ac:dyDescent="0.3">
      <c r="A4615">
        <v>1469637</v>
      </c>
      <c r="B4615" t="s">
        <v>18</v>
      </c>
      <c r="C4615" t="s">
        <v>19</v>
      </c>
      <c r="D4615" t="s">
        <v>347</v>
      </c>
      <c r="E4615" t="s">
        <v>2309</v>
      </c>
      <c r="F4615" t="s">
        <v>22</v>
      </c>
      <c r="G4615" t="s">
        <v>23</v>
      </c>
      <c r="H4615" t="s">
        <v>24</v>
      </c>
      <c r="I4615" t="s">
        <v>25</v>
      </c>
      <c r="J4615" t="s">
        <v>3392</v>
      </c>
      <c r="K4615">
        <v>22</v>
      </c>
      <c r="L4615">
        <v>1</v>
      </c>
      <c r="M4615">
        <v>2025</v>
      </c>
      <c r="N4615" t="s">
        <v>27</v>
      </c>
      <c r="O4615">
        <v>100</v>
      </c>
      <c r="P4615">
        <v>100</v>
      </c>
      <c r="R4615" s="3" t="str">
        <f>HYPERLINK("https://panda.att.com.mx/ODKServer/view/binaryData?blobKey=FSSuministroFluidosv3%5B%40version%3Dnull+and+%40uiVersion%3Dnull%5D%2Fdata%5B%40key%3Duuid%3A7f5c80cd-5389-4163-abe1-09798600446b%5D%2FgroupInfoFuel%5B%40ordinal%3D1%5D%2FpicFuelRecibeInterno","Descargar")</f>
        <v>Descargar</v>
      </c>
    </row>
    <row r="4616" spans="1:18" x14ac:dyDescent="0.3">
      <c r="A4616">
        <v>1469632</v>
      </c>
      <c r="B4616" t="s">
        <v>18</v>
      </c>
      <c r="C4616" t="s">
        <v>55</v>
      </c>
      <c r="D4616" t="s">
        <v>56</v>
      </c>
      <c r="E4616" t="s">
        <v>3393</v>
      </c>
      <c r="F4616" t="s">
        <v>22</v>
      </c>
      <c r="G4616" t="s">
        <v>47</v>
      </c>
      <c r="H4616" t="s">
        <v>1763</v>
      </c>
      <c r="I4616" t="s">
        <v>25</v>
      </c>
      <c r="J4616" t="s">
        <v>3394</v>
      </c>
      <c r="K4616">
        <v>21</v>
      </c>
      <c r="L4616">
        <v>1</v>
      </c>
      <c r="M4616">
        <v>2025</v>
      </c>
      <c r="N4616" t="s">
        <v>27</v>
      </c>
      <c r="O4616">
        <v>200</v>
      </c>
      <c r="P4616">
        <v>200</v>
      </c>
      <c r="R4616" s="3" t="str">
        <f>HYPERLINK("https://panda.att.com.mx/ODKServer/view/binaryData?blobKey=FSSuministroFluidosv3%5B%40version%3Dnull+and+%40uiVersion%3Dnull%5D%2Fdata%5B%40key%3Duuid%3Ad5508f6a-688a-4d4f-a088-c28ed8a54ab9%5D%2FgroupInfoFuel%5B%40ordinal%3D1%5D%2FpicFuelRecibeInterno","Descargar")</f>
        <v>Descargar</v>
      </c>
    </row>
    <row r="4617" spans="1:18" x14ac:dyDescent="0.3">
      <c r="A4617">
        <v>1469626</v>
      </c>
      <c r="B4617" t="s">
        <v>18</v>
      </c>
      <c r="C4617" t="s">
        <v>28</v>
      </c>
      <c r="D4617" t="s">
        <v>118</v>
      </c>
      <c r="E4617" t="s">
        <v>401</v>
      </c>
      <c r="F4617" t="s">
        <v>22</v>
      </c>
      <c r="G4617" t="s">
        <v>47</v>
      </c>
      <c r="H4617" t="s">
        <v>24</v>
      </c>
      <c r="I4617" t="s">
        <v>25</v>
      </c>
      <c r="J4617" t="s">
        <v>3395</v>
      </c>
      <c r="K4617">
        <v>23</v>
      </c>
      <c r="L4617">
        <v>1</v>
      </c>
      <c r="M4617">
        <v>2025</v>
      </c>
      <c r="N4617" t="s">
        <v>44</v>
      </c>
      <c r="O4617">
        <v>50</v>
      </c>
      <c r="P4617">
        <v>50</v>
      </c>
      <c r="R4617" s="3" t="str">
        <f>HYPERLINK("https://panda.att.com.mx/ODKServer/view/binaryData?blobKey=FSSuministroFluidosv3%5B%40version%3Dnull+and+%40uiVersion%3Dnull%5D%2Fdata%5B%40key%3Duuid%3A1af67be0-bb4d-4b3a-ad65-dd70b001bb35%5D%2FgroupInfoFuel%5B%40ordinal%3D1%5D%2FpicFuelRecibeInterno","Descargar")</f>
        <v>Descargar</v>
      </c>
    </row>
    <row r="4618" spans="1:18" x14ac:dyDescent="0.3">
      <c r="A4618">
        <v>1469617</v>
      </c>
      <c r="B4618" t="s">
        <v>18</v>
      </c>
      <c r="C4618" t="s">
        <v>19</v>
      </c>
      <c r="D4618" t="s">
        <v>347</v>
      </c>
      <c r="E4618" t="s">
        <v>3396</v>
      </c>
      <c r="F4618" t="s">
        <v>22</v>
      </c>
      <c r="G4618" t="s">
        <v>23</v>
      </c>
      <c r="H4618" t="s">
        <v>24</v>
      </c>
      <c r="I4618" t="s">
        <v>25</v>
      </c>
      <c r="J4618" t="s">
        <v>3397</v>
      </c>
      <c r="K4618">
        <v>20</v>
      </c>
      <c r="L4618">
        <v>1</v>
      </c>
      <c r="M4618">
        <v>2025</v>
      </c>
      <c r="N4618" t="s">
        <v>27</v>
      </c>
      <c r="O4618">
        <v>400</v>
      </c>
      <c r="P4618">
        <v>400</v>
      </c>
      <c r="R4618" s="3" t="str">
        <f>HYPERLINK("https://panda.att.com.mx/ODKServer/view/binaryData?blobKey=FSSuministroFluidosv3%5B%40version%3Dnull+and+%40uiVersion%3Dnull%5D%2Fdata%5B%40key%3Duuid%3A9e518af5-63e0-40d7-9489-2a6de0258bf2%5D%2FgroupInfoFuel%5B%40ordinal%3D1%5D%2FpicFuelRecibeInterno","Descargar")</f>
        <v>Descargar</v>
      </c>
    </row>
    <row r="4619" spans="1:18" x14ac:dyDescent="0.3">
      <c r="A4619">
        <v>1469602</v>
      </c>
      <c r="B4619" t="s">
        <v>18</v>
      </c>
      <c r="C4619" t="s">
        <v>150</v>
      </c>
      <c r="D4619" t="s">
        <v>230</v>
      </c>
      <c r="E4619" t="s">
        <v>1510</v>
      </c>
      <c r="F4619" t="s">
        <v>22</v>
      </c>
      <c r="G4619" t="s">
        <v>47</v>
      </c>
      <c r="H4619" t="s">
        <v>1781</v>
      </c>
      <c r="I4619" t="s">
        <v>25</v>
      </c>
      <c r="J4619" t="s">
        <v>3398</v>
      </c>
      <c r="K4619">
        <v>23</v>
      </c>
      <c r="L4619">
        <v>1</v>
      </c>
      <c r="M4619">
        <v>2025</v>
      </c>
      <c r="N4619" t="s">
        <v>27</v>
      </c>
      <c r="O4619">
        <v>250</v>
      </c>
      <c r="P4619">
        <v>250</v>
      </c>
      <c r="R4619" s="3" t="str">
        <f>HYPERLINK("https://panda.att.com.mx/ODKServer/view/binaryData?blobKey=FSSuministroFluidosv3%5B%40version%3Dnull+and+%40uiVersion%3Dnull%5D%2Fdata%5B%40key%3Duuid%3Ab9497b87-a4ce-4d72-95b5-dc30b856d561%5D%2FgroupInfoFuel%5B%40ordinal%3D1%5D%2FpicFuelRecibeInterno","Descargar")</f>
        <v>Descargar</v>
      </c>
    </row>
    <row r="4620" spans="1:18" x14ac:dyDescent="0.3">
      <c r="A4620">
        <v>1469579</v>
      </c>
      <c r="B4620" t="s">
        <v>18</v>
      </c>
      <c r="C4620" t="s">
        <v>100</v>
      </c>
      <c r="D4620" t="s">
        <v>854</v>
      </c>
      <c r="E4620" t="s">
        <v>993</v>
      </c>
      <c r="F4620" t="s">
        <v>22</v>
      </c>
      <c r="G4620" t="s">
        <v>83</v>
      </c>
      <c r="H4620" t="s">
        <v>1781</v>
      </c>
      <c r="I4620" t="s">
        <v>25</v>
      </c>
      <c r="J4620" t="s">
        <v>3399</v>
      </c>
      <c r="K4620">
        <v>23</v>
      </c>
      <c r="L4620">
        <v>1</v>
      </c>
      <c r="M4620">
        <v>2025</v>
      </c>
      <c r="N4620" t="s">
        <v>27</v>
      </c>
      <c r="O4620">
        <v>220</v>
      </c>
      <c r="P4620">
        <v>220</v>
      </c>
      <c r="R4620" s="3" t="str">
        <f>HYPERLINK("https://panda.att.com.mx/ODKServer/view/binaryData?blobKey=FSSuministroFluidosv3%5B%40version%3Dnull+and+%40uiVersion%3Dnull%5D%2Fdata%5B%40key%3Duuid%3Ab3dea944-6a2d-4dd9-bdde-23f0215fe77a%5D%2FgroupInfoFuel%5B%40ordinal%3D1%5D%2FpicFuelRecibeInterno","Descargar")</f>
        <v>Descargar</v>
      </c>
    </row>
    <row r="4621" spans="1:18" x14ac:dyDescent="0.3">
      <c r="A4621">
        <v>1469575</v>
      </c>
      <c r="B4621" t="s">
        <v>18</v>
      </c>
      <c r="C4621" t="s">
        <v>150</v>
      </c>
      <c r="D4621" t="s">
        <v>230</v>
      </c>
      <c r="E4621" t="s">
        <v>3400</v>
      </c>
      <c r="F4621" t="s">
        <v>22</v>
      </c>
      <c r="G4621" t="s">
        <v>47</v>
      </c>
      <c r="H4621" t="s">
        <v>1781</v>
      </c>
      <c r="I4621" t="s">
        <v>25</v>
      </c>
      <c r="J4621" t="s">
        <v>3401</v>
      </c>
      <c r="K4621">
        <v>23</v>
      </c>
      <c r="L4621">
        <v>1</v>
      </c>
      <c r="M4621">
        <v>2025</v>
      </c>
      <c r="N4621" t="s">
        <v>27</v>
      </c>
      <c r="O4621">
        <v>150.01</v>
      </c>
      <c r="P4621">
        <v>150.01</v>
      </c>
      <c r="R4621" s="3" t="str">
        <f>HYPERLINK("https://panda.att.com.mx/ODKServer/view/binaryData?blobKey=FSSuministroFluidosv3%5B%40version%3Dnull+and+%40uiVersion%3Dnull%5D%2Fdata%5B%40key%3Duuid%3A6dd6f41a-8aee-43c2-bb6b-16d743031ee8%5D%2FgroupInfoFuel%5B%40ordinal%3D1%5D%2FpicFuelRecibeInterno","Descargar")</f>
        <v>Descargar</v>
      </c>
    </row>
    <row r="4622" spans="1:18" x14ac:dyDescent="0.3">
      <c r="A4622">
        <v>1469566</v>
      </c>
      <c r="B4622" t="s">
        <v>18</v>
      </c>
      <c r="C4622" t="s">
        <v>55</v>
      </c>
      <c r="D4622" t="s">
        <v>56</v>
      </c>
      <c r="E4622" t="s">
        <v>3402</v>
      </c>
      <c r="F4622" t="s">
        <v>22</v>
      </c>
      <c r="G4622" t="s">
        <v>47</v>
      </c>
      <c r="H4622" t="s">
        <v>1763</v>
      </c>
      <c r="I4622" t="s">
        <v>25</v>
      </c>
      <c r="J4622" t="s">
        <v>3403</v>
      </c>
      <c r="K4622">
        <v>20</v>
      </c>
      <c r="L4622">
        <v>1</v>
      </c>
      <c r="M4622">
        <v>2025</v>
      </c>
      <c r="N4622" t="s">
        <v>27</v>
      </c>
      <c r="O4622">
        <v>200</v>
      </c>
      <c r="P4622">
        <v>200</v>
      </c>
      <c r="R4622" s="3" t="str">
        <f>HYPERLINK("https://panda.att.com.mx/ODKServer/view/binaryData?blobKey=FSSuministroFluidosv3%5B%40version%3Dnull+and+%40uiVersion%3Dnull%5D%2Fdata%5B%40key%3Duuid%3Ae02740db-67db-48b2-bb5c-e8649bd76e3e%5D%2FgroupInfoFuel%5B%40ordinal%3D1%5D%2FpicFuelRecibeInterno","Descargar")</f>
        <v>Descargar</v>
      </c>
    </row>
    <row r="4623" spans="1:18" x14ac:dyDescent="0.3">
      <c r="A4623">
        <v>1469560</v>
      </c>
      <c r="B4623" t="s">
        <v>18</v>
      </c>
      <c r="C4623" t="s">
        <v>55</v>
      </c>
      <c r="D4623" t="s">
        <v>56</v>
      </c>
      <c r="E4623" t="s">
        <v>3404</v>
      </c>
      <c r="F4623" t="s">
        <v>22</v>
      </c>
      <c r="G4623" t="s">
        <v>47</v>
      </c>
      <c r="H4623" t="s">
        <v>1763</v>
      </c>
      <c r="I4623" t="s">
        <v>25</v>
      </c>
      <c r="J4623" t="s">
        <v>3405</v>
      </c>
      <c r="K4623">
        <v>20</v>
      </c>
      <c r="L4623">
        <v>1</v>
      </c>
      <c r="M4623">
        <v>2025</v>
      </c>
      <c r="N4623" t="s">
        <v>27</v>
      </c>
      <c r="O4623">
        <v>200</v>
      </c>
      <c r="P4623">
        <v>200</v>
      </c>
      <c r="R4623" s="3" t="str">
        <f>HYPERLINK("https://panda.att.com.mx/ODKServer/view/binaryData?blobKey=FSSuministroFluidosv3%5B%40version%3Dnull+and+%40uiVersion%3Dnull%5D%2Fdata%5B%40key%3Duuid%3A25e326d6-ed20-431e-ae3f-74669ebd4374%5D%2FgroupInfoFuel%5B%40ordinal%3D1%5D%2FpicFuelRecibeInterno","Descargar")</f>
        <v>Descargar</v>
      </c>
    </row>
    <row r="4624" spans="1:18" x14ac:dyDescent="0.3">
      <c r="A4624">
        <v>1469557</v>
      </c>
      <c r="B4624" t="s">
        <v>18</v>
      </c>
      <c r="C4624" t="s">
        <v>55</v>
      </c>
      <c r="D4624" t="s">
        <v>56</v>
      </c>
      <c r="E4624" t="s">
        <v>1560</v>
      </c>
      <c r="F4624" t="s">
        <v>22</v>
      </c>
      <c r="G4624" t="s">
        <v>47</v>
      </c>
      <c r="H4624" t="s">
        <v>1763</v>
      </c>
      <c r="I4624" t="s">
        <v>25</v>
      </c>
      <c r="J4624" t="s">
        <v>3406</v>
      </c>
      <c r="K4624">
        <v>20</v>
      </c>
      <c r="L4624">
        <v>1</v>
      </c>
      <c r="M4624">
        <v>2025</v>
      </c>
      <c r="N4624" t="s">
        <v>27</v>
      </c>
      <c r="O4624">
        <v>200</v>
      </c>
      <c r="P4624">
        <v>200</v>
      </c>
      <c r="R4624" s="3" t="str">
        <f>HYPERLINK("https://panda.att.com.mx/ODKServer/view/binaryData?blobKey=FSSuministroFluidosv3%5B%40version%3Dnull+and+%40uiVersion%3Dnull%5D%2Fdata%5B%40key%3Duuid%3A511300e1-af29-432a-b415-daf003f9000b%5D%2FgroupInfoFuel%5B%40ordinal%3D1%5D%2FpicFuelRecibeInterno","Descargar")</f>
        <v>Descargar</v>
      </c>
    </row>
    <row r="4625" spans="1:18" x14ac:dyDescent="0.3">
      <c r="A4625">
        <v>1467964</v>
      </c>
      <c r="B4625" t="s">
        <v>18</v>
      </c>
      <c r="C4625" t="s">
        <v>68</v>
      </c>
      <c r="D4625" t="s">
        <v>258</v>
      </c>
      <c r="E4625" t="s">
        <v>3407</v>
      </c>
      <c r="F4625" t="s">
        <v>22</v>
      </c>
      <c r="G4625" t="s">
        <v>23</v>
      </c>
      <c r="H4625" t="s">
        <v>37</v>
      </c>
      <c r="I4625" t="s">
        <v>25</v>
      </c>
      <c r="J4625" t="s">
        <v>3408</v>
      </c>
      <c r="K4625">
        <v>20</v>
      </c>
      <c r="L4625">
        <v>1</v>
      </c>
      <c r="M4625">
        <v>2025</v>
      </c>
      <c r="N4625" t="s">
        <v>27</v>
      </c>
      <c r="O4625">
        <v>200</v>
      </c>
      <c r="P4625">
        <v>200</v>
      </c>
      <c r="R4625" s="3" t="str">
        <f>HYPERLINK("https://panda.att.com.mx/ODKServer/view/binaryData?blobKey=FSSuministroFluidosv3%5B%40version%3Dnull+and+%40uiVersion%3Dnull%5D%2Fdata%5B%40key%3Duuid%3A43916e73-d60c-436d-96c1-9061f748ce8b%5D%2FgroupInfoFuel%5B%40ordinal%3D1%5D%2FpicFuelRecibeInterno","Descargar")</f>
        <v>Descargar</v>
      </c>
    </row>
    <row r="4626" spans="1:18" x14ac:dyDescent="0.3">
      <c r="A4626">
        <v>1467954</v>
      </c>
      <c r="B4626" t="s">
        <v>18</v>
      </c>
      <c r="C4626" t="s">
        <v>68</v>
      </c>
      <c r="D4626" t="s">
        <v>258</v>
      </c>
      <c r="E4626" t="s">
        <v>3407</v>
      </c>
      <c r="F4626" t="s">
        <v>22</v>
      </c>
      <c r="G4626" t="s">
        <v>23</v>
      </c>
      <c r="H4626" t="s">
        <v>37</v>
      </c>
      <c r="I4626" t="s">
        <v>25</v>
      </c>
      <c r="J4626" t="s">
        <v>3409</v>
      </c>
      <c r="K4626">
        <v>19</v>
      </c>
      <c r="L4626">
        <v>1</v>
      </c>
      <c r="M4626">
        <v>2025</v>
      </c>
      <c r="N4626" t="s">
        <v>27</v>
      </c>
      <c r="O4626">
        <v>200</v>
      </c>
      <c r="P4626">
        <v>200</v>
      </c>
      <c r="R4626" s="3" t="str">
        <f>HYPERLINK("https://panda.att.com.mx/ODKServer/view/binaryData?blobKey=FSSuministroFluidosv3%5B%40version%3Dnull+and+%40uiVersion%3Dnull%5D%2Fdata%5B%40key%3Duuid%3A7fa669eb-ed92-4729-888f-de25648e3937%5D%2FgroupInfoFuel%5B%40ordinal%3D1%5D%2FpicFuelRecibeInterno","Descargar")</f>
        <v>Descargar</v>
      </c>
    </row>
    <row r="4627" spans="1:18" x14ac:dyDescent="0.3">
      <c r="A4627">
        <v>1467889</v>
      </c>
      <c r="B4627" t="s">
        <v>18</v>
      </c>
      <c r="C4627" t="s">
        <v>34</v>
      </c>
      <c r="D4627" t="s">
        <v>53</v>
      </c>
      <c r="E4627" t="s">
        <v>299</v>
      </c>
      <c r="F4627" t="s">
        <v>22</v>
      </c>
      <c r="G4627" t="s">
        <v>23</v>
      </c>
      <c r="H4627" t="s">
        <v>24</v>
      </c>
      <c r="I4627" t="s">
        <v>25</v>
      </c>
      <c r="J4627" t="s">
        <v>3410</v>
      </c>
      <c r="K4627">
        <v>20</v>
      </c>
      <c r="L4627">
        <v>1</v>
      </c>
      <c r="M4627">
        <v>2025</v>
      </c>
      <c r="N4627" t="s">
        <v>27</v>
      </c>
      <c r="O4627">
        <v>400</v>
      </c>
      <c r="Q4627">
        <v>400</v>
      </c>
      <c r="R4627" s="3" t="str">
        <f>HYPERLINK("https://panda.att.com.mx/ODKServer/view/binaryData?blobKey=FSSuministroFluidosv3%5B%40version%3Dnull+and+%40uiVersion%3Dnull%5D%2Fdata%5B%40key%3Duuid%3A12af2f35-ffe4-4a25-a4db-fb852b14406a%5D%2FgroupInfoFuel%5B%40ordinal%3D1%5D%2FpicFuelRecibeInterno","Descargar")</f>
        <v>Descargar</v>
      </c>
    </row>
    <row r="4628" spans="1:18" x14ac:dyDescent="0.3">
      <c r="A4628">
        <v>1467886</v>
      </c>
      <c r="B4628" t="s">
        <v>18</v>
      </c>
      <c r="C4628" t="s">
        <v>100</v>
      </c>
      <c r="D4628" t="s">
        <v>716</v>
      </c>
      <c r="E4628" t="s">
        <v>717</v>
      </c>
      <c r="F4628" t="s">
        <v>22</v>
      </c>
      <c r="G4628" t="s">
        <v>83</v>
      </c>
      <c r="H4628" t="s">
        <v>1781</v>
      </c>
      <c r="I4628" t="s">
        <v>25</v>
      </c>
      <c r="J4628" t="s">
        <v>3411</v>
      </c>
      <c r="K4628">
        <v>20</v>
      </c>
      <c r="L4628">
        <v>1</v>
      </c>
      <c r="M4628">
        <v>2025</v>
      </c>
      <c r="N4628" t="s">
        <v>27</v>
      </c>
      <c r="O4628">
        <v>150</v>
      </c>
      <c r="P4628">
        <v>150</v>
      </c>
      <c r="R4628" s="3" t="str">
        <f>HYPERLINK("https://panda.att.com.mx/ODKServer/view/binaryData?blobKey=FSSuministroFluidosv3%5B%40version%3Dnull+and+%40uiVersion%3Dnull%5D%2Fdata%5B%40key%3Duuid%3A0221297e-9999-446d-b743-ab1f9cb4ef18%5D%2FgroupInfoFuel%5B%40ordinal%3D1%5D%2FpicFuelRecibeInterno","Descargar")</f>
        <v>Descargar</v>
      </c>
    </row>
    <row r="4629" spans="1:18" x14ac:dyDescent="0.3">
      <c r="A4629">
        <v>1467881</v>
      </c>
      <c r="B4629" t="s">
        <v>18</v>
      </c>
      <c r="C4629" t="s">
        <v>34</v>
      </c>
      <c r="D4629" t="s">
        <v>121</v>
      </c>
      <c r="E4629" t="s">
        <v>3086</v>
      </c>
      <c r="F4629" t="s">
        <v>22</v>
      </c>
      <c r="G4629" t="s">
        <v>23</v>
      </c>
      <c r="H4629" t="s">
        <v>37</v>
      </c>
      <c r="I4629" t="s">
        <v>25</v>
      </c>
      <c r="J4629" t="s">
        <v>3412</v>
      </c>
      <c r="K4629">
        <v>20</v>
      </c>
      <c r="L4629">
        <v>1</v>
      </c>
      <c r="M4629">
        <v>2025</v>
      </c>
      <c r="N4629" t="s">
        <v>27</v>
      </c>
      <c r="O4629">
        <v>300</v>
      </c>
      <c r="P4629">
        <v>300</v>
      </c>
      <c r="R4629" s="3" t="str">
        <f>HYPERLINK("https://panda.att.com.mx/ODKServer/view/binaryData?blobKey=FSSuministroFluidosv3%5B%40version%3Dnull+and+%40uiVersion%3Dnull%5D%2Fdata%5B%40key%3Duuid%3A02c14e29-4eab-479e-a0ac-bf1730699172%5D%2FgroupInfoFuel%5B%40ordinal%3D1%5D%2FpicFuelRecibeInterno","Descargar")</f>
        <v>Descargar</v>
      </c>
    </row>
    <row r="4630" spans="1:18" x14ac:dyDescent="0.3">
      <c r="A4630">
        <v>1467880</v>
      </c>
      <c r="B4630" t="s">
        <v>18</v>
      </c>
      <c r="C4630" t="s">
        <v>34</v>
      </c>
      <c r="D4630" t="s">
        <v>121</v>
      </c>
      <c r="E4630" t="s">
        <v>3102</v>
      </c>
      <c r="F4630" t="s">
        <v>22</v>
      </c>
      <c r="G4630" t="s">
        <v>23</v>
      </c>
      <c r="H4630" t="s">
        <v>37</v>
      </c>
      <c r="I4630" t="s">
        <v>25</v>
      </c>
      <c r="J4630" t="s">
        <v>3413</v>
      </c>
      <c r="K4630">
        <v>20</v>
      </c>
      <c r="L4630">
        <v>1</v>
      </c>
      <c r="M4630">
        <v>2025</v>
      </c>
      <c r="N4630" t="s">
        <v>27</v>
      </c>
      <c r="O4630">
        <v>200</v>
      </c>
      <c r="P4630">
        <v>200</v>
      </c>
      <c r="R4630" s="3" t="str">
        <f>HYPERLINK("https://panda.att.com.mx/ODKServer/view/binaryData?blobKey=FSSuministroFluidosv3%5B%40version%3Dnull+and+%40uiVersion%3Dnull%5D%2Fdata%5B%40key%3Duuid%3A8bdb101e-dbc9-456b-90d1-f81581d62431%5D%2FgroupInfoFuel%5B%40ordinal%3D1%5D%2FpicFuelRecibeInterno","Descargar")</f>
        <v>Descargar</v>
      </c>
    </row>
    <row r="4631" spans="1:18" x14ac:dyDescent="0.3">
      <c r="A4631">
        <v>1467879</v>
      </c>
      <c r="B4631" t="s">
        <v>18</v>
      </c>
      <c r="C4631" t="s">
        <v>34</v>
      </c>
      <c r="D4631" t="s">
        <v>121</v>
      </c>
      <c r="E4631" t="s">
        <v>3041</v>
      </c>
      <c r="F4631" t="s">
        <v>22</v>
      </c>
      <c r="G4631" t="s">
        <v>23</v>
      </c>
      <c r="H4631" t="s">
        <v>37</v>
      </c>
      <c r="I4631" t="s">
        <v>25</v>
      </c>
      <c r="J4631" t="s">
        <v>3414</v>
      </c>
      <c r="K4631">
        <v>20</v>
      </c>
      <c r="L4631">
        <v>1</v>
      </c>
      <c r="M4631">
        <v>2025</v>
      </c>
      <c r="N4631" t="s">
        <v>27</v>
      </c>
      <c r="O4631">
        <v>500</v>
      </c>
      <c r="P4631">
        <v>500</v>
      </c>
      <c r="R4631" s="3" t="str">
        <f>HYPERLINK("https://panda.att.com.mx/ODKServer/view/binaryData?blobKey=FSSuministroFluidosv3%5B%40version%3Dnull+and+%40uiVersion%3Dnull%5D%2Fdata%5B%40key%3Duuid%3A161fc64a-9fc5-4224-b3d2-664f108490a5%5D%2FgroupInfoFuel%5B%40ordinal%3D1%5D%2FpicFuelRecibeInterno","Descargar")</f>
        <v>Descargar</v>
      </c>
    </row>
    <row r="4632" spans="1:18" x14ac:dyDescent="0.3">
      <c r="A4632">
        <v>1467868</v>
      </c>
      <c r="B4632" t="s">
        <v>18</v>
      </c>
      <c r="C4632" t="s">
        <v>59</v>
      </c>
      <c r="D4632" t="s">
        <v>60</v>
      </c>
      <c r="E4632" t="s">
        <v>2207</v>
      </c>
      <c r="F4632" t="s">
        <v>22</v>
      </c>
      <c r="G4632" t="s">
        <v>23</v>
      </c>
      <c r="H4632" t="s">
        <v>37</v>
      </c>
      <c r="I4632" t="s">
        <v>25</v>
      </c>
      <c r="J4632" t="s">
        <v>3415</v>
      </c>
      <c r="K4632">
        <v>19</v>
      </c>
      <c r="L4632">
        <v>1</v>
      </c>
      <c r="M4632">
        <v>2025</v>
      </c>
      <c r="N4632" t="s">
        <v>27</v>
      </c>
      <c r="O4632">
        <v>124.4</v>
      </c>
      <c r="P4632">
        <v>124.4</v>
      </c>
      <c r="R4632" s="3" t="str">
        <f>HYPERLINK("https://panda.att.com.mx/ODKServer/view/binaryData?blobKey=FSSuministroFluidosv3%5B%40version%3Dnull+and+%40uiVersion%3Dnull%5D%2Fdata%5B%40key%3Duuid%3A92136c9f-4bc7-411f-b1ed-ec9ecea6fa8c%5D%2FgroupInfoFuel%5B%40ordinal%3D1%5D%2FpicFuelRecibeInterno","Descargar")</f>
        <v>Descargar</v>
      </c>
    </row>
    <row r="4633" spans="1:18" x14ac:dyDescent="0.3">
      <c r="A4633">
        <v>1467847</v>
      </c>
      <c r="B4633" t="s">
        <v>18</v>
      </c>
      <c r="C4633" t="s">
        <v>55</v>
      </c>
      <c r="D4633" t="s">
        <v>56</v>
      </c>
      <c r="E4633" t="s">
        <v>81</v>
      </c>
      <c r="F4633" t="s">
        <v>22</v>
      </c>
      <c r="G4633" t="s">
        <v>47</v>
      </c>
      <c r="H4633" t="s">
        <v>1763</v>
      </c>
      <c r="I4633" t="s">
        <v>25</v>
      </c>
      <c r="J4633" t="s">
        <v>3416</v>
      </c>
      <c r="K4633">
        <v>2</v>
      </c>
      <c r="L4633">
        <v>1</v>
      </c>
      <c r="M4633">
        <v>2025</v>
      </c>
      <c r="N4633" t="s">
        <v>27</v>
      </c>
      <c r="O4633">
        <v>300</v>
      </c>
      <c r="P4633">
        <v>300</v>
      </c>
      <c r="R4633" s="3" t="str">
        <f>HYPERLINK("https://panda.att.com.mx/ODKServer/view/binaryData?blobKey=FSSuministroFluidosv3%5B%40version%3Dnull+and+%40uiVersion%3Dnull%5D%2Fdata%5B%40key%3Duuid%3A86bedcbd-4916-450b-89df-5d656c24ba02%5D%2FgroupInfoFuel%5B%40ordinal%3D1%5D%2FpicFuelRecibeInterno","Descargar")</f>
        <v>Descargar</v>
      </c>
    </row>
    <row r="4634" spans="1:18" x14ac:dyDescent="0.3">
      <c r="A4634">
        <v>1467846</v>
      </c>
      <c r="B4634" t="s">
        <v>18</v>
      </c>
      <c r="C4634" t="s">
        <v>55</v>
      </c>
      <c r="D4634" t="s">
        <v>56</v>
      </c>
      <c r="E4634" t="s">
        <v>2181</v>
      </c>
      <c r="F4634" t="s">
        <v>22</v>
      </c>
      <c r="G4634" t="s">
        <v>47</v>
      </c>
      <c r="H4634" t="s">
        <v>1763</v>
      </c>
      <c r="I4634" t="s">
        <v>25</v>
      </c>
      <c r="J4634" t="s">
        <v>3417</v>
      </c>
      <c r="K4634">
        <v>18</v>
      </c>
      <c r="L4634">
        <v>1</v>
      </c>
      <c r="M4634">
        <v>2025</v>
      </c>
      <c r="N4634" t="s">
        <v>27</v>
      </c>
      <c r="O4634">
        <v>200</v>
      </c>
      <c r="P4634">
        <v>200</v>
      </c>
      <c r="R4634" s="3" t="str">
        <f>HYPERLINK("https://panda.att.com.mx/ODKServer/view/binaryData?blobKey=FSSuministroFluidosv3%5B%40version%3Dnull+and+%40uiVersion%3Dnull%5D%2Fdata%5B%40key%3Duuid%3A1048a514-352b-493c-8df9-60b57c511183%5D%2FgroupInfoFuel%5B%40ordinal%3D1%5D%2FpicFuelRecibeInterno","Descargar")</f>
        <v>Descargar</v>
      </c>
    </row>
    <row r="4635" spans="1:18" x14ac:dyDescent="0.3">
      <c r="A4635">
        <v>1467845</v>
      </c>
      <c r="B4635" t="s">
        <v>18</v>
      </c>
      <c r="C4635" t="s">
        <v>55</v>
      </c>
      <c r="D4635" t="s">
        <v>56</v>
      </c>
      <c r="E4635" t="s">
        <v>3146</v>
      </c>
      <c r="F4635" t="s">
        <v>22</v>
      </c>
      <c r="G4635" t="s">
        <v>47</v>
      </c>
      <c r="H4635" t="s">
        <v>1763</v>
      </c>
      <c r="I4635" t="s">
        <v>25</v>
      </c>
      <c r="J4635" t="s">
        <v>3418</v>
      </c>
      <c r="K4635">
        <v>18</v>
      </c>
      <c r="L4635">
        <v>1</v>
      </c>
      <c r="M4635">
        <v>2025</v>
      </c>
      <c r="N4635" t="s">
        <v>27</v>
      </c>
      <c r="O4635">
        <v>120</v>
      </c>
      <c r="P4635">
        <v>120</v>
      </c>
      <c r="R4635" s="3" t="str">
        <f>HYPERLINK("https://panda.att.com.mx/ODKServer/view/binaryData?blobKey=FSSuministroFluidosv3%5B%40version%3Dnull+and+%40uiVersion%3Dnull%5D%2Fdata%5B%40key%3Duuid%3A6dcd1593-2e62-4195-9aa3-b9fd1e2aa4df%5D%2FgroupInfoFuel%5B%40ordinal%3D1%5D%2FpicFuelRecibeInterno","Descargar")</f>
        <v>Descargar</v>
      </c>
    </row>
    <row r="4636" spans="1:18" x14ac:dyDescent="0.3">
      <c r="A4636">
        <v>1467787</v>
      </c>
      <c r="B4636" t="s">
        <v>18</v>
      </c>
      <c r="C4636" t="s">
        <v>100</v>
      </c>
      <c r="D4636" t="s">
        <v>854</v>
      </c>
      <c r="E4636" t="s">
        <v>993</v>
      </c>
      <c r="F4636" t="s">
        <v>22</v>
      </c>
      <c r="G4636" t="s">
        <v>83</v>
      </c>
      <c r="H4636" t="s">
        <v>1781</v>
      </c>
      <c r="I4636" t="s">
        <v>25</v>
      </c>
      <c r="J4636" t="s">
        <v>3419</v>
      </c>
      <c r="K4636">
        <v>20</v>
      </c>
      <c r="L4636">
        <v>1</v>
      </c>
      <c r="M4636">
        <v>2025</v>
      </c>
      <c r="N4636" t="s">
        <v>27</v>
      </c>
      <c r="O4636">
        <v>220</v>
      </c>
      <c r="P4636">
        <v>220</v>
      </c>
      <c r="R4636" s="3" t="str">
        <f>HYPERLINK("https://panda.att.com.mx/ODKServer/view/binaryData?blobKey=FSSuministroFluidosv3%5B%40version%3Dnull+and+%40uiVersion%3Dnull%5D%2Fdata%5B%40key%3Duuid%3Ae77f0815-361b-4a69-b474-b332a23b48d3%5D%2FgroupInfoFuel%5B%40ordinal%3D1%5D%2FpicFuelRecibeInterno","Descargar")</f>
        <v>Descargar</v>
      </c>
    </row>
    <row r="4637" spans="1:18" x14ac:dyDescent="0.3">
      <c r="A4637">
        <v>1467778</v>
      </c>
      <c r="B4637" t="s">
        <v>18</v>
      </c>
      <c r="C4637" t="s">
        <v>167</v>
      </c>
      <c r="D4637" t="s">
        <v>268</v>
      </c>
      <c r="E4637" t="s">
        <v>3420</v>
      </c>
      <c r="F4637" t="s">
        <v>22</v>
      </c>
      <c r="G4637" t="s">
        <v>47</v>
      </c>
      <c r="H4637" t="s">
        <v>58</v>
      </c>
      <c r="I4637" t="s">
        <v>25</v>
      </c>
      <c r="J4637" t="s">
        <v>3421</v>
      </c>
      <c r="K4637">
        <v>20</v>
      </c>
      <c r="L4637">
        <v>1</v>
      </c>
      <c r="M4637">
        <v>2025</v>
      </c>
      <c r="N4637" t="s">
        <v>27</v>
      </c>
      <c r="O4637">
        <v>150</v>
      </c>
      <c r="P4637">
        <v>150</v>
      </c>
      <c r="R4637" s="3" t="str">
        <f>HYPERLINK("https://panda.att.com.mx/ODKServer/view/binaryData?blobKey=FSSuministroFluidosv3%5B%40version%3Dnull+and+%40uiVersion%3Dnull%5D%2Fdata%5B%40key%3Duuid%3A0d0e056e-48d8-4f91-9168-80881b754bd3%5D%2FgroupInfoFuel%5B%40ordinal%3D1%5D%2FpicFuelRecibeInterno","Descargar")</f>
        <v>Descargar</v>
      </c>
    </row>
    <row r="4638" spans="1:18" x14ac:dyDescent="0.3">
      <c r="A4638">
        <v>1467764</v>
      </c>
      <c r="B4638" t="s">
        <v>18</v>
      </c>
      <c r="C4638" t="s">
        <v>55</v>
      </c>
      <c r="D4638" t="s">
        <v>56</v>
      </c>
      <c r="E4638" t="s">
        <v>3146</v>
      </c>
      <c r="F4638" t="s">
        <v>22</v>
      </c>
      <c r="G4638" t="s">
        <v>47</v>
      </c>
      <c r="H4638" t="s">
        <v>1763</v>
      </c>
      <c r="I4638" t="s">
        <v>25</v>
      </c>
      <c r="J4638" t="s">
        <v>3422</v>
      </c>
      <c r="K4638">
        <v>17</v>
      </c>
      <c r="L4638">
        <v>1</v>
      </c>
      <c r="M4638">
        <v>2025</v>
      </c>
      <c r="N4638" t="s">
        <v>27</v>
      </c>
      <c r="O4638">
        <v>100</v>
      </c>
      <c r="P4638">
        <v>100</v>
      </c>
      <c r="R4638" s="3" t="str">
        <f>HYPERLINK("https://panda.att.com.mx/ODKServer/view/binaryData?blobKey=FSSuministroFluidosv3%5B%40version%3Dnull+and+%40uiVersion%3Dnull%5D%2Fdata%5B%40key%3Duuid%3A334bfb5b-3784-4435-8bf6-240de345b98b%5D%2FgroupInfoFuel%5B%40ordinal%3D1%5D%2FpicFuelRecibeInterno","Descargar")</f>
        <v>Descargar</v>
      </c>
    </row>
    <row r="4639" spans="1:18" x14ac:dyDescent="0.3">
      <c r="A4639">
        <v>1467757</v>
      </c>
      <c r="B4639" t="s">
        <v>18</v>
      </c>
      <c r="C4639" t="s">
        <v>55</v>
      </c>
      <c r="D4639" t="s">
        <v>56</v>
      </c>
      <c r="E4639" t="s">
        <v>3423</v>
      </c>
      <c r="F4639" t="s">
        <v>22</v>
      </c>
      <c r="G4639" t="s">
        <v>47</v>
      </c>
      <c r="H4639" t="s">
        <v>1763</v>
      </c>
      <c r="I4639" t="s">
        <v>25</v>
      </c>
      <c r="J4639" t="s">
        <v>3424</v>
      </c>
      <c r="K4639">
        <v>17</v>
      </c>
      <c r="L4639">
        <v>1</v>
      </c>
      <c r="M4639">
        <v>2025</v>
      </c>
      <c r="N4639" t="s">
        <v>27</v>
      </c>
      <c r="O4639">
        <v>140</v>
      </c>
      <c r="P4639">
        <v>140</v>
      </c>
      <c r="R4639" s="3" t="str">
        <f>HYPERLINK("https://panda.att.com.mx/ODKServer/view/binaryData?blobKey=FSSuministroFluidosv3%5B%40version%3Dnull+and+%40uiVersion%3Dnull%5D%2Fdata%5B%40key%3Duuid%3A6b2d0595-47ea-4b2f-8d0a-2613362ea34b%5D%2FgroupInfoFuel%5B%40ordinal%3D1%5D%2FpicFuelRecibeInterno","Descargar")</f>
        <v>Descargar</v>
      </c>
    </row>
    <row r="4640" spans="1:18" x14ac:dyDescent="0.3">
      <c r="A4640">
        <v>1467752</v>
      </c>
      <c r="B4640" t="s">
        <v>18</v>
      </c>
      <c r="C4640" t="s">
        <v>55</v>
      </c>
      <c r="D4640" t="s">
        <v>56</v>
      </c>
      <c r="E4640" t="s">
        <v>3425</v>
      </c>
      <c r="F4640" t="s">
        <v>22</v>
      </c>
      <c r="G4640" t="s">
        <v>47</v>
      </c>
      <c r="H4640" t="s">
        <v>1763</v>
      </c>
      <c r="I4640" t="s">
        <v>25</v>
      </c>
      <c r="J4640" t="s">
        <v>3426</v>
      </c>
      <c r="K4640">
        <v>17</v>
      </c>
      <c r="L4640">
        <v>1</v>
      </c>
      <c r="M4640">
        <v>2025</v>
      </c>
      <c r="N4640" t="s">
        <v>27</v>
      </c>
      <c r="O4640">
        <v>200</v>
      </c>
      <c r="P4640">
        <v>200</v>
      </c>
      <c r="R4640" s="3" t="str">
        <f>HYPERLINK("https://panda.att.com.mx/ODKServer/view/binaryData?blobKey=FSSuministroFluidosv3%5B%40version%3Dnull+and+%40uiVersion%3Dnull%5D%2Fdata%5B%40key%3Duuid%3Ac3ca158f-87bb-4194-9a09-cea9534ff9c7%5D%2FgroupInfoFuel%5B%40ordinal%3D1%5D%2FpicFuelRecibeInterno","Descargar")</f>
        <v>Descargar</v>
      </c>
    </row>
    <row r="4641" spans="1:18" x14ac:dyDescent="0.3">
      <c r="A4641">
        <v>1467738</v>
      </c>
      <c r="B4641" t="s">
        <v>18</v>
      </c>
      <c r="C4641" t="s">
        <v>34</v>
      </c>
      <c r="D4641" t="s">
        <v>53</v>
      </c>
      <c r="E4641" t="s">
        <v>3427</v>
      </c>
      <c r="F4641" t="s">
        <v>22</v>
      </c>
      <c r="G4641" t="s">
        <v>23</v>
      </c>
      <c r="H4641" t="s">
        <v>37</v>
      </c>
      <c r="I4641" t="s">
        <v>25</v>
      </c>
      <c r="J4641" t="s">
        <v>3428</v>
      </c>
      <c r="K4641">
        <v>19</v>
      </c>
      <c r="L4641">
        <v>1</v>
      </c>
      <c r="M4641">
        <v>2025</v>
      </c>
      <c r="N4641" t="s">
        <v>27</v>
      </c>
      <c r="O4641">
        <v>300</v>
      </c>
      <c r="P4641">
        <v>300</v>
      </c>
      <c r="R4641" s="3" t="str">
        <f>HYPERLINK("https://panda.att.com.mx/ODKServer/view/binaryData?blobKey=FSSuministroFluidosv3%5B%40version%3Dnull+and+%40uiVersion%3Dnull%5D%2Fdata%5B%40key%3Duuid%3A7b737e09-e663-41b2-bd52-7c39bfdb7559%5D%2FgroupInfoFuel%5B%40ordinal%3D1%5D%2FpicFuelRecibeInterno","Descargar")</f>
        <v>Descargar</v>
      </c>
    </row>
    <row r="4642" spans="1:18" x14ac:dyDescent="0.3">
      <c r="A4642">
        <v>1467610</v>
      </c>
      <c r="B4642" t="s">
        <v>18</v>
      </c>
      <c r="C4642" t="s">
        <v>19</v>
      </c>
      <c r="D4642" t="s">
        <v>20</v>
      </c>
      <c r="E4642" t="s">
        <v>166</v>
      </c>
      <c r="F4642" t="s">
        <v>22</v>
      </c>
      <c r="G4642" t="s">
        <v>23</v>
      </c>
      <c r="H4642" t="s">
        <v>24</v>
      </c>
      <c r="I4642" t="s">
        <v>25</v>
      </c>
      <c r="J4642" t="s">
        <v>3429</v>
      </c>
      <c r="K4642">
        <v>20</v>
      </c>
      <c r="L4642">
        <v>1</v>
      </c>
      <c r="M4642">
        <v>2025</v>
      </c>
      <c r="N4642" t="s">
        <v>27</v>
      </c>
      <c r="O4642">
        <v>200</v>
      </c>
      <c r="P4642">
        <v>200</v>
      </c>
      <c r="R4642" s="3" t="str">
        <f>HYPERLINK("https://panda.att.com.mx/ODKServer/view/binaryData?blobKey=FSSuministroFluidosv3%5B%40version%3Dnull+and+%40uiVersion%3Dnull%5D%2Fdata%5B%40key%3Duuid%3A5c48c163-57a4-4877-806a-f83a82b1d584%5D%2FgroupInfoFuel%5B%40ordinal%3D1%5D%2FpicFuelRecibeInterno","Descargar")</f>
        <v>Descargar</v>
      </c>
    </row>
    <row r="4643" spans="1:18" x14ac:dyDescent="0.3">
      <c r="A4643">
        <v>1467478</v>
      </c>
      <c r="B4643" t="s">
        <v>18</v>
      </c>
      <c r="C4643" t="s">
        <v>55</v>
      </c>
      <c r="D4643" t="s">
        <v>128</v>
      </c>
      <c r="E4643" t="s">
        <v>2000</v>
      </c>
      <c r="F4643" t="s">
        <v>22</v>
      </c>
      <c r="G4643" t="s">
        <v>47</v>
      </c>
      <c r="H4643" t="s">
        <v>1763</v>
      </c>
      <c r="I4643" t="s">
        <v>25</v>
      </c>
      <c r="J4643" t="s">
        <v>3430</v>
      </c>
      <c r="K4643">
        <v>20</v>
      </c>
      <c r="L4643">
        <v>1</v>
      </c>
      <c r="M4643">
        <v>2025</v>
      </c>
      <c r="N4643" t="s">
        <v>27</v>
      </c>
      <c r="O4643">
        <v>400</v>
      </c>
      <c r="P4643">
        <v>400</v>
      </c>
      <c r="R4643" s="3" t="str">
        <f>HYPERLINK("https://panda.att.com.mx/ODKServer/view/binaryData?blobKey=FSSuministroFluidosv3%5B%40version%3Dnull+and+%40uiVersion%3Dnull%5D%2Fdata%5B%40key%3Duuid%3A3fabd4a0-2fc3-4902-9348-fcb60c2e3ce9%5D%2FgroupInfoFuel%5B%40ordinal%3D1%5D%2FpicFuelRecibeInterno","Descargar")</f>
        <v>Descargar</v>
      </c>
    </row>
    <row r="4644" spans="1:18" x14ac:dyDescent="0.3">
      <c r="A4644">
        <v>1467430</v>
      </c>
      <c r="B4644" t="s">
        <v>18</v>
      </c>
      <c r="C4644" t="s">
        <v>183</v>
      </c>
      <c r="D4644" t="s">
        <v>3280</v>
      </c>
      <c r="E4644" t="s">
        <v>3281</v>
      </c>
      <c r="F4644" t="s">
        <v>22</v>
      </c>
      <c r="G4644" t="s">
        <v>23</v>
      </c>
      <c r="H4644" t="s">
        <v>37</v>
      </c>
      <c r="I4644" t="s">
        <v>25</v>
      </c>
      <c r="J4644" t="s">
        <v>3431</v>
      </c>
      <c r="K4644">
        <v>19</v>
      </c>
      <c r="L4644">
        <v>1</v>
      </c>
      <c r="M4644">
        <v>2025</v>
      </c>
      <c r="N4644" t="s">
        <v>27</v>
      </c>
      <c r="O4644">
        <v>130</v>
      </c>
      <c r="P4644">
        <v>130</v>
      </c>
      <c r="R4644" s="3" t="str">
        <f>HYPERLINK("https://panda.att.com.mx/ODKServer/view/binaryData?blobKey=FSSuministroFluidosv3%5B%40version%3Dnull+and+%40uiVersion%3Dnull%5D%2Fdata%5B%40key%3Duuid%3Adfe1e7be-b7ca-44c2-917d-d5f2ee9b256b%5D%2FgroupInfoFuel%5B%40ordinal%3D1%5D%2FpicFuelRecibeInterno","Descargar")</f>
        <v>Descargar</v>
      </c>
    </row>
    <row r="4645" spans="1:18" x14ac:dyDescent="0.3">
      <c r="A4645">
        <v>1467406</v>
      </c>
      <c r="B4645" t="s">
        <v>18</v>
      </c>
      <c r="C4645" t="s">
        <v>150</v>
      </c>
      <c r="D4645" t="s">
        <v>230</v>
      </c>
      <c r="E4645" t="s">
        <v>3432</v>
      </c>
      <c r="F4645" t="s">
        <v>22</v>
      </c>
      <c r="G4645" t="s">
        <v>47</v>
      </c>
      <c r="H4645" t="s">
        <v>1781</v>
      </c>
      <c r="I4645" t="s">
        <v>25</v>
      </c>
      <c r="J4645" t="s">
        <v>3433</v>
      </c>
      <c r="K4645">
        <v>20</v>
      </c>
      <c r="L4645">
        <v>1</v>
      </c>
      <c r="M4645">
        <v>2025</v>
      </c>
      <c r="N4645" t="s">
        <v>27</v>
      </c>
      <c r="O4645">
        <v>50.02</v>
      </c>
      <c r="P4645">
        <v>50.02</v>
      </c>
      <c r="R4645" s="3" t="str">
        <f>HYPERLINK("https://panda.att.com.mx/ODKServer/view/binaryData?blobKey=FSSuministroFluidosv3%5B%40version%3Dnull+and+%40uiVersion%3Dnull%5D%2Fdata%5B%40key%3Duuid%3Afd991d36-6ec2-428a-83bf-58ebb102f002%5D%2FgroupInfoFuel%5B%40ordinal%3D1%5D%2FpicFuelRecibeInterno","Descargar")</f>
        <v>Descargar</v>
      </c>
    </row>
    <row r="4646" spans="1:18" x14ac:dyDescent="0.3">
      <c r="A4646">
        <v>1467356</v>
      </c>
      <c r="B4646" t="s">
        <v>18</v>
      </c>
      <c r="C4646" t="s">
        <v>19</v>
      </c>
      <c r="D4646" t="s">
        <v>45</v>
      </c>
      <c r="E4646" t="s">
        <v>1645</v>
      </c>
      <c r="F4646" t="s">
        <v>22</v>
      </c>
      <c r="G4646" t="s">
        <v>23</v>
      </c>
      <c r="H4646" t="s">
        <v>24</v>
      </c>
      <c r="I4646" t="s">
        <v>25</v>
      </c>
      <c r="J4646" t="s">
        <v>3434</v>
      </c>
      <c r="K4646">
        <v>20</v>
      </c>
      <c r="L4646">
        <v>1</v>
      </c>
      <c r="M4646">
        <v>2025</v>
      </c>
      <c r="N4646" t="s">
        <v>27</v>
      </c>
      <c r="O4646">
        <v>300</v>
      </c>
      <c r="P4646">
        <v>300</v>
      </c>
      <c r="R4646" s="3" t="str">
        <f>HYPERLINK("https://panda.att.com.mx/ODKServer/view/binaryData?blobKey=FSSuministroFluidosv3%5B%40version%3Dnull+and+%40uiVersion%3Dnull%5D%2Fdata%5B%40key%3Duuid%3A2b54c23e-6a7d-47a4-af88-02e863938138%5D%2FgroupInfoFuel%5B%40ordinal%3D1%5D%2FpicFuelRecibeInterno","Descargar")</f>
        <v>Descargar</v>
      </c>
    </row>
    <row r="4647" spans="1:18" x14ac:dyDescent="0.3">
      <c r="A4647">
        <v>1467306</v>
      </c>
      <c r="B4647" t="s">
        <v>18</v>
      </c>
      <c r="C4647" t="s">
        <v>150</v>
      </c>
      <c r="D4647" t="s">
        <v>230</v>
      </c>
      <c r="E4647" t="s">
        <v>1510</v>
      </c>
      <c r="F4647" t="s">
        <v>22</v>
      </c>
      <c r="G4647" t="s">
        <v>47</v>
      </c>
      <c r="H4647" t="s">
        <v>1781</v>
      </c>
      <c r="I4647" t="s">
        <v>25</v>
      </c>
      <c r="J4647" t="s">
        <v>3435</v>
      </c>
      <c r="K4647">
        <v>20</v>
      </c>
      <c r="L4647">
        <v>1</v>
      </c>
      <c r="M4647">
        <v>2025</v>
      </c>
      <c r="N4647" t="s">
        <v>27</v>
      </c>
      <c r="O4647">
        <v>300.02</v>
      </c>
      <c r="P4647">
        <v>300.02</v>
      </c>
      <c r="R4647" s="3" t="str">
        <f>HYPERLINK("https://panda.att.com.mx/ODKServer/view/binaryData?blobKey=FSSuministroFluidosv3%5B%40version%3Dnull+and+%40uiVersion%3Dnull%5D%2Fdata%5B%40key%3Duuid%3A2008499d-db31-4203-9dab-b688433a1de8%5D%2FgroupInfoFuel%5B%40ordinal%3D1%5D%2FpicFuelRecibeInterno","Descargar")</f>
        <v>Descargar</v>
      </c>
    </row>
    <row r="4648" spans="1:18" x14ac:dyDescent="0.3">
      <c r="A4648">
        <v>1467284</v>
      </c>
      <c r="B4648" t="s">
        <v>18</v>
      </c>
      <c r="C4648" t="s">
        <v>55</v>
      </c>
      <c r="D4648" t="s">
        <v>366</v>
      </c>
      <c r="E4648" t="s">
        <v>3436</v>
      </c>
      <c r="F4648" t="s">
        <v>22</v>
      </c>
      <c r="G4648" t="s">
        <v>23</v>
      </c>
      <c r="H4648" t="s">
        <v>1781</v>
      </c>
      <c r="I4648" t="s">
        <v>25</v>
      </c>
      <c r="J4648" t="s">
        <v>3437</v>
      </c>
      <c r="K4648">
        <v>18</v>
      </c>
      <c r="L4648">
        <v>1</v>
      </c>
      <c r="M4648">
        <v>2025</v>
      </c>
      <c r="N4648" t="s">
        <v>27</v>
      </c>
      <c r="O4648">
        <v>200</v>
      </c>
      <c r="P4648">
        <v>200</v>
      </c>
      <c r="R4648" s="3" t="str">
        <f>HYPERLINK("https://panda.att.com.mx/ODKServer/view/binaryData?blobKey=FSSuministroFluidosv3%5B%40version%3Dnull+and+%40uiVersion%3Dnull%5D%2Fdata%5B%40key%3Duuid%3A86471c92-f7a5-41fe-ae4b-4e32631383bf%5D%2FgroupInfoFuel%5B%40ordinal%3D1%5D%2FpicFuelRecibeInterno","Descargar")</f>
        <v>Descargar</v>
      </c>
    </row>
    <row r="4649" spans="1:18" x14ac:dyDescent="0.3">
      <c r="A4649">
        <v>1467283</v>
      </c>
      <c r="B4649" t="s">
        <v>18</v>
      </c>
      <c r="C4649" t="s">
        <v>55</v>
      </c>
      <c r="D4649" t="s">
        <v>366</v>
      </c>
      <c r="E4649" t="s">
        <v>3438</v>
      </c>
      <c r="F4649" t="s">
        <v>22</v>
      </c>
      <c r="G4649" t="s">
        <v>23</v>
      </c>
      <c r="H4649" t="s">
        <v>1781</v>
      </c>
      <c r="I4649" t="s">
        <v>25</v>
      </c>
      <c r="J4649" t="s">
        <v>3439</v>
      </c>
      <c r="K4649">
        <v>18</v>
      </c>
      <c r="L4649">
        <v>1</v>
      </c>
      <c r="M4649">
        <v>2025</v>
      </c>
      <c r="N4649" t="s">
        <v>27</v>
      </c>
      <c r="O4649">
        <v>200</v>
      </c>
      <c r="P4649">
        <v>200</v>
      </c>
      <c r="R4649" s="3" t="str">
        <f>HYPERLINK("https://panda.att.com.mx/ODKServer/view/binaryData?blobKey=FSSuministroFluidosv3%5B%40version%3Dnull+and+%40uiVersion%3Dnull%5D%2Fdata%5B%40key%3Duuid%3Aca1e26b1-5ad4-43ce-b094-6fb1b3111a41%5D%2FgroupInfoFuel%5B%40ordinal%3D1%5D%2FpicFuelRecibeInterno","Descargar")</f>
        <v>Descargar</v>
      </c>
    </row>
    <row r="4650" spans="1:18" x14ac:dyDescent="0.3">
      <c r="A4650">
        <v>1469542</v>
      </c>
      <c r="B4650" t="s">
        <v>18</v>
      </c>
      <c r="C4650" t="s">
        <v>55</v>
      </c>
      <c r="D4650" t="s">
        <v>288</v>
      </c>
      <c r="E4650" t="s">
        <v>2003</v>
      </c>
      <c r="F4650" t="s">
        <v>22</v>
      </c>
      <c r="G4650" t="s">
        <v>47</v>
      </c>
      <c r="H4650" t="s">
        <v>1763</v>
      </c>
      <c r="I4650" t="s">
        <v>25</v>
      </c>
      <c r="J4650" t="s">
        <v>3440</v>
      </c>
      <c r="K4650">
        <v>23</v>
      </c>
      <c r="L4650">
        <v>1</v>
      </c>
      <c r="M4650">
        <v>2025</v>
      </c>
      <c r="N4650" t="s">
        <v>27</v>
      </c>
      <c r="O4650">
        <v>150</v>
      </c>
      <c r="P4650">
        <v>150</v>
      </c>
      <c r="R4650" s="3" t="str">
        <f>HYPERLINK("https://panda.att.com.mx/ODKServer/view/binaryData?blobKey=FSSuministroFluidosv3%5B%40version%3Dnull+and+%40uiVersion%3Dnull%5D%2Fdata%5B%40key%3Duuid%3Ac795fe28-254f-418e-8253-2f2525f9eec9%5D%2FgroupInfoFuel%5B%40ordinal%3D1%5D%2FpicFuelRecibeInterno","Descargar")</f>
        <v>Descargar</v>
      </c>
    </row>
    <row r="4651" spans="1:18" x14ac:dyDescent="0.3">
      <c r="A4651">
        <v>1469541</v>
      </c>
      <c r="B4651" t="s">
        <v>18</v>
      </c>
      <c r="C4651" t="s">
        <v>55</v>
      </c>
      <c r="D4651" t="s">
        <v>64</v>
      </c>
      <c r="E4651" t="s">
        <v>798</v>
      </c>
      <c r="F4651" t="s">
        <v>22</v>
      </c>
      <c r="G4651" t="s">
        <v>47</v>
      </c>
      <c r="H4651" t="s">
        <v>1763</v>
      </c>
      <c r="I4651" t="s">
        <v>25</v>
      </c>
      <c r="J4651" t="s">
        <v>3441</v>
      </c>
      <c r="K4651">
        <v>23</v>
      </c>
      <c r="L4651">
        <v>1</v>
      </c>
      <c r="M4651">
        <v>2025</v>
      </c>
      <c r="N4651" t="s">
        <v>27</v>
      </c>
      <c r="O4651">
        <v>300</v>
      </c>
      <c r="P4651">
        <v>300</v>
      </c>
      <c r="R4651" s="3" t="str">
        <f>HYPERLINK("https://panda.att.com.mx/ODKServer/view/binaryData?blobKey=FSSuministroFluidosv3%5B%40version%3Dnull+and+%40uiVersion%3Dnull%5D%2Fdata%5B%40key%3Duuid%3A9c216434-a819-4e0f-ab0f-3b6a632eeec8%5D%2FgroupInfoFuel%5B%40ordinal%3D1%5D%2FpicFuelRecibeInterno","Descargar")</f>
        <v>Descargar</v>
      </c>
    </row>
    <row r="4652" spans="1:18" x14ac:dyDescent="0.3">
      <c r="A4652">
        <v>1469516</v>
      </c>
      <c r="B4652" t="s">
        <v>18</v>
      </c>
      <c r="C4652" t="s">
        <v>150</v>
      </c>
      <c r="D4652" t="s">
        <v>230</v>
      </c>
      <c r="E4652" t="s">
        <v>3442</v>
      </c>
      <c r="F4652" t="s">
        <v>22</v>
      </c>
      <c r="G4652" t="s">
        <v>47</v>
      </c>
      <c r="H4652" t="s">
        <v>1781</v>
      </c>
      <c r="I4652" t="s">
        <v>25</v>
      </c>
      <c r="J4652" t="s">
        <v>3443</v>
      </c>
      <c r="K4652">
        <v>23</v>
      </c>
      <c r="L4652">
        <v>1</v>
      </c>
      <c r="M4652">
        <v>2025</v>
      </c>
      <c r="N4652" t="s">
        <v>27</v>
      </c>
      <c r="O4652">
        <v>200.01</v>
      </c>
      <c r="P4652">
        <v>200.01</v>
      </c>
      <c r="R4652" s="3" t="str">
        <f>HYPERLINK("https://panda.att.com.mx/ODKServer/view/binaryData?blobKey=FSSuministroFluidosv3%5B%40version%3Dnull+and+%40uiVersion%3Dnull%5D%2Fdata%5B%40key%3Duuid%3A980fc75f-bcc1-4e19-afd1-3a5de0325de3%5D%2FgroupInfoFuel%5B%40ordinal%3D1%5D%2FpicFuelRecibeInterno","Descargar")</f>
        <v>Descargar</v>
      </c>
    </row>
    <row r="4653" spans="1:18" x14ac:dyDescent="0.3">
      <c r="A4653">
        <v>1469405</v>
      </c>
      <c r="B4653" t="s">
        <v>18</v>
      </c>
      <c r="C4653" t="s">
        <v>55</v>
      </c>
      <c r="D4653" t="s">
        <v>288</v>
      </c>
      <c r="E4653" t="s">
        <v>3444</v>
      </c>
      <c r="F4653" t="s">
        <v>22</v>
      </c>
      <c r="G4653" t="s">
        <v>47</v>
      </c>
      <c r="H4653" t="s">
        <v>1763</v>
      </c>
      <c r="I4653" t="s">
        <v>25</v>
      </c>
      <c r="J4653" t="s">
        <v>3445</v>
      </c>
      <c r="K4653">
        <v>23</v>
      </c>
      <c r="L4653">
        <v>1</v>
      </c>
      <c r="M4653">
        <v>2025</v>
      </c>
      <c r="N4653" t="s">
        <v>27</v>
      </c>
      <c r="O4653">
        <v>100</v>
      </c>
      <c r="P4653">
        <v>100</v>
      </c>
      <c r="R4653" s="3" t="str">
        <f>HYPERLINK("https://panda.att.com.mx/ODKServer/view/binaryData?blobKey=FSSuministroFluidosv3%5B%40version%3Dnull+and+%40uiVersion%3Dnull%5D%2Fdata%5B%40key%3Duuid%3Ad0fba56f-de80-454f-9d86-c058f64b4c3f%5D%2FgroupInfoFuel%5B%40ordinal%3D1%5D%2FpicFuelRecibeInterno","Descargar")</f>
        <v>Descargar</v>
      </c>
    </row>
    <row r="4654" spans="1:18" x14ac:dyDescent="0.3">
      <c r="A4654">
        <v>1469404</v>
      </c>
      <c r="B4654" t="s">
        <v>18</v>
      </c>
      <c r="C4654" t="s">
        <v>55</v>
      </c>
      <c r="D4654" t="s">
        <v>366</v>
      </c>
      <c r="E4654" t="s">
        <v>1854</v>
      </c>
      <c r="F4654" t="s">
        <v>22</v>
      </c>
      <c r="G4654" t="s">
        <v>83</v>
      </c>
      <c r="H4654" t="s">
        <v>1781</v>
      </c>
      <c r="I4654" t="s">
        <v>25</v>
      </c>
      <c r="J4654" t="s">
        <v>3446</v>
      </c>
      <c r="K4654">
        <v>23</v>
      </c>
      <c r="L4654">
        <v>1</v>
      </c>
      <c r="M4654">
        <v>2025</v>
      </c>
      <c r="N4654" t="s">
        <v>27</v>
      </c>
      <c r="O4654">
        <v>150</v>
      </c>
      <c r="P4654">
        <v>150</v>
      </c>
      <c r="R4654" s="3" t="str">
        <f>HYPERLINK("https://panda.att.com.mx/ODKServer/view/binaryData?blobKey=FSSuministroFluidosv3%5B%40version%3Dnull+and+%40uiVersion%3Dnull%5D%2Fdata%5B%40key%3Duuid%3Ac23e4217-61b0-45a9-a5ff-1db3f0032836%5D%2FgroupInfoFuel%5B%40ordinal%3D1%5D%2FpicFuelRecibeInterno","Descargar")</f>
        <v>Descargar</v>
      </c>
    </row>
    <row r="4655" spans="1:18" x14ac:dyDescent="0.3">
      <c r="A4655">
        <v>1469391</v>
      </c>
      <c r="B4655" t="s">
        <v>18</v>
      </c>
      <c r="C4655" t="s">
        <v>55</v>
      </c>
      <c r="D4655" t="s">
        <v>56</v>
      </c>
      <c r="E4655" t="s">
        <v>3447</v>
      </c>
      <c r="F4655" t="s">
        <v>22</v>
      </c>
      <c r="G4655" t="s">
        <v>47</v>
      </c>
      <c r="H4655" t="s">
        <v>1763</v>
      </c>
      <c r="I4655" t="s">
        <v>25</v>
      </c>
      <c r="J4655" t="s">
        <v>3448</v>
      </c>
      <c r="K4655">
        <v>20</v>
      </c>
      <c r="L4655">
        <v>1</v>
      </c>
      <c r="M4655">
        <v>2025</v>
      </c>
      <c r="N4655" t="s">
        <v>27</v>
      </c>
      <c r="O4655">
        <v>200</v>
      </c>
      <c r="P4655">
        <v>200</v>
      </c>
      <c r="R4655" s="3" t="str">
        <f>HYPERLINK("https://panda.att.com.mx/ODKServer/view/binaryData?blobKey=FSSuministroFluidosv3%5B%40version%3Dnull+and+%40uiVersion%3Dnull%5D%2Fdata%5B%40key%3Duuid%3A7ca6d09b-ba25-47cf-823f-765ebe3ad0f0%5D%2FgroupInfoFuel%5B%40ordinal%3D1%5D%2FpicFuelRecibeInterno","Descargar")</f>
        <v>Descargar</v>
      </c>
    </row>
    <row r="4656" spans="1:18" x14ac:dyDescent="0.3">
      <c r="A4656">
        <v>1469358</v>
      </c>
      <c r="B4656" t="s">
        <v>18</v>
      </c>
      <c r="C4656" t="s">
        <v>150</v>
      </c>
      <c r="D4656" t="s">
        <v>2224</v>
      </c>
      <c r="E4656" t="s">
        <v>2225</v>
      </c>
      <c r="F4656" t="s">
        <v>22</v>
      </c>
      <c r="G4656" t="s">
        <v>47</v>
      </c>
      <c r="H4656" t="s">
        <v>1781</v>
      </c>
      <c r="I4656" t="s">
        <v>25</v>
      </c>
      <c r="J4656" t="s">
        <v>3449</v>
      </c>
      <c r="K4656">
        <v>23</v>
      </c>
      <c r="L4656">
        <v>1</v>
      </c>
      <c r="M4656">
        <v>2025</v>
      </c>
      <c r="N4656" t="s">
        <v>27</v>
      </c>
      <c r="O4656">
        <v>230</v>
      </c>
      <c r="P4656">
        <v>230</v>
      </c>
      <c r="R4656" s="3" t="str">
        <f>HYPERLINK("https://panda.att.com.mx/ODKServer/view/binaryData?blobKey=FSSuministroFluidosv3%5B%40version%3Dnull+and+%40uiVersion%3Dnull%5D%2Fdata%5B%40key%3Duuid%3A1ceed4e6-b119-4640-85e3-aaad503a26fe%5D%2FgroupInfoFuel%5B%40ordinal%3D1%5D%2FpicFuelRecibeInterno","Descargar")</f>
        <v>Descargar</v>
      </c>
    </row>
    <row r="4657" spans="1:18" x14ac:dyDescent="0.3">
      <c r="A4657">
        <v>1469317</v>
      </c>
      <c r="B4657" t="s">
        <v>18</v>
      </c>
      <c r="C4657" t="s">
        <v>55</v>
      </c>
      <c r="D4657" t="s">
        <v>1836</v>
      </c>
      <c r="E4657" t="s">
        <v>3202</v>
      </c>
      <c r="F4657" t="s">
        <v>22</v>
      </c>
      <c r="G4657" t="s">
        <v>47</v>
      </c>
      <c r="H4657" t="s">
        <v>1763</v>
      </c>
      <c r="I4657" t="s">
        <v>25</v>
      </c>
      <c r="J4657" t="s">
        <v>3450</v>
      </c>
      <c r="K4657">
        <v>22</v>
      </c>
      <c r="L4657">
        <v>1</v>
      </c>
      <c r="M4657">
        <v>2025</v>
      </c>
      <c r="N4657" t="s">
        <v>27</v>
      </c>
      <c r="O4657">
        <v>200</v>
      </c>
      <c r="P4657">
        <v>200</v>
      </c>
      <c r="R4657" s="3" t="str">
        <f>HYPERLINK("https://panda.att.com.mx/ODKServer/view/binaryData?blobKey=FSSuministroFluidosv3%5B%40version%3Dnull+and+%40uiVersion%3Dnull%5D%2Fdata%5B%40key%3Duuid%3A33c57f14-4dee-496c-94be-b5eb382309d5%5D%2FgroupInfoFuel%5B%40ordinal%3D1%5D%2FpicFuelRecibeInterno","Descargar")</f>
        <v>Descargar</v>
      </c>
    </row>
    <row r="4658" spans="1:18" x14ac:dyDescent="0.3">
      <c r="A4658">
        <v>1469293</v>
      </c>
      <c r="B4658" t="s">
        <v>18</v>
      </c>
      <c r="C4658" t="s">
        <v>150</v>
      </c>
      <c r="D4658" t="s">
        <v>2224</v>
      </c>
      <c r="E4658" t="s">
        <v>3451</v>
      </c>
      <c r="F4658" t="s">
        <v>22</v>
      </c>
      <c r="G4658" t="s">
        <v>47</v>
      </c>
      <c r="H4658" t="s">
        <v>1781</v>
      </c>
      <c r="I4658" t="s">
        <v>25</v>
      </c>
      <c r="J4658" t="s">
        <v>3452</v>
      </c>
      <c r="K4658">
        <v>23</v>
      </c>
      <c r="L4658">
        <v>1</v>
      </c>
      <c r="M4658">
        <v>2025</v>
      </c>
      <c r="N4658" t="s">
        <v>27</v>
      </c>
      <c r="O4658">
        <v>130.03</v>
      </c>
      <c r="P4658">
        <v>130.03</v>
      </c>
      <c r="R4658" s="3" t="str">
        <f>HYPERLINK("https://panda.att.com.mx/ODKServer/view/binaryData?blobKey=FSSuministroFluidosv3%5B%40version%3Dnull+and+%40uiVersion%3Dnull%5D%2Fdata%5B%40key%3Duuid%3Aa4b57b8c-f9c4-4896-ac82-a95f96e8dd92%5D%2FgroupInfoFuel%5B%40ordinal%3D1%5D%2FpicFuelRecibeInterno","Descargar")</f>
        <v>Descargar</v>
      </c>
    </row>
    <row r="4659" spans="1:18" x14ac:dyDescent="0.3">
      <c r="A4659">
        <v>1469291</v>
      </c>
      <c r="B4659" t="s">
        <v>18</v>
      </c>
      <c r="C4659" t="s">
        <v>55</v>
      </c>
      <c r="D4659" t="s">
        <v>64</v>
      </c>
      <c r="E4659" t="s">
        <v>2001</v>
      </c>
      <c r="F4659" t="s">
        <v>22</v>
      </c>
      <c r="G4659" t="s">
        <v>47</v>
      </c>
      <c r="H4659" t="s">
        <v>1763</v>
      </c>
      <c r="I4659" t="s">
        <v>25</v>
      </c>
      <c r="J4659" t="s">
        <v>3453</v>
      </c>
      <c r="K4659">
        <v>22</v>
      </c>
      <c r="L4659">
        <v>1</v>
      </c>
      <c r="M4659">
        <v>2025</v>
      </c>
      <c r="N4659" t="s">
        <v>27</v>
      </c>
      <c r="O4659">
        <v>100</v>
      </c>
      <c r="P4659">
        <v>100</v>
      </c>
      <c r="R4659" s="3" t="str">
        <f>HYPERLINK("https://panda.att.com.mx/ODKServer/view/binaryData?blobKey=FSSuministroFluidosv3%5B%40version%3Dnull+and+%40uiVersion%3Dnull%5D%2Fdata%5B%40key%3Duuid%3Adb3a38bd-36c0-43f7-88e0-0d7a7e90ece4%5D%2FgroupInfoFuel%5B%40ordinal%3D1%5D%2FpicFuelRecibeInterno","Descargar")</f>
        <v>Descargar</v>
      </c>
    </row>
    <row r="4660" spans="1:18" x14ac:dyDescent="0.3">
      <c r="A4660">
        <v>1469263</v>
      </c>
      <c r="B4660" t="s">
        <v>18</v>
      </c>
      <c r="C4660" t="s">
        <v>55</v>
      </c>
      <c r="D4660" t="s">
        <v>288</v>
      </c>
      <c r="E4660" t="s">
        <v>3298</v>
      </c>
      <c r="F4660" t="s">
        <v>22</v>
      </c>
      <c r="G4660" t="s">
        <v>47</v>
      </c>
      <c r="H4660" t="s">
        <v>1763</v>
      </c>
      <c r="I4660" t="s">
        <v>25</v>
      </c>
      <c r="J4660" t="s">
        <v>3454</v>
      </c>
      <c r="K4660">
        <v>22</v>
      </c>
      <c r="L4660">
        <v>1</v>
      </c>
      <c r="M4660">
        <v>2025</v>
      </c>
      <c r="N4660" t="s">
        <v>27</v>
      </c>
      <c r="O4660">
        <v>300</v>
      </c>
      <c r="P4660">
        <v>300</v>
      </c>
      <c r="R4660" s="3" t="str">
        <f>HYPERLINK("https://panda.att.com.mx/ODKServer/view/binaryData?blobKey=FSSuministroFluidosv3%5B%40version%3Dnull+and+%40uiVersion%3Dnull%5D%2Fdata%5B%40key%3Duuid%3A118cd468-aa1d-4ac3-b985-5ff5345d56bc%5D%2FgroupInfoFuel%5B%40ordinal%3D1%5D%2FpicFuelRecibeInterno","Descargar")</f>
        <v>Descargar</v>
      </c>
    </row>
    <row r="4661" spans="1:18" x14ac:dyDescent="0.3">
      <c r="A4661">
        <v>1469234</v>
      </c>
      <c r="B4661" t="s">
        <v>18</v>
      </c>
      <c r="C4661" t="s">
        <v>28</v>
      </c>
      <c r="D4661" t="s">
        <v>118</v>
      </c>
      <c r="E4661" t="s">
        <v>401</v>
      </c>
      <c r="F4661" t="s">
        <v>22</v>
      </c>
      <c r="G4661" t="s">
        <v>47</v>
      </c>
      <c r="H4661" t="s">
        <v>24</v>
      </c>
      <c r="I4661" t="s">
        <v>25</v>
      </c>
      <c r="J4661" t="s">
        <v>3455</v>
      </c>
      <c r="K4661">
        <v>22</v>
      </c>
      <c r="L4661">
        <v>1</v>
      </c>
      <c r="M4661">
        <v>2025</v>
      </c>
      <c r="N4661" t="s">
        <v>44</v>
      </c>
      <c r="O4661">
        <v>30</v>
      </c>
      <c r="P4661">
        <v>30</v>
      </c>
      <c r="R4661" s="3" t="str">
        <f>HYPERLINK("https://panda.att.com.mx/ODKServer/view/binaryData?blobKey=FSSuministroFluidosv3%5B%40version%3Dnull+and+%40uiVersion%3Dnull%5D%2Fdata%5B%40key%3Duuid%3Ad8af4268-e6cb-4d43-b170-aaae49b7d792%5D%2FgroupInfoFuel%5B%40ordinal%3D1%5D%2FpicFuelRecibeInterno","Descargar")</f>
        <v>Descargar</v>
      </c>
    </row>
    <row r="4662" spans="1:18" x14ac:dyDescent="0.3">
      <c r="A4662">
        <v>1469195</v>
      </c>
      <c r="B4662" t="s">
        <v>18</v>
      </c>
      <c r="C4662" t="s">
        <v>28</v>
      </c>
      <c r="D4662" t="s">
        <v>181</v>
      </c>
      <c r="E4662" t="s">
        <v>3456</v>
      </c>
      <c r="F4662" t="s">
        <v>22</v>
      </c>
      <c r="G4662" t="s">
        <v>47</v>
      </c>
      <c r="H4662" t="s">
        <v>24</v>
      </c>
      <c r="I4662" t="s">
        <v>25</v>
      </c>
      <c r="J4662" t="s">
        <v>3457</v>
      </c>
      <c r="K4662">
        <v>22</v>
      </c>
      <c r="L4662">
        <v>1</v>
      </c>
      <c r="M4662">
        <v>2025</v>
      </c>
      <c r="N4662" t="s">
        <v>27</v>
      </c>
      <c r="O4662">
        <v>100</v>
      </c>
      <c r="P4662">
        <v>100</v>
      </c>
      <c r="R4662" s="3" t="str">
        <f>HYPERLINK("https://panda.att.com.mx/ODKServer/view/binaryData?blobKey=FSSuministroFluidosv3%5B%40version%3Dnull+and+%40uiVersion%3Dnull%5D%2Fdata%5B%40key%3Duuid%3Ab6b5db40-be23-4eb4-a7d1-6b26e1fcbeae%5D%2FgroupInfoFuel%5B%40ordinal%3D1%5D%2FpicFuelRecibeInterno","Descargar")</f>
        <v>Descargar</v>
      </c>
    </row>
    <row r="4663" spans="1:18" x14ac:dyDescent="0.3">
      <c r="A4663">
        <v>1469129</v>
      </c>
      <c r="B4663" t="s">
        <v>18</v>
      </c>
      <c r="C4663" t="s">
        <v>19</v>
      </c>
      <c r="D4663" t="s">
        <v>40</v>
      </c>
      <c r="E4663" t="s">
        <v>3458</v>
      </c>
      <c r="F4663" t="s">
        <v>22</v>
      </c>
      <c r="G4663" t="s">
        <v>23</v>
      </c>
      <c r="H4663" t="s">
        <v>24</v>
      </c>
      <c r="I4663" t="s">
        <v>25</v>
      </c>
      <c r="J4663" t="s">
        <v>3459</v>
      </c>
      <c r="K4663">
        <v>22</v>
      </c>
      <c r="L4663">
        <v>1</v>
      </c>
      <c r="M4663">
        <v>2025</v>
      </c>
      <c r="N4663" t="s">
        <v>44</v>
      </c>
      <c r="O4663">
        <v>42</v>
      </c>
      <c r="P4663">
        <v>42</v>
      </c>
      <c r="R4663" s="3" t="str">
        <f>HYPERLINK("https://panda.att.com.mx/ODKServer/view/binaryData?blobKey=FSSuministroFluidosv3%5B%40version%3Dnull+and+%40uiVersion%3Dnull%5D%2Fdata%5B%40key%3Duuid%3Ad5fe15cc-dc72-4e4c-953a-67d5fe6ffc47%5D%2FgroupInfoFuel%5B%40ordinal%3D1%5D%2FpicFuelRecibeInterno","Descargar")</f>
        <v>Descargar</v>
      </c>
    </row>
    <row r="4664" spans="1:18" x14ac:dyDescent="0.3">
      <c r="A4664">
        <v>1469125</v>
      </c>
      <c r="B4664" t="s">
        <v>18</v>
      </c>
      <c r="C4664" t="s">
        <v>19</v>
      </c>
      <c r="D4664" t="s">
        <v>45</v>
      </c>
      <c r="E4664" t="s">
        <v>274</v>
      </c>
      <c r="F4664" t="s">
        <v>22</v>
      </c>
      <c r="G4664" t="s">
        <v>23</v>
      </c>
      <c r="H4664" t="s">
        <v>24</v>
      </c>
      <c r="I4664" t="s">
        <v>25</v>
      </c>
      <c r="J4664" t="s">
        <v>3460</v>
      </c>
      <c r="K4664">
        <v>22</v>
      </c>
      <c r="L4664">
        <v>1</v>
      </c>
      <c r="M4664">
        <v>2025</v>
      </c>
      <c r="N4664" t="s">
        <v>27</v>
      </c>
      <c r="O4664">
        <v>100</v>
      </c>
      <c r="P4664">
        <v>100</v>
      </c>
      <c r="R4664" s="3" t="str">
        <f>HYPERLINK("https://panda.att.com.mx/ODKServer/view/binaryData?blobKey=FSSuministroFluidosv3%5B%40version%3Dnull+and+%40uiVersion%3Dnull%5D%2Fdata%5B%40key%3Duuid%3A0b9d6187-86ac-4299-a69d-80de5e390d5e%5D%2FgroupInfoFuel%5B%40ordinal%3D1%5D%2FpicFuelRecibeInterno","Descargar")</f>
        <v>Descargar</v>
      </c>
    </row>
    <row r="4665" spans="1:18" x14ac:dyDescent="0.3">
      <c r="A4665">
        <v>1469114</v>
      </c>
      <c r="B4665" t="s">
        <v>18</v>
      </c>
      <c r="C4665" t="s">
        <v>100</v>
      </c>
      <c r="D4665" t="s">
        <v>716</v>
      </c>
      <c r="E4665" t="s">
        <v>717</v>
      </c>
      <c r="F4665" t="s">
        <v>22</v>
      </c>
      <c r="G4665" t="s">
        <v>83</v>
      </c>
      <c r="H4665" t="s">
        <v>1781</v>
      </c>
      <c r="I4665" t="s">
        <v>25</v>
      </c>
      <c r="J4665" t="s">
        <v>3461</v>
      </c>
      <c r="K4665">
        <v>22</v>
      </c>
      <c r="L4665">
        <v>1</v>
      </c>
      <c r="M4665">
        <v>2025</v>
      </c>
      <c r="N4665" t="s">
        <v>27</v>
      </c>
      <c r="O4665">
        <v>150</v>
      </c>
      <c r="P4665">
        <v>150</v>
      </c>
      <c r="R4665" s="3" t="str">
        <f>HYPERLINK("https://panda.att.com.mx/ODKServer/view/binaryData?blobKey=FSSuministroFluidosv3%5B%40version%3Dnull+and+%40uiVersion%3Dnull%5D%2Fdata%5B%40key%3Duuid%3A6540700a-2a95-407f-8b54-129fd03528b1%5D%2FgroupInfoFuel%5B%40ordinal%3D1%5D%2FpicFuelRecibeInterno","Descargar")</f>
        <v>Descargar</v>
      </c>
    </row>
    <row r="4666" spans="1:18" x14ac:dyDescent="0.3">
      <c r="A4666">
        <v>1469084</v>
      </c>
      <c r="B4666" t="s">
        <v>18</v>
      </c>
      <c r="C4666" t="s">
        <v>100</v>
      </c>
      <c r="D4666" t="s">
        <v>101</v>
      </c>
      <c r="E4666" t="s">
        <v>126</v>
      </c>
      <c r="F4666" t="s">
        <v>22</v>
      </c>
      <c r="G4666" t="s">
        <v>23</v>
      </c>
      <c r="H4666" t="s">
        <v>1781</v>
      </c>
      <c r="I4666" t="s">
        <v>25</v>
      </c>
      <c r="J4666" t="s">
        <v>3462</v>
      </c>
      <c r="K4666">
        <v>22</v>
      </c>
      <c r="L4666">
        <v>1</v>
      </c>
      <c r="M4666">
        <v>2025</v>
      </c>
      <c r="N4666" t="s">
        <v>27</v>
      </c>
      <c r="O4666">
        <v>281</v>
      </c>
      <c r="P4666">
        <v>281</v>
      </c>
      <c r="R4666" s="3" t="str">
        <f>HYPERLINK("https://panda.att.com.mx/ODKServer/view/binaryData?blobKey=FSSuministroFluidosv3%5B%40version%3Dnull+and+%40uiVersion%3Dnull%5D%2Fdata%5B%40key%3Duuid%3Ac7882afb-7bca-41ca-a456-48077dccf6cc%5D%2FgroupInfoFuel%5B%40ordinal%3D1%5D%2FpicFuelRecibeInterno","Descargar")</f>
        <v>Descargar</v>
      </c>
    </row>
    <row r="4667" spans="1:18" x14ac:dyDescent="0.3">
      <c r="A4667">
        <v>1469052</v>
      </c>
      <c r="B4667" t="s">
        <v>18</v>
      </c>
      <c r="C4667" t="s">
        <v>28</v>
      </c>
      <c r="D4667" t="s">
        <v>429</v>
      </c>
      <c r="E4667" t="s">
        <v>1809</v>
      </c>
      <c r="F4667" t="s">
        <v>22</v>
      </c>
      <c r="G4667" t="s">
        <v>23</v>
      </c>
      <c r="H4667" t="s">
        <v>24</v>
      </c>
      <c r="I4667" t="s">
        <v>25</v>
      </c>
      <c r="J4667" t="s">
        <v>3463</v>
      </c>
      <c r="K4667">
        <v>21</v>
      </c>
      <c r="L4667">
        <v>1</v>
      </c>
      <c r="M4667">
        <v>2025</v>
      </c>
      <c r="N4667" t="s">
        <v>44</v>
      </c>
      <c r="O4667">
        <v>60</v>
      </c>
      <c r="P4667">
        <v>60</v>
      </c>
      <c r="R4667" s="3" t="str">
        <f>HYPERLINK("https://panda.att.com.mx/ODKServer/view/binaryData?blobKey=FSSuministroFluidosv3%5B%40version%3Dnull+and+%40uiVersion%3Dnull%5D%2Fdata%5B%40key%3Duuid%3Ab37529ff-c6be-4aa5-bbc0-538efaec6e24%5D%2FgroupInfoFuel%5B%40ordinal%3D1%5D%2FpicFuelRecibeInterno","Descargar")</f>
        <v>Descargar</v>
      </c>
    </row>
    <row r="4668" spans="1:18" x14ac:dyDescent="0.3">
      <c r="A4668">
        <v>1469019</v>
      </c>
      <c r="B4668" t="s">
        <v>18</v>
      </c>
      <c r="C4668" t="s">
        <v>68</v>
      </c>
      <c r="D4668" t="s">
        <v>91</v>
      </c>
      <c r="E4668" t="s">
        <v>3464</v>
      </c>
      <c r="F4668" t="s">
        <v>22</v>
      </c>
      <c r="G4668" t="s">
        <v>23</v>
      </c>
      <c r="H4668" t="s">
        <v>37</v>
      </c>
      <c r="I4668" t="s">
        <v>25</v>
      </c>
      <c r="J4668" t="s">
        <v>3465</v>
      </c>
      <c r="K4668">
        <v>22</v>
      </c>
      <c r="L4668">
        <v>1</v>
      </c>
      <c r="M4668">
        <v>2025</v>
      </c>
      <c r="N4668" t="s">
        <v>27</v>
      </c>
      <c r="O4668">
        <v>150</v>
      </c>
      <c r="P4668">
        <v>150</v>
      </c>
      <c r="R4668" s="3" t="str">
        <f>HYPERLINK("https://panda.att.com.mx/ODKServer/view/binaryData?blobKey=FSSuministroFluidosv3%5B%40version%3Dnull+and+%40uiVersion%3Dnull%5D%2Fdata%5B%40key%3Duuid%3A89ddf9cf-ca1e-402e-929e-0f7802adc821%5D%2FgroupInfoFuel%5B%40ordinal%3D1%5D%2FpicFuelRecibeInterno","Descargar")</f>
        <v>Descargar</v>
      </c>
    </row>
    <row r="4669" spans="1:18" x14ac:dyDescent="0.3">
      <c r="A4669">
        <v>1468968</v>
      </c>
      <c r="B4669" t="s">
        <v>18</v>
      </c>
      <c r="C4669" t="s">
        <v>150</v>
      </c>
      <c r="D4669" t="s">
        <v>230</v>
      </c>
      <c r="E4669" t="s">
        <v>1880</v>
      </c>
      <c r="F4669" t="s">
        <v>22</v>
      </c>
      <c r="G4669" t="s">
        <v>47</v>
      </c>
      <c r="H4669" t="s">
        <v>1781</v>
      </c>
      <c r="I4669" t="s">
        <v>25</v>
      </c>
      <c r="J4669" t="s">
        <v>3466</v>
      </c>
      <c r="K4669">
        <v>22</v>
      </c>
      <c r="L4669">
        <v>1</v>
      </c>
      <c r="M4669">
        <v>2025</v>
      </c>
      <c r="N4669" t="s">
        <v>27</v>
      </c>
      <c r="O4669">
        <v>150.02000000000001</v>
      </c>
      <c r="P4669">
        <v>150.02000000000001</v>
      </c>
      <c r="R4669" s="3" t="str">
        <f>HYPERLINK("https://panda.att.com.mx/ODKServer/view/binaryData?blobKey=FSSuministroFluidosv3%5B%40version%3Dnull+and+%40uiVersion%3Dnull%5D%2Fdata%5B%40key%3Duuid%3A8de4af4a-a2f6-47c2-b71e-500f27bbc09a%5D%2FgroupInfoFuel%5B%40ordinal%3D1%5D%2FpicFuelRecibeInterno","Descargar")</f>
        <v>Descargar</v>
      </c>
    </row>
    <row r="4670" spans="1:18" x14ac:dyDescent="0.3">
      <c r="A4670">
        <v>1468916</v>
      </c>
      <c r="B4670" t="s">
        <v>18</v>
      </c>
      <c r="C4670" t="s">
        <v>28</v>
      </c>
      <c r="D4670" t="s">
        <v>181</v>
      </c>
      <c r="E4670" t="s">
        <v>3467</v>
      </c>
      <c r="F4670" t="s">
        <v>22</v>
      </c>
      <c r="G4670" t="s">
        <v>47</v>
      </c>
      <c r="H4670" t="s">
        <v>24</v>
      </c>
      <c r="I4670" t="s">
        <v>25</v>
      </c>
      <c r="J4670" t="s">
        <v>3468</v>
      </c>
      <c r="K4670">
        <v>22</v>
      </c>
      <c r="L4670">
        <v>1</v>
      </c>
      <c r="M4670">
        <v>2025</v>
      </c>
      <c r="N4670" t="s">
        <v>44</v>
      </c>
      <c r="O4670">
        <v>30</v>
      </c>
      <c r="P4670">
        <v>30</v>
      </c>
      <c r="R4670" s="3" t="str">
        <f>HYPERLINK("https://panda.att.com.mx/ODKServer/view/binaryData?blobKey=FSSuministroFluidosv3%5B%40version%3Dnull+and+%40uiVersion%3Dnull%5D%2Fdata%5B%40key%3Duuid%3A77f38d04-241f-434e-942f-64281ffca981%5D%2FgroupInfoFuel%5B%40ordinal%3D1%5D%2FpicFuelRecibeInterno","Descargar")</f>
        <v>Descargar</v>
      </c>
    </row>
    <row r="4671" spans="1:18" x14ac:dyDescent="0.3">
      <c r="A4671">
        <v>1468845</v>
      </c>
      <c r="B4671" t="s">
        <v>18</v>
      </c>
      <c r="C4671" t="s">
        <v>55</v>
      </c>
      <c r="D4671" t="s">
        <v>64</v>
      </c>
      <c r="E4671" t="s">
        <v>3017</v>
      </c>
      <c r="F4671" t="s">
        <v>22</v>
      </c>
      <c r="G4671" t="s">
        <v>47</v>
      </c>
      <c r="H4671" t="s">
        <v>1763</v>
      </c>
      <c r="I4671" t="s">
        <v>25</v>
      </c>
      <c r="J4671" t="s">
        <v>3469</v>
      </c>
      <c r="K4671">
        <v>22</v>
      </c>
      <c r="L4671">
        <v>1</v>
      </c>
      <c r="M4671">
        <v>2025</v>
      </c>
      <c r="N4671" t="s">
        <v>27</v>
      </c>
      <c r="O4671">
        <v>150</v>
      </c>
      <c r="P4671">
        <v>150</v>
      </c>
      <c r="R4671" s="3" t="str">
        <f>HYPERLINK("https://panda.att.com.mx/ODKServer/view/binaryData?blobKey=FSSuministroFluidosv3%5B%40version%3Dnull+and+%40uiVersion%3Dnull%5D%2Fdata%5B%40key%3Duuid%3A1cda1c32-c3d9-4d2b-9b30-9f79750bb122%5D%2FgroupInfoFuel%5B%40ordinal%3D1%5D%2FpicFuelRecibeInterno","Descargar")</f>
        <v>Descargar</v>
      </c>
    </row>
    <row r="4672" spans="1:18" x14ac:dyDescent="0.3">
      <c r="A4672">
        <v>1468789</v>
      </c>
      <c r="B4672" t="s">
        <v>18</v>
      </c>
      <c r="C4672" t="s">
        <v>28</v>
      </c>
      <c r="D4672" t="s">
        <v>118</v>
      </c>
      <c r="E4672" t="s">
        <v>401</v>
      </c>
      <c r="F4672" t="s">
        <v>22</v>
      </c>
      <c r="G4672" t="s">
        <v>47</v>
      </c>
      <c r="H4672" t="s">
        <v>24</v>
      </c>
      <c r="I4672" t="s">
        <v>25</v>
      </c>
      <c r="J4672" t="s">
        <v>3470</v>
      </c>
      <c r="K4672">
        <v>22</v>
      </c>
      <c r="L4672">
        <v>1</v>
      </c>
      <c r="M4672">
        <v>2025</v>
      </c>
      <c r="N4672" t="s">
        <v>44</v>
      </c>
      <c r="O4672">
        <v>40</v>
      </c>
      <c r="P4672">
        <v>40</v>
      </c>
      <c r="R4672" s="3" t="str">
        <f>HYPERLINK("https://panda.att.com.mx/ODKServer/view/binaryData?blobKey=FSSuministroFluidosv3%5B%40version%3Dnull+and+%40uiVersion%3Dnull%5D%2Fdata%5B%40key%3Duuid%3Add654b1b-97bf-4bad-a740-a5fc888424b7%5D%2FgroupInfoFuel%5B%40ordinal%3D1%5D%2FpicFuelRecibeInterno","Descargar")</f>
        <v>Descargar</v>
      </c>
    </row>
    <row r="4673" spans="1:18" x14ac:dyDescent="0.3">
      <c r="A4673">
        <v>1468719</v>
      </c>
      <c r="B4673" t="s">
        <v>18</v>
      </c>
      <c r="C4673" t="s">
        <v>19</v>
      </c>
      <c r="D4673" t="s">
        <v>45</v>
      </c>
      <c r="E4673" t="s">
        <v>752</v>
      </c>
      <c r="F4673" t="s">
        <v>22</v>
      </c>
      <c r="G4673" t="s">
        <v>23</v>
      </c>
      <c r="H4673" t="s">
        <v>24</v>
      </c>
      <c r="I4673" t="s">
        <v>25</v>
      </c>
      <c r="J4673" t="s">
        <v>3471</v>
      </c>
      <c r="K4673">
        <v>21</v>
      </c>
      <c r="L4673">
        <v>1</v>
      </c>
      <c r="M4673">
        <v>2025</v>
      </c>
      <c r="N4673" t="s">
        <v>27</v>
      </c>
      <c r="O4673">
        <v>400</v>
      </c>
      <c r="P4673">
        <v>400</v>
      </c>
      <c r="R4673" s="3" t="str">
        <f>HYPERLINK("https://panda.att.com.mx/ODKServer/view/binaryData?blobKey=FSSuministroFluidosv3%5B%40version%3Dnull+and+%40uiVersion%3Dnull%5D%2Fdata%5B%40key%3Duuid%3Ac5f5bd8b-07ce-49a0-999e-7d49c6ad2086%5D%2FgroupInfoFuel%5B%40ordinal%3D1%5D%2FpicFuelRecibeInterno","Descargar")</f>
        <v>Descargar</v>
      </c>
    </row>
    <row r="4674" spans="1:18" x14ac:dyDescent="0.3">
      <c r="A4674">
        <v>1468651</v>
      </c>
      <c r="B4674" t="s">
        <v>18</v>
      </c>
      <c r="C4674" t="s">
        <v>100</v>
      </c>
      <c r="D4674" t="s">
        <v>101</v>
      </c>
      <c r="E4674" t="s">
        <v>3386</v>
      </c>
      <c r="F4674" t="s">
        <v>22</v>
      </c>
      <c r="G4674" t="s">
        <v>23</v>
      </c>
      <c r="H4674" t="s">
        <v>1781</v>
      </c>
      <c r="I4674" t="s">
        <v>25</v>
      </c>
      <c r="J4674" t="s">
        <v>3472</v>
      </c>
      <c r="K4674">
        <v>21</v>
      </c>
      <c r="L4674">
        <v>1</v>
      </c>
      <c r="M4674">
        <v>2025</v>
      </c>
      <c r="N4674" t="s">
        <v>27</v>
      </c>
      <c r="O4674">
        <v>200</v>
      </c>
      <c r="P4674">
        <v>200</v>
      </c>
      <c r="R4674" s="3" t="str">
        <f>HYPERLINK("https://panda.att.com.mx/ODKServer/view/binaryData?blobKey=FSSuministroFluidosv3%5B%40version%3Dnull+and+%40uiVersion%3Dnull%5D%2Fdata%5B%40key%3Duuid%3A7f59d9b0-1845-4c74-ab70-4461405f24d3%5D%2FgroupInfoFuel%5B%40ordinal%3D1%5D%2FpicFuelRecibeInterno","Descargar")</f>
        <v>Descargar</v>
      </c>
    </row>
    <row r="4675" spans="1:18" x14ac:dyDescent="0.3">
      <c r="A4675">
        <v>1468641</v>
      </c>
      <c r="B4675" t="s">
        <v>18</v>
      </c>
      <c r="C4675" t="s">
        <v>34</v>
      </c>
      <c r="D4675" t="s">
        <v>53</v>
      </c>
      <c r="E4675" t="s">
        <v>3473</v>
      </c>
      <c r="F4675" t="s">
        <v>22</v>
      </c>
      <c r="G4675" t="s">
        <v>23</v>
      </c>
      <c r="H4675" t="s">
        <v>37</v>
      </c>
      <c r="I4675" t="s">
        <v>25</v>
      </c>
      <c r="J4675" t="s">
        <v>3474</v>
      </c>
      <c r="K4675">
        <v>22</v>
      </c>
      <c r="L4675">
        <v>1</v>
      </c>
      <c r="M4675">
        <v>2025</v>
      </c>
      <c r="N4675" t="s">
        <v>27</v>
      </c>
      <c r="O4675">
        <v>300</v>
      </c>
      <c r="P4675">
        <v>300</v>
      </c>
      <c r="R4675" s="3" t="str">
        <f>HYPERLINK("https://panda.att.com.mx/ODKServer/view/binaryData?blobKey=FSSuministroFluidosv3%5B%40version%3Dnull+and+%40uiVersion%3Dnull%5D%2Fdata%5B%40key%3Duuid%3A2d4ccef3-ef67-43d3-8730-c8437568a710%5D%2FgroupInfoFuel%5B%40ordinal%3D1%5D%2FpicFuelRecibeInterno","Descargar")</f>
        <v>Descargar</v>
      </c>
    </row>
    <row r="4676" spans="1:18" x14ac:dyDescent="0.3">
      <c r="A4676">
        <v>1468617</v>
      </c>
      <c r="B4676" t="s">
        <v>18</v>
      </c>
      <c r="C4676" t="s">
        <v>55</v>
      </c>
      <c r="D4676" t="s">
        <v>56</v>
      </c>
      <c r="E4676" t="s">
        <v>3146</v>
      </c>
      <c r="F4676" t="s">
        <v>22</v>
      </c>
      <c r="G4676" t="s">
        <v>47</v>
      </c>
      <c r="H4676" t="s">
        <v>1763</v>
      </c>
      <c r="I4676" t="s">
        <v>25</v>
      </c>
      <c r="J4676" t="s">
        <v>3475</v>
      </c>
      <c r="K4676">
        <v>16</v>
      </c>
      <c r="L4676">
        <v>1</v>
      </c>
      <c r="M4676">
        <v>2025</v>
      </c>
      <c r="N4676" t="s">
        <v>27</v>
      </c>
      <c r="O4676">
        <v>100</v>
      </c>
      <c r="P4676">
        <v>100</v>
      </c>
      <c r="R4676" s="3" t="str">
        <f>HYPERLINK("https://panda.att.com.mx/ODKServer/view/binaryData?blobKey=FSSuministroFluidosv3%5B%40version%3Dnull+and+%40uiVersion%3Dnull%5D%2Fdata%5B%40key%3Duuid%3A822a8264-5b28-465d-8642-6bd87c631a2c%5D%2FgroupInfoFuel%5B%40ordinal%3D1%5D%2FpicFuelRecibeInterno","Descargar")</f>
        <v>Descargar</v>
      </c>
    </row>
    <row r="4677" spans="1:18" x14ac:dyDescent="0.3">
      <c r="A4677">
        <v>1468615</v>
      </c>
      <c r="B4677" t="s">
        <v>18</v>
      </c>
      <c r="C4677" t="s">
        <v>55</v>
      </c>
      <c r="D4677" t="s">
        <v>56</v>
      </c>
      <c r="E4677" t="s">
        <v>320</v>
      </c>
      <c r="F4677" t="s">
        <v>22</v>
      </c>
      <c r="G4677" t="s">
        <v>47</v>
      </c>
      <c r="H4677" t="s">
        <v>1763</v>
      </c>
      <c r="I4677" t="s">
        <v>25</v>
      </c>
      <c r="J4677" t="s">
        <v>3476</v>
      </c>
      <c r="K4677">
        <v>20</v>
      </c>
      <c r="L4677">
        <v>1</v>
      </c>
      <c r="M4677">
        <v>2025</v>
      </c>
      <c r="N4677" t="s">
        <v>27</v>
      </c>
      <c r="O4677">
        <v>300</v>
      </c>
      <c r="P4677">
        <v>300</v>
      </c>
      <c r="R4677" s="3" t="str">
        <f>HYPERLINK("https://panda.att.com.mx/ODKServer/view/binaryData?blobKey=FSSuministroFluidosv3%5B%40version%3Dnull+and+%40uiVersion%3Dnull%5D%2Fdata%5B%40key%3Duuid%3Af6f011fe-8e45-43bd-80b9-8cc4051e1c6c%5D%2FgroupInfoFuel%5B%40ordinal%3D1%5D%2FpicFuelRecibeInterno","Descargar")</f>
        <v>Descargar</v>
      </c>
    </row>
    <row r="4678" spans="1:18" x14ac:dyDescent="0.3">
      <c r="A4678">
        <v>1468614</v>
      </c>
      <c r="B4678" t="s">
        <v>18</v>
      </c>
      <c r="C4678" t="s">
        <v>55</v>
      </c>
      <c r="D4678" t="s">
        <v>288</v>
      </c>
      <c r="E4678" t="s">
        <v>1537</v>
      </c>
      <c r="F4678" t="s">
        <v>22</v>
      </c>
      <c r="G4678" t="s">
        <v>47</v>
      </c>
      <c r="H4678" t="s">
        <v>1763</v>
      </c>
      <c r="I4678" t="s">
        <v>25</v>
      </c>
      <c r="J4678" t="s">
        <v>3477</v>
      </c>
      <c r="K4678">
        <v>18</v>
      </c>
      <c r="L4678">
        <v>1</v>
      </c>
      <c r="M4678">
        <v>2025</v>
      </c>
      <c r="N4678" t="s">
        <v>27</v>
      </c>
      <c r="O4678">
        <v>300</v>
      </c>
      <c r="P4678">
        <v>300</v>
      </c>
      <c r="R4678" s="3" t="str">
        <f>HYPERLINK("https://panda.att.com.mx/ODKServer/view/binaryData?blobKey=FSSuministroFluidosv3%5B%40version%3Dnull+and+%40uiVersion%3Dnull%5D%2Fdata%5B%40key%3Duuid%3Abfc7f8e5-69d4-4895-8782-fec6b800542f%5D%2FgroupInfoFuel%5B%40ordinal%3D1%5D%2FpicFuelRecibeInterno","Descargar")</f>
        <v>Descargar</v>
      </c>
    </row>
    <row r="4679" spans="1:18" x14ac:dyDescent="0.3">
      <c r="A4679">
        <v>1468613</v>
      </c>
      <c r="B4679" t="s">
        <v>18</v>
      </c>
      <c r="C4679" t="s">
        <v>55</v>
      </c>
      <c r="D4679" t="s">
        <v>288</v>
      </c>
      <c r="E4679" t="s">
        <v>1938</v>
      </c>
      <c r="F4679" t="s">
        <v>22</v>
      </c>
      <c r="G4679" t="s">
        <v>47</v>
      </c>
      <c r="H4679" t="s">
        <v>1763</v>
      </c>
      <c r="I4679" t="s">
        <v>25</v>
      </c>
      <c r="J4679" t="s">
        <v>3478</v>
      </c>
      <c r="K4679">
        <v>22</v>
      </c>
      <c r="L4679">
        <v>1</v>
      </c>
      <c r="M4679">
        <v>2025</v>
      </c>
      <c r="N4679" t="s">
        <v>27</v>
      </c>
      <c r="O4679">
        <v>250</v>
      </c>
      <c r="P4679">
        <v>250</v>
      </c>
      <c r="R4679" s="3" t="str">
        <f>HYPERLINK("https://panda.att.com.mx/ODKServer/view/binaryData?blobKey=FSSuministroFluidosv3%5B%40version%3Dnull+and+%40uiVersion%3Dnull%5D%2Fdata%5B%40key%3Duuid%3Ab3f70233-1595-4f0e-b831-d489ca5c1a16%5D%2FgroupInfoFuel%5B%40ordinal%3D1%5D%2FpicFuelRecibeInterno","Descargar")</f>
        <v>Descargar</v>
      </c>
    </row>
    <row r="4680" spans="1:18" x14ac:dyDescent="0.3">
      <c r="A4680">
        <v>1468592</v>
      </c>
      <c r="B4680" t="s">
        <v>18</v>
      </c>
      <c r="C4680" t="s">
        <v>55</v>
      </c>
      <c r="D4680" t="s">
        <v>56</v>
      </c>
      <c r="E4680" t="s">
        <v>3479</v>
      </c>
      <c r="F4680" t="s">
        <v>22</v>
      </c>
      <c r="G4680" t="s">
        <v>47</v>
      </c>
      <c r="H4680" t="s">
        <v>1763</v>
      </c>
      <c r="I4680" t="s">
        <v>25</v>
      </c>
      <c r="J4680" t="s">
        <v>3480</v>
      </c>
      <c r="K4680">
        <v>21</v>
      </c>
      <c r="L4680">
        <v>1</v>
      </c>
      <c r="M4680">
        <v>2025</v>
      </c>
      <c r="N4680" t="s">
        <v>27</v>
      </c>
      <c r="O4680">
        <v>294</v>
      </c>
      <c r="P4680">
        <v>294</v>
      </c>
      <c r="R4680" s="3" t="str">
        <f>HYPERLINK("https://panda.att.com.mx/ODKServer/view/binaryData?blobKey=FSSuministroFluidosv3%5B%40version%3Dnull+and+%40uiVersion%3Dnull%5D%2Fdata%5B%40key%3Duuid%3A663621af-6c42-4c06-beb3-475804e0123a%5D%2FgroupInfoFuel%5B%40ordinal%3D1%5D%2FpicFuelRecibeInterno","Descargar")</f>
        <v>Descargar</v>
      </c>
    </row>
    <row r="4681" spans="1:18" x14ac:dyDescent="0.3">
      <c r="A4681">
        <v>1468549</v>
      </c>
      <c r="B4681" t="s">
        <v>18</v>
      </c>
      <c r="C4681" t="s">
        <v>34</v>
      </c>
      <c r="D4681" t="s">
        <v>53</v>
      </c>
      <c r="E4681" t="s">
        <v>459</v>
      </c>
      <c r="F4681" t="s">
        <v>22</v>
      </c>
      <c r="G4681" t="s">
        <v>83</v>
      </c>
      <c r="H4681" t="s">
        <v>37</v>
      </c>
      <c r="I4681" t="s">
        <v>25</v>
      </c>
      <c r="J4681" t="s">
        <v>3481</v>
      </c>
      <c r="K4681">
        <v>21</v>
      </c>
      <c r="L4681">
        <v>1</v>
      </c>
      <c r="M4681">
        <v>2025</v>
      </c>
      <c r="N4681" t="s">
        <v>27</v>
      </c>
      <c r="O4681">
        <v>500</v>
      </c>
      <c r="P4681">
        <v>500</v>
      </c>
      <c r="R4681" s="3" t="str">
        <f>HYPERLINK("https://panda.att.com.mx/ODKServer/view/binaryData?blobKey=FSSuministroFluidosv3%5B%40version%3Dnull+and+%40uiVersion%3Dnull%5D%2Fdata%5B%40key%3Duuid%3Ac4b136db-6358-4f03-bd1b-4fc8b0d1c745%5D%2FgroupInfoFuel%5B%40ordinal%3D1%5D%2FpicFuelRecibeInterno","Descargar")</f>
        <v>Descargar</v>
      </c>
    </row>
    <row r="4682" spans="1:18" x14ac:dyDescent="0.3">
      <c r="A4682">
        <v>1468547</v>
      </c>
      <c r="B4682" t="s">
        <v>18</v>
      </c>
      <c r="C4682" t="s">
        <v>34</v>
      </c>
      <c r="D4682" t="s">
        <v>53</v>
      </c>
      <c r="E4682" t="s">
        <v>457</v>
      </c>
      <c r="F4682" t="s">
        <v>22</v>
      </c>
      <c r="G4682" t="s">
        <v>83</v>
      </c>
      <c r="H4682" t="s">
        <v>37</v>
      </c>
      <c r="I4682" t="s">
        <v>25</v>
      </c>
      <c r="J4682" t="s">
        <v>3482</v>
      </c>
      <c r="K4682">
        <v>21</v>
      </c>
      <c r="L4682">
        <v>1</v>
      </c>
      <c r="M4682">
        <v>2025</v>
      </c>
      <c r="N4682" t="s">
        <v>27</v>
      </c>
      <c r="O4682">
        <v>650</v>
      </c>
      <c r="Q4682">
        <v>650</v>
      </c>
      <c r="R4682" s="3" t="str">
        <f>HYPERLINK("https://panda.att.com.mx/ODKServer/view/binaryData?blobKey=FSSuministroFluidosv3%5B%40version%3Dnull+and+%40uiVersion%3Dnull%5D%2Fdata%5B%40key%3Duuid%3Ad0dcf34e-8e05-424e-b508-55c46f116f92%5D%2FgroupInfoFuel%5B%40ordinal%3D1%5D%2FpicFuelRecibeInterno","Descargar")</f>
        <v>Descargar</v>
      </c>
    </row>
    <row r="4683" spans="1:18" x14ac:dyDescent="0.3">
      <c r="A4683">
        <v>1468536</v>
      </c>
      <c r="B4683" t="s">
        <v>18</v>
      </c>
      <c r="C4683" t="s">
        <v>28</v>
      </c>
      <c r="D4683" t="s">
        <v>66</v>
      </c>
      <c r="E4683" t="s">
        <v>1213</v>
      </c>
      <c r="F4683" t="s">
        <v>22</v>
      </c>
      <c r="G4683" t="s">
        <v>47</v>
      </c>
      <c r="H4683" t="s">
        <v>24</v>
      </c>
      <c r="I4683" t="s">
        <v>25</v>
      </c>
      <c r="J4683" t="s">
        <v>3483</v>
      </c>
      <c r="K4683">
        <v>21</v>
      </c>
      <c r="L4683">
        <v>1</v>
      </c>
      <c r="M4683">
        <v>2025</v>
      </c>
      <c r="N4683" t="s">
        <v>44</v>
      </c>
      <c r="O4683">
        <v>40</v>
      </c>
      <c r="Q4683">
        <v>40</v>
      </c>
      <c r="R4683" s="3" t="str">
        <f>HYPERLINK("https://panda.att.com.mx/ODKServer/view/binaryData?blobKey=FSSuministroFluidosv3%5B%40version%3Dnull+and+%40uiVersion%3Dnull%5D%2Fdata%5B%40key%3Duuid%3Acc7f30b2-5bd4-4836-a70b-c41a1237e09b%5D%2FgroupInfoFuel%5B%40ordinal%3D1%5D%2FpicFuelRecibeInterno","Descargar")</f>
        <v>Descargar</v>
      </c>
    </row>
    <row r="4684" spans="1:18" x14ac:dyDescent="0.3">
      <c r="A4684">
        <v>1468515</v>
      </c>
      <c r="B4684" t="s">
        <v>18</v>
      </c>
      <c r="C4684" t="s">
        <v>19</v>
      </c>
      <c r="D4684" t="s">
        <v>45</v>
      </c>
      <c r="E4684" t="s">
        <v>130</v>
      </c>
      <c r="F4684" t="s">
        <v>22</v>
      </c>
      <c r="G4684" t="s">
        <v>23</v>
      </c>
      <c r="H4684" t="s">
        <v>24</v>
      </c>
      <c r="I4684" t="s">
        <v>25</v>
      </c>
      <c r="J4684" t="s">
        <v>3484</v>
      </c>
      <c r="K4684">
        <v>21</v>
      </c>
      <c r="L4684">
        <v>1</v>
      </c>
      <c r="M4684">
        <v>2025</v>
      </c>
      <c r="N4684" t="s">
        <v>27</v>
      </c>
      <c r="O4684">
        <v>300</v>
      </c>
      <c r="P4684">
        <v>300</v>
      </c>
      <c r="R4684" s="3" t="str">
        <f>HYPERLINK("https://panda.att.com.mx/ODKServer/view/binaryData?blobKey=FSSuministroFluidosv3%5B%40version%3Dnull+and+%40uiVersion%3Dnull%5D%2Fdata%5B%40key%3Duuid%3Ae53a44c8-c8a7-4874-b0c3-7ac2ba8def17%5D%2FgroupInfoFuel%5B%40ordinal%3D1%5D%2FpicFuelRecibeInterno","Descargar")</f>
        <v>Descargar</v>
      </c>
    </row>
    <row r="4685" spans="1:18" x14ac:dyDescent="0.3">
      <c r="A4685">
        <v>1468482</v>
      </c>
      <c r="B4685" t="s">
        <v>18</v>
      </c>
      <c r="C4685" t="s">
        <v>28</v>
      </c>
      <c r="D4685" t="s">
        <v>66</v>
      </c>
      <c r="E4685" t="s">
        <v>146</v>
      </c>
      <c r="F4685" t="s">
        <v>22</v>
      </c>
      <c r="G4685" t="s">
        <v>47</v>
      </c>
      <c r="H4685" t="s">
        <v>24</v>
      </c>
      <c r="I4685" t="s">
        <v>25</v>
      </c>
      <c r="J4685" t="s">
        <v>3485</v>
      </c>
      <c r="K4685">
        <v>21</v>
      </c>
      <c r="L4685">
        <v>1</v>
      </c>
      <c r="M4685">
        <v>2025</v>
      </c>
      <c r="N4685" t="s">
        <v>44</v>
      </c>
      <c r="O4685">
        <v>40</v>
      </c>
      <c r="Q4685">
        <v>40</v>
      </c>
      <c r="R4685" s="3" t="str">
        <f>HYPERLINK("https://panda.att.com.mx/ODKServer/view/binaryData?blobKey=FSSuministroFluidosv3%5B%40version%3Dnull+and+%40uiVersion%3Dnull%5D%2Fdata%5B%40key%3Duuid%3A791e5f80-dfc5-4fcf-a2ef-4ec4d840a2b1%5D%2FgroupInfoFuel%5B%40ordinal%3D1%5D%2FpicFuelRecibeInterno","Descargar")</f>
        <v>Descargar</v>
      </c>
    </row>
    <row r="4686" spans="1:18" x14ac:dyDescent="0.3">
      <c r="A4686">
        <v>1468407</v>
      </c>
      <c r="B4686" t="s">
        <v>18</v>
      </c>
      <c r="C4686" t="s">
        <v>167</v>
      </c>
      <c r="D4686" t="s">
        <v>509</v>
      </c>
      <c r="E4686" t="s">
        <v>3486</v>
      </c>
      <c r="F4686" t="s">
        <v>22</v>
      </c>
      <c r="G4686" t="s">
        <v>47</v>
      </c>
      <c r="H4686" t="s">
        <v>58</v>
      </c>
      <c r="I4686" t="s">
        <v>84</v>
      </c>
      <c r="J4686" t="s">
        <v>3487</v>
      </c>
      <c r="K4686">
        <v>20</v>
      </c>
      <c r="L4686">
        <v>1</v>
      </c>
      <c r="M4686">
        <v>2025</v>
      </c>
      <c r="N4686" t="s">
        <v>27</v>
      </c>
      <c r="O4686">
        <v>50</v>
      </c>
      <c r="P4686">
        <v>50</v>
      </c>
      <c r="R4686" s="3" t="str">
        <f>HYPERLINK("https://panda.att.com.mx/ODKServer/view/binaryData?blobKey=FSSuministroFluidosv3%5B%40version%3Dnull+and+%40uiVersion%3Dnull%5D%2Fdata%5B%40key%3Duuid%3Af3115233-8b07-40de-bf52-718154a05a69%5D%2FgroupInfoFuel%5B%40ordinal%3D1%5D%2FpicFuelRecibeInterno","Descargar")</f>
        <v>Descargar</v>
      </c>
    </row>
    <row r="4687" spans="1:18" x14ac:dyDescent="0.3">
      <c r="A4687">
        <v>1468379</v>
      </c>
      <c r="B4687" t="s">
        <v>18</v>
      </c>
      <c r="C4687" t="s">
        <v>167</v>
      </c>
      <c r="D4687" t="s">
        <v>509</v>
      </c>
      <c r="E4687" t="s">
        <v>3488</v>
      </c>
      <c r="F4687" t="s">
        <v>22</v>
      </c>
      <c r="G4687" t="s">
        <v>47</v>
      </c>
      <c r="H4687" t="s">
        <v>58</v>
      </c>
      <c r="I4687" t="s">
        <v>84</v>
      </c>
      <c r="J4687" t="s">
        <v>3489</v>
      </c>
      <c r="K4687">
        <v>20</v>
      </c>
      <c r="L4687">
        <v>1</v>
      </c>
      <c r="M4687">
        <v>2025</v>
      </c>
      <c r="N4687" t="s">
        <v>27</v>
      </c>
      <c r="O4687">
        <v>20</v>
      </c>
      <c r="P4687">
        <v>20</v>
      </c>
      <c r="R4687" s="3" t="str">
        <f>HYPERLINK("https://panda.att.com.mx/ODKServer/view/binaryData?blobKey=FSSuministroFluidosv3%5B%40version%3Dnull+and+%40uiVersion%3Dnull%5D%2Fdata%5B%40key%3Duuid%3A220d9587-0184-4157-8626-a651adff97e4%5D%2FgroupInfoFuel%5B%40ordinal%3D1%5D%2FpicFuelRecibeInterno","Descargar")</f>
        <v>Descargar</v>
      </c>
    </row>
    <row r="4688" spans="1:18" x14ac:dyDescent="0.3">
      <c r="A4688">
        <v>1468369</v>
      </c>
      <c r="B4688" t="s">
        <v>18</v>
      </c>
      <c r="C4688" t="s">
        <v>167</v>
      </c>
      <c r="D4688" t="s">
        <v>509</v>
      </c>
      <c r="E4688" t="s">
        <v>2139</v>
      </c>
      <c r="F4688" t="s">
        <v>22</v>
      </c>
      <c r="G4688" t="s">
        <v>47</v>
      </c>
      <c r="H4688" t="s">
        <v>58</v>
      </c>
      <c r="I4688" t="s">
        <v>25</v>
      </c>
      <c r="J4688" t="s">
        <v>3490</v>
      </c>
      <c r="K4688">
        <v>20</v>
      </c>
      <c r="L4688">
        <v>1</v>
      </c>
      <c r="M4688">
        <v>2025</v>
      </c>
      <c r="N4688" t="s">
        <v>27</v>
      </c>
      <c r="O4688">
        <v>40</v>
      </c>
      <c r="Q4688">
        <v>40</v>
      </c>
      <c r="R4688" s="3" t="str">
        <f>HYPERLINK("https://panda.att.com.mx/ODKServer/view/binaryData?blobKey=FSSuministroFluidosv3%5B%40version%3Dnull+and+%40uiVersion%3Dnull%5D%2Fdata%5B%40key%3Duuid%3A935e4a45-c268-4cf7-9ca0-b0e7b88f56a8%5D%2FgroupInfoFuel%5B%40ordinal%3D1%5D%2FpicFuelRecibeInterno","Descargar")</f>
        <v>Descargar</v>
      </c>
    </row>
    <row r="4689" spans="1:18" x14ac:dyDescent="0.3">
      <c r="A4689">
        <v>1468320</v>
      </c>
      <c r="B4689" t="s">
        <v>18</v>
      </c>
      <c r="C4689" t="s">
        <v>55</v>
      </c>
      <c r="D4689" t="s">
        <v>288</v>
      </c>
      <c r="E4689" t="s">
        <v>1164</v>
      </c>
      <c r="F4689" t="s">
        <v>22</v>
      </c>
      <c r="G4689" t="s">
        <v>47</v>
      </c>
      <c r="H4689" t="s">
        <v>1763</v>
      </c>
      <c r="I4689" t="s">
        <v>25</v>
      </c>
      <c r="J4689" t="s">
        <v>3491</v>
      </c>
      <c r="K4689">
        <v>21</v>
      </c>
      <c r="L4689">
        <v>1</v>
      </c>
      <c r="M4689">
        <v>2025</v>
      </c>
      <c r="N4689" t="s">
        <v>27</v>
      </c>
      <c r="O4689">
        <v>300</v>
      </c>
      <c r="P4689">
        <v>300</v>
      </c>
      <c r="R4689" s="3" t="str">
        <f>HYPERLINK("https://panda.att.com.mx/ODKServer/view/binaryData?blobKey=FSSuministroFluidosv3%5B%40version%3Dnull+and+%40uiVersion%3Dnull%5D%2Fdata%5B%40key%3Duuid%3A2e9dc010-c206-499c-b826-378f4a1ce4e6%5D%2FgroupInfoFuel%5B%40ordinal%3D1%5D%2FpicFuelRecibeInterno","Descargar")</f>
        <v>Descargar</v>
      </c>
    </row>
    <row r="4690" spans="1:18" x14ac:dyDescent="0.3">
      <c r="A4690">
        <v>1468309</v>
      </c>
      <c r="B4690" t="s">
        <v>18</v>
      </c>
      <c r="C4690" t="s">
        <v>28</v>
      </c>
      <c r="D4690" t="s">
        <v>1036</v>
      </c>
      <c r="E4690" t="s">
        <v>1698</v>
      </c>
      <c r="F4690" t="s">
        <v>22</v>
      </c>
      <c r="G4690" t="s">
        <v>23</v>
      </c>
      <c r="H4690" t="s">
        <v>24</v>
      </c>
      <c r="I4690" t="s">
        <v>25</v>
      </c>
      <c r="J4690" t="s">
        <v>3492</v>
      </c>
      <c r="K4690">
        <v>17</v>
      </c>
      <c r="L4690">
        <v>1</v>
      </c>
      <c r="M4690">
        <v>2025</v>
      </c>
      <c r="N4690" t="s">
        <v>44</v>
      </c>
      <c r="O4690">
        <v>50</v>
      </c>
      <c r="P4690">
        <v>50</v>
      </c>
      <c r="R4690" s="3" t="str">
        <f>HYPERLINK("https://panda.att.com.mx/ODKServer/view/binaryData?blobKey=FSSuministroFluidosv3%5B%40version%3Dnull+and+%40uiVersion%3Dnull%5D%2Fdata%5B%40key%3Duuid%3A37bbb85c-4db6-4993-8b45-cf2da38402df%5D%2FgroupInfoFuel%5B%40ordinal%3D1%5D%2FpicFuelRecibeInterno","Descargar")</f>
        <v>Descargar</v>
      </c>
    </row>
    <row r="4691" spans="1:18" x14ac:dyDescent="0.3">
      <c r="A4691">
        <v>1468194</v>
      </c>
      <c r="B4691" t="s">
        <v>18</v>
      </c>
      <c r="C4691" t="s">
        <v>55</v>
      </c>
      <c r="D4691" t="s">
        <v>210</v>
      </c>
      <c r="E4691" t="s">
        <v>1100</v>
      </c>
      <c r="F4691" t="s">
        <v>22</v>
      </c>
      <c r="G4691" t="s">
        <v>47</v>
      </c>
      <c r="H4691" t="s">
        <v>1763</v>
      </c>
      <c r="I4691" t="s">
        <v>25</v>
      </c>
      <c r="J4691" t="s">
        <v>3493</v>
      </c>
      <c r="K4691">
        <v>18</v>
      </c>
      <c r="L4691">
        <v>1</v>
      </c>
      <c r="M4691">
        <v>2025</v>
      </c>
      <c r="N4691" t="s">
        <v>27</v>
      </c>
      <c r="O4691">
        <v>80</v>
      </c>
      <c r="P4691">
        <v>80</v>
      </c>
      <c r="R4691" s="3" t="str">
        <f>HYPERLINK("https://panda.att.com.mx/ODKServer/view/binaryData?blobKey=FSSuministroFluidosv3%5B%40version%3Dnull+and+%40uiVersion%3Dnull%5D%2Fdata%5B%40key%3Duuid%3A3a362913-3033-45fb-8da1-7005fede0194%5D%2FgroupInfoFuel%5B%40ordinal%3D1%5D%2FpicFuelRecibeInterno","Descargar")</f>
        <v>Descargar</v>
      </c>
    </row>
    <row r="4692" spans="1:18" x14ac:dyDescent="0.3">
      <c r="A4692">
        <v>1468193</v>
      </c>
      <c r="B4692" t="s">
        <v>18</v>
      </c>
      <c r="C4692" t="s">
        <v>55</v>
      </c>
      <c r="D4692" t="s">
        <v>56</v>
      </c>
      <c r="E4692" t="s">
        <v>2735</v>
      </c>
      <c r="F4692" t="s">
        <v>22</v>
      </c>
      <c r="G4692" t="s">
        <v>23</v>
      </c>
      <c r="H4692" t="s">
        <v>1763</v>
      </c>
      <c r="I4692" t="s">
        <v>25</v>
      </c>
      <c r="J4692" t="s">
        <v>3494</v>
      </c>
      <c r="K4692">
        <v>10</v>
      </c>
      <c r="L4692">
        <v>1</v>
      </c>
      <c r="M4692">
        <v>2025</v>
      </c>
      <c r="N4692" t="s">
        <v>27</v>
      </c>
      <c r="O4692">
        <v>100</v>
      </c>
      <c r="P4692">
        <v>100</v>
      </c>
      <c r="R4692" s="3" t="str">
        <f>HYPERLINK("https://panda.att.com.mx/ODKServer/view/binaryData?blobKey=FSSuministroFluidosv3%5B%40version%3Dnull+and+%40uiVersion%3Dnull%5D%2Fdata%5B%40key%3Duuid%3A8e197a49-d0af-4481-83fe-4b5de14ea6d5%5D%2FgroupInfoFuel%5B%40ordinal%3D1%5D%2FpicFuelRecibeInterno","Descargar")</f>
        <v>Descargar</v>
      </c>
    </row>
    <row r="4693" spans="1:18" x14ac:dyDescent="0.3">
      <c r="A4693">
        <v>1468192</v>
      </c>
      <c r="B4693" t="s">
        <v>18</v>
      </c>
      <c r="C4693" t="s">
        <v>55</v>
      </c>
      <c r="D4693" t="s">
        <v>56</v>
      </c>
      <c r="E4693" t="s">
        <v>2735</v>
      </c>
      <c r="F4693" t="s">
        <v>22</v>
      </c>
      <c r="G4693" t="s">
        <v>23</v>
      </c>
      <c r="H4693" t="s">
        <v>1763</v>
      </c>
      <c r="I4693" t="s">
        <v>25</v>
      </c>
      <c r="J4693" t="s">
        <v>3495</v>
      </c>
      <c r="K4693">
        <v>12</v>
      </c>
      <c r="L4693">
        <v>1</v>
      </c>
      <c r="M4693">
        <v>2025</v>
      </c>
      <c r="N4693" t="s">
        <v>27</v>
      </c>
      <c r="O4693">
        <v>100</v>
      </c>
      <c r="P4693">
        <v>100</v>
      </c>
      <c r="R4693" s="3" t="str">
        <f>HYPERLINK("https://panda.att.com.mx/ODKServer/view/binaryData?blobKey=FSSuministroFluidosv3%5B%40version%3Dnull+and+%40uiVersion%3Dnull%5D%2Fdata%5B%40key%3Duuid%3A1f4e886b-fb74-4696-ae70-52f5ad73c9aa%5D%2FgroupInfoFuel%5B%40ordinal%3D1%5D%2FpicFuelRecibeInterno","Descargar")</f>
        <v>Descargar</v>
      </c>
    </row>
    <row r="4694" spans="1:18" x14ac:dyDescent="0.3">
      <c r="A4694">
        <v>1468162</v>
      </c>
      <c r="B4694" t="s">
        <v>18</v>
      </c>
      <c r="C4694" t="s">
        <v>183</v>
      </c>
      <c r="D4694" t="s">
        <v>3280</v>
      </c>
      <c r="E4694" t="s">
        <v>3281</v>
      </c>
      <c r="F4694" t="s">
        <v>22</v>
      </c>
      <c r="G4694" t="s">
        <v>23</v>
      </c>
      <c r="H4694" t="s">
        <v>37</v>
      </c>
      <c r="I4694" t="s">
        <v>25</v>
      </c>
      <c r="J4694" t="s">
        <v>3496</v>
      </c>
      <c r="K4694">
        <v>21</v>
      </c>
      <c r="L4694">
        <v>1</v>
      </c>
      <c r="M4694">
        <v>2025</v>
      </c>
      <c r="N4694" t="s">
        <v>27</v>
      </c>
      <c r="O4694">
        <v>130</v>
      </c>
      <c r="P4694">
        <v>130</v>
      </c>
      <c r="R4694" s="3" t="str">
        <f>HYPERLINK("https://panda.att.com.mx/ODKServer/view/binaryData?blobKey=FSSuministroFluidosv3%5B%40version%3Dnull+and+%40uiVersion%3Dnull%5D%2Fdata%5B%40key%3Duuid%3Adfd2cd2c-61e3-4579-ac5d-92900a6db797%5D%2FgroupInfoFuel%5B%40ordinal%3D1%5D%2FpicFuelRecibeInterno","Descargar")</f>
        <v>Descargar</v>
      </c>
    </row>
    <row r="4695" spans="1:18" x14ac:dyDescent="0.3">
      <c r="A4695">
        <v>1468045</v>
      </c>
      <c r="B4695" t="s">
        <v>18</v>
      </c>
      <c r="C4695" t="s">
        <v>55</v>
      </c>
      <c r="D4695" t="s">
        <v>366</v>
      </c>
      <c r="E4695" t="s">
        <v>1854</v>
      </c>
      <c r="F4695" t="s">
        <v>22</v>
      </c>
      <c r="G4695" t="s">
        <v>83</v>
      </c>
      <c r="H4695" t="s">
        <v>1781</v>
      </c>
      <c r="I4695" t="s">
        <v>25</v>
      </c>
      <c r="J4695" t="s">
        <v>3497</v>
      </c>
      <c r="K4695">
        <v>21</v>
      </c>
      <c r="L4695">
        <v>1</v>
      </c>
      <c r="M4695">
        <v>2025</v>
      </c>
      <c r="N4695" t="s">
        <v>27</v>
      </c>
      <c r="O4695">
        <v>150</v>
      </c>
      <c r="P4695">
        <v>150</v>
      </c>
      <c r="R4695" s="3" t="str">
        <f>HYPERLINK("https://panda.att.com.mx/ODKServer/view/binaryData?blobKey=FSSuministroFluidosv3%5B%40version%3Dnull+and+%40uiVersion%3Dnull%5D%2Fdata%5B%40key%3Duuid%3A338f38da-9f45-401d-8bfd-33bfe88af130%5D%2FgroupInfoFuel%5B%40ordinal%3D1%5D%2FpicFuelRecibeInterno","Descargar")</f>
        <v>Descargar</v>
      </c>
    </row>
    <row r="4696" spans="1:18" x14ac:dyDescent="0.3">
      <c r="A4696">
        <v>1467976</v>
      </c>
      <c r="B4696" t="s">
        <v>18</v>
      </c>
      <c r="C4696" t="s">
        <v>55</v>
      </c>
      <c r="D4696" t="s">
        <v>56</v>
      </c>
      <c r="E4696" t="s">
        <v>1555</v>
      </c>
      <c r="F4696" t="s">
        <v>22</v>
      </c>
      <c r="G4696" t="s">
        <v>47</v>
      </c>
      <c r="H4696" t="s">
        <v>1763</v>
      </c>
      <c r="I4696" t="s">
        <v>25</v>
      </c>
      <c r="J4696" t="s">
        <v>3498</v>
      </c>
      <c r="K4696">
        <v>17</v>
      </c>
      <c r="L4696">
        <v>1</v>
      </c>
      <c r="M4696">
        <v>2025</v>
      </c>
      <c r="N4696" t="s">
        <v>27</v>
      </c>
      <c r="O4696">
        <v>300</v>
      </c>
      <c r="P4696">
        <v>300</v>
      </c>
      <c r="R4696" s="3" t="str">
        <f>HYPERLINK("https://panda.att.com.mx/ODKServer/view/binaryData?blobKey=FSSuministroFluidosv3%5B%40version%3Dnull+and+%40uiVersion%3Dnull%5D%2Fdata%5B%40key%3Duuid%3A529fe9b6-9349-419e-bd3b-bdf497ed4d51%5D%2FgroupInfoFuel%5B%40ordinal%3D1%5D%2FpicFuelRecibeInterno","Descargar")</f>
        <v>Descargar</v>
      </c>
    </row>
    <row r="4697" spans="1:18" x14ac:dyDescent="0.3">
      <c r="A4697">
        <v>1467974</v>
      </c>
      <c r="B4697" t="s">
        <v>18</v>
      </c>
      <c r="C4697" t="s">
        <v>55</v>
      </c>
      <c r="D4697" t="s">
        <v>56</v>
      </c>
      <c r="E4697" t="s">
        <v>862</v>
      </c>
      <c r="F4697" t="s">
        <v>22</v>
      </c>
      <c r="G4697" t="s">
        <v>47</v>
      </c>
      <c r="H4697" t="s">
        <v>1763</v>
      </c>
      <c r="I4697" t="s">
        <v>25</v>
      </c>
      <c r="J4697" t="s">
        <v>3499</v>
      </c>
      <c r="K4697">
        <v>18</v>
      </c>
      <c r="L4697">
        <v>1</v>
      </c>
      <c r="M4697">
        <v>2025</v>
      </c>
      <c r="N4697" t="s">
        <v>27</v>
      </c>
      <c r="O4697">
        <v>650</v>
      </c>
      <c r="P4697">
        <v>650</v>
      </c>
      <c r="R4697" s="3" t="str">
        <f>HYPERLINK("https://panda.att.com.mx/ODKServer/view/binaryData?blobKey=FSSuministroFluidosv3%5B%40version%3Dnull+and+%40uiVersion%3Dnull%5D%2Fdata%5B%40key%3Duuid%3A03e40cab-4a19-4084-9a66-c9662035016b%5D%2FgroupInfoFuel%5B%40ordinal%3D1%5D%2FpicFuelRecibeInterno","Descargar")</f>
        <v>Descargar</v>
      </c>
    </row>
    <row r="4698" spans="1:18" x14ac:dyDescent="0.3">
      <c r="A4698">
        <v>1467973</v>
      </c>
      <c r="B4698" t="s">
        <v>18</v>
      </c>
      <c r="C4698" t="s">
        <v>55</v>
      </c>
      <c r="D4698" t="s">
        <v>56</v>
      </c>
      <c r="E4698" t="s">
        <v>1941</v>
      </c>
      <c r="F4698" t="s">
        <v>22</v>
      </c>
      <c r="G4698" t="s">
        <v>47</v>
      </c>
      <c r="H4698" t="s">
        <v>1763</v>
      </c>
      <c r="I4698" t="s">
        <v>25</v>
      </c>
      <c r="J4698" t="s">
        <v>3500</v>
      </c>
      <c r="K4698">
        <v>18</v>
      </c>
      <c r="L4698">
        <v>1</v>
      </c>
      <c r="M4698">
        <v>2025</v>
      </c>
      <c r="N4698" t="s">
        <v>27</v>
      </c>
      <c r="O4698">
        <v>200</v>
      </c>
      <c r="P4698">
        <v>200</v>
      </c>
      <c r="R4698" s="3" t="str">
        <f>HYPERLINK("https://panda.att.com.mx/ODKServer/view/binaryData?blobKey=FSSuministroFluidosv3%5B%40version%3Dnull+and+%40uiVersion%3Dnull%5D%2Fdata%5B%40key%3Duuid%3A643fc142-607f-4345-8381-3bd176256186%5D%2FgroupInfoFuel%5B%40ordinal%3D1%5D%2FpicFuelRecibeInterno","Descargar")</f>
        <v>Descargar</v>
      </c>
    </row>
    <row r="4699" spans="1:18" x14ac:dyDescent="0.3">
      <c r="A4699">
        <v>1467971</v>
      </c>
      <c r="B4699" t="s">
        <v>18</v>
      </c>
      <c r="C4699" t="s">
        <v>55</v>
      </c>
      <c r="D4699" t="s">
        <v>56</v>
      </c>
      <c r="E4699" t="s">
        <v>1701</v>
      </c>
      <c r="F4699" t="s">
        <v>22</v>
      </c>
      <c r="G4699" t="s">
        <v>47</v>
      </c>
      <c r="H4699" t="s">
        <v>1763</v>
      </c>
      <c r="I4699" t="s">
        <v>25</v>
      </c>
      <c r="J4699" t="s">
        <v>3501</v>
      </c>
      <c r="K4699">
        <v>18</v>
      </c>
      <c r="L4699">
        <v>1</v>
      </c>
      <c r="M4699">
        <v>2025</v>
      </c>
      <c r="N4699" t="s">
        <v>27</v>
      </c>
      <c r="O4699">
        <v>200</v>
      </c>
      <c r="P4699">
        <v>200</v>
      </c>
      <c r="R4699" s="3" t="str">
        <f>HYPERLINK("https://panda.att.com.mx/ODKServer/view/binaryData?blobKey=FSSuministroFluidosv3%5B%40version%3Dnull+and+%40uiVersion%3Dnull%5D%2Fdata%5B%40key%3Duuid%3Ab77691a3-8315-405f-b2e0-03aa335184ef%5D%2FgroupInfoFuel%5B%40ordinal%3D1%5D%2FpicFuelRecibeInterno","Descargar")</f>
        <v>Descargar</v>
      </c>
    </row>
    <row r="4700" spans="1:18" x14ac:dyDescent="0.3">
      <c r="A4700">
        <v>1467275</v>
      </c>
      <c r="B4700" t="s">
        <v>18</v>
      </c>
      <c r="C4700" t="s">
        <v>19</v>
      </c>
      <c r="D4700" t="s">
        <v>62</v>
      </c>
      <c r="E4700" t="s">
        <v>681</v>
      </c>
      <c r="F4700" t="s">
        <v>22</v>
      </c>
      <c r="G4700" t="s">
        <v>23</v>
      </c>
      <c r="H4700" t="s">
        <v>24</v>
      </c>
      <c r="I4700" t="s">
        <v>25</v>
      </c>
      <c r="J4700" t="s">
        <v>3502</v>
      </c>
      <c r="K4700">
        <v>20</v>
      </c>
      <c r="L4700">
        <v>1</v>
      </c>
      <c r="M4700">
        <v>2025</v>
      </c>
      <c r="N4700" t="s">
        <v>44</v>
      </c>
      <c r="O4700">
        <v>20</v>
      </c>
      <c r="Q4700">
        <v>20</v>
      </c>
      <c r="R4700" s="3" t="str">
        <f>HYPERLINK("https://panda.att.com.mx/ODKServer/view/binaryData?blobKey=FSSuministroFluidosv3%5B%40version%3Dnull+and+%40uiVersion%3Dnull%5D%2Fdata%5B%40key%3Duuid%3A38bbc373-5ec5-46eb-adee-53b90a174814%5D%2FgroupInfoFuel%5B%40ordinal%3D1%5D%2FpicFuelRecibeInterno","Descargar")</f>
        <v>Descargar</v>
      </c>
    </row>
    <row r="4701" spans="1:18" x14ac:dyDescent="0.3">
      <c r="A4701">
        <v>1467255</v>
      </c>
      <c r="B4701" t="s">
        <v>18</v>
      </c>
      <c r="C4701" t="s">
        <v>167</v>
      </c>
      <c r="D4701" t="s">
        <v>264</v>
      </c>
      <c r="E4701" t="s">
        <v>3503</v>
      </c>
      <c r="F4701" t="s">
        <v>22</v>
      </c>
      <c r="G4701" t="s">
        <v>47</v>
      </c>
      <c r="H4701" t="s">
        <v>58</v>
      </c>
      <c r="I4701" t="s">
        <v>25</v>
      </c>
      <c r="J4701" t="s">
        <v>3504</v>
      </c>
      <c r="K4701">
        <v>18</v>
      </c>
      <c r="L4701">
        <v>1</v>
      </c>
      <c r="M4701">
        <v>2025</v>
      </c>
      <c r="N4701" t="s">
        <v>27</v>
      </c>
      <c r="O4701">
        <v>100</v>
      </c>
      <c r="P4701">
        <v>100</v>
      </c>
      <c r="R4701" s="3" t="str">
        <f>HYPERLINK("https://panda.att.com.mx/ODKServer/view/binaryData?blobKey=FSSuministroFluidosv3%5B%40version%3Dnull+and+%40uiVersion%3Dnull%5D%2Fdata%5B%40key%3Duuid%3Ad8eab533-0c19-41c7-93cc-b5cb37846fc1%5D%2FgroupInfoFuel%5B%40ordinal%3D1%5D%2FpicFuelRecibeInterno","Descargar")</f>
        <v>Descargar</v>
      </c>
    </row>
    <row r="4702" spans="1:18" x14ac:dyDescent="0.3">
      <c r="A4702">
        <v>1467170</v>
      </c>
      <c r="B4702" t="s">
        <v>18</v>
      </c>
      <c r="C4702" t="s">
        <v>167</v>
      </c>
      <c r="D4702" t="s">
        <v>509</v>
      </c>
      <c r="E4702" t="s">
        <v>3505</v>
      </c>
      <c r="F4702" t="s">
        <v>22</v>
      </c>
      <c r="G4702" t="s">
        <v>47</v>
      </c>
      <c r="H4702" t="s">
        <v>58</v>
      </c>
      <c r="I4702" t="s">
        <v>25</v>
      </c>
      <c r="J4702" t="s">
        <v>3506</v>
      </c>
      <c r="K4702">
        <v>19</v>
      </c>
      <c r="L4702">
        <v>1</v>
      </c>
      <c r="M4702">
        <v>2025</v>
      </c>
      <c r="N4702" t="s">
        <v>27</v>
      </c>
      <c r="O4702">
        <v>120</v>
      </c>
      <c r="P4702">
        <v>120</v>
      </c>
      <c r="R4702" s="3" t="str">
        <f>HYPERLINK("https://panda.att.com.mx/ODKServer/view/binaryData?blobKey=FSSuministroFluidosv3%5B%40version%3Dnull+and+%40uiVersion%3Dnull%5D%2Fdata%5B%40key%3Duuid%3A40df6591-d891-4d83-8ebf-bc6833adc700%5D%2FgroupInfoFuel%5B%40ordinal%3D1%5D%2FpicFuelRecibeInterno","Descargar")</f>
        <v>Descargar</v>
      </c>
    </row>
    <row r="4703" spans="1:18" x14ac:dyDescent="0.3">
      <c r="A4703">
        <v>1467168</v>
      </c>
      <c r="B4703" t="s">
        <v>18</v>
      </c>
      <c r="C4703" t="s">
        <v>19</v>
      </c>
      <c r="D4703" t="s">
        <v>347</v>
      </c>
      <c r="E4703" t="s">
        <v>3396</v>
      </c>
      <c r="F4703" t="s">
        <v>22</v>
      </c>
      <c r="G4703" t="s">
        <v>23</v>
      </c>
      <c r="H4703" t="s">
        <v>24</v>
      </c>
      <c r="I4703" t="s">
        <v>25</v>
      </c>
      <c r="J4703" t="s">
        <v>3507</v>
      </c>
      <c r="K4703">
        <v>16</v>
      </c>
      <c r="L4703">
        <v>1</v>
      </c>
      <c r="M4703">
        <v>2025</v>
      </c>
      <c r="N4703" t="s">
        <v>27</v>
      </c>
      <c r="O4703">
        <v>400</v>
      </c>
      <c r="P4703">
        <v>400</v>
      </c>
      <c r="R4703" s="3" t="str">
        <f>HYPERLINK("https://panda.att.com.mx/ODKServer/view/binaryData?blobKey=FSSuministroFluidosv3%5B%40version%3Dnull+and+%40uiVersion%3Dnull%5D%2Fdata%5B%40key%3Duuid%3A7a4f35ad-d0a1-473a-a55f-2298a9224671%5D%2FgroupInfoFuel%5B%40ordinal%3D1%5D%2FpicFuelRecibeInterno","Descargar")</f>
        <v>Descargar</v>
      </c>
    </row>
    <row r="4704" spans="1:18" x14ac:dyDescent="0.3">
      <c r="A4704">
        <v>1467160</v>
      </c>
      <c r="B4704" t="s">
        <v>18</v>
      </c>
      <c r="C4704" t="s">
        <v>150</v>
      </c>
      <c r="D4704" t="s">
        <v>230</v>
      </c>
      <c r="E4704" t="s">
        <v>3508</v>
      </c>
      <c r="F4704" t="s">
        <v>22</v>
      </c>
      <c r="G4704" t="s">
        <v>47</v>
      </c>
      <c r="H4704" t="s">
        <v>1781</v>
      </c>
      <c r="I4704" t="s">
        <v>25</v>
      </c>
      <c r="J4704" t="s">
        <v>3509</v>
      </c>
      <c r="K4704">
        <v>19</v>
      </c>
      <c r="L4704">
        <v>1</v>
      </c>
      <c r="M4704">
        <v>2025</v>
      </c>
      <c r="N4704" t="s">
        <v>27</v>
      </c>
      <c r="O4704">
        <v>200.02</v>
      </c>
      <c r="P4704">
        <v>200.02</v>
      </c>
      <c r="R4704" s="3" t="str">
        <f>HYPERLINK("https://panda.att.com.mx/ODKServer/view/binaryData?blobKey=FSSuministroFluidosv3%5B%40version%3Dnull+and+%40uiVersion%3Dnull%5D%2Fdata%5B%40key%3Duuid%3A4e7a90a0-6f66-416c-a29a-1547a452bb97%5D%2FgroupInfoFuel%5B%40ordinal%3D1%5D%2FpicFuelRecibeInterno","Descargar")</f>
        <v>Descargar</v>
      </c>
    </row>
    <row r="4705" spans="1:18" x14ac:dyDescent="0.3">
      <c r="A4705">
        <v>1467159</v>
      </c>
      <c r="B4705" t="s">
        <v>18</v>
      </c>
      <c r="C4705" t="s">
        <v>167</v>
      </c>
      <c r="D4705" t="s">
        <v>509</v>
      </c>
      <c r="E4705" t="s">
        <v>510</v>
      </c>
      <c r="F4705" t="s">
        <v>22</v>
      </c>
      <c r="G4705" t="s">
        <v>47</v>
      </c>
      <c r="H4705" t="s">
        <v>58</v>
      </c>
      <c r="I4705" t="s">
        <v>25</v>
      </c>
      <c r="J4705" t="s">
        <v>3510</v>
      </c>
      <c r="K4705">
        <v>19</v>
      </c>
      <c r="L4705">
        <v>1</v>
      </c>
      <c r="M4705">
        <v>2025</v>
      </c>
      <c r="N4705" t="s">
        <v>27</v>
      </c>
      <c r="O4705">
        <v>30</v>
      </c>
      <c r="P4705">
        <v>30</v>
      </c>
      <c r="R4705" s="3" t="str">
        <f>HYPERLINK("https://panda.att.com.mx/ODKServer/view/binaryData?blobKey=FSSuministroFluidosv3%5B%40version%3Dnull+and+%40uiVersion%3Dnull%5D%2Fdata%5B%40key%3Duuid%3A23b99e9c-6016-42de-aa21-c260d8cdfb50%5D%2FgroupInfoFuel%5B%40ordinal%3D1%5D%2FpicFuelRecibeInterno","Descargar")</f>
        <v>Descargar</v>
      </c>
    </row>
    <row r="4706" spans="1:18" x14ac:dyDescent="0.3">
      <c r="A4706">
        <v>1467147</v>
      </c>
      <c r="B4706" t="s">
        <v>18</v>
      </c>
      <c r="C4706" t="s">
        <v>150</v>
      </c>
      <c r="D4706" t="s">
        <v>230</v>
      </c>
      <c r="E4706" t="s">
        <v>3511</v>
      </c>
      <c r="F4706" t="s">
        <v>22</v>
      </c>
      <c r="G4706" t="s">
        <v>47</v>
      </c>
      <c r="H4706" t="s">
        <v>1781</v>
      </c>
      <c r="I4706" t="s">
        <v>25</v>
      </c>
      <c r="J4706" t="s">
        <v>3512</v>
      </c>
      <c r="K4706">
        <v>19</v>
      </c>
      <c r="L4706">
        <v>1</v>
      </c>
      <c r="M4706">
        <v>2025</v>
      </c>
      <c r="N4706" t="s">
        <v>27</v>
      </c>
      <c r="O4706">
        <v>200.02</v>
      </c>
      <c r="P4706">
        <v>200.02</v>
      </c>
      <c r="R4706" s="3" t="str">
        <f>HYPERLINK("https://panda.att.com.mx/ODKServer/view/binaryData?blobKey=FSSuministroFluidosv3%5B%40version%3Dnull+and+%40uiVersion%3Dnull%5D%2Fdata%5B%40key%3Duuid%3Ab9e405eb-33ee-4e1a-8f26-f02483e4714c%5D%2FgroupInfoFuel%5B%40ordinal%3D1%5D%2FpicFuelRecibeInterno","Descargar")</f>
        <v>Descargar</v>
      </c>
    </row>
    <row r="4707" spans="1:18" x14ac:dyDescent="0.3">
      <c r="A4707">
        <v>1467130</v>
      </c>
      <c r="B4707" t="s">
        <v>18</v>
      </c>
      <c r="C4707" t="s">
        <v>167</v>
      </c>
      <c r="D4707" t="s">
        <v>509</v>
      </c>
      <c r="E4707" t="s">
        <v>510</v>
      </c>
      <c r="F4707" t="s">
        <v>22</v>
      </c>
      <c r="G4707" t="s">
        <v>47</v>
      </c>
      <c r="H4707" t="s">
        <v>58</v>
      </c>
      <c r="I4707" t="s">
        <v>25</v>
      </c>
      <c r="J4707" t="s">
        <v>3513</v>
      </c>
      <c r="K4707">
        <v>19</v>
      </c>
      <c r="L4707">
        <v>1</v>
      </c>
      <c r="M4707">
        <v>2025</v>
      </c>
      <c r="N4707" t="s">
        <v>27</v>
      </c>
      <c r="O4707">
        <v>120</v>
      </c>
      <c r="P4707">
        <v>120</v>
      </c>
      <c r="R4707" s="3" t="str">
        <f>HYPERLINK("https://panda.att.com.mx/ODKServer/view/binaryData?blobKey=FSSuministroFluidosv3%5B%40version%3Dnull+and+%40uiVersion%3Dnull%5D%2Fdata%5B%40key%3Duuid%3A476dd45d-2335-4d07-a6da-1042ea8cb1c0%5D%2FgroupInfoFuel%5B%40ordinal%3D1%5D%2FpicFuelRecibeInterno","Descargar")</f>
        <v>Descargar</v>
      </c>
    </row>
    <row r="4708" spans="1:18" x14ac:dyDescent="0.3">
      <c r="A4708">
        <v>1467124</v>
      </c>
      <c r="B4708" t="s">
        <v>18</v>
      </c>
      <c r="C4708" t="s">
        <v>55</v>
      </c>
      <c r="D4708" t="s">
        <v>366</v>
      </c>
      <c r="E4708" t="s">
        <v>1854</v>
      </c>
      <c r="F4708" t="s">
        <v>22</v>
      </c>
      <c r="G4708" t="s">
        <v>83</v>
      </c>
      <c r="H4708" t="s">
        <v>1781</v>
      </c>
      <c r="I4708" t="s">
        <v>25</v>
      </c>
      <c r="J4708" t="s">
        <v>3514</v>
      </c>
      <c r="K4708">
        <v>19</v>
      </c>
      <c r="L4708">
        <v>1</v>
      </c>
      <c r="M4708">
        <v>2025</v>
      </c>
      <c r="N4708" t="s">
        <v>27</v>
      </c>
      <c r="O4708">
        <v>150</v>
      </c>
      <c r="P4708">
        <v>150</v>
      </c>
      <c r="R4708" s="3" t="str">
        <f>HYPERLINK("https://panda.att.com.mx/ODKServer/view/binaryData?blobKey=FSSuministroFluidosv3%5B%40version%3Dnull+and+%40uiVersion%3Dnull%5D%2Fdata%5B%40key%3Duuid%3A4ecab87b-8b95-4c31-9d9c-3bee99c00f08%5D%2FgroupInfoFuel%5B%40ordinal%3D1%5D%2FpicFuelRecibeInterno","Descargar")</f>
        <v>Descargar</v>
      </c>
    </row>
    <row r="4709" spans="1:18" x14ac:dyDescent="0.3">
      <c r="A4709">
        <v>1467106</v>
      </c>
      <c r="B4709" t="s">
        <v>18</v>
      </c>
      <c r="C4709" t="s">
        <v>19</v>
      </c>
      <c r="D4709" t="s">
        <v>20</v>
      </c>
      <c r="E4709" t="s">
        <v>166</v>
      </c>
      <c r="F4709" t="s">
        <v>22</v>
      </c>
      <c r="G4709" t="s">
        <v>23</v>
      </c>
      <c r="H4709" t="s">
        <v>24</v>
      </c>
      <c r="I4709" t="s">
        <v>25</v>
      </c>
      <c r="J4709" t="s">
        <v>3515</v>
      </c>
      <c r="K4709">
        <v>17</v>
      </c>
      <c r="L4709">
        <v>1</v>
      </c>
      <c r="M4709">
        <v>2025</v>
      </c>
      <c r="N4709" t="s">
        <v>27</v>
      </c>
      <c r="O4709">
        <v>400</v>
      </c>
      <c r="P4709">
        <v>400</v>
      </c>
      <c r="R4709" s="3" t="str">
        <f>HYPERLINK("https://panda.att.com.mx/ODKServer/view/binaryData?blobKey=FSSuministroFluidosv3%5B%40version%3Dnull+and+%40uiVersion%3Dnull%5D%2Fdata%5B%40key%3Duuid%3Ad4208f6a-8446-4c48-bf14-3bda676c054a%5D%2FgroupInfoFuel%5B%40ordinal%3D1%5D%2FpicFuelRecibeInterno","Descargar")</f>
        <v>Descargar</v>
      </c>
    </row>
    <row r="4710" spans="1:18" x14ac:dyDescent="0.3">
      <c r="A4710">
        <v>1467104</v>
      </c>
      <c r="B4710" t="s">
        <v>18</v>
      </c>
      <c r="C4710" t="s">
        <v>34</v>
      </c>
      <c r="D4710" t="s">
        <v>51</v>
      </c>
      <c r="E4710" t="s">
        <v>3516</v>
      </c>
      <c r="F4710" t="s">
        <v>22</v>
      </c>
      <c r="G4710" t="s">
        <v>23</v>
      </c>
      <c r="H4710" t="s">
        <v>24</v>
      </c>
      <c r="I4710" t="s">
        <v>25</v>
      </c>
      <c r="J4710" t="s">
        <v>3517</v>
      </c>
      <c r="K4710">
        <v>18</v>
      </c>
      <c r="L4710">
        <v>1</v>
      </c>
      <c r="M4710">
        <v>2025</v>
      </c>
      <c r="N4710" t="s">
        <v>27</v>
      </c>
      <c r="O4710">
        <v>150</v>
      </c>
      <c r="P4710">
        <v>150</v>
      </c>
      <c r="R4710" s="3" t="str">
        <f>HYPERLINK("https://panda.att.com.mx/ODKServer/view/binaryData?blobKey=FSSuministroFluidosv3%5B%40version%3Dnull+and+%40uiVersion%3Dnull%5D%2Fdata%5B%40key%3Duuid%3Abfb6bf91-243a-49aa-8b64-4e99c0239338%5D%2FgroupInfoFuel%5B%40ordinal%3D1%5D%2FpicFuelRecibeInterno","Descargar")</f>
        <v>Descargar</v>
      </c>
    </row>
    <row r="4711" spans="1:18" x14ac:dyDescent="0.3">
      <c r="A4711">
        <v>1467069</v>
      </c>
      <c r="B4711" t="s">
        <v>18</v>
      </c>
      <c r="C4711" t="s">
        <v>167</v>
      </c>
      <c r="D4711" t="s">
        <v>264</v>
      </c>
      <c r="E4711" t="s">
        <v>3518</v>
      </c>
      <c r="F4711" t="s">
        <v>22</v>
      </c>
      <c r="G4711" t="s">
        <v>47</v>
      </c>
      <c r="H4711" t="s">
        <v>58</v>
      </c>
      <c r="I4711" t="s">
        <v>25</v>
      </c>
      <c r="J4711" t="s">
        <v>3519</v>
      </c>
      <c r="K4711">
        <v>18</v>
      </c>
      <c r="L4711">
        <v>1</v>
      </c>
      <c r="M4711">
        <v>2025</v>
      </c>
      <c r="N4711" t="s">
        <v>27</v>
      </c>
      <c r="O4711">
        <v>140</v>
      </c>
      <c r="P4711">
        <v>140</v>
      </c>
      <c r="R4711" s="3" t="str">
        <f>HYPERLINK("https://panda.att.com.mx/ODKServer/view/binaryData?blobKey=FSSuministroFluidosv3%5B%40version%3Dnull+and+%40uiVersion%3Dnull%5D%2Fdata%5B%40key%3Duuid%3Ad33404d7-3aec-4168-b073-3fd9ee7a3b45%5D%2FgroupInfoFuel%5B%40ordinal%3D1%5D%2FpicFuelRecibeInterno","Descargar")</f>
        <v>Descargar</v>
      </c>
    </row>
    <row r="4712" spans="1:18" x14ac:dyDescent="0.3">
      <c r="A4712">
        <v>1467067</v>
      </c>
      <c r="B4712" t="s">
        <v>18</v>
      </c>
      <c r="C4712" t="s">
        <v>100</v>
      </c>
      <c r="D4712" t="s">
        <v>716</v>
      </c>
      <c r="E4712" t="s">
        <v>717</v>
      </c>
      <c r="F4712" t="s">
        <v>22</v>
      </c>
      <c r="G4712" t="s">
        <v>83</v>
      </c>
      <c r="H4712" t="s">
        <v>1781</v>
      </c>
      <c r="I4712" t="s">
        <v>25</v>
      </c>
      <c r="J4712" t="s">
        <v>3520</v>
      </c>
      <c r="K4712">
        <v>18</v>
      </c>
      <c r="L4712">
        <v>1</v>
      </c>
      <c r="M4712">
        <v>2025</v>
      </c>
      <c r="N4712" t="s">
        <v>27</v>
      </c>
      <c r="O4712">
        <v>33</v>
      </c>
      <c r="P4712">
        <v>33</v>
      </c>
      <c r="R4712" s="3" t="str">
        <f>HYPERLINK("https://panda.att.com.mx/ODKServer/view/binaryData?blobKey=FSSuministroFluidosv3%5B%40version%3Dnull+and+%40uiVersion%3Dnull%5D%2Fdata%5B%40key%3Duuid%3A12a4bd1a-a446-4505-946c-78c257b34abb%5D%2FgroupInfoFuel%5B%40ordinal%3D1%5D%2FpicFuelRecibeInterno","Descargar")</f>
        <v>Descargar</v>
      </c>
    </row>
    <row r="4713" spans="1:18" x14ac:dyDescent="0.3">
      <c r="A4713">
        <v>1467066</v>
      </c>
      <c r="B4713" t="s">
        <v>18</v>
      </c>
      <c r="C4713" t="s">
        <v>167</v>
      </c>
      <c r="D4713" t="s">
        <v>268</v>
      </c>
      <c r="E4713" t="s">
        <v>947</v>
      </c>
      <c r="F4713" t="s">
        <v>22</v>
      </c>
      <c r="G4713" t="s">
        <v>47</v>
      </c>
      <c r="H4713" t="s">
        <v>58</v>
      </c>
      <c r="I4713" t="s">
        <v>25</v>
      </c>
      <c r="J4713" t="s">
        <v>3521</v>
      </c>
      <c r="K4713">
        <v>18</v>
      </c>
      <c r="L4713">
        <v>1</v>
      </c>
      <c r="M4713">
        <v>2025</v>
      </c>
      <c r="N4713" t="s">
        <v>27</v>
      </c>
      <c r="O4713">
        <v>100</v>
      </c>
      <c r="P4713">
        <v>100</v>
      </c>
      <c r="R4713" s="3" t="str">
        <f>HYPERLINK("https://panda.att.com.mx/ODKServer/view/binaryData?blobKey=FSSuministroFluidosv3%5B%40version%3Dnull+and+%40uiVersion%3Dnull%5D%2Fdata%5B%40key%3Duuid%3A8a81c26e-e368-4c5f-9041-a27a2432e62f%5D%2FgroupInfoFuel%5B%40ordinal%3D1%5D%2FpicFuelRecibeInterno","Descargar")</f>
        <v>Descargar</v>
      </c>
    </row>
    <row r="4714" spans="1:18" x14ac:dyDescent="0.3">
      <c r="A4714">
        <v>1467064</v>
      </c>
      <c r="B4714" t="s">
        <v>18</v>
      </c>
      <c r="C4714" t="s">
        <v>167</v>
      </c>
      <c r="D4714" t="s">
        <v>268</v>
      </c>
      <c r="E4714" t="s">
        <v>3522</v>
      </c>
      <c r="F4714" t="s">
        <v>22</v>
      </c>
      <c r="G4714" t="s">
        <v>47</v>
      </c>
      <c r="H4714" t="s">
        <v>58</v>
      </c>
      <c r="I4714" t="s">
        <v>25</v>
      </c>
      <c r="J4714" t="s">
        <v>3523</v>
      </c>
      <c r="K4714">
        <v>18</v>
      </c>
      <c r="L4714">
        <v>1</v>
      </c>
      <c r="M4714">
        <v>2025</v>
      </c>
      <c r="N4714" t="s">
        <v>27</v>
      </c>
      <c r="O4714">
        <v>100</v>
      </c>
      <c r="P4714">
        <v>100</v>
      </c>
      <c r="R4714" s="3" t="str">
        <f>HYPERLINK("https://panda.att.com.mx/ODKServer/view/binaryData?blobKey=FSSuministroFluidosv3%5B%40version%3Dnull+and+%40uiVersion%3Dnull%5D%2Fdata%5B%40key%3Duuid%3Afff9d334-ad90-477e-aad1-7c3666d9a11f%5D%2FgroupInfoFuel%5B%40ordinal%3D1%5D%2FpicFuelRecibeInterno","Descargar")</f>
        <v>Descargar</v>
      </c>
    </row>
    <row r="4715" spans="1:18" x14ac:dyDescent="0.3">
      <c r="A4715">
        <v>1467057</v>
      </c>
      <c r="B4715" t="s">
        <v>18</v>
      </c>
      <c r="C4715" t="s">
        <v>100</v>
      </c>
      <c r="D4715" t="s">
        <v>101</v>
      </c>
      <c r="E4715" t="s">
        <v>3386</v>
      </c>
      <c r="F4715" t="s">
        <v>22</v>
      </c>
      <c r="G4715" t="s">
        <v>23</v>
      </c>
      <c r="H4715" t="s">
        <v>1781</v>
      </c>
      <c r="I4715" t="s">
        <v>25</v>
      </c>
      <c r="J4715" t="s">
        <v>3524</v>
      </c>
      <c r="K4715">
        <v>18</v>
      </c>
      <c r="L4715">
        <v>1</v>
      </c>
      <c r="M4715">
        <v>2025</v>
      </c>
      <c r="N4715" t="s">
        <v>27</v>
      </c>
      <c r="O4715">
        <v>68</v>
      </c>
      <c r="P4715">
        <v>68</v>
      </c>
      <c r="R4715" s="3" t="str">
        <f>HYPERLINK("https://panda.att.com.mx/ODKServer/view/binaryData?blobKey=FSSuministroFluidosv3%5B%40version%3Dnull+and+%40uiVersion%3Dnull%5D%2Fdata%5B%40key%3Duuid%3A3d9bdd1a-0c13-441d-8ff3-6c8fa332cf8c%5D%2FgroupInfoFuel%5B%40ordinal%3D1%5D%2FpicFuelRecibeInterno","Descargar")</f>
        <v>Descargar</v>
      </c>
    </row>
    <row r="4716" spans="1:18" x14ac:dyDescent="0.3">
      <c r="A4716">
        <v>1467005</v>
      </c>
      <c r="B4716" t="s">
        <v>18</v>
      </c>
      <c r="C4716" t="s">
        <v>150</v>
      </c>
      <c r="D4716" t="s">
        <v>230</v>
      </c>
      <c r="E4716" t="s">
        <v>3149</v>
      </c>
      <c r="F4716" t="s">
        <v>22</v>
      </c>
      <c r="G4716" t="s">
        <v>47</v>
      </c>
      <c r="H4716" t="s">
        <v>1781</v>
      </c>
      <c r="I4716" t="s">
        <v>25</v>
      </c>
      <c r="J4716" t="s">
        <v>3525</v>
      </c>
      <c r="K4716">
        <v>18</v>
      </c>
      <c r="L4716">
        <v>1</v>
      </c>
      <c r="M4716">
        <v>2025</v>
      </c>
      <c r="N4716" t="s">
        <v>27</v>
      </c>
      <c r="O4716">
        <v>150.02000000000001</v>
      </c>
      <c r="P4716">
        <v>150.02000000000001</v>
      </c>
      <c r="R4716" s="3" t="str">
        <f>HYPERLINK("https://panda.att.com.mx/ODKServer/view/binaryData?blobKey=FSSuministroFluidosv3%5B%40version%3Dnull+and+%40uiVersion%3Dnull%5D%2Fdata%5B%40key%3Duuid%3A5e036d92-7f29-40ce-9cc3-19c1d7c6413b%5D%2FgroupInfoFuel%5B%40ordinal%3D1%5D%2FpicFuelRecibeInterno","Descargar")</f>
        <v>Descargar</v>
      </c>
    </row>
    <row r="4717" spans="1:18" x14ac:dyDescent="0.3">
      <c r="A4717">
        <v>1466999</v>
      </c>
      <c r="B4717" t="s">
        <v>18</v>
      </c>
      <c r="C4717" t="s">
        <v>167</v>
      </c>
      <c r="D4717" t="s">
        <v>249</v>
      </c>
      <c r="E4717" t="s">
        <v>3526</v>
      </c>
      <c r="F4717" t="s">
        <v>22</v>
      </c>
      <c r="G4717" t="s">
        <v>47</v>
      </c>
      <c r="H4717" t="s">
        <v>58</v>
      </c>
      <c r="I4717" t="s">
        <v>25</v>
      </c>
      <c r="J4717" t="s">
        <v>3527</v>
      </c>
      <c r="K4717">
        <v>18</v>
      </c>
      <c r="L4717">
        <v>1</v>
      </c>
      <c r="M4717">
        <v>2025</v>
      </c>
      <c r="N4717" t="s">
        <v>27</v>
      </c>
      <c r="O4717">
        <v>340</v>
      </c>
      <c r="P4717">
        <v>340</v>
      </c>
      <c r="R4717" s="3" t="str">
        <f>HYPERLINK("https://panda.att.com.mx/ODKServer/view/binaryData?blobKey=FSSuministroFluidosv3%5B%40version%3Dnull+and+%40uiVersion%3Dnull%5D%2Fdata%5B%40key%3Duuid%3A1b755c9e-2122-4339-a9ac-ab204b7ce587%5D%2FgroupInfoFuel%5B%40ordinal%3D1%5D%2FpicFuelRecibeInterno","Descargar")</f>
        <v>Descargar</v>
      </c>
    </row>
    <row r="4718" spans="1:18" x14ac:dyDescent="0.3">
      <c r="A4718">
        <v>1466995</v>
      </c>
      <c r="B4718" t="s">
        <v>18</v>
      </c>
      <c r="C4718" t="s">
        <v>150</v>
      </c>
      <c r="D4718" t="s">
        <v>230</v>
      </c>
      <c r="E4718" t="s">
        <v>3149</v>
      </c>
      <c r="F4718" t="s">
        <v>22</v>
      </c>
      <c r="G4718" t="s">
        <v>47</v>
      </c>
      <c r="H4718" t="s">
        <v>1781</v>
      </c>
      <c r="I4718" t="s">
        <v>25</v>
      </c>
      <c r="J4718" t="s">
        <v>3528</v>
      </c>
      <c r="K4718">
        <v>18</v>
      </c>
      <c r="L4718">
        <v>1</v>
      </c>
      <c r="M4718">
        <v>2025</v>
      </c>
      <c r="N4718" t="s">
        <v>27</v>
      </c>
      <c r="O4718">
        <v>200.03</v>
      </c>
      <c r="P4718">
        <v>200.03</v>
      </c>
      <c r="R4718" s="3" t="str">
        <f>HYPERLINK("https://panda.att.com.mx/ODKServer/view/binaryData?blobKey=FSSuministroFluidosv3%5B%40version%3Dnull+and+%40uiVersion%3Dnull%5D%2Fdata%5B%40key%3Duuid%3Aff74395b-7bd8-4809-8b01-0f43764cec7c%5D%2FgroupInfoFuel%5B%40ordinal%3D1%5D%2FpicFuelRecibeInterno","Descargar")</f>
        <v>Descargar</v>
      </c>
    </row>
    <row r="4719" spans="1:18" x14ac:dyDescent="0.3">
      <c r="A4719">
        <v>1466994</v>
      </c>
      <c r="B4719" t="s">
        <v>18</v>
      </c>
      <c r="C4719" t="s">
        <v>100</v>
      </c>
      <c r="D4719" t="s">
        <v>716</v>
      </c>
      <c r="E4719" t="s">
        <v>3529</v>
      </c>
      <c r="F4719" t="s">
        <v>22</v>
      </c>
      <c r="G4719" t="s">
        <v>23</v>
      </c>
      <c r="H4719" t="s">
        <v>1781</v>
      </c>
      <c r="I4719" t="s">
        <v>25</v>
      </c>
      <c r="J4719" t="s">
        <v>3530</v>
      </c>
      <c r="K4719">
        <v>18</v>
      </c>
      <c r="L4719">
        <v>1</v>
      </c>
      <c r="M4719">
        <v>2025</v>
      </c>
      <c r="N4719" t="s">
        <v>27</v>
      </c>
      <c r="O4719">
        <v>200</v>
      </c>
      <c r="P4719">
        <v>200</v>
      </c>
      <c r="R4719" s="3" t="str">
        <f>HYPERLINK("https://panda.att.com.mx/ODKServer/view/binaryData?blobKey=FSSuministroFluidosv3%5B%40version%3Dnull+and+%40uiVersion%3Dnull%5D%2Fdata%5B%40key%3Duuid%3A1a486703-91f9-4f15-9d69-9cc2e8b3413c%5D%2FgroupInfoFuel%5B%40ordinal%3D1%5D%2FpicFuelRecibeInterno","Descargar")</f>
        <v>Descargar</v>
      </c>
    </row>
    <row r="4720" spans="1:18" x14ac:dyDescent="0.3">
      <c r="A4720">
        <v>1466989</v>
      </c>
      <c r="B4720" t="s">
        <v>18</v>
      </c>
      <c r="C4720" t="s">
        <v>150</v>
      </c>
      <c r="D4720" t="s">
        <v>230</v>
      </c>
      <c r="E4720" t="s">
        <v>3149</v>
      </c>
      <c r="F4720" t="s">
        <v>22</v>
      </c>
      <c r="G4720" t="s">
        <v>47</v>
      </c>
      <c r="H4720" t="s">
        <v>1781</v>
      </c>
      <c r="I4720" t="s">
        <v>25</v>
      </c>
      <c r="J4720" t="s">
        <v>3531</v>
      </c>
      <c r="K4720">
        <v>18</v>
      </c>
      <c r="L4720">
        <v>1</v>
      </c>
      <c r="M4720">
        <v>2025</v>
      </c>
      <c r="N4720" t="s">
        <v>27</v>
      </c>
      <c r="O4720">
        <v>130</v>
      </c>
      <c r="P4720">
        <v>130</v>
      </c>
      <c r="R4720" s="3" t="str">
        <f>HYPERLINK("https://panda.att.com.mx/ODKServer/view/binaryData?blobKey=FSSuministroFluidosv3%5B%40version%3Dnull+and+%40uiVersion%3Dnull%5D%2Fdata%5B%40key%3Duuid%3A2c923b50-c232-4823-adc5-8c9d31869962%5D%2FgroupInfoFuel%5B%40ordinal%3D1%5D%2FpicFuelRecibeInterno","Descargar")</f>
        <v>Descargar</v>
      </c>
    </row>
    <row r="4721" spans="1:18" x14ac:dyDescent="0.3">
      <c r="A4721">
        <v>1466972</v>
      </c>
      <c r="B4721" t="s">
        <v>18</v>
      </c>
      <c r="C4721" t="s">
        <v>100</v>
      </c>
      <c r="D4721" t="s">
        <v>716</v>
      </c>
      <c r="E4721" t="s">
        <v>717</v>
      </c>
      <c r="F4721" t="s">
        <v>22</v>
      </c>
      <c r="G4721" t="s">
        <v>83</v>
      </c>
      <c r="H4721" t="s">
        <v>1781</v>
      </c>
      <c r="I4721" t="s">
        <v>25</v>
      </c>
      <c r="J4721" t="s">
        <v>3532</v>
      </c>
      <c r="K4721">
        <v>18</v>
      </c>
      <c r="L4721">
        <v>1</v>
      </c>
      <c r="M4721">
        <v>2025</v>
      </c>
      <c r="N4721" t="s">
        <v>27</v>
      </c>
      <c r="O4721">
        <v>100</v>
      </c>
      <c r="P4721">
        <v>100</v>
      </c>
      <c r="R4721" s="3" t="str">
        <f>HYPERLINK("https://panda.att.com.mx/ODKServer/view/binaryData?blobKey=FSSuministroFluidosv3%5B%40version%3Dnull+and+%40uiVersion%3Dnull%5D%2Fdata%5B%40key%3Duuid%3Ac7ab1f36-cc73-4dd9-8f33-1b2cd12f97fe%5D%2FgroupInfoFuel%5B%40ordinal%3D1%5D%2FpicFuelRecibeInterno","Descargar")</f>
        <v>Descargar</v>
      </c>
    </row>
    <row r="4722" spans="1:18" x14ac:dyDescent="0.3">
      <c r="A4722">
        <v>1466968</v>
      </c>
      <c r="B4722" t="s">
        <v>18</v>
      </c>
      <c r="C4722" t="s">
        <v>150</v>
      </c>
      <c r="D4722" t="s">
        <v>230</v>
      </c>
      <c r="E4722" t="s">
        <v>890</v>
      </c>
      <c r="F4722" t="s">
        <v>22</v>
      </c>
      <c r="G4722" t="s">
        <v>47</v>
      </c>
      <c r="H4722" t="s">
        <v>1781</v>
      </c>
      <c r="I4722" t="s">
        <v>25</v>
      </c>
      <c r="J4722" t="s">
        <v>3533</v>
      </c>
      <c r="K4722">
        <v>18</v>
      </c>
      <c r="L4722">
        <v>1</v>
      </c>
      <c r="M4722">
        <v>2025</v>
      </c>
      <c r="N4722" t="s">
        <v>27</v>
      </c>
      <c r="O4722">
        <v>180</v>
      </c>
      <c r="P4722">
        <v>180</v>
      </c>
      <c r="R4722" s="3" t="str">
        <f>HYPERLINK("https://panda.att.com.mx/ODKServer/view/binaryData?blobKey=FSSuministroFluidosv3%5B%40version%3Dnull+and+%40uiVersion%3Dnull%5D%2Fdata%5B%40key%3Duuid%3A1a3c8f0b-2bc8-47c1-92dd-69c5276f84e3%5D%2FgroupInfoFuel%5B%40ordinal%3D1%5D%2FpicFuelRecibeInterno","Descargar")</f>
        <v>Descargar</v>
      </c>
    </row>
    <row r="4723" spans="1:18" x14ac:dyDescent="0.3">
      <c r="A4723">
        <v>1466954</v>
      </c>
      <c r="B4723" t="s">
        <v>18</v>
      </c>
      <c r="C4723" t="s">
        <v>100</v>
      </c>
      <c r="D4723" t="s">
        <v>716</v>
      </c>
      <c r="E4723" t="s">
        <v>2513</v>
      </c>
      <c r="F4723" t="s">
        <v>22</v>
      </c>
      <c r="G4723" t="s">
        <v>23</v>
      </c>
      <c r="H4723" t="s">
        <v>1781</v>
      </c>
      <c r="I4723" t="s">
        <v>25</v>
      </c>
      <c r="J4723" t="s">
        <v>3534</v>
      </c>
      <c r="K4723">
        <v>18</v>
      </c>
      <c r="L4723">
        <v>1</v>
      </c>
      <c r="M4723">
        <v>2025</v>
      </c>
      <c r="N4723" t="s">
        <v>27</v>
      </c>
      <c r="O4723">
        <v>100</v>
      </c>
      <c r="P4723">
        <v>100</v>
      </c>
      <c r="R4723" s="3" t="str">
        <f>HYPERLINK("https://panda.att.com.mx/ODKServer/view/binaryData?blobKey=FSSuministroFluidosv3%5B%40version%3Dnull+and+%40uiVersion%3Dnull%5D%2Fdata%5B%40key%3Duuid%3A1d319d5d-75e3-4561-bbb2-ec007bf22c33%5D%2FgroupInfoFuel%5B%40ordinal%3D1%5D%2FpicFuelRecibeInterno","Descargar")</f>
        <v>Descargar</v>
      </c>
    </row>
    <row r="4724" spans="1:18" x14ac:dyDescent="0.3">
      <c r="A4724">
        <v>1466944</v>
      </c>
      <c r="B4724" t="s">
        <v>18</v>
      </c>
      <c r="C4724" t="s">
        <v>150</v>
      </c>
      <c r="D4724" t="s">
        <v>2224</v>
      </c>
      <c r="E4724" t="s">
        <v>2225</v>
      </c>
      <c r="F4724" t="s">
        <v>22</v>
      </c>
      <c r="G4724" t="s">
        <v>47</v>
      </c>
      <c r="H4724" t="s">
        <v>1781</v>
      </c>
      <c r="I4724" t="s">
        <v>25</v>
      </c>
      <c r="J4724" t="s">
        <v>3535</v>
      </c>
      <c r="K4724">
        <v>18</v>
      </c>
      <c r="L4724">
        <v>1</v>
      </c>
      <c r="M4724">
        <v>2025</v>
      </c>
      <c r="N4724" t="s">
        <v>27</v>
      </c>
      <c r="O4724">
        <v>100.01</v>
      </c>
      <c r="P4724">
        <v>100.01</v>
      </c>
      <c r="R4724" s="3" t="str">
        <f>HYPERLINK("https://panda.att.com.mx/ODKServer/view/binaryData?blobKey=FSSuministroFluidosv3%5B%40version%3Dnull+and+%40uiVersion%3Dnull%5D%2Fdata%5B%40key%3Duuid%3A7c12a967-4885-4e3a-9a6f-17272818950e%5D%2FgroupInfoFuel%5B%40ordinal%3D1%5D%2FpicFuelRecibeInterno","Descargar")</f>
        <v>Descargar</v>
      </c>
    </row>
    <row r="4725" spans="1:18" x14ac:dyDescent="0.3">
      <c r="A4725">
        <v>1466934</v>
      </c>
      <c r="B4725" t="s">
        <v>18</v>
      </c>
      <c r="C4725" t="s">
        <v>28</v>
      </c>
      <c r="D4725" t="s">
        <v>118</v>
      </c>
      <c r="E4725" t="s">
        <v>1754</v>
      </c>
      <c r="F4725" t="s">
        <v>22</v>
      </c>
      <c r="G4725" t="s">
        <v>47</v>
      </c>
      <c r="H4725" t="s">
        <v>24</v>
      </c>
      <c r="I4725" t="s">
        <v>25</v>
      </c>
      <c r="J4725" t="s">
        <v>3536</v>
      </c>
      <c r="K4725">
        <v>18</v>
      </c>
      <c r="L4725">
        <v>1</v>
      </c>
      <c r="M4725">
        <v>2025</v>
      </c>
      <c r="N4725" t="s">
        <v>44</v>
      </c>
      <c r="O4725">
        <v>35</v>
      </c>
      <c r="P4725">
        <v>35</v>
      </c>
      <c r="R4725" s="3" t="str">
        <f>HYPERLINK("https://panda.att.com.mx/ODKServer/view/binaryData?blobKey=FSSuministroFluidosv3%5B%40version%3Dnull+and+%40uiVersion%3Dnull%5D%2Fdata%5B%40key%3Duuid%3A205e4c87-8fb9-49e9-8693-1d2404c751cb%5D%2FgroupInfoFuel%5B%40ordinal%3D1%5D%2FpicFuelRecibeInterno","Descargar")</f>
        <v>Descargar</v>
      </c>
    </row>
    <row r="4726" spans="1:18" x14ac:dyDescent="0.3">
      <c r="A4726">
        <v>1466923</v>
      </c>
      <c r="B4726" t="s">
        <v>18</v>
      </c>
      <c r="C4726" t="s">
        <v>55</v>
      </c>
      <c r="D4726" t="s">
        <v>210</v>
      </c>
      <c r="E4726" t="s">
        <v>1912</v>
      </c>
      <c r="F4726" t="s">
        <v>22</v>
      </c>
      <c r="G4726" t="s">
        <v>47</v>
      </c>
      <c r="H4726" t="s">
        <v>1763</v>
      </c>
      <c r="I4726" t="s">
        <v>25</v>
      </c>
      <c r="J4726" t="s">
        <v>3537</v>
      </c>
      <c r="K4726">
        <v>17</v>
      </c>
      <c r="L4726">
        <v>1</v>
      </c>
      <c r="M4726">
        <v>2025</v>
      </c>
      <c r="N4726" t="s">
        <v>27</v>
      </c>
      <c r="O4726">
        <v>300</v>
      </c>
      <c r="Q4726">
        <v>300</v>
      </c>
      <c r="R4726" s="3" t="str">
        <f>HYPERLINK("https://panda.att.com.mx/ODKServer/view/binaryData?blobKey=FSSuministroFluidosv3%5B%40version%3Dnull+and+%40uiVersion%3Dnull%5D%2Fdata%5B%40key%3Duuid%3Acbce947a-12fb-4082-92a0-ed6bf8a5c356%5D%2FgroupInfoFuel%5B%40ordinal%3D1%5D%2FpicFuelRecibeInterno","Descargar")</f>
        <v>Descargar</v>
      </c>
    </row>
    <row r="4727" spans="1:18" x14ac:dyDescent="0.3">
      <c r="A4727">
        <v>1466916</v>
      </c>
      <c r="B4727" t="s">
        <v>18</v>
      </c>
      <c r="C4727" t="s">
        <v>55</v>
      </c>
      <c r="D4727" t="s">
        <v>288</v>
      </c>
      <c r="E4727" t="s">
        <v>3538</v>
      </c>
      <c r="F4727" t="s">
        <v>22</v>
      </c>
      <c r="G4727" t="s">
        <v>47</v>
      </c>
      <c r="H4727" t="s">
        <v>1763</v>
      </c>
      <c r="I4727" t="s">
        <v>25</v>
      </c>
      <c r="J4727" t="s">
        <v>3539</v>
      </c>
      <c r="K4727">
        <v>18</v>
      </c>
      <c r="L4727">
        <v>1</v>
      </c>
      <c r="M4727">
        <v>2025</v>
      </c>
      <c r="N4727" t="s">
        <v>27</v>
      </c>
      <c r="O4727">
        <v>150</v>
      </c>
      <c r="P4727">
        <v>150</v>
      </c>
      <c r="R4727" s="3" t="str">
        <f>HYPERLINK("https://panda.att.com.mx/ODKServer/view/binaryData?blobKey=FSSuministroFluidosv3%5B%40version%3Dnull+and+%40uiVersion%3Dnull%5D%2Fdata%5B%40key%3Duuid%3Ae10f692b-a1b8-4f92-a551-db788cce74f0%5D%2FgroupInfoFuel%5B%40ordinal%3D1%5D%2FpicFuelRecibeInterno","Descargar")</f>
        <v>Descargar</v>
      </c>
    </row>
    <row r="4728" spans="1:18" x14ac:dyDescent="0.3">
      <c r="A4728">
        <v>1466913</v>
      </c>
      <c r="B4728" t="s">
        <v>18</v>
      </c>
      <c r="C4728" t="s">
        <v>34</v>
      </c>
      <c r="D4728" t="s">
        <v>53</v>
      </c>
      <c r="E4728" t="s">
        <v>3540</v>
      </c>
      <c r="F4728" t="s">
        <v>22</v>
      </c>
      <c r="G4728" t="s">
        <v>23</v>
      </c>
      <c r="H4728" t="s">
        <v>37</v>
      </c>
      <c r="I4728" t="s">
        <v>25</v>
      </c>
      <c r="J4728" t="s">
        <v>3541</v>
      </c>
      <c r="K4728">
        <v>18</v>
      </c>
      <c r="L4728">
        <v>1</v>
      </c>
      <c r="M4728">
        <v>2025</v>
      </c>
      <c r="N4728" t="s">
        <v>27</v>
      </c>
      <c r="O4728">
        <v>350</v>
      </c>
      <c r="P4728">
        <v>350</v>
      </c>
      <c r="R4728" s="3" t="str">
        <f>HYPERLINK("https://panda.att.com.mx/ODKServer/view/binaryData?blobKey=FSSuministroFluidosv3%5B%40version%3Dnull+and+%40uiVersion%3Dnull%5D%2Fdata%5B%40key%3Duuid%3A7ac2eb19-4167-4000-9910-b0e03afcc49c%5D%2FgroupInfoFuel%5B%40ordinal%3D1%5D%2FpicFuelRecibeInterno","Descargar")</f>
        <v>Descargar</v>
      </c>
    </row>
    <row r="4729" spans="1:18" x14ac:dyDescent="0.3">
      <c r="A4729">
        <v>1466912</v>
      </c>
      <c r="B4729" t="s">
        <v>18</v>
      </c>
      <c r="C4729" t="s">
        <v>55</v>
      </c>
      <c r="D4729" t="s">
        <v>56</v>
      </c>
      <c r="E4729" t="s">
        <v>81</v>
      </c>
      <c r="F4729" t="s">
        <v>22</v>
      </c>
      <c r="G4729" t="s">
        <v>47</v>
      </c>
      <c r="H4729" t="s">
        <v>1763</v>
      </c>
      <c r="I4729" t="s">
        <v>25</v>
      </c>
      <c r="J4729" t="s">
        <v>3542</v>
      </c>
      <c r="K4729">
        <v>9</v>
      </c>
      <c r="L4729">
        <v>1</v>
      </c>
      <c r="M4729">
        <v>2025</v>
      </c>
      <c r="N4729" t="s">
        <v>27</v>
      </c>
      <c r="O4729">
        <v>300</v>
      </c>
      <c r="P4729">
        <v>300</v>
      </c>
      <c r="R4729" s="3" t="str">
        <f>HYPERLINK("https://panda.att.com.mx/ODKServer/view/binaryData?blobKey=FSSuministroFluidosv3%5B%40version%3Dnull+and+%40uiVersion%3Dnull%5D%2Fdata%5B%40key%3Duuid%3A76d23122-0450-41f6-acf3-c4dc0b57871c%5D%2FgroupInfoFuel%5B%40ordinal%3D1%5D%2FpicFuelRecibeInterno","Descargar")</f>
        <v>Descargar</v>
      </c>
    </row>
    <row r="4730" spans="1:18" x14ac:dyDescent="0.3">
      <c r="A4730">
        <v>1466911</v>
      </c>
      <c r="B4730" t="s">
        <v>18</v>
      </c>
      <c r="C4730" t="s">
        <v>55</v>
      </c>
      <c r="D4730" t="s">
        <v>56</v>
      </c>
      <c r="E4730" t="s">
        <v>81</v>
      </c>
      <c r="F4730" t="s">
        <v>22</v>
      </c>
      <c r="G4730" t="s">
        <v>47</v>
      </c>
      <c r="H4730" t="s">
        <v>1763</v>
      </c>
      <c r="I4730" t="s">
        <v>25</v>
      </c>
      <c r="J4730" t="s">
        <v>3543</v>
      </c>
      <c r="K4730">
        <v>6</v>
      </c>
      <c r="L4730">
        <v>1</v>
      </c>
      <c r="M4730">
        <v>2025</v>
      </c>
      <c r="N4730" t="s">
        <v>27</v>
      </c>
      <c r="O4730">
        <v>300</v>
      </c>
      <c r="P4730">
        <v>300</v>
      </c>
      <c r="R4730" s="3" t="str">
        <f>HYPERLINK("https://panda.att.com.mx/ODKServer/view/binaryData?blobKey=FSSuministroFluidosv3%5B%40version%3Dnull+and+%40uiVersion%3Dnull%5D%2Fdata%5B%40key%3Duuid%3A58b904cc-3468-4e11-9a5d-4686c4aa2063%5D%2FgroupInfoFuel%5B%40ordinal%3D1%5D%2FpicFuelRecibeInterno","Descargar")</f>
        <v>Descargar</v>
      </c>
    </row>
    <row r="4731" spans="1:18" x14ac:dyDescent="0.3">
      <c r="A4731">
        <v>1466909</v>
      </c>
      <c r="B4731" t="s">
        <v>18</v>
      </c>
      <c r="C4731" t="s">
        <v>55</v>
      </c>
      <c r="D4731" t="s">
        <v>56</v>
      </c>
      <c r="E4731" t="s">
        <v>81</v>
      </c>
      <c r="F4731" t="s">
        <v>22</v>
      </c>
      <c r="G4731" t="s">
        <v>47</v>
      </c>
      <c r="H4731" t="s">
        <v>1763</v>
      </c>
      <c r="I4731" t="s">
        <v>25</v>
      </c>
      <c r="J4731" t="s">
        <v>3544</v>
      </c>
      <c r="K4731">
        <v>4</v>
      </c>
      <c r="L4731">
        <v>1</v>
      </c>
      <c r="M4731">
        <v>2025</v>
      </c>
      <c r="N4731" t="s">
        <v>27</v>
      </c>
      <c r="O4731">
        <v>200</v>
      </c>
      <c r="P4731">
        <v>200</v>
      </c>
      <c r="R4731" s="3" t="str">
        <f>HYPERLINK("https://panda.att.com.mx/ODKServer/view/binaryData?blobKey=FSSuministroFluidosv3%5B%40version%3Dnull+and+%40uiVersion%3Dnull%5D%2Fdata%5B%40key%3Duuid%3A5c5e3f13-5b9d-446b-8a50-d6d4e24e2136%5D%2FgroupInfoFuel%5B%40ordinal%3D1%5D%2FpicFuelRecibeInterno","Descargar")</f>
        <v>Descargar</v>
      </c>
    </row>
    <row r="4732" spans="1:18" x14ac:dyDescent="0.3">
      <c r="A4732">
        <v>1466904</v>
      </c>
      <c r="B4732" t="s">
        <v>18</v>
      </c>
      <c r="C4732" t="s">
        <v>55</v>
      </c>
      <c r="D4732" t="s">
        <v>288</v>
      </c>
      <c r="E4732" t="s">
        <v>3545</v>
      </c>
      <c r="F4732" t="s">
        <v>22</v>
      </c>
      <c r="G4732" t="s">
        <v>47</v>
      </c>
      <c r="H4732" t="s">
        <v>1763</v>
      </c>
      <c r="I4732" t="s">
        <v>25</v>
      </c>
      <c r="J4732" t="s">
        <v>3546</v>
      </c>
      <c r="K4732">
        <v>17</v>
      </c>
      <c r="L4732">
        <v>1</v>
      </c>
      <c r="M4732">
        <v>2025</v>
      </c>
      <c r="N4732" t="s">
        <v>27</v>
      </c>
      <c r="O4732">
        <v>200</v>
      </c>
      <c r="P4732">
        <v>200</v>
      </c>
      <c r="R4732" s="3" t="str">
        <f>HYPERLINK("https://panda.att.com.mx/ODKServer/view/binaryData?blobKey=FSSuministroFluidosv3%5B%40version%3Dnull+and+%40uiVersion%3Dnull%5D%2Fdata%5B%40key%3Duuid%3Acfb8de02-d13b-40d6-95be-18baca58b676%5D%2FgroupInfoFuel%5B%40ordinal%3D1%5D%2FpicFuelRecibeInterno","Descargar")</f>
        <v>Descargar</v>
      </c>
    </row>
    <row r="4733" spans="1:18" x14ac:dyDescent="0.3">
      <c r="A4733">
        <v>1466897</v>
      </c>
      <c r="B4733" t="s">
        <v>18</v>
      </c>
      <c r="C4733" t="s">
        <v>55</v>
      </c>
      <c r="D4733" t="s">
        <v>56</v>
      </c>
      <c r="E4733" t="s">
        <v>320</v>
      </c>
      <c r="F4733" t="s">
        <v>22</v>
      </c>
      <c r="G4733" t="s">
        <v>47</v>
      </c>
      <c r="H4733" t="s">
        <v>1763</v>
      </c>
      <c r="I4733" t="s">
        <v>25</v>
      </c>
      <c r="J4733" t="s">
        <v>3547</v>
      </c>
      <c r="K4733">
        <v>11</v>
      </c>
      <c r="L4733">
        <v>1</v>
      </c>
      <c r="M4733">
        <v>2025</v>
      </c>
      <c r="N4733" t="s">
        <v>27</v>
      </c>
      <c r="O4733">
        <v>200</v>
      </c>
      <c r="P4733">
        <v>200</v>
      </c>
      <c r="R4733" s="3" t="str">
        <f>HYPERLINK("https://panda.att.com.mx/ODKServer/view/binaryData?blobKey=FSSuministroFluidosv3%5B%40version%3Dnull+and+%40uiVersion%3Dnull%5D%2Fdata%5B%40key%3Duuid%3A04cedfcd-cd2b-4f83-96ed-76df9f91bee2%5D%2FgroupInfoFuel%5B%40ordinal%3D1%5D%2FpicFuelRecibeInterno","Descargar")</f>
        <v>Descargar</v>
      </c>
    </row>
    <row r="4734" spans="1:18" x14ac:dyDescent="0.3">
      <c r="A4734">
        <v>1466895</v>
      </c>
      <c r="B4734" t="s">
        <v>18</v>
      </c>
      <c r="C4734" t="s">
        <v>55</v>
      </c>
      <c r="D4734" t="s">
        <v>56</v>
      </c>
      <c r="E4734" t="s">
        <v>320</v>
      </c>
      <c r="F4734" t="s">
        <v>22</v>
      </c>
      <c r="G4734" t="s">
        <v>47</v>
      </c>
      <c r="H4734" t="s">
        <v>1763</v>
      </c>
      <c r="I4734" t="s">
        <v>25</v>
      </c>
      <c r="J4734" t="s">
        <v>3548</v>
      </c>
      <c r="K4734">
        <v>9</v>
      </c>
      <c r="L4734">
        <v>1</v>
      </c>
      <c r="M4734">
        <v>2025</v>
      </c>
      <c r="N4734" t="s">
        <v>27</v>
      </c>
      <c r="O4734">
        <v>300</v>
      </c>
      <c r="P4734">
        <v>300</v>
      </c>
      <c r="R4734" s="3" t="str">
        <f>HYPERLINK("https://panda.att.com.mx/ODKServer/view/binaryData?blobKey=FSSuministroFluidosv3%5B%40version%3Dnull+and+%40uiVersion%3Dnull%5D%2Fdata%5B%40key%3Duuid%3A5318b8de-5ef1-474f-994f-964eefc5f901%5D%2FgroupInfoFuel%5B%40ordinal%3D1%5D%2FpicFuelRecibeInterno","Descargar")</f>
        <v>Descargar</v>
      </c>
    </row>
    <row r="4735" spans="1:18" x14ac:dyDescent="0.3">
      <c r="A4735">
        <v>1466893</v>
      </c>
      <c r="B4735" t="s">
        <v>18</v>
      </c>
      <c r="C4735" t="s">
        <v>55</v>
      </c>
      <c r="D4735" t="s">
        <v>56</v>
      </c>
      <c r="E4735" t="s">
        <v>320</v>
      </c>
      <c r="F4735" t="s">
        <v>22</v>
      </c>
      <c r="G4735" t="s">
        <v>47</v>
      </c>
      <c r="H4735" t="s">
        <v>1763</v>
      </c>
      <c r="I4735" t="s">
        <v>25</v>
      </c>
      <c r="J4735" t="s">
        <v>3549</v>
      </c>
      <c r="K4735">
        <v>6</v>
      </c>
      <c r="L4735">
        <v>1</v>
      </c>
      <c r="M4735">
        <v>2025</v>
      </c>
      <c r="N4735" t="s">
        <v>27</v>
      </c>
      <c r="O4735">
        <v>300</v>
      </c>
      <c r="P4735">
        <v>300</v>
      </c>
      <c r="R4735" s="3" t="str">
        <f>HYPERLINK("https://panda.att.com.mx/ODKServer/view/binaryData?blobKey=FSSuministroFluidosv3%5B%40version%3Dnull+and+%40uiVersion%3Dnull%5D%2Fdata%5B%40key%3Duuid%3Af814c910-ee42-47b2-84f1-e22014500eda%5D%2FgroupInfoFuel%5B%40ordinal%3D1%5D%2FpicFuelRecibeInterno","Descargar")</f>
        <v>Descargar</v>
      </c>
    </row>
    <row r="4736" spans="1:18" x14ac:dyDescent="0.3">
      <c r="A4736">
        <v>1466891</v>
      </c>
      <c r="B4736" t="s">
        <v>18</v>
      </c>
      <c r="C4736" t="s">
        <v>55</v>
      </c>
      <c r="D4736" t="s">
        <v>56</v>
      </c>
      <c r="E4736" t="s">
        <v>320</v>
      </c>
      <c r="F4736" t="s">
        <v>22</v>
      </c>
      <c r="G4736" t="s">
        <v>47</v>
      </c>
      <c r="H4736" t="s">
        <v>1763</v>
      </c>
      <c r="I4736" t="s">
        <v>25</v>
      </c>
      <c r="J4736" t="s">
        <v>3550</v>
      </c>
      <c r="K4736">
        <v>4</v>
      </c>
      <c r="L4736">
        <v>1</v>
      </c>
      <c r="M4736">
        <v>2025</v>
      </c>
      <c r="N4736" t="s">
        <v>27</v>
      </c>
      <c r="O4736">
        <v>200</v>
      </c>
      <c r="P4736">
        <v>200</v>
      </c>
      <c r="R4736" s="3" t="str">
        <f>HYPERLINK("https://panda.att.com.mx/ODKServer/view/binaryData?blobKey=FSSuministroFluidosv3%5B%40version%3Dnull+and+%40uiVersion%3Dnull%5D%2Fdata%5B%40key%3Duuid%3A3983f9e7-1f6a-44f6-96de-7b6063379fbc%5D%2FgroupInfoFuel%5B%40ordinal%3D1%5D%2FpicFuelRecibeInterno","Descargar")</f>
        <v>Descargar</v>
      </c>
    </row>
    <row r="4737" spans="1:18" x14ac:dyDescent="0.3">
      <c r="A4737">
        <v>1466847</v>
      </c>
      <c r="B4737" t="s">
        <v>18</v>
      </c>
      <c r="C4737" t="s">
        <v>68</v>
      </c>
      <c r="D4737" t="s">
        <v>116</v>
      </c>
      <c r="E4737" t="s">
        <v>3551</v>
      </c>
      <c r="F4737" t="s">
        <v>22</v>
      </c>
      <c r="G4737" t="s">
        <v>23</v>
      </c>
      <c r="H4737" t="s">
        <v>37</v>
      </c>
      <c r="I4737" t="s">
        <v>25</v>
      </c>
      <c r="J4737" t="s">
        <v>3552</v>
      </c>
      <c r="K4737">
        <v>16</v>
      </c>
      <c r="L4737">
        <v>1</v>
      </c>
      <c r="M4737">
        <v>2025</v>
      </c>
      <c r="N4737" t="s">
        <v>44</v>
      </c>
      <c r="O4737">
        <v>30</v>
      </c>
      <c r="P4737">
        <v>30</v>
      </c>
      <c r="R4737" s="3" t="str">
        <f>HYPERLINK("https://panda.att.com.mx/ODKServer/view/binaryData?blobKey=FSSuministroFluidosv3%5B%40version%3Dnull+and+%40uiVersion%3Dnull%5D%2Fdata%5B%40key%3Duuid%3A7f037b2e-6594-469e-86b0-8d1cf43f9311%5D%2FgroupInfoFuel%5B%40ordinal%3D1%5D%2FpicFuelRecibeInterno","Descargar")</f>
        <v>Descargar</v>
      </c>
    </row>
    <row r="4738" spans="1:18" x14ac:dyDescent="0.3">
      <c r="A4738">
        <v>1466820</v>
      </c>
      <c r="B4738" t="s">
        <v>18</v>
      </c>
      <c r="C4738" t="s">
        <v>150</v>
      </c>
      <c r="D4738" t="s">
        <v>164</v>
      </c>
      <c r="E4738" t="s">
        <v>165</v>
      </c>
      <c r="F4738" t="s">
        <v>22</v>
      </c>
      <c r="G4738" t="s">
        <v>47</v>
      </c>
      <c r="H4738" t="s">
        <v>1781</v>
      </c>
      <c r="I4738" t="s">
        <v>25</v>
      </c>
      <c r="J4738" t="s">
        <v>3553</v>
      </c>
      <c r="K4738">
        <v>17</v>
      </c>
      <c r="L4738">
        <v>1</v>
      </c>
      <c r="M4738">
        <v>2025</v>
      </c>
      <c r="N4738" t="s">
        <v>27</v>
      </c>
      <c r="O4738">
        <v>150.01</v>
      </c>
      <c r="P4738">
        <v>150.01</v>
      </c>
      <c r="R4738" s="3" t="str">
        <f>HYPERLINK("https://panda.att.com.mx/ODKServer/view/binaryData?blobKey=FSSuministroFluidosv3%5B%40version%3Dnull+and+%40uiVersion%3Dnull%5D%2Fdata%5B%40key%3Duuid%3A23ccaed5-e146-432e-bf56-a181118bd182%5D%2FgroupInfoFuel%5B%40ordinal%3D1%5D%2FpicFuelRecibeInterno","Descargar")</f>
        <v>Descargar</v>
      </c>
    </row>
    <row r="4739" spans="1:18" x14ac:dyDescent="0.3">
      <c r="A4739">
        <v>1466818</v>
      </c>
      <c r="B4739" t="s">
        <v>18</v>
      </c>
      <c r="C4739" t="s">
        <v>183</v>
      </c>
      <c r="D4739" t="s">
        <v>3280</v>
      </c>
      <c r="E4739" t="s">
        <v>3281</v>
      </c>
      <c r="F4739" t="s">
        <v>22</v>
      </c>
      <c r="G4739" t="s">
        <v>23</v>
      </c>
      <c r="H4739" t="s">
        <v>37</v>
      </c>
      <c r="I4739" t="s">
        <v>25</v>
      </c>
      <c r="J4739" t="s">
        <v>3554</v>
      </c>
      <c r="K4739">
        <v>17</v>
      </c>
      <c r="L4739">
        <v>1</v>
      </c>
      <c r="M4739">
        <v>2025</v>
      </c>
      <c r="N4739" t="s">
        <v>27</v>
      </c>
      <c r="O4739">
        <v>130</v>
      </c>
      <c r="P4739">
        <v>130</v>
      </c>
      <c r="R4739" s="3" t="str">
        <f>HYPERLINK("https://panda.att.com.mx/ODKServer/view/binaryData?blobKey=FSSuministroFluidosv3%5B%40version%3Dnull+and+%40uiVersion%3Dnull%5D%2Fdata%5B%40key%3Duuid%3A4e69df0f-f692-4a85-932b-f34a5e39a0af%5D%2FgroupInfoFuel%5B%40ordinal%3D1%5D%2FpicFuelRecibeInterno","Descargar")</f>
        <v>Descargar</v>
      </c>
    </row>
    <row r="4740" spans="1:18" x14ac:dyDescent="0.3">
      <c r="A4740">
        <v>1466817</v>
      </c>
      <c r="B4740" t="s">
        <v>18</v>
      </c>
      <c r="C4740" t="s">
        <v>59</v>
      </c>
      <c r="D4740" t="s">
        <v>307</v>
      </c>
      <c r="E4740" t="s">
        <v>308</v>
      </c>
      <c r="F4740" t="s">
        <v>22</v>
      </c>
      <c r="G4740" t="s">
        <v>23</v>
      </c>
      <c r="H4740" t="s">
        <v>37</v>
      </c>
      <c r="I4740" t="s">
        <v>25</v>
      </c>
      <c r="J4740" t="s">
        <v>3555</v>
      </c>
      <c r="K4740">
        <v>16</v>
      </c>
      <c r="L4740">
        <v>1</v>
      </c>
      <c r="M4740">
        <v>2025</v>
      </c>
      <c r="N4740" t="s">
        <v>44</v>
      </c>
      <c r="O4740">
        <v>60</v>
      </c>
      <c r="P4740">
        <v>60</v>
      </c>
      <c r="R4740" s="3" t="str">
        <f>HYPERLINK("https://panda.att.com.mx/ODKServer/view/binaryData?blobKey=FSSuministroFluidosv3%5B%40version%3Dnull+and+%40uiVersion%3Dnull%5D%2Fdata%5B%40key%3Duuid%3A865e170a-e9bf-420d-9984-e464c16f0129%5D%2FgroupInfoFuel%5B%40ordinal%3D1%5D%2FpicFuelRecibeInterno","Descargar")</f>
        <v>Descargar</v>
      </c>
    </row>
    <row r="4741" spans="1:18" x14ac:dyDescent="0.3">
      <c r="A4741">
        <v>1466794</v>
      </c>
      <c r="B4741" t="s">
        <v>18</v>
      </c>
      <c r="C4741" t="s">
        <v>59</v>
      </c>
      <c r="D4741" t="s">
        <v>597</v>
      </c>
      <c r="E4741" t="s">
        <v>1459</v>
      </c>
      <c r="F4741" t="s">
        <v>22</v>
      </c>
      <c r="G4741" t="s">
        <v>23</v>
      </c>
      <c r="H4741" t="s">
        <v>37</v>
      </c>
      <c r="I4741" t="s">
        <v>25</v>
      </c>
      <c r="J4741" t="s">
        <v>3556</v>
      </c>
      <c r="K4741">
        <v>17</v>
      </c>
      <c r="L4741">
        <v>1</v>
      </c>
      <c r="M4741">
        <v>2025</v>
      </c>
      <c r="N4741" t="s">
        <v>27</v>
      </c>
      <c r="O4741">
        <v>290</v>
      </c>
      <c r="P4741">
        <v>290</v>
      </c>
      <c r="R4741" s="3" t="str">
        <f>HYPERLINK("https://panda.att.com.mx/ODKServer/view/binaryData?blobKey=FSSuministroFluidosv3%5B%40version%3Dnull+and+%40uiVersion%3Dnull%5D%2Fdata%5B%40key%3Duuid%3Af7606248-cedb-4d0c-85bd-461ea4094678%5D%2FgroupInfoFuel%5B%40ordinal%3D1%5D%2FpicFuelRecibeInterno","Descargar")</f>
        <v>Descargar</v>
      </c>
    </row>
    <row r="4742" spans="1:18" x14ac:dyDescent="0.3">
      <c r="A4742">
        <v>1466786</v>
      </c>
      <c r="B4742" t="s">
        <v>18</v>
      </c>
      <c r="C4742" t="s">
        <v>150</v>
      </c>
      <c r="D4742" t="s">
        <v>164</v>
      </c>
      <c r="E4742" t="s">
        <v>3557</v>
      </c>
      <c r="F4742" t="s">
        <v>22</v>
      </c>
      <c r="G4742" t="s">
        <v>47</v>
      </c>
      <c r="H4742" t="s">
        <v>1781</v>
      </c>
      <c r="I4742" t="s">
        <v>25</v>
      </c>
      <c r="J4742" t="s">
        <v>3558</v>
      </c>
      <c r="K4742">
        <v>17</v>
      </c>
      <c r="L4742">
        <v>1</v>
      </c>
      <c r="M4742">
        <v>2025</v>
      </c>
      <c r="N4742" t="s">
        <v>27</v>
      </c>
      <c r="O4742">
        <v>200.01</v>
      </c>
      <c r="P4742">
        <v>200.01</v>
      </c>
      <c r="R4742" s="3" t="str">
        <f>HYPERLINK("https://panda.att.com.mx/ODKServer/view/binaryData?blobKey=FSSuministroFluidosv3%5B%40version%3Dnull+and+%40uiVersion%3Dnull%5D%2Fdata%5B%40key%3Duuid%3A5b097946-9804-42dd-8608-b8ca5b51248c%5D%2FgroupInfoFuel%5B%40ordinal%3D1%5D%2FpicFuelRecibeInterno","Descargar")</f>
        <v>Descargar</v>
      </c>
    </row>
    <row r="4743" spans="1:18" x14ac:dyDescent="0.3">
      <c r="A4743">
        <v>1466753</v>
      </c>
      <c r="B4743" t="s">
        <v>18</v>
      </c>
      <c r="C4743" t="s">
        <v>167</v>
      </c>
      <c r="D4743" t="s">
        <v>168</v>
      </c>
      <c r="E4743" t="s">
        <v>169</v>
      </c>
      <c r="F4743" t="s">
        <v>22</v>
      </c>
      <c r="G4743" t="s">
        <v>83</v>
      </c>
      <c r="H4743" t="s">
        <v>58</v>
      </c>
      <c r="I4743" t="s">
        <v>25</v>
      </c>
      <c r="J4743" t="s">
        <v>3559</v>
      </c>
      <c r="K4743">
        <v>17</v>
      </c>
      <c r="L4743">
        <v>1</v>
      </c>
      <c r="M4743">
        <v>2025</v>
      </c>
      <c r="N4743" t="s">
        <v>27</v>
      </c>
      <c r="O4743">
        <v>450</v>
      </c>
      <c r="P4743">
        <v>450</v>
      </c>
      <c r="R4743" s="3" t="str">
        <f>HYPERLINK("https://panda.att.com.mx/ODKServer/view/binaryData?blobKey=FSSuministroFluidosv3%5B%40version%3Dnull+and+%40uiVersion%3Dnull%5D%2Fdata%5B%40key%3Duuid%3Ae2f1a291-a3c1-4943-b8fe-edf9cd477a09%5D%2FgroupInfoFuel%5B%40ordinal%3D1%5D%2FpicFuelRecibeInterno","Descargar")</f>
        <v>Descargar</v>
      </c>
    </row>
    <row r="4744" spans="1:18" x14ac:dyDescent="0.3">
      <c r="A4744">
        <v>1466699</v>
      </c>
      <c r="B4744" t="s">
        <v>18</v>
      </c>
      <c r="C4744" t="s">
        <v>150</v>
      </c>
      <c r="D4744" t="s">
        <v>164</v>
      </c>
      <c r="E4744" t="s">
        <v>3560</v>
      </c>
      <c r="F4744" t="s">
        <v>22</v>
      </c>
      <c r="G4744" t="s">
        <v>47</v>
      </c>
      <c r="H4744" t="s">
        <v>1781</v>
      </c>
      <c r="I4744" t="s">
        <v>25</v>
      </c>
      <c r="J4744" t="s">
        <v>3561</v>
      </c>
      <c r="K4744">
        <v>17</v>
      </c>
      <c r="L4744">
        <v>1</v>
      </c>
      <c r="M4744">
        <v>2025</v>
      </c>
      <c r="N4744" t="s">
        <v>27</v>
      </c>
      <c r="O4744">
        <v>100.04</v>
      </c>
      <c r="P4744">
        <v>100.04</v>
      </c>
      <c r="R4744" s="3" t="str">
        <f>HYPERLINK("https://panda.att.com.mx/ODKServer/view/binaryData?blobKey=FSSuministroFluidosv3%5B%40version%3Dnull+and+%40uiVersion%3Dnull%5D%2Fdata%5B%40key%3Duuid%3A5fcbbe1f-fc71-4b4c-8bae-e58195229b8a%5D%2FgroupInfoFuel%5B%40ordinal%3D1%5D%2FpicFuelRecibeInterno","Descargar")</f>
        <v>Descargar</v>
      </c>
    </row>
    <row r="4745" spans="1:18" x14ac:dyDescent="0.3">
      <c r="A4745">
        <v>1466686</v>
      </c>
      <c r="B4745" t="s">
        <v>18</v>
      </c>
      <c r="C4745" t="s">
        <v>100</v>
      </c>
      <c r="D4745" t="s">
        <v>854</v>
      </c>
      <c r="E4745" t="s">
        <v>993</v>
      </c>
      <c r="F4745" t="s">
        <v>22</v>
      </c>
      <c r="G4745" t="s">
        <v>83</v>
      </c>
      <c r="H4745" t="s">
        <v>1781</v>
      </c>
      <c r="I4745" t="s">
        <v>25</v>
      </c>
      <c r="J4745" t="s">
        <v>3562</v>
      </c>
      <c r="K4745">
        <v>17</v>
      </c>
      <c r="L4745">
        <v>1</v>
      </c>
      <c r="M4745">
        <v>2025</v>
      </c>
      <c r="N4745" t="s">
        <v>27</v>
      </c>
      <c r="O4745">
        <v>220</v>
      </c>
      <c r="P4745">
        <v>220</v>
      </c>
      <c r="R4745" s="3" t="str">
        <f>HYPERLINK("https://panda.att.com.mx/ODKServer/view/binaryData?blobKey=FSSuministroFluidosv3%5B%40version%3Dnull+and+%40uiVersion%3Dnull%5D%2Fdata%5B%40key%3Duuid%3A4fc4949f-570a-4e42-8a16-f7bd4982b529%5D%2FgroupInfoFuel%5B%40ordinal%3D1%5D%2FpicFuelRecibeInterno","Descargar")</f>
        <v>Descargar</v>
      </c>
    </row>
    <row r="4746" spans="1:18" x14ac:dyDescent="0.3">
      <c r="A4746">
        <v>1466685</v>
      </c>
      <c r="B4746" t="s">
        <v>18</v>
      </c>
      <c r="C4746" t="s">
        <v>100</v>
      </c>
      <c r="D4746" t="s">
        <v>854</v>
      </c>
      <c r="E4746" t="s">
        <v>3563</v>
      </c>
      <c r="F4746" t="s">
        <v>22</v>
      </c>
      <c r="G4746" t="s">
        <v>23</v>
      </c>
      <c r="H4746" t="s">
        <v>1781</v>
      </c>
      <c r="I4746" t="s">
        <v>25</v>
      </c>
      <c r="J4746" t="s">
        <v>3564</v>
      </c>
      <c r="K4746">
        <v>17</v>
      </c>
      <c r="L4746">
        <v>1</v>
      </c>
      <c r="M4746">
        <v>2025</v>
      </c>
      <c r="N4746" t="s">
        <v>27</v>
      </c>
      <c r="O4746">
        <v>200</v>
      </c>
      <c r="P4746">
        <v>200</v>
      </c>
      <c r="R4746" s="3" t="str">
        <f>HYPERLINK("https://panda.att.com.mx/ODKServer/view/binaryData?blobKey=FSSuministroFluidosv3%5B%40version%3Dnull+and+%40uiVersion%3Dnull%5D%2Fdata%5B%40key%3Duuid%3A11edaba1-a6cf-4575-8fec-92f53284d0cf%5D%2FgroupInfoFuel%5B%40ordinal%3D1%5D%2FpicFuelRecibeInterno","Descargar")</f>
        <v>Descargar</v>
      </c>
    </row>
    <row r="4747" spans="1:18" x14ac:dyDescent="0.3">
      <c r="A4747">
        <v>1466670</v>
      </c>
      <c r="B4747" t="s">
        <v>18</v>
      </c>
      <c r="C4747" t="s">
        <v>55</v>
      </c>
      <c r="D4747" t="s">
        <v>288</v>
      </c>
      <c r="E4747" t="s">
        <v>1825</v>
      </c>
      <c r="F4747" t="s">
        <v>22</v>
      </c>
      <c r="G4747" t="s">
        <v>47</v>
      </c>
      <c r="H4747" t="s">
        <v>1763</v>
      </c>
      <c r="I4747" t="s">
        <v>25</v>
      </c>
      <c r="J4747" t="s">
        <v>3565</v>
      </c>
      <c r="K4747">
        <v>17</v>
      </c>
      <c r="L4747">
        <v>1</v>
      </c>
      <c r="M4747">
        <v>2025</v>
      </c>
      <c r="N4747" t="s">
        <v>27</v>
      </c>
      <c r="O4747">
        <v>150</v>
      </c>
      <c r="P4747">
        <v>150</v>
      </c>
      <c r="R4747" s="3" t="str">
        <f>HYPERLINK("https://panda.att.com.mx/ODKServer/view/binaryData?blobKey=FSSuministroFluidosv3%5B%40version%3Dnull+and+%40uiVersion%3Dnull%5D%2Fdata%5B%40key%3Duuid%3A41474ce4-9995-4764-beb0-1d5987601138%5D%2FgroupInfoFuel%5B%40ordinal%3D1%5D%2FpicFuelRecibeInterno","Descargar")</f>
        <v>Descargar</v>
      </c>
    </row>
    <row r="4748" spans="1:18" x14ac:dyDescent="0.3">
      <c r="A4748">
        <v>1466626</v>
      </c>
      <c r="B4748" t="s">
        <v>18</v>
      </c>
      <c r="C4748" t="s">
        <v>150</v>
      </c>
      <c r="D4748" t="s">
        <v>164</v>
      </c>
      <c r="E4748" t="s">
        <v>1688</v>
      </c>
      <c r="F4748" t="s">
        <v>22</v>
      </c>
      <c r="G4748" t="s">
        <v>47</v>
      </c>
      <c r="H4748" t="s">
        <v>1781</v>
      </c>
      <c r="I4748" t="s">
        <v>25</v>
      </c>
      <c r="J4748" t="s">
        <v>3566</v>
      </c>
      <c r="K4748">
        <v>17</v>
      </c>
      <c r="L4748">
        <v>1</v>
      </c>
      <c r="M4748">
        <v>2025</v>
      </c>
      <c r="N4748" t="s">
        <v>27</v>
      </c>
      <c r="O4748">
        <v>97.01</v>
      </c>
      <c r="P4748">
        <v>97.01</v>
      </c>
      <c r="R4748" s="3" t="str">
        <f>HYPERLINK("https://panda.att.com.mx/ODKServer/view/binaryData?blobKey=FSSuministroFluidosv3%5B%40version%3Dnull+and+%40uiVersion%3Dnull%5D%2Fdata%5B%40key%3Duuid%3Aebb6f411-36fb-4758-992a-3cd22e356b6c%5D%2FgroupInfoFuel%5B%40ordinal%3D1%5D%2FpicFuelRecibeInterno","Descargar")</f>
        <v>Descargar</v>
      </c>
    </row>
    <row r="4749" spans="1:18" x14ac:dyDescent="0.3">
      <c r="A4749">
        <v>1466618</v>
      </c>
      <c r="B4749" t="s">
        <v>18</v>
      </c>
      <c r="C4749" t="s">
        <v>34</v>
      </c>
      <c r="D4749" t="s">
        <v>121</v>
      </c>
      <c r="E4749" t="s">
        <v>3041</v>
      </c>
      <c r="F4749" t="s">
        <v>22</v>
      </c>
      <c r="G4749" t="s">
        <v>23</v>
      </c>
      <c r="H4749" t="s">
        <v>37</v>
      </c>
      <c r="I4749" t="s">
        <v>25</v>
      </c>
      <c r="J4749" t="s">
        <v>3567</v>
      </c>
      <c r="K4749">
        <v>17</v>
      </c>
      <c r="L4749">
        <v>1</v>
      </c>
      <c r="M4749">
        <v>2025</v>
      </c>
      <c r="N4749" t="s">
        <v>27</v>
      </c>
      <c r="O4749">
        <v>150</v>
      </c>
      <c r="P4749">
        <v>150</v>
      </c>
      <c r="R4749" s="3" t="str">
        <f>HYPERLINK("https://panda.att.com.mx/ODKServer/view/binaryData?blobKey=FSSuministroFluidosv3%5B%40version%3Dnull+and+%40uiVersion%3Dnull%5D%2Fdata%5B%40key%3Duuid%3A6189ab11-f0ed-425a-acb3-238ecaedd2eb%5D%2FgroupInfoFuel%5B%40ordinal%3D1%5D%2FpicFuelRecibeInterno","Descargar")</f>
        <v>Descargar</v>
      </c>
    </row>
    <row r="4750" spans="1:18" x14ac:dyDescent="0.3">
      <c r="A4750">
        <v>1465987</v>
      </c>
      <c r="B4750" t="s">
        <v>18</v>
      </c>
      <c r="C4750" t="s">
        <v>55</v>
      </c>
      <c r="D4750" t="s">
        <v>56</v>
      </c>
      <c r="E4750" t="s">
        <v>3568</v>
      </c>
      <c r="F4750" t="s">
        <v>22</v>
      </c>
      <c r="G4750" t="s">
        <v>47</v>
      </c>
      <c r="H4750" t="s">
        <v>1763</v>
      </c>
      <c r="I4750" t="s">
        <v>25</v>
      </c>
      <c r="J4750" t="s">
        <v>3569</v>
      </c>
      <c r="K4750">
        <v>10</v>
      </c>
      <c r="L4750">
        <v>1</v>
      </c>
      <c r="M4750">
        <v>2025</v>
      </c>
      <c r="N4750" t="s">
        <v>27</v>
      </c>
      <c r="O4750">
        <v>130</v>
      </c>
      <c r="P4750">
        <v>130</v>
      </c>
      <c r="R4750" s="3" t="str">
        <f>HYPERLINK("https://panda.att.com.mx/ODKServer/view/binaryData?blobKey=FSSuministroFluidosv3%5B%40version%3Dnull+and+%40uiVersion%3Dnull%5D%2Fdata%5B%40key%3Duuid%3A0022cc77-5384-4f7a-b0a7-60a5ee0d0214%5D%2FgroupInfoFuel%5B%40ordinal%3D1%5D%2FpicFuelRecibeInterno","Descargar")</f>
        <v>Descargar</v>
      </c>
    </row>
    <row r="4751" spans="1:18" x14ac:dyDescent="0.3">
      <c r="A4751">
        <v>1465890</v>
      </c>
      <c r="B4751" t="s">
        <v>18</v>
      </c>
      <c r="C4751" t="s">
        <v>59</v>
      </c>
      <c r="D4751" t="s">
        <v>60</v>
      </c>
      <c r="E4751" t="s">
        <v>1382</v>
      </c>
      <c r="F4751" t="s">
        <v>22</v>
      </c>
      <c r="G4751" t="s">
        <v>23</v>
      </c>
      <c r="H4751" t="s">
        <v>37</v>
      </c>
      <c r="I4751" t="s">
        <v>25</v>
      </c>
      <c r="J4751" t="s">
        <v>3570</v>
      </c>
      <c r="K4751">
        <v>11</v>
      </c>
      <c r="L4751">
        <v>1</v>
      </c>
      <c r="M4751">
        <v>2025</v>
      </c>
      <c r="N4751" t="s">
        <v>27</v>
      </c>
      <c r="O4751">
        <v>200</v>
      </c>
      <c r="P4751">
        <v>200</v>
      </c>
      <c r="R4751" s="3" t="str">
        <f>HYPERLINK("https://panda.att.com.mx/ODKServer/view/binaryData?blobKey=FSSuministroFluidosv3%5B%40version%3Dnull+and+%40uiVersion%3Dnull%5D%2Fdata%5B%40key%3Duuid%3Aaa8a772d-16eb-47ed-8733-7707860ef224%5D%2FgroupInfoFuel%5B%40ordinal%3D1%5D%2FpicFuelRecibeInterno","Descargar")</f>
        <v>Descargar</v>
      </c>
    </row>
    <row r="4752" spans="1:18" x14ac:dyDescent="0.3">
      <c r="A4752">
        <v>1465849</v>
      </c>
      <c r="B4752" t="s">
        <v>18</v>
      </c>
      <c r="C4752" t="s">
        <v>55</v>
      </c>
      <c r="D4752" t="s">
        <v>210</v>
      </c>
      <c r="E4752" t="s">
        <v>1873</v>
      </c>
      <c r="F4752" t="s">
        <v>22</v>
      </c>
      <c r="G4752" t="s">
        <v>47</v>
      </c>
      <c r="H4752" t="s">
        <v>1763</v>
      </c>
      <c r="I4752" t="s">
        <v>25</v>
      </c>
      <c r="J4752" t="s">
        <v>3571</v>
      </c>
      <c r="K4752">
        <v>15</v>
      </c>
      <c r="L4752">
        <v>1</v>
      </c>
      <c r="M4752">
        <v>2025</v>
      </c>
      <c r="N4752" t="s">
        <v>27</v>
      </c>
      <c r="O4752">
        <v>200</v>
      </c>
      <c r="P4752">
        <v>200</v>
      </c>
      <c r="R4752" s="3" t="str">
        <f>HYPERLINK("https://panda.att.com.mx/ODKServer/view/binaryData?blobKey=FSSuministroFluidosv3%5B%40version%3Dnull+and+%40uiVersion%3Dnull%5D%2Fdata%5B%40key%3Duuid%3A4bfca492-25f5-4bda-9513-9cbba1e2b1b1%5D%2FgroupInfoFuel%5B%40ordinal%3D1%5D%2FpicFuelRecibeInterno","Descargar")</f>
        <v>Descargar</v>
      </c>
    </row>
    <row r="4753" spans="1:18" x14ac:dyDescent="0.3">
      <c r="A4753">
        <v>1465834</v>
      </c>
      <c r="B4753" t="s">
        <v>18</v>
      </c>
      <c r="C4753" t="s">
        <v>55</v>
      </c>
      <c r="D4753" t="s">
        <v>288</v>
      </c>
      <c r="E4753" t="s">
        <v>1534</v>
      </c>
      <c r="F4753" t="s">
        <v>22</v>
      </c>
      <c r="G4753" t="s">
        <v>47</v>
      </c>
      <c r="H4753" t="s">
        <v>1763</v>
      </c>
      <c r="I4753" t="s">
        <v>25</v>
      </c>
      <c r="J4753" t="s">
        <v>3572</v>
      </c>
      <c r="K4753">
        <v>16</v>
      </c>
      <c r="L4753">
        <v>1</v>
      </c>
      <c r="M4753">
        <v>2025</v>
      </c>
      <c r="N4753" t="s">
        <v>27</v>
      </c>
      <c r="O4753">
        <v>200</v>
      </c>
      <c r="P4753">
        <v>200</v>
      </c>
      <c r="R4753" s="3" t="str">
        <f>HYPERLINK("https://panda.att.com.mx/ODKServer/view/binaryData?blobKey=FSSuministroFluidosv3%5B%40version%3Dnull+and+%40uiVersion%3Dnull%5D%2Fdata%5B%40key%3Duuid%3Ac1db20d4-de45-46b1-a45b-c90df26a313c%5D%2FgroupInfoFuel%5B%40ordinal%3D1%5D%2FpicFuelRecibeInterno","Descargar")</f>
        <v>Descargar</v>
      </c>
    </row>
    <row r="4754" spans="1:18" x14ac:dyDescent="0.3">
      <c r="A4754">
        <v>1465827</v>
      </c>
      <c r="B4754" t="s">
        <v>18</v>
      </c>
      <c r="C4754" t="s">
        <v>68</v>
      </c>
      <c r="D4754" t="s">
        <v>258</v>
      </c>
      <c r="E4754" t="s">
        <v>3407</v>
      </c>
      <c r="F4754" t="s">
        <v>22</v>
      </c>
      <c r="G4754" t="s">
        <v>23</v>
      </c>
      <c r="H4754" t="s">
        <v>37</v>
      </c>
      <c r="I4754" t="s">
        <v>25</v>
      </c>
      <c r="J4754" t="s">
        <v>3573</v>
      </c>
      <c r="K4754">
        <v>16</v>
      </c>
      <c r="L4754">
        <v>1</v>
      </c>
      <c r="M4754">
        <v>2025</v>
      </c>
      <c r="N4754" t="s">
        <v>27</v>
      </c>
      <c r="O4754">
        <v>200</v>
      </c>
      <c r="P4754">
        <v>200</v>
      </c>
      <c r="R4754" s="3" t="str">
        <f>HYPERLINK("https://panda.att.com.mx/ODKServer/view/binaryData?blobKey=FSSuministroFluidosv3%5B%40version%3Dnull+and+%40uiVersion%3Dnull%5D%2Fdata%5B%40key%3Duuid%3A2a280da0-055e-4f11-a744-925f742bf9a9%5D%2FgroupInfoFuel%5B%40ordinal%3D1%5D%2FpicFuelRecibeInterno","Descargar")</f>
        <v>Descargar</v>
      </c>
    </row>
    <row r="4755" spans="1:18" x14ac:dyDescent="0.3">
      <c r="A4755">
        <v>1465779</v>
      </c>
      <c r="B4755" t="s">
        <v>18</v>
      </c>
      <c r="C4755" t="s">
        <v>55</v>
      </c>
      <c r="D4755" t="s">
        <v>210</v>
      </c>
      <c r="E4755" t="s">
        <v>3574</v>
      </c>
      <c r="F4755" t="s">
        <v>22</v>
      </c>
      <c r="G4755" t="s">
        <v>208</v>
      </c>
      <c r="H4755" t="s">
        <v>1763</v>
      </c>
      <c r="I4755" t="s">
        <v>25</v>
      </c>
      <c r="J4755" t="s">
        <v>3575</v>
      </c>
      <c r="K4755">
        <v>14</v>
      </c>
      <c r="L4755">
        <v>1</v>
      </c>
      <c r="M4755">
        <v>2025</v>
      </c>
      <c r="N4755" t="s">
        <v>44</v>
      </c>
      <c r="O4755">
        <v>50</v>
      </c>
      <c r="P4755">
        <v>50</v>
      </c>
      <c r="R4755" s="3" t="str">
        <f>HYPERLINK("https://panda.att.com.mx/ODKServer/view/binaryData?blobKey=FSSuministroFluidosv3%5B%40version%3Dnull+and+%40uiVersion%3Dnull%5D%2Fdata%5B%40key%3Duuid%3A191ac3cd-5264-48e0-a5b5-d386aef86a10%5D%2FgroupInfoFuel%5B%40ordinal%3D1%5D%2FpicFuelRecibeInterno","Descargar")</f>
        <v>Descargar</v>
      </c>
    </row>
    <row r="4756" spans="1:18" x14ac:dyDescent="0.3">
      <c r="A4756">
        <v>1465778</v>
      </c>
      <c r="B4756" t="s">
        <v>18</v>
      </c>
      <c r="C4756" t="s">
        <v>55</v>
      </c>
      <c r="D4756" t="s">
        <v>210</v>
      </c>
      <c r="E4756" t="s">
        <v>3576</v>
      </c>
      <c r="F4756" t="s">
        <v>22</v>
      </c>
      <c r="G4756" t="s">
        <v>47</v>
      </c>
      <c r="H4756" t="s">
        <v>1763</v>
      </c>
      <c r="I4756" t="s">
        <v>25</v>
      </c>
      <c r="J4756" t="s">
        <v>3577</v>
      </c>
      <c r="K4756">
        <v>15</v>
      </c>
      <c r="L4756">
        <v>1</v>
      </c>
      <c r="M4756">
        <v>2025</v>
      </c>
      <c r="N4756" t="s">
        <v>27</v>
      </c>
      <c r="O4756">
        <v>200</v>
      </c>
      <c r="P4756">
        <v>200</v>
      </c>
      <c r="R4756" s="3" t="str">
        <f>HYPERLINK("https://panda.att.com.mx/ODKServer/view/binaryData?blobKey=FSSuministroFluidosv3%5B%40version%3Dnull+and+%40uiVersion%3Dnull%5D%2Fdata%5B%40key%3Duuid%3A0e853a5c-051e-48c4-9b42-f22b7d8fc5cb%5D%2FgroupInfoFuel%5B%40ordinal%3D1%5D%2FpicFuelRecibeInterno","Descargar")</f>
        <v>Descargar</v>
      </c>
    </row>
    <row r="4757" spans="1:18" x14ac:dyDescent="0.3">
      <c r="A4757">
        <v>1465748</v>
      </c>
      <c r="B4757" t="s">
        <v>18</v>
      </c>
      <c r="C4757" t="s">
        <v>19</v>
      </c>
      <c r="D4757" t="s">
        <v>45</v>
      </c>
      <c r="E4757" t="s">
        <v>752</v>
      </c>
      <c r="F4757" t="s">
        <v>22</v>
      </c>
      <c r="G4757" t="s">
        <v>23</v>
      </c>
      <c r="H4757" t="s">
        <v>24</v>
      </c>
      <c r="I4757" t="s">
        <v>25</v>
      </c>
      <c r="J4757" t="s">
        <v>3578</v>
      </c>
      <c r="K4757">
        <v>15</v>
      </c>
      <c r="L4757">
        <v>1</v>
      </c>
      <c r="M4757">
        <v>2025</v>
      </c>
      <c r="N4757" t="s">
        <v>27</v>
      </c>
      <c r="O4757">
        <v>400</v>
      </c>
      <c r="P4757">
        <v>400</v>
      </c>
      <c r="R4757" s="3" t="str">
        <f>HYPERLINK("https://panda.att.com.mx/ODKServer/view/binaryData?blobKey=FSSuministroFluidosv3%5B%40version%3Dnull+and+%40uiVersion%3Dnull%5D%2Fdata%5B%40key%3Duuid%3Afee8561b-176d-42d9-bb7f-6da13a489a03%5D%2FgroupInfoFuel%5B%40ordinal%3D1%5D%2FpicFuelRecibeInterno","Descargar")</f>
        <v>Descargar</v>
      </c>
    </row>
    <row r="4758" spans="1:18" x14ac:dyDescent="0.3">
      <c r="A4758">
        <v>1465678</v>
      </c>
      <c r="B4758" t="s">
        <v>18</v>
      </c>
      <c r="C4758" t="s">
        <v>19</v>
      </c>
      <c r="D4758" t="s">
        <v>62</v>
      </c>
      <c r="E4758" t="s">
        <v>1601</v>
      </c>
      <c r="F4758" t="s">
        <v>22</v>
      </c>
      <c r="G4758" t="s">
        <v>23</v>
      </c>
      <c r="H4758" t="s">
        <v>24</v>
      </c>
      <c r="I4758" t="s">
        <v>25</v>
      </c>
      <c r="J4758" t="s">
        <v>3579</v>
      </c>
      <c r="K4758">
        <v>15</v>
      </c>
      <c r="L4758">
        <v>1</v>
      </c>
      <c r="M4758">
        <v>2025</v>
      </c>
      <c r="N4758" t="s">
        <v>27</v>
      </c>
      <c r="O4758">
        <v>185</v>
      </c>
      <c r="P4758">
        <v>185</v>
      </c>
      <c r="R4758" s="3" t="str">
        <f>HYPERLINK("https://panda.att.com.mx/ODKServer/view/binaryData?blobKey=FSSuministroFluidosv3%5B%40version%3Dnull+and+%40uiVersion%3Dnull%5D%2Fdata%5B%40key%3Duuid%3A98a5e78a-cb18-493f-9698-58a63a07796f%5D%2FgroupInfoFuel%5B%40ordinal%3D1%5D%2FpicFuelRecibeInterno","Descargar")</f>
        <v>Descargar</v>
      </c>
    </row>
    <row r="4759" spans="1:18" x14ac:dyDescent="0.3">
      <c r="A4759">
        <v>1465676</v>
      </c>
      <c r="B4759" t="s">
        <v>18</v>
      </c>
      <c r="C4759" t="s">
        <v>19</v>
      </c>
      <c r="D4759" t="s">
        <v>62</v>
      </c>
      <c r="E4759" t="s">
        <v>615</v>
      </c>
      <c r="F4759" t="s">
        <v>22</v>
      </c>
      <c r="G4759" t="s">
        <v>23</v>
      </c>
      <c r="H4759" t="s">
        <v>24</v>
      </c>
      <c r="I4759" t="s">
        <v>25</v>
      </c>
      <c r="J4759" t="s">
        <v>3580</v>
      </c>
      <c r="K4759">
        <v>14</v>
      </c>
      <c r="L4759">
        <v>1</v>
      </c>
      <c r="M4759">
        <v>2025</v>
      </c>
      <c r="N4759" t="s">
        <v>44</v>
      </c>
      <c r="O4759">
        <v>50</v>
      </c>
      <c r="P4759">
        <v>50</v>
      </c>
      <c r="R4759" s="3" t="str">
        <f>HYPERLINK("https://panda.att.com.mx/ODKServer/view/binaryData?blobKey=FSSuministroFluidosv3%5B%40version%3Dnull+and+%40uiVersion%3Dnull%5D%2Fdata%5B%40key%3Duuid%3A610fe23f-badd-4523-87d3-b8c46bfd321c%5D%2FgroupInfoFuel%5B%40ordinal%3D1%5D%2FpicFuelRecibeInterno","Descargar")</f>
        <v>Descargar</v>
      </c>
    </row>
    <row r="4760" spans="1:18" x14ac:dyDescent="0.3">
      <c r="A4760">
        <v>1465667</v>
      </c>
      <c r="B4760" t="s">
        <v>18</v>
      </c>
      <c r="C4760" t="s">
        <v>19</v>
      </c>
      <c r="D4760" t="s">
        <v>140</v>
      </c>
      <c r="E4760" t="s">
        <v>607</v>
      </c>
      <c r="F4760" t="s">
        <v>22</v>
      </c>
      <c r="G4760" t="s">
        <v>23</v>
      </c>
      <c r="H4760" t="s">
        <v>24</v>
      </c>
      <c r="I4760" t="s">
        <v>25</v>
      </c>
      <c r="J4760" t="s">
        <v>3581</v>
      </c>
      <c r="K4760">
        <v>3</v>
      </c>
      <c r="L4760">
        <v>1</v>
      </c>
      <c r="M4760">
        <v>2025</v>
      </c>
      <c r="N4760" t="s">
        <v>27</v>
      </c>
      <c r="O4760">
        <v>300</v>
      </c>
      <c r="Q4760">
        <v>300</v>
      </c>
      <c r="R4760" s="3" t="str">
        <f>HYPERLINK("https://panda.att.com.mx/ODKServer/view/binaryData?blobKey=FSSuministroFluidosv3%5B%40version%3Dnull+and+%40uiVersion%3Dnull%5D%2Fdata%5B%40key%3Duuid%3A68a5714d-6415-40ea-a37f-0f9adb970a0b%5D%2FgroupInfoFuel%5B%40ordinal%3D1%5D%2FpicFuelRecibeInterno","Descargar")</f>
        <v>Descargar</v>
      </c>
    </row>
    <row r="4761" spans="1:18" x14ac:dyDescent="0.3">
      <c r="A4761">
        <v>1465658</v>
      </c>
      <c r="B4761" t="s">
        <v>18</v>
      </c>
      <c r="C4761" t="s">
        <v>19</v>
      </c>
      <c r="D4761" t="s">
        <v>62</v>
      </c>
      <c r="E4761" t="s">
        <v>3582</v>
      </c>
      <c r="F4761" t="s">
        <v>22</v>
      </c>
      <c r="G4761" t="s">
        <v>23</v>
      </c>
      <c r="H4761" t="s">
        <v>24</v>
      </c>
      <c r="I4761" t="s">
        <v>25</v>
      </c>
      <c r="J4761" t="s">
        <v>3583</v>
      </c>
      <c r="K4761">
        <v>15</v>
      </c>
      <c r="L4761">
        <v>1</v>
      </c>
      <c r="M4761">
        <v>2025</v>
      </c>
      <c r="N4761" t="s">
        <v>27</v>
      </c>
      <c r="O4761">
        <v>300</v>
      </c>
      <c r="P4761">
        <v>300</v>
      </c>
      <c r="R4761" s="3" t="str">
        <f>HYPERLINK("https://panda.att.com.mx/ODKServer/view/binaryData?blobKey=FSSuministroFluidosv3%5B%40version%3Dnull+and+%40uiVersion%3Dnull%5D%2Fdata%5B%40key%3Duuid%3A869819e6-255c-4bed-8d4b-528e1bfc4492%5D%2FgroupInfoFuel%5B%40ordinal%3D1%5D%2FpicFuelRecibeInterno","Descargar")</f>
        <v>Descargar</v>
      </c>
    </row>
    <row r="4762" spans="1:18" x14ac:dyDescent="0.3">
      <c r="A4762">
        <v>1465655</v>
      </c>
      <c r="B4762" t="s">
        <v>18</v>
      </c>
      <c r="C4762" t="s">
        <v>55</v>
      </c>
      <c r="D4762" t="s">
        <v>366</v>
      </c>
      <c r="E4762" t="s">
        <v>1854</v>
      </c>
      <c r="F4762" t="s">
        <v>22</v>
      </c>
      <c r="G4762" t="s">
        <v>83</v>
      </c>
      <c r="H4762" t="s">
        <v>1781</v>
      </c>
      <c r="I4762" t="s">
        <v>25</v>
      </c>
      <c r="J4762" t="s">
        <v>3584</v>
      </c>
      <c r="K4762">
        <v>15</v>
      </c>
      <c r="L4762">
        <v>1</v>
      </c>
      <c r="M4762">
        <v>2025</v>
      </c>
      <c r="N4762" t="s">
        <v>27</v>
      </c>
      <c r="O4762">
        <v>90</v>
      </c>
      <c r="P4762">
        <v>90</v>
      </c>
      <c r="R4762" s="3" t="str">
        <f>HYPERLINK("https://panda.att.com.mx/ODKServer/view/binaryData?blobKey=FSSuministroFluidosv3%5B%40version%3Dnull+and+%40uiVersion%3Dnull%5D%2Fdata%5B%40key%3Duuid%3Af19ac56c-0260-4ff9-9388-6ca9db14ea6f%5D%2FgroupInfoFuel%5B%40ordinal%3D1%5D%2FpicFuelRecibeInterno","Descargar")</f>
        <v>Descargar</v>
      </c>
    </row>
    <row r="4763" spans="1:18" x14ac:dyDescent="0.3">
      <c r="A4763">
        <v>1465637</v>
      </c>
      <c r="B4763" t="s">
        <v>18</v>
      </c>
      <c r="C4763" t="s">
        <v>28</v>
      </c>
      <c r="D4763" t="s">
        <v>1036</v>
      </c>
      <c r="E4763" t="s">
        <v>1698</v>
      </c>
      <c r="F4763" t="s">
        <v>22</v>
      </c>
      <c r="G4763" t="s">
        <v>23</v>
      </c>
      <c r="H4763" t="s">
        <v>24</v>
      </c>
      <c r="I4763" t="s">
        <v>25</v>
      </c>
      <c r="J4763" t="s">
        <v>3585</v>
      </c>
      <c r="K4763">
        <v>15</v>
      </c>
      <c r="L4763">
        <v>1</v>
      </c>
      <c r="M4763">
        <v>2025</v>
      </c>
      <c r="N4763" t="s">
        <v>44</v>
      </c>
      <c r="O4763">
        <v>60</v>
      </c>
      <c r="P4763">
        <v>60</v>
      </c>
      <c r="R4763" s="3" t="str">
        <f>HYPERLINK("https://panda.att.com.mx/ODKServer/view/binaryData?blobKey=FSSuministroFluidosv3%5B%40version%3Dnull+and+%40uiVersion%3Dnull%5D%2Fdata%5B%40key%3Duuid%3A442156b0-6cc0-49c7-a133-e4c263df8a48%5D%2FgroupInfoFuel%5B%40ordinal%3D1%5D%2FpicFuelRecibeInterno","Descargar")</f>
        <v>Descargar</v>
      </c>
    </row>
    <row r="4764" spans="1:18" x14ac:dyDescent="0.3">
      <c r="A4764">
        <v>1465614</v>
      </c>
      <c r="B4764" t="s">
        <v>18</v>
      </c>
      <c r="C4764" t="s">
        <v>59</v>
      </c>
      <c r="D4764" t="s">
        <v>233</v>
      </c>
      <c r="E4764" t="s">
        <v>3090</v>
      </c>
      <c r="F4764" t="s">
        <v>22</v>
      </c>
      <c r="G4764" t="s">
        <v>23</v>
      </c>
      <c r="H4764" t="s">
        <v>37</v>
      </c>
      <c r="I4764" t="s">
        <v>25</v>
      </c>
      <c r="J4764" t="s">
        <v>3586</v>
      </c>
      <c r="K4764">
        <v>15</v>
      </c>
      <c r="L4764">
        <v>1</v>
      </c>
      <c r="M4764">
        <v>2025</v>
      </c>
      <c r="N4764" t="s">
        <v>44</v>
      </c>
      <c r="O4764">
        <v>60</v>
      </c>
      <c r="P4764">
        <v>60</v>
      </c>
      <c r="R4764" s="3" t="str">
        <f>HYPERLINK("https://panda.att.com.mx/ODKServer/view/binaryData?blobKey=FSSuministroFluidosv3%5B%40version%3Dnull+and+%40uiVersion%3Dnull%5D%2Fdata%5B%40key%3Duuid%3Ad7cf1d61-23e5-45d8-b918-64be1dcce848%5D%2FgroupInfoFuel%5B%40ordinal%3D1%5D%2FpicFuelRecibeInterno","Descargar")</f>
        <v>Descargar</v>
      </c>
    </row>
    <row r="4765" spans="1:18" x14ac:dyDescent="0.3">
      <c r="A4765">
        <v>1465587</v>
      </c>
      <c r="B4765" t="s">
        <v>18</v>
      </c>
      <c r="C4765" t="s">
        <v>34</v>
      </c>
      <c r="D4765" t="s">
        <v>53</v>
      </c>
      <c r="E4765" t="s">
        <v>299</v>
      </c>
      <c r="F4765" t="s">
        <v>22</v>
      </c>
      <c r="G4765" t="s">
        <v>23</v>
      </c>
      <c r="H4765" t="s">
        <v>24</v>
      </c>
      <c r="I4765" t="s">
        <v>25</v>
      </c>
      <c r="J4765" t="s">
        <v>3587</v>
      </c>
      <c r="K4765">
        <v>15</v>
      </c>
      <c r="L4765">
        <v>1</v>
      </c>
      <c r="M4765">
        <v>2025</v>
      </c>
      <c r="N4765" t="s">
        <v>27</v>
      </c>
      <c r="O4765">
        <v>400</v>
      </c>
      <c r="Q4765">
        <v>400</v>
      </c>
      <c r="R4765" s="3" t="str">
        <f>HYPERLINK("https://panda.att.com.mx/ODKServer/view/binaryData?blobKey=FSSuministroFluidosv3%5B%40version%3Dnull+and+%40uiVersion%3Dnull%5D%2Fdata%5B%40key%3Duuid%3Ac2a92fed-d75d-4465-8d2e-abca6d3242b8%5D%2FgroupInfoFuel%5B%40ordinal%3D1%5D%2FpicFuelRecibeInterno","Descargar")</f>
        <v>Descargar</v>
      </c>
    </row>
    <row r="4766" spans="1:18" x14ac:dyDescent="0.3">
      <c r="A4766">
        <v>1465534</v>
      </c>
      <c r="B4766" t="s">
        <v>18</v>
      </c>
      <c r="C4766" t="s">
        <v>55</v>
      </c>
      <c r="D4766" t="s">
        <v>366</v>
      </c>
      <c r="E4766" t="s">
        <v>815</v>
      </c>
      <c r="F4766" t="s">
        <v>22</v>
      </c>
      <c r="G4766" t="s">
        <v>23</v>
      </c>
      <c r="H4766" t="s">
        <v>1781</v>
      </c>
      <c r="I4766" t="s">
        <v>25</v>
      </c>
      <c r="J4766" t="s">
        <v>3588</v>
      </c>
      <c r="K4766">
        <v>15</v>
      </c>
      <c r="L4766">
        <v>1</v>
      </c>
      <c r="M4766">
        <v>2025</v>
      </c>
      <c r="N4766" t="s">
        <v>27</v>
      </c>
      <c r="O4766">
        <v>200</v>
      </c>
      <c r="P4766">
        <v>200</v>
      </c>
      <c r="R4766" s="3" t="str">
        <f>HYPERLINK("https://panda.att.com.mx/ODKServer/view/binaryData?blobKey=FSSuministroFluidosv3%5B%40version%3Dnull+and+%40uiVersion%3Dnull%5D%2Fdata%5B%40key%3Duuid%3Ab1863e63-b83a-4b8d-8b82-7171bdbfd39e%5D%2FgroupInfoFuel%5B%40ordinal%3D1%5D%2FpicFuelRecibeInterno","Descargar")</f>
        <v>Descargar</v>
      </c>
    </row>
    <row r="4767" spans="1:18" x14ac:dyDescent="0.3">
      <c r="A4767">
        <v>1465485</v>
      </c>
      <c r="B4767" t="s">
        <v>18</v>
      </c>
      <c r="C4767" t="s">
        <v>28</v>
      </c>
      <c r="D4767" t="s">
        <v>31</v>
      </c>
      <c r="E4767" t="s">
        <v>1758</v>
      </c>
      <c r="F4767" t="s">
        <v>22</v>
      </c>
      <c r="G4767" t="s">
        <v>23</v>
      </c>
      <c r="H4767" t="s">
        <v>24</v>
      </c>
      <c r="I4767" t="s">
        <v>25</v>
      </c>
      <c r="J4767" t="s">
        <v>3589</v>
      </c>
      <c r="K4767">
        <v>12</v>
      </c>
      <c r="L4767">
        <v>1</v>
      </c>
      <c r="M4767">
        <v>2025</v>
      </c>
      <c r="N4767" t="s">
        <v>44</v>
      </c>
      <c r="O4767">
        <v>20</v>
      </c>
      <c r="P4767">
        <v>20</v>
      </c>
      <c r="R4767" s="3" t="str">
        <f>HYPERLINK("https://panda.att.com.mx/ODKServer/view/binaryData?blobKey=FSSuministroFluidosv3%5B%40version%3Dnull+and+%40uiVersion%3Dnull%5D%2Fdata%5B%40key%3Duuid%3A953bad6d-03b6-45fc-aba4-40f66b669f21%5D%2FgroupInfoFuel%5B%40ordinal%3D1%5D%2FpicFuelRecibeInterno","Descargar")</f>
        <v>Descargar</v>
      </c>
    </row>
    <row r="4768" spans="1:18" x14ac:dyDescent="0.3">
      <c r="A4768">
        <v>1465472</v>
      </c>
      <c r="B4768" t="s">
        <v>18</v>
      </c>
      <c r="C4768" t="s">
        <v>28</v>
      </c>
      <c r="D4768" t="s">
        <v>181</v>
      </c>
      <c r="E4768" t="s">
        <v>2629</v>
      </c>
      <c r="F4768" t="s">
        <v>22</v>
      </c>
      <c r="G4768" t="s">
        <v>23</v>
      </c>
      <c r="H4768" t="s">
        <v>24</v>
      </c>
      <c r="I4768" t="s">
        <v>25</v>
      </c>
      <c r="J4768" t="s">
        <v>3590</v>
      </c>
      <c r="K4768">
        <v>11</v>
      </c>
      <c r="L4768">
        <v>1</v>
      </c>
      <c r="M4768">
        <v>2025</v>
      </c>
      <c r="N4768" t="s">
        <v>44</v>
      </c>
      <c r="O4768">
        <v>50</v>
      </c>
      <c r="P4768">
        <v>50</v>
      </c>
      <c r="R4768" s="3" t="str">
        <f>HYPERLINK("https://panda.att.com.mx/ODKServer/view/binaryData?blobKey=FSSuministroFluidosv3%5B%40version%3Dnull+and+%40uiVersion%3Dnull%5D%2Fdata%5B%40key%3Duuid%3A76e99794-8064-4e05-aaa2-fb476e334708%5D%2FgroupInfoFuel%5B%40ordinal%3D1%5D%2FpicFuelRecibeInterno","Descargar")</f>
        <v>Descargar</v>
      </c>
    </row>
    <row r="4769" spans="1:18" x14ac:dyDescent="0.3">
      <c r="A4769">
        <v>1465434</v>
      </c>
      <c r="B4769" t="s">
        <v>18</v>
      </c>
      <c r="C4769" t="s">
        <v>68</v>
      </c>
      <c r="D4769" t="s">
        <v>116</v>
      </c>
      <c r="E4769" t="s">
        <v>3591</v>
      </c>
      <c r="F4769" t="s">
        <v>22</v>
      </c>
      <c r="G4769" t="s">
        <v>23</v>
      </c>
      <c r="H4769" t="s">
        <v>37</v>
      </c>
      <c r="I4769" t="s">
        <v>25</v>
      </c>
      <c r="J4769" t="s">
        <v>3592</v>
      </c>
      <c r="K4769">
        <v>15</v>
      </c>
      <c r="L4769">
        <v>1</v>
      </c>
      <c r="M4769">
        <v>2025</v>
      </c>
      <c r="N4769" t="s">
        <v>44</v>
      </c>
      <c r="O4769">
        <v>25</v>
      </c>
      <c r="P4769">
        <v>25</v>
      </c>
      <c r="R4769" s="3" t="str">
        <f>HYPERLINK("https://panda.att.com.mx/ODKServer/view/binaryData?blobKey=FSSuministroFluidosv3%5B%40version%3Dnull+and+%40uiVersion%3Dnull%5D%2Fdata%5B%40key%3Duuid%3A0d6252bf-40d0-4ee7-8c49-3eea8b9edc5b%5D%2FgroupInfoFuel%5B%40ordinal%3D1%5D%2FpicFuelRecibeInterno","Descargar")</f>
        <v>Descargar</v>
      </c>
    </row>
    <row r="4770" spans="1:18" x14ac:dyDescent="0.3">
      <c r="A4770">
        <v>1465433</v>
      </c>
      <c r="B4770" t="s">
        <v>18</v>
      </c>
      <c r="C4770" t="s">
        <v>55</v>
      </c>
      <c r="D4770" t="s">
        <v>288</v>
      </c>
      <c r="E4770" t="s">
        <v>440</v>
      </c>
      <c r="F4770" t="s">
        <v>22</v>
      </c>
      <c r="G4770" t="s">
        <v>23</v>
      </c>
      <c r="H4770" t="s">
        <v>1763</v>
      </c>
      <c r="I4770" t="s">
        <v>25</v>
      </c>
      <c r="J4770" t="s">
        <v>3593</v>
      </c>
      <c r="K4770">
        <v>6</v>
      </c>
      <c r="L4770">
        <v>1</v>
      </c>
      <c r="M4770">
        <v>2025</v>
      </c>
      <c r="N4770" t="s">
        <v>27</v>
      </c>
      <c r="O4770">
        <v>300</v>
      </c>
      <c r="P4770">
        <v>300</v>
      </c>
      <c r="R4770" s="3" t="str">
        <f>HYPERLINK("https://panda.att.com.mx/ODKServer/view/binaryData?blobKey=FSSuministroFluidosv3%5B%40version%3Dnull+and+%40uiVersion%3Dnull%5D%2Fdata%5B%40key%3Duuid%3A39e6efd1-6481-4920-a490-231f4dddf257%5D%2FgroupInfoFuel%5B%40ordinal%3D1%5D%2FpicFuelRecibeInterno","Descargar")</f>
        <v>Descargar</v>
      </c>
    </row>
    <row r="4771" spans="1:18" x14ac:dyDescent="0.3">
      <c r="A4771">
        <v>1465422</v>
      </c>
      <c r="B4771" t="s">
        <v>18</v>
      </c>
      <c r="C4771" t="s">
        <v>55</v>
      </c>
      <c r="D4771" t="s">
        <v>56</v>
      </c>
      <c r="E4771" t="s">
        <v>2735</v>
      </c>
      <c r="F4771" t="s">
        <v>22</v>
      </c>
      <c r="G4771" t="s">
        <v>23</v>
      </c>
      <c r="H4771" t="s">
        <v>1763</v>
      </c>
      <c r="I4771" t="s">
        <v>25</v>
      </c>
      <c r="J4771" t="s">
        <v>3594</v>
      </c>
      <c r="K4771">
        <v>11</v>
      </c>
      <c r="L4771">
        <v>1</v>
      </c>
      <c r="M4771">
        <v>2025</v>
      </c>
      <c r="N4771" t="s">
        <v>27</v>
      </c>
      <c r="O4771">
        <v>100</v>
      </c>
      <c r="P4771">
        <v>100</v>
      </c>
      <c r="R4771" s="3" t="str">
        <f>HYPERLINK("https://panda.att.com.mx/ODKServer/view/binaryData?blobKey=FSSuministroFluidosv3%5B%40version%3Dnull+and+%40uiVersion%3Dnull%5D%2Fdata%5B%40key%3Duuid%3A6d4fbebb-0ef2-467d-b130-8030cd064512%5D%2FgroupInfoFuel%5B%40ordinal%3D1%5D%2FpicFuelRecibeInterno","Descargar")</f>
        <v>Descargar</v>
      </c>
    </row>
    <row r="4772" spans="1:18" x14ac:dyDescent="0.3">
      <c r="A4772">
        <v>1465421</v>
      </c>
      <c r="B4772" t="s">
        <v>18</v>
      </c>
      <c r="C4772" t="s">
        <v>28</v>
      </c>
      <c r="D4772" t="s">
        <v>181</v>
      </c>
      <c r="E4772" t="s">
        <v>3595</v>
      </c>
      <c r="F4772" t="s">
        <v>22</v>
      </c>
      <c r="G4772" t="s">
        <v>47</v>
      </c>
      <c r="H4772" t="s">
        <v>24</v>
      </c>
      <c r="I4772" t="s">
        <v>25</v>
      </c>
      <c r="J4772" t="s">
        <v>3596</v>
      </c>
      <c r="K4772">
        <v>13</v>
      </c>
      <c r="L4772">
        <v>1</v>
      </c>
      <c r="M4772">
        <v>2025</v>
      </c>
      <c r="N4772" t="s">
        <v>27</v>
      </c>
      <c r="O4772">
        <v>100</v>
      </c>
      <c r="P4772">
        <v>100</v>
      </c>
      <c r="R4772" s="3" t="str">
        <f>HYPERLINK("https://panda.att.com.mx/ODKServer/view/binaryData?blobKey=FSSuministroFluidosv3%5B%40version%3Dnull+and+%40uiVersion%3Dnull%5D%2Fdata%5B%40key%3Duuid%3A587aa48a-d524-465f-8ceb-da0ea747b4bf%5D%2FgroupInfoFuel%5B%40ordinal%3D1%5D%2FpicFuelRecibeInterno","Descargar")</f>
        <v>Descargar</v>
      </c>
    </row>
    <row r="4773" spans="1:18" x14ac:dyDescent="0.3">
      <c r="A4773">
        <v>1465407</v>
      </c>
      <c r="B4773" t="s">
        <v>18</v>
      </c>
      <c r="C4773" t="s">
        <v>55</v>
      </c>
      <c r="D4773" t="s">
        <v>56</v>
      </c>
      <c r="E4773" t="s">
        <v>3597</v>
      </c>
      <c r="F4773" t="s">
        <v>22</v>
      </c>
      <c r="G4773" t="s">
        <v>23</v>
      </c>
      <c r="H4773" t="s">
        <v>1763</v>
      </c>
      <c r="I4773" t="s">
        <v>25</v>
      </c>
      <c r="J4773" t="s">
        <v>3598</v>
      </c>
      <c r="K4773">
        <v>15</v>
      </c>
      <c r="L4773">
        <v>1</v>
      </c>
      <c r="M4773">
        <v>2025</v>
      </c>
      <c r="N4773" t="s">
        <v>27</v>
      </c>
      <c r="O4773">
        <v>300</v>
      </c>
      <c r="P4773">
        <v>300</v>
      </c>
      <c r="R4773" s="3" t="str">
        <f>HYPERLINK("https://panda.att.com.mx/ODKServer/view/binaryData?blobKey=FSSuministroFluidosv3%5B%40version%3Dnull+and+%40uiVersion%3Dnull%5D%2Fdata%5B%40key%3Duuid%3Aa07d7b7c-ff7f-4289-bd74-8d02a16656d0%5D%2FgroupInfoFuel%5B%40ordinal%3D1%5D%2FpicFuelRecibeInterno","Descargar")</f>
        <v>Descargar</v>
      </c>
    </row>
    <row r="4774" spans="1:18" x14ac:dyDescent="0.3">
      <c r="A4774">
        <v>1465355</v>
      </c>
      <c r="B4774" t="s">
        <v>18</v>
      </c>
      <c r="C4774" t="s">
        <v>55</v>
      </c>
      <c r="D4774" t="s">
        <v>128</v>
      </c>
      <c r="E4774" t="s">
        <v>2000</v>
      </c>
      <c r="F4774" t="s">
        <v>22</v>
      </c>
      <c r="G4774" t="s">
        <v>23</v>
      </c>
      <c r="H4774" t="s">
        <v>1763</v>
      </c>
      <c r="I4774" t="s">
        <v>25</v>
      </c>
      <c r="J4774" t="s">
        <v>3599</v>
      </c>
      <c r="K4774">
        <v>6</v>
      </c>
      <c r="L4774">
        <v>1</v>
      </c>
      <c r="M4774">
        <v>2025</v>
      </c>
      <c r="N4774" t="s">
        <v>27</v>
      </c>
      <c r="O4774">
        <v>300</v>
      </c>
      <c r="P4774">
        <v>300</v>
      </c>
      <c r="R4774" s="3" t="str">
        <f>HYPERLINK("https://panda.att.com.mx/ODKServer/view/binaryData?blobKey=FSSuministroFluidosv3%5B%40version%3Dnull+and+%40uiVersion%3Dnull%5D%2Fdata%5B%40key%3Duuid%3A26f36fa3-ac7f-4204-b1a1-f287b4103d04%5D%2FgroupInfoFuel%5B%40ordinal%3D1%5D%2FpicFuelRecibeInterno","Descargar")</f>
        <v>Descargar</v>
      </c>
    </row>
    <row r="4775" spans="1:18" x14ac:dyDescent="0.3">
      <c r="A4775">
        <v>1466617</v>
      </c>
      <c r="B4775" t="s">
        <v>18</v>
      </c>
      <c r="C4775" t="s">
        <v>34</v>
      </c>
      <c r="D4775" t="s">
        <v>121</v>
      </c>
      <c r="E4775" t="s">
        <v>3102</v>
      </c>
      <c r="F4775" t="s">
        <v>22</v>
      </c>
      <c r="G4775" t="s">
        <v>23</v>
      </c>
      <c r="H4775" t="s">
        <v>37</v>
      </c>
      <c r="I4775" t="s">
        <v>25</v>
      </c>
      <c r="J4775" t="s">
        <v>3600</v>
      </c>
      <c r="K4775">
        <v>17</v>
      </c>
      <c r="L4775">
        <v>1</v>
      </c>
      <c r="M4775">
        <v>2025</v>
      </c>
      <c r="N4775" t="s">
        <v>27</v>
      </c>
      <c r="O4775">
        <v>200</v>
      </c>
      <c r="P4775">
        <v>200</v>
      </c>
      <c r="R4775" s="3" t="str">
        <f>HYPERLINK("https://panda.att.com.mx/ODKServer/view/binaryData?blobKey=FSSuministroFluidosv3%5B%40version%3Dnull+and+%40uiVersion%3Dnull%5D%2Fdata%5B%40key%3Duuid%3A28ad42ca-de55-4f5e-b036-929284fcf95b%5D%2FgroupInfoFuel%5B%40ordinal%3D1%5D%2FpicFuelRecibeInterno","Descargar")</f>
        <v>Descargar</v>
      </c>
    </row>
    <row r="4776" spans="1:18" x14ac:dyDescent="0.3">
      <c r="A4776">
        <v>1466616</v>
      </c>
      <c r="B4776" t="s">
        <v>18</v>
      </c>
      <c r="C4776" t="s">
        <v>34</v>
      </c>
      <c r="D4776" t="s">
        <v>121</v>
      </c>
      <c r="E4776" t="s">
        <v>3086</v>
      </c>
      <c r="F4776" t="s">
        <v>22</v>
      </c>
      <c r="G4776" t="s">
        <v>23</v>
      </c>
      <c r="H4776" t="s">
        <v>37</v>
      </c>
      <c r="I4776" t="s">
        <v>25</v>
      </c>
      <c r="J4776" t="s">
        <v>3601</v>
      </c>
      <c r="K4776">
        <v>17</v>
      </c>
      <c r="L4776">
        <v>1</v>
      </c>
      <c r="M4776">
        <v>2025</v>
      </c>
      <c r="N4776" t="s">
        <v>27</v>
      </c>
      <c r="O4776">
        <v>300</v>
      </c>
      <c r="P4776">
        <v>300</v>
      </c>
      <c r="R4776" s="3" t="str">
        <f>HYPERLINK("https://panda.att.com.mx/ODKServer/view/binaryData?blobKey=FSSuministroFluidosv3%5B%40version%3Dnull+and+%40uiVersion%3Dnull%5D%2Fdata%5B%40key%3Duuid%3A63ee0781-d01c-4da3-9d04-af863d6c8eb5%5D%2FgroupInfoFuel%5B%40ordinal%3D1%5D%2FpicFuelRecibeInterno","Descargar")</f>
        <v>Descargar</v>
      </c>
    </row>
    <row r="4777" spans="1:18" x14ac:dyDescent="0.3">
      <c r="A4777">
        <v>1466605</v>
      </c>
      <c r="B4777" t="s">
        <v>18</v>
      </c>
      <c r="C4777" t="s">
        <v>55</v>
      </c>
      <c r="D4777" t="s">
        <v>288</v>
      </c>
      <c r="E4777" t="s">
        <v>1978</v>
      </c>
      <c r="F4777" t="s">
        <v>22</v>
      </c>
      <c r="G4777" t="s">
        <v>47</v>
      </c>
      <c r="H4777" t="s">
        <v>1763</v>
      </c>
      <c r="I4777" t="s">
        <v>25</v>
      </c>
      <c r="J4777" t="s">
        <v>3602</v>
      </c>
      <c r="K4777">
        <v>17</v>
      </c>
      <c r="L4777">
        <v>1</v>
      </c>
      <c r="M4777">
        <v>2025</v>
      </c>
      <c r="N4777" t="s">
        <v>27</v>
      </c>
      <c r="O4777">
        <v>200</v>
      </c>
      <c r="P4777">
        <v>200</v>
      </c>
      <c r="R4777" s="3" t="str">
        <f>HYPERLINK("https://panda.att.com.mx/ODKServer/view/binaryData?blobKey=FSSuministroFluidosv3%5B%40version%3Dnull+and+%40uiVersion%3Dnull%5D%2Fdata%5B%40key%3Duuid%3A43c01cba-041a-4e95-a7d1-bd02c3e4b4f4%5D%2FgroupInfoFuel%5B%40ordinal%3D1%5D%2FpicFuelRecibeInterno","Descargar")</f>
        <v>Descargar</v>
      </c>
    </row>
    <row r="4778" spans="1:18" x14ac:dyDescent="0.3">
      <c r="A4778">
        <v>1466574</v>
      </c>
      <c r="B4778" t="s">
        <v>18</v>
      </c>
      <c r="C4778" t="s">
        <v>55</v>
      </c>
      <c r="D4778" t="s">
        <v>128</v>
      </c>
      <c r="E4778" t="s">
        <v>2000</v>
      </c>
      <c r="F4778" t="s">
        <v>22</v>
      </c>
      <c r="G4778" t="s">
        <v>47</v>
      </c>
      <c r="H4778" t="s">
        <v>1763</v>
      </c>
      <c r="I4778" t="s">
        <v>25</v>
      </c>
      <c r="J4778" t="s">
        <v>3603</v>
      </c>
      <c r="K4778">
        <v>17</v>
      </c>
      <c r="L4778">
        <v>1</v>
      </c>
      <c r="M4778">
        <v>2025</v>
      </c>
      <c r="N4778" t="s">
        <v>27</v>
      </c>
      <c r="O4778">
        <v>200</v>
      </c>
      <c r="P4778">
        <v>200</v>
      </c>
      <c r="R4778" s="3" t="str">
        <f>HYPERLINK("https://panda.att.com.mx/ODKServer/view/binaryData?blobKey=FSSuministroFluidosv3%5B%40version%3Dnull+and+%40uiVersion%3Dnull%5D%2Fdata%5B%40key%3Duuid%3A71c6128e-6af8-4003-9c50-e1dc39a25472%5D%2FgroupInfoFuel%5B%40ordinal%3D1%5D%2FpicFuelRecibeInterno","Descargar")</f>
        <v>Descargar</v>
      </c>
    </row>
    <row r="4779" spans="1:18" x14ac:dyDescent="0.3">
      <c r="A4779">
        <v>1466566</v>
      </c>
      <c r="B4779" t="s">
        <v>18</v>
      </c>
      <c r="C4779" t="s">
        <v>100</v>
      </c>
      <c r="D4779" t="s">
        <v>101</v>
      </c>
      <c r="E4779" t="s">
        <v>3005</v>
      </c>
      <c r="F4779" t="s">
        <v>22</v>
      </c>
      <c r="G4779" t="s">
        <v>23</v>
      </c>
      <c r="H4779" t="s">
        <v>1781</v>
      </c>
      <c r="I4779" t="s">
        <v>25</v>
      </c>
      <c r="J4779" t="s">
        <v>3604</v>
      </c>
      <c r="K4779">
        <v>17</v>
      </c>
      <c r="L4779">
        <v>1</v>
      </c>
      <c r="M4779">
        <v>2025</v>
      </c>
      <c r="N4779" t="s">
        <v>27</v>
      </c>
      <c r="O4779">
        <v>178</v>
      </c>
      <c r="P4779">
        <v>178</v>
      </c>
      <c r="R4779" s="3" t="str">
        <f>HYPERLINK("https://panda.att.com.mx/ODKServer/view/binaryData?blobKey=FSSuministroFluidosv3%5B%40version%3Dnull+and+%40uiVersion%3Dnull%5D%2Fdata%5B%40key%3Duuid%3Adb888697-c217-469b-9533-577a01f60333%5D%2FgroupInfoFuel%5B%40ordinal%3D1%5D%2FpicFuelRecibeInterno","Descargar")</f>
        <v>Descargar</v>
      </c>
    </row>
    <row r="4780" spans="1:18" x14ac:dyDescent="0.3">
      <c r="A4780">
        <v>1466565</v>
      </c>
      <c r="B4780" t="s">
        <v>18</v>
      </c>
      <c r="C4780" t="s">
        <v>55</v>
      </c>
      <c r="D4780" t="s">
        <v>366</v>
      </c>
      <c r="E4780" t="s">
        <v>1854</v>
      </c>
      <c r="F4780" t="s">
        <v>22</v>
      </c>
      <c r="G4780" t="s">
        <v>83</v>
      </c>
      <c r="H4780" t="s">
        <v>1781</v>
      </c>
      <c r="I4780" t="s">
        <v>25</v>
      </c>
      <c r="J4780" t="s">
        <v>3605</v>
      </c>
      <c r="K4780">
        <v>17</v>
      </c>
      <c r="L4780">
        <v>1</v>
      </c>
      <c r="M4780">
        <v>2025</v>
      </c>
      <c r="N4780" t="s">
        <v>27</v>
      </c>
      <c r="O4780">
        <v>150</v>
      </c>
      <c r="P4780">
        <v>150</v>
      </c>
      <c r="R4780" s="3" t="str">
        <f>HYPERLINK("https://panda.att.com.mx/ODKServer/view/binaryData?blobKey=FSSuministroFluidosv3%5B%40version%3Dnull+and+%40uiVersion%3Dnull%5D%2Fdata%5B%40key%3Duuid%3A077fd4f3-a2d1-477d-95f5-ab0a8bb09478%5D%2FgroupInfoFuel%5B%40ordinal%3D1%5D%2FpicFuelRecibeInterno","Descargar")</f>
        <v>Descargar</v>
      </c>
    </row>
    <row r="4781" spans="1:18" x14ac:dyDescent="0.3">
      <c r="A4781">
        <v>1466541</v>
      </c>
      <c r="B4781" t="s">
        <v>18</v>
      </c>
      <c r="C4781" t="s">
        <v>55</v>
      </c>
      <c r="D4781" t="s">
        <v>288</v>
      </c>
      <c r="E4781" t="s">
        <v>1826</v>
      </c>
      <c r="F4781" t="s">
        <v>22</v>
      </c>
      <c r="G4781" t="s">
        <v>47</v>
      </c>
      <c r="H4781" t="s">
        <v>1763</v>
      </c>
      <c r="I4781" t="s">
        <v>25</v>
      </c>
      <c r="J4781" t="s">
        <v>3606</v>
      </c>
      <c r="K4781">
        <v>17</v>
      </c>
      <c r="L4781">
        <v>1</v>
      </c>
      <c r="M4781">
        <v>2025</v>
      </c>
      <c r="N4781" t="s">
        <v>27</v>
      </c>
      <c r="O4781">
        <v>150</v>
      </c>
      <c r="P4781">
        <v>150</v>
      </c>
      <c r="R4781" s="3" t="str">
        <f>HYPERLINK("https://panda.att.com.mx/ODKServer/view/binaryData?blobKey=FSSuministroFluidosv3%5B%40version%3Dnull+and+%40uiVersion%3Dnull%5D%2Fdata%5B%40key%3Duuid%3A86ee90e5-d42c-4722-8c49-5c5cbc0815f6%5D%2FgroupInfoFuel%5B%40ordinal%3D1%5D%2FpicFuelRecibeInterno","Descargar")</f>
        <v>Descargar</v>
      </c>
    </row>
    <row r="4782" spans="1:18" x14ac:dyDescent="0.3">
      <c r="A4782">
        <v>1466393</v>
      </c>
      <c r="B4782" t="s">
        <v>18</v>
      </c>
      <c r="C4782" t="s">
        <v>150</v>
      </c>
      <c r="D4782" t="s">
        <v>230</v>
      </c>
      <c r="E4782" t="s">
        <v>1510</v>
      </c>
      <c r="F4782" t="s">
        <v>22</v>
      </c>
      <c r="G4782" t="s">
        <v>23</v>
      </c>
      <c r="H4782" t="s">
        <v>1781</v>
      </c>
      <c r="I4782" t="s">
        <v>25</v>
      </c>
      <c r="J4782" t="s">
        <v>3607</v>
      </c>
      <c r="K4782">
        <v>17</v>
      </c>
      <c r="L4782">
        <v>1</v>
      </c>
      <c r="M4782">
        <v>2025</v>
      </c>
      <c r="N4782" t="s">
        <v>27</v>
      </c>
      <c r="O4782">
        <v>300.02999999999997</v>
      </c>
      <c r="P4782">
        <v>300.02999999999997</v>
      </c>
      <c r="R4782" s="3" t="str">
        <f>HYPERLINK("https://panda.att.com.mx/ODKServer/view/binaryData?blobKey=FSSuministroFluidosv3%5B%40version%3Dnull+and+%40uiVersion%3Dnull%5D%2Fdata%5B%40key%3Duuid%3A87496d28-5944-44a5-bd8c-405394dfe8d8%5D%2FgroupInfoFuel%5B%40ordinal%3D1%5D%2FpicFuelRecibeInterno","Descargar")</f>
        <v>Descargar</v>
      </c>
    </row>
    <row r="4783" spans="1:18" x14ac:dyDescent="0.3">
      <c r="A4783">
        <v>1466391</v>
      </c>
      <c r="B4783" t="s">
        <v>18</v>
      </c>
      <c r="C4783" t="s">
        <v>68</v>
      </c>
      <c r="D4783" t="s">
        <v>258</v>
      </c>
      <c r="E4783" t="s">
        <v>3407</v>
      </c>
      <c r="F4783" t="s">
        <v>22</v>
      </c>
      <c r="G4783" t="s">
        <v>23</v>
      </c>
      <c r="H4783" t="s">
        <v>37</v>
      </c>
      <c r="I4783" t="s">
        <v>25</v>
      </c>
      <c r="J4783" t="s">
        <v>3608</v>
      </c>
      <c r="K4783">
        <v>17</v>
      </c>
      <c r="L4783">
        <v>1</v>
      </c>
      <c r="M4783">
        <v>2025</v>
      </c>
      <c r="N4783" t="s">
        <v>27</v>
      </c>
      <c r="O4783">
        <v>200</v>
      </c>
      <c r="P4783">
        <v>200</v>
      </c>
      <c r="R4783" s="3" t="str">
        <f>HYPERLINK("https://panda.att.com.mx/ODKServer/view/binaryData?blobKey=FSSuministroFluidosv3%5B%40version%3Dnull+and+%40uiVersion%3Dnull%5D%2Fdata%5B%40key%3Duuid%3A47c8c3fb-dd3e-4d25-aca0-f73f17cf2666%5D%2FgroupInfoFuel%5B%40ordinal%3D1%5D%2FpicFuelRecibeInterno","Descargar")</f>
        <v>Descargar</v>
      </c>
    </row>
    <row r="4784" spans="1:18" x14ac:dyDescent="0.3">
      <c r="A4784">
        <v>1466383</v>
      </c>
      <c r="B4784" t="s">
        <v>18</v>
      </c>
      <c r="C4784" t="s">
        <v>55</v>
      </c>
      <c r="D4784" t="s">
        <v>210</v>
      </c>
      <c r="E4784" t="s">
        <v>1912</v>
      </c>
      <c r="F4784" t="s">
        <v>22</v>
      </c>
      <c r="G4784" t="s">
        <v>47</v>
      </c>
      <c r="H4784" t="s">
        <v>1763</v>
      </c>
      <c r="I4784" t="s">
        <v>25</v>
      </c>
      <c r="J4784" t="s">
        <v>3609</v>
      </c>
      <c r="K4784">
        <v>16</v>
      </c>
      <c r="L4784">
        <v>1</v>
      </c>
      <c r="M4784">
        <v>2025</v>
      </c>
      <c r="N4784" t="s">
        <v>27</v>
      </c>
      <c r="O4784">
        <v>250</v>
      </c>
      <c r="P4784">
        <v>250</v>
      </c>
      <c r="R4784" s="3" t="str">
        <f>HYPERLINK("https://panda.att.com.mx/ODKServer/view/binaryData?blobKey=FSSuministroFluidosv3%5B%40version%3Dnull+and+%40uiVersion%3Dnull%5D%2Fdata%5B%40key%3Duuid%3A85c166d1-81ee-491a-abf6-80a31bf41bd7%5D%2FgroupInfoFuel%5B%40ordinal%3D1%5D%2FpicFuelRecibeInterno","Descargar")</f>
        <v>Descargar</v>
      </c>
    </row>
    <row r="4785" spans="1:18" x14ac:dyDescent="0.3">
      <c r="A4785">
        <v>1466369</v>
      </c>
      <c r="B4785" t="s">
        <v>18</v>
      </c>
      <c r="C4785" t="s">
        <v>55</v>
      </c>
      <c r="D4785" t="s">
        <v>56</v>
      </c>
      <c r="E4785" t="s">
        <v>3610</v>
      </c>
      <c r="F4785" t="s">
        <v>22</v>
      </c>
      <c r="G4785" t="s">
        <v>47</v>
      </c>
      <c r="H4785" t="s">
        <v>1763</v>
      </c>
      <c r="I4785" t="s">
        <v>25</v>
      </c>
      <c r="J4785" t="s">
        <v>3611</v>
      </c>
      <c r="K4785">
        <v>15</v>
      </c>
      <c r="L4785">
        <v>1</v>
      </c>
      <c r="M4785">
        <v>2025</v>
      </c>
      <c r="N4785" t="s">
        <v>27</v>
      </c>
      <c r="O4785">
        <v>100</v>
      </c>
      <c r="P4785">
        <v>100</v>
      </c>
      <c r="R4785" s="3" t="str">
        <f>HYPERLINK("https://panda.att.com.mx/ODKServer/view/binaryData?blobKey=FSSuministroFluidosv3%5B%40version%3Dnull+and+%40uiVersion%3Dnull%5D%2Fdata%5B%40key%3Duuid%3A257ffcd7-43e7-4e61-a8c5-706287f25380%5D%2FgroupInfoFuel%5B%40ordinal%3D1%5D%2FpicFuelRecibeInterno","Descargar")</f>
        <v>Descargar</v>
      </c>
    </row>
    <row r="4786" spans="1:18" x14ac:dyDescent="0.3">
      <c r="A4786">
        <v>1466352</v>
      </c>
      <c r="B4786" t="s">
        <v>18</v>
      </c>
      <c r="C4786" t="s">
        <v>55</v>
      </c>
      <c r="D4786" t="s">
        <v>107</v>
      </c>
      <c r="E4786" t="s">
        <v>108</v>
      </c>
      <c r="F4786" t="s">
        <v>22</v>
      </c>
      <c r="G4786" t="s">
        <v>47</v>
      </c>
      <c r="H4786" t="s">
        <v>1763</v>
      </c>
      <c r="I4786" t="s">
        <v>25</v>
      </c>
      <c r="J4786" t="s">
        <v>3612</v>
      </c>
      <c r="K4786">
        <v>15</v>
      </c>
      <c r="L4786">
        <v>1</v>
      </c>
      <c r="M4786">
        <v>2025</v>
      </c>
      <c r="N4786" t="s">
        <v>27</v>
      </c>
      <c r="O4786">
        <v>250</v>
      </c>
      <c r="P4786">
        <v>250</v>
      </c>
      <c r="R4786" s="3" t="str">
        <f>HYPERLINK("https://panda.att.com.mx/ODKServer/view/binaryData?blobKey=FSSuministroFluidosv3%5B%40version%3Dnull+and+%40uiVersion%3Dnull%5D%2Fdata%5B%40key%3Duuid%3A806c6f73-6714-4293-b136-9b9ac9d581a5%5D%2FgroupInfoFuel%5B%40ordinal%3D1%5D%2FpicFuelRecibeInterno","Descargar")</f>
        <v>Descargar</v>
      </c>
    </row>
    <row r="4787" spans="1:18" x14ac:dyDescent="0.3">
      <c r="A4787">
        <v>1466342</v>
      </c>
      <c r="B4787" t="s">
        <v>18</v>
      </c>
      <c r="C4787" t="s">
        <v>183</v>
      </c>
      <c r="D4787" t="s">
        <v>3280</v>
      </c>
      <c r="E4787" t="s">
        <v>3281</v>
      </c>
      <c r="F4787" t="s">
        <v>22</v>
      </c>
      <c r="G4787" t="s">
        <v>23</v>
      </c>
      <c r="H4787" t="s">
        <v>37</v>
      </c>
      <c r="I4787" t="s">
        <v>25</v>
      </c>
      <c r="J4787" t="s">
        <v>3613</v>
      </c>
      <c r="K4787">
        <v>16</v>
      </c>
      <c r="L4787">
        <v>1</v>
      </c>
      <c r="M4787">
        <v>2025</v>
      </c>
      <c r="N4787" t="s">
        <v>27</v>
      </c>
      <c r="O4787">
        <v>112.2</v>
      </c>
      <c r="P4787">
        <v>112.2</v>
      </c>
      <c r="R4787" s="3" t="str">
        <f>HYPERLINK("https://panda.att.com.mx/ODKServer/view/binaryData?blobKey=FSSuministroFluidosv3%5B%40version%3Dnull+and+%40uiVersion%3Dnull%5D%2Fdata%5B%40key%3Duuid%3Aa37b62ec-13d4-48b0-8203-46414fa38a42%5D%2FgroupInfoFuel%5B%40ordinal%3D1%5D%2FpicFuelRecibeInterno","Descargar")</f>
        <v>Descargar</v>
      </c>
    </row>
    <row r="4788" spans="1:18" x14ac:dyDescent="0.3">
      <c r="A4788">
        <v>1466340</v>
      </c>
      <c r="B4788" t="s">
        <v>18</v>
      </c>
      <c r="C4788" t="s">
        <v>100</v>
      </c>
      <c r="D4788" t="s">
        <v>101</v>
      </c>
      <c r="E4788" t="s">
        <v>1646</v>
      </c>
      <c r="F4788" t="s">
        <v>22</v>
      </c>
      <c r="G4788" t="s">
        <v>23</v>
      </c>
      <c r="H4788" t="s">
        <v>1781</v>
      </c>
      <c r="I4788" t="s">
        <v>25</v>
      </c>
      <c r="J4788" t="s">
        <v>3614</v>
      </c>
      <c r="K4788">
        <v>16</v>
      </c>
      <c r="L4788">
        <v>1</v>
      </c>
      <c r="M4788">
        <v>2025</v>
      </c>
      <c r="N4788" t="s">
        <v>27</v>
      </c>
      <c r="O4788">
        <v>200</v>
      </c>
      <c r="P4788">
        <v>200</v>
      </c>
      <c r="R4788" s="3" t="str">
        <f>HYPERLINK("https://panda.att.com.mx/ODKServer/view/binaryData?blobKey=FSSuministroFluidosv3%5B%40version%3Dnull+and+%40uiVersion%3Dnull%5D%2Fdata%5B%40key%3Duuid%3A168233be-2c58-4535-b265-2d0876493fd0%5D%2FgroupInfoFuel%5B%40ordinal%3D1%5D%2FpicFuelRecibeInterno","Descargar")</f>
        <v>Descargar</v>
      </c>
    </row>
    <row r="4789" spans="1:18" x14ac:dyDescent="0.3">
      <c r="A4789">
        <v>1466329</v>
      </c>
      <c r="B4789" t="s">
        <v>18</v>
      </c>
      <c r="C4789" t="s">
        <v>34</v>
      </c>
      <c r="D4789" t="s">
        <v>71</v>
      </c>
      <c r="E4789" t="s">
        <v>72</v>
      </c>
      <c r="F4789" t="s">
        <v>22</v>
      </c>
      <c r="G4789" t="s">
        <v>23</v>
      </c>
      <c r="H4789" t="s">
        <v>37</v>
      </c>
      <c r="I4789" t="s">
        <v>25</v>
      </c>
      <c r="J4789" t="s">
        <v>3615</v>
      </c>
      <c r="K4789">
        <v>16</v>
      </c>
      <c r="L4789">
        <v>1</v>
      </c>
      <c r="M4789">
        <v>2025</v>
      </c>
      <c r="N4789" t="s">
        <v>27</v>
      </c>
      <c r="O4789">
        <v>600</v>
      </c>
      <c r="P4789">
        <v>600</v>
      </c>
      <c r="R4789" s="3" t="str">
        <f>HYPERLINK("https://panda.att.com.mx/ODKServer/view/binaryData?blobKey=FSSuministroFluidosv3%5B%40version%3Dnull+and+%40uiVersion%3Dnull%5D%2Fdata%5B%40key%3Duuid%3A0386612e-2b24-4f64-ba7e-a5d5be52920a%5D%2FgroupInfoFuel%5B%40ordinal%3D1%5D%2FpicFuelRecibeInterno","Descargar")</f>
        <v>Descargar</v>
      </c>
    </row>
    <row r="4790" spans="1:18" x14ac:dyDescent="0.3">
      <c r="A4790">
        <v>1466328</v>
      </c>
      <c r="B4790" t="s">
        <v>18</v>
      </c>
      <c r="C4790" t="s">
        <v>34</v>
      </c>
      <c r="D4790" t="s">
        <v>53</v>
      </c>
      <c r="E4790" t="s">
        <v>491</v>
      </c>
      <c r="F4790" t="s">
        <v>22</v>
      </c>
      <c r="G4790" t="s">
        <v>23</v>
      </c>
      <c r="H4790" t="s">
        <v>37</v>
      </c>
      <c r="I4790" t="s">
        <v>25</v>
      </c>
      <c r="J4790" t="s">
        <v>3616</v>
      </c>
      <c r="K4790">
        <v>16</v>
      </c>
      <c r="L4790">
        <v>1</v>
      </c>
      <c r="M4790">
        <v>2025</v>
      </c>
      <c r="N4790" t="s">
        <v>27</v>
      </c>
      <c r="O4790">
        <v>400</v>
      </c>
      <c r="Q4790">
        <v>400</v>
      </c>
      <c r="R4790" s="3" t="str">
        <f>HYPERLINK("https://panda.att.com.mx/ODKServer/view/binaryData?blobKey=FSSuministroFluidosv3%5B%40version%3Dnull+and+%40uiVersion%3Dnull%5D%2Fdata%5B%40key%3Duuid%3A62d6f384-accc-4fbb-b4e3-8a393ac89bae%5D%2FgroupInfoFuel%5B%40ordinal%3D1%5D%2FpicFuelRecibeInterno","Descargar")</f>
        <v>Descargar</v>
      </c>
    </row>
    <row r="4791" spans="1:18" x14ac:dyDescent="0.3">
      <c r="A4791">
        <v>1466327</v>
      </c>
      <c r="B4791" t="s">
        <v>18</v>
      </c>
      <c r="C4791" t="s">
        <v>34</v>
      </c>
      <c r="D4791" t="s">
        <v>53</v>
      </c>
      <c r="E4791" t="s">
        <v>1711</v>
      </c>
      <c r="F4791" t="s">
        <v>22</v>
      </c>
      <c r="G4791" t="s">
        <v>23</v>
      </c>
      <c r="H4791" t="s">
        <v>37</v>
      </c>
      <c r="I4791" t="s">
        <v>25</v>
      </c>
      <c r="J4791" t="s">
        <v>3617</v>
      </c>
      <c r="K4791">
        <v>16</v>
      </c>
      <c r="L4791">
        <v>1</v>
      </c>
      <c r="M4791">
        <v>2025</v>
      </c>
      <c r="N4791" t="s">
        <v>27</v>
      </c>
      <c r="O4791">
        <v>300</v>
      </c>
      <c r="Q4791">
        <v>300</v>
      </c>
      <c r="R4791" s="3" t="str">
        <f>HYPERLINK("https://panda.att.com.mx/ODKServer/view/binaryData?blobKey=FSSuministroFluidosv3%5B%40version%3Dnull+and+%40uiVersion%3Dnull%5D%2Fdata%5B%40key%3Duuid%3Ae4e16d24-ba84-4678-b3aa-dc9bda0f218b%5D%2FgroupInfoFuel%5B%40ordinal%3D1%5D%2FpicFuelRecibeInterno","Descargar")</f>
        <v>Descargar</v>
      </c>
    </row>
    <row r="4792" spans="1:18" x14ac:dyDescent="0.3">
      <c r="A4792">
        <v>1466326</v>
      </c>
      <c r="B4792" t="s">
        <v>18</v>
      </c>
      <c r="C4792" t="s">
        <v>34</v>
      </c>
      <c r="D4792" t="s">
        <v>53</v>
      </c>
      <c r="E4792" t="s">
        <v>285</v>
      </c>
      <c r="F4792" t="s">
        <v>22</v>
      </c>
      <c r="G4792" t="s">
        <v>23</v>
      </c>
      <c r="H4792" t="s">
        <v>37</v>
      </c>
      <c r="I4792" t="s">
        <v>25</v>
      </c>
      <c r="J4792" t="s">
        <v>3618</v>
      </c>
      <c r="K4792">
        <v>16</v>
      </c>
      <c r="L4792">
        <v>1</v>
      </c>
      <c r="M4792">
        <v>2025</v>
      </c>
      <c r="N4792" t="s">
        <v>27</v>
      </c>
      <c r="O4792">
        <v>200</v>
      </c>
      <c r="Q4792">
        <v>200</v>
      </c>
      <c r="R4792" s="3" t="str">
        <f>HYPERLINK("https://panda.att.com.mx/ODKServer/view/binaryData?blobKey=FSSuministroFluidosv3%5B%40version%3Dnull+and+%40uiVersion%3Dnull%5D%2Fdata%5B%40key%3Duuid%3A1f7fd354-b834-4807-83d2-e70bc56f1254%5D%2FgroupInfoFuel%5B%40ordinal%3D1%5D%2FpicFuelRecibeInterno","Descargar")</f>
        <v>Descargar</v>
      </c>
    </row>
    <row r="4793" spans="1:18" x14ac:dyDescent="0.3">
      <c r="A4793">
        <v>1466325</v>
      </c>
      <c r="B4793" t="s">
        <v>18</v>
      </c>
      <c r="C4793" t="s">
        <v>34</v>
      </c>
      <c r="D4793" t="s">
        <v>121</v>
      </c>
      <c r="E4793" t="s">
        <v>3619</v>
      </c>
      <c r="F4793" t="s">
        <v>22</v>
      </c>
      <c r="G4793" t="s">
        <v>23</v>
      </c>
      <c r="H4793" t="s">
        <v>37</v>
      </c>
      <c r="I4793" t="s">
        <v>25</v>
      </c>
      <c r="J4793" t="s">
        <v>3620</v>
      </c>
      <c r="K4793">
        <v>16</v>
      </c>
      <c r="L4793">
        <v>1</v>
      </c>
      <c r="M4793">
        <v>2025</v>
      </c>
      <c r="N4793" t="s">
        <v>27</v>
      </c>
      <c r="O4793">
        <v>150</v>
      </c>
      <c r="Q4793">
        <v>150</v>
      </c>
      <c r="R4793" s="3" t="str">
        <f>HYPERLINK("https://panda.att.com.mx/ODKServer/view/binaryData?blobKey=FSSuministroFluidosv3%5B%40version%3Dnull+and+%40uiVersion%3Dnull%5D%2Fdata%5B%40key%3Duuid%3A5d3719d9-c245-4eb8-8c02-16834d091b45%5D%2FgroupInfoFuel%5B%40ordinal%3D1%5D%2FpicFuelRecibeInterno","Descargar")</f>
        <v>Descargar</v>
      </c>
    </row>
    <row r="4794" spans="1:18" x14ac:dyDescent="0.3">
      <c r="A4794">
        <v>1466324</v>
      </c>
      <c r="B4794" t="s">
        <v>18</v>
      </c>
      <c r="C4794" t="s">
        <v>34</v>
      </c>
      <c r="D4794" t="s">
        <v>53</v>
      </c>
      <c r="E4794" t="s">
        <v>1760</v>
      </c>
      <c r="F4794" t="s">
        <v>22</v>
      </c>
      <c r="G4794" t="s">
        <v>23</v>
      </c>
      <c r="H4794" t="s">
        <v>37</v>
      </c>
      <c r="I4794" t="s">
        <v>25</v>
      </c>
      <c r="J4794" t="s">
        <v>3621</v>
      </c>
      <c r="K4794">
        <v>16</v>
      </c>
      <c r="L4794">
        <v>1</v>
      </c>
      <c r="M4794">
        <v>2025</v>
      </c>
      <c r="N4794" t="s">
        <v>27</v>
      </c>
      <c r="O4794">
        <v>250</v>
      </c>
      <c r="P4794">
        <v>250</v>
      </c>
      <c r="R4794" s="3" t="str">
        <f>HYPERLINK("https://panda.att.com.mx/ODKServer/view/binaryData?blobKey=FSSuministroFluidosv3%5B%40version%3Dnull+and+%40uiVersion%3Dnull%5D%2Fdata%5B%40key%3Duuid%3Ae36b9472-9acc-4bcd-9ff5-5a6a01fc055e%5D%2FgroupInfoFuel%5B%40ordinal%3D1%5D%2FpicFuelRecibeInterno","Descargar")</f>
        <v>Descargar</v>
      </c>
    </row>
    <row r="4795" spans="1:18" x14ac:dyDescent="0.3">
      <c r="A4795">
        <v>1466297</v>
      </c>
      <c r="B4795" t="s">
        <v>18</v>
      </c>
      <c r="C4795" t="s">
        <v>28</v>
      </c>
      <c r="D4795" t="s">
        <v>181</v>
      </c>
      <c r="E4795" t="s">
        <v>277</v>
      </c>
      <c r="F4795" t="s">
        <v>22</v>
      </c>
      <c r="G4795" t="s">
        <v>23</v>
      </c>
      <c r="H4795" t="s">
        <v>24</v>
      </c>
      <c r="I4795" t="s">
        <v>25</v>
      </c>
      <c r="J4795" t="s">
        <v>3622</v>
      </c>
      <c r="K4795">
        <v>16</v>
      </c>
      <c r="L4795">
        <v>1</v>
      </c>
      <c r="M4795">
        <v>2025</v>
      </c>
      <c r="N4795" t="s">
        <v>27</v>
      </c>
      <c r="O4795">
        <v>100</v>
      </c>
      <c r="P4795">
        <v>100</v>
      </c>
      <c r="R4795" s="3" t="str">
        <f>HYPERLINK("https://panda.att.com.mx/ODKServer/view/binaryData?blobKey=FSSuministroFluidosv3%5B%40version%3Dnull+and+%40uiVersion%3Dnull%5D%2Fdata%5B%40key%3Duuid%3A2a9f9936-40ed-449d-ac71-e91044203ba4%5D%2FgroupInfoFuel%5B%40ordinal%3D1%5D%2FpicFuelRecibeInterno","Descargar")</f>
        <v>Descargar</v>
      </c>
    </row>
    <row r="4796" spans="1:18" x14ac:dyDescent="0.3">
      <c r="A4796">
        <v>1466170</v>
      </c>
      <c r="B4796" t="s">
        <v>18</v>
      </c>
      <c r="C4796" t="s">
        <v>68</v>
      </c>
      <c r="D4796" t="s">
        <v>116</v>
      </c>
      <c r="E4796" t="s">
        <v>3097</v>
      </c>
      <c r="F4796" t="s">
        <v>22</v>
      </c>
      <c r="G4796" t="s">
        <v>23</v>
      </c>
      <c r="H4796" t="s">
        <v>37</v>
      </c>
      <c r="I4796" t="s">
        <v>25</v>
      </c>
      <c r="J4796" t="s">
        <v>3623</v>
      </c>
      <c r="K4796">
        <v>16</v>
      </c>
      <c r="L4796">
        <v>1</v>
      </c>
      <c r="M4796">
        <v>2025</v>
      </c>
      <c r="N4796" t="s">
        <v>27</v>
      </c>
      <c r="O4796">
        <v>400</v>
      </c>
      <c r="P4796">
        <v>400</v>
      </c>
      <c r="R4796" s="3" t="str">
        <f>HYPERLINK("https://panda.att.com.mx/ODKServer/view/binaryData?blobKey=FSSuministroFluidosv3%5B%40version%3Dnull+and+%40uiVersion%3Dnull%5D%2Fdata%5B%40key%3Duuid%3Add72e21e-ed1a-4ad9-8867-666af7f06bc9%5D%2FgroupInfoFuel%5B%40ordinal%3D1%5D%2FpicFuelRecibeInterno","Descargar")</f>
        <v>Descargar</v>
      </c>
    </row>
    <row r="4797" spans="1:18" x14ac:dyDescent="0.3">
      <c r="A4797">
        <v>1466105</v>
      </c>
      <c r="B4797" t="s">
        <v>18</v>
      </c>
      <c r="C4797" t="s">
        <v>100</v>
      </c>
      <c r="D4797" t="s">
        <v>716</v>
      </c>
      <c r="E4797" t="s">
        <v>717</v>
      </c>
      <c r="F4797" t="s">
        <v>22</v>
      </c>
      <c r="G4797" t="s">
        <v>83</v>
      </c>
      <c r="H4797" t="s">
        <v>1781</v>
      </c>
      <c r="I4797" t="s">
        <v>25</v>
      </c>
      <c r="J4797" t="s">
        <v>3624</v>
      </c>
      <c r="K4797">
        <v>16</v>
      </c>
      <c r="L4797">
        <v>1</v>
      </c>
      <c r="M4797">
        <v>2025</v>
      </c>
      <c r="N4797" t="s">
        <v>27</v>
      </c>
      <c r="O4797">
        <v>150</v>
      </c>
      <c r="P4797">
        <v>150</v>
      </c>
      <c r="R4797" s="3" t="str">
        <f>HYPERLINK("https://panda.att.com.mx/ODKServer/view/binaryData?blobKey=FSSuministroFluidosv3%5B%40version%3Dnull+and+%40uiVersion%3Dnull%5D%2Fdata%5B%40key%3Duuid%3A25f5067c-c2f5-42c8-a6ec-a1028c754e18%5D%2FgroupInfoFuel%5B%40ordinal%3D1%5D%2FpicFuelRecibeInterno","Descargar")</f>
        <v>Descargar</v>
      </c>
    </row>
    <row r="4798" spans="1:18" x14ac:dyDescent="0.3">
      <c r="A4798">
        <v>1466039</v>
      </c>
      <c r="B4798" t="s">
        <v>18</v>
      </c>
      <c r="C4798" t="s">
        <v>55</v>
      </c>
      <c r="D4798" t="s">
        <v>128</v>
      </c>
      <c r="E4798" t="s">
        <v>1948</v>
      </c>
      <c r="F4798" t="s">
        <v>22</v>
      </c>
      <c r="G4798" t="s">
        <v>47</v>
      </c>
      <c r="H4798" t="s">
        <v>1763</v>
      </c>
      <c r="I4798" t="s">
        <v>25</v>
      </c>
      <c r="J4798" t="s">
        <v>3625</v>
      </c>
      <c r="K4798">
        <v>16</v>
      </c>
      <c r="L4798">
        <v>1</v>
      </c>
      <c r="M4798">
        <v>2025</v>
      </c>
      <c r="N4798" t="s">
        <v>27</v>
      </c>
      <c r="O4798">
        <v>200</v>
      </c>
      <c r="P4798">
        <v>200</v>
      </c>
      <c r="R4798" s="3" t="str">
        <f>HYPERLINK("https://panda.att.com.mx/ODKServer/view/binaryData?blobKey=FSSuministroFluidosv3%5B%40version%3Dnull+and+%40uiVersion%3Dnull%5D%2Fdata%5B%40key%3Duuid%3Afd891246-7c45-44ef-8f47-e06f82919075%5D%2FgroupInfoFuel%5B%40ordinal%3D1%5D%2FpicFuelRecibeInterno","Descargar")</f>
        <v>Descargar</v>
      </c>
    </row>
    <row r="4799" spans="1:18" x14ac:dyDescent="0.3">
      <c r="A4799">
        <v>1465995</v>
      </c>
      <c r="B4799" t="s">
        <v>18</v>
      </c>
      <c r="C4799" t="s">
        <v>55</v>
      </c>
      <c r="D4799" t="s">
        <v>56</v>
      </c>
      <c r="E4799" t="s">
        <v>3165</v>
      </c>
      <c r="F4799" t="s">
        <v>22</v>
      </c>
      <c r="G4799" t="s">
        <v>47</v>
      </c>
      <c r="H4799" t="s">
        <v>1763</v>
      </c>
      <c r="I4799" t="s">
        <v>25</v>
      </c>
      <c r="J4799" t="s">
        <v>3626</v>
      </c>
      <c r="K4799">
        <v>10</v>
      </c>
      <c r="L4799">
        <v>1</v>
      </c>
      <c r="M4799">
        <v>2025</v>
      </c>
      <c r="N4799" t="s">
        <v>27</v>
      </c>
      <c r="O4799">
        <v>100</v>
      </c>
      <c r="P4799">
        <v>100</v>
      </c>
      <c r="R4799" s="3" t="str">
        <f>HYPERLINK("https://panda.att.com.mx/ODKServer/view/binaryData?blobKey=FSSuministroFluidosv3%5B%40version%3Dnull+and+%40uiVersion%3Dnull%5D%2Fdata%5B%40key%3Duuid%3Ae7e4c3dc-1ae3-44f0-9d65-a2653a6a4db0%5D%2FgroupInfoFuel%5B%40ordinal%3D1%5D%2FpicFuelRecibeInterno","Descargar")</f>
        <v>Descargar</v>
      </c>
    </row>
    <row r="4800" spans="1:18" x14ac:dyDescent="0.3">
      <c r="A4800">
        <v>1465351</v>
      </c>
      <c r="B4800" t="s">
        <v>18</v>
      </c>
      <c r="C4800" t="s">
        <v>28</v>
      </c>
      <c r="D4800" t="s">
        <v>66</v>
      </c>
      <c r="E4800" t="s">
        <v>485</v>
      </c>
      <c r="F4800" t="s">
        <v>22</v>
      </c>
      <c r="G4800" t="s">
        <v>23</v>
      </c>
      <c r="H4800" t="s">
        <v>24</v>
      </c>
      <c r="I4800" t="s">
        <v>25</v>
      </c>
      <c r="J4800" t="s">
        <v>3627</v>
      </c>
      <c r="K4800">
        <v>13</v>
      </c>
      <c r="L4800">
        <v>1</v>
      </c>
      <c r="M4800">
        <v>2025</v>
      </c>
      <c r="N4800" t="s">
        <v>27</v>
      </c>
      <c r="O4800">
        <v>600</v>
      </c>
      <c r="P4800">
        <v>600</v>
      </c>
      <c r="R4800" s="3" t="str">
        <f>HYPERLINK("https://panda.att.com.mx/ODKServer/view/binaryData?blobKey=FSSuministroFluidosv3%5B%40version%3Dnull+and+%40uiVersion%3Dnull%5D%2Fdata%5B%40key%3Duuid%3A4be2d8b3-6280-4b90-a81b-bef1d2e3e358%5D%2FgroupInfoFuel%5B%40ordinal%3D1%5D%2FpicFuelRecibeInterno","Descargar")</f>
        <v>Descargar</v>
      </c>
    </row>
    <row r="4801" spans="1:18" x14ac:dyDescent="0.3">
      <c r="A4801">
        <v>1465348</v>
      </c>
      <c r="B4801" t="s">
        <v>18</v>
      </c>
      <c r="C4801" t="s">
        <v>59</v>
      </c>
      <c r="D4801" t="s">
        <v>574</v>
      </c>
      <c r="E4801" t="s">
        <v>1640</v>
      </c>
      <c r="F4801" t="s">
        <v>22</v>
      </c>
      <c r="G4801" t="s">
        <v>23</v>
      </c>
      <c r="H4801" t="s">
        <v>37</v>
      </c>
      <c r="I4801" t="s">
        <v>84</v>
      </c>
      <c r="J4801" t="s">
        <v>3628</v>
      </c>
      <c r="K4801">
        <v>15</v>
      </c>
      <c r="L4801">
        <v>1</v>
      </c>
      <c r="M4801">
        <v>2025</v>
      </c>
      <c r="N4801" t="s">
        <v>27</v>
      </c>
      <c r="O4801">
        <v>350</v>
      </c>
      <c r="P4801">
        <v>350</v>
      </c>
      <c r="R4801" s="3" t="str">
        <f>HYPERLINK("https://panda.att.com.mx/ODKServer/view/binaryData?blobKey=FSSuministroFluidosv3%5B%40version%3Dnull+and+%40uiVersion%3Dnull%5D%2Fdata%5B%40key%3Duuid%3A17ac9c76-469f-4a4d-a125-8ea290944e3a%5D%2FgroupInfoFuel%5B%40ordinal%3D1%5D%2FpicFuelRecibeInterno","Descargar")</f>
        <v>Descargar</v>
      </c>
    </row>
    <row r="4802" spans="1:18" x14ac:dyDescent="0.3">
      <c r="A4802">
        <v>1465337</v>
      </c>
      <c r="B4802" t="s">
        <v>18</v>
      </c>
      <c r="C4802" t="s">
        <v>55</v>
      </c>
      <c r="D4802" t="s">
        <v>128</v>
      </c>
      <c r="E4802" t="s">
        <v>2000</v>
      </c>
      <c r="F4802" t="s">
        <v>22</v>
      </c>
      <c r="G4802" t="s">
        <v>23</v>
      </c>
      <c r="H4802" t="s">
        <v>1763</v>
      </c>
      <c r="I4802" t="s">
        <v>25</v>
      </c>
      <c r="J4802" t="s">
        <v>3629</v>
      </c>
      <c r="K4802">
        <v>8</v>
      </c>
      <c r="L4802">
        <v>1</v>
      </c>
      <c r="M4802">
        <v>2025</v>
      </c>
      <c r="N4802" t="s">
        <v>27</v>
      </c>
      <c r="O4802">
        <v>300</v>
      </c>
      <c r="P4802">
        <v>300</v>
      </c>
      <c r="R4802" s="3" t="str">
        <f>HYPERLINK("https://panda.att.com.mx/ODKServer/view/binaryData?blobKey=FSSuministroFluidosv3%5B%40version%3Dnull+and+%40uiVersion%3Dnull%5D%2Fdata%5B%40key%3Duuid%3Ae8e72bdf-f608-40a0-98e8-802f9e551af8%5D%2FgroupInfoFuel%5B%40ordinal%3D1%5D%2FpicFuelRecibeInterno","Descargar")</f>
        <v>Descargar</v>
      </c>
    </row>
    <row r="4803" spans="1:18" x14ac:dyDescent="0.3">
      <c r="A4803">
        <v>1465336</v>
      </c>
      <c r="B4803" t="s">
        <v>18</v>
      </c>
      <c r="C4803" t="s">
        <v>19</v>
      </c>
      <c r="D4803" t="s">
        <v>175</v>
      </c>
      <c r="E4803" t="s">
        <v>263</v>
      </c>
      <c r="F4803" t="s">
        <v>22</v>
      </c>
      <c r="G4803" t="s">
        <v>23</v>
      </c>
      <c r="H4803" t="s">
        <v>24</v>
      </c>
      <c r="I4803" t="s">
        <v>25</v>
      </c>
      <c r="J4803" t="s">
        <v>3630</v>
      </c>
      <c r="K4803">
        <v>15</v>
      </c>
      <c r="L4803">
        <v>1</v>
      </c>
      <c r="M4803">
        <v>2025</v>
      </c>
      <c r="N4803" t="s">
        <v>44</v>
      </c>
      <c r="O4803">
        <v>40</v>
      </c>
      <c r="P4803">
        <v>40</v>
      </c>
      <c r="R4803" s="3" t="str">
        <f>HYPERLINK("https://panda.att.com.mx/ODKServer/view/binaryData?blobKey=FSSuministroFluidosv3%5B%40version%3Dnull+and+%40uiVersion%3Dnull%5D%2Fdata%5B%40key%3Duuid%3A0136f0b4-7f20-4f50-8d57-3b430fb883f8%5D%2FgroupInfoFuel%5B%40ordinal%3D1%5D%2FpicFuelRecibeInterno","Descargar")</f>
        <v>Descargar</v>
      </c>
    </row>
    <row r="4804" spans="1:18" x14ac:dyDescent="0.3">
      <c r="A4804">
        <v>1465230</v>
      </c>
      <c r="B4804" t="s">
        <v>18</v>
      </c>
      <c r="C4804" t="s">
        <v>100</v>
      </c>
      <c r="D4804" t="s">
        <v>101</v>
      </c>
      <c r="E4804" t="s">
        <v>126</v>
      </c>
      <c r="F4804" t="s">
        <v>22</v>
      </c>
      <c r="G4804" t="s">
        <v>23</v>
      </c>
      <c r="H4804" t="s">
        <v>1781</v>
      </c>
      <c r="I4804" t="s">
        <v>25</v>
      </c>
      <c r="J4804" t="s">
        <v>3631</v>
      </c>
      <c r="K4804">
        <v>15</v>
      </c>
      <c r="L4804">
        <v>1</v>
      </c>
      <c r="M4804">
        <v>2025</v>
      </c>
      <c r="N4804" t="s">
        <v>27</v>
      </c>
      <c r="O4804">
        <v>200</v>
      </c>
      <c r="P4804">
        <v>200</v>
      </c>
      <c r="R4804" s="3" t="str">
        <f>HYPERLINK("https://panda.att.com.mx/ODKServer/view/binaryData?blobKey=FSSuministroFluidosv3%5B%40version%3Dnull+and+%40uiVersion%3Dnull%5D%2Fdata%5B%40key%3Duuid%3A69ec47d3-f984-4ca3-a22d-26b71ec03cba%5D%2FgroupInfoFuel%5B%40ordinal%3D1%5D%2FpicFuelRecibeInterno","Descargar")</f>
        <v>Descargar</v>
      </c>
    </row>
    <row r="4805" spans="1:18" x14ac:dyDescent="0.3">
      <c r="A4805">
        <v>1465068</v>
      </c>
      <c r="B4805" t="s">
        <v>18</v>
      </c>
      <c r="C4805" t="s">
        <v>68</v>
      </c>
      <c r="D4805" t="s">
        <v>2624</v>
      </c>
      <c r="E4805" t="s">
        <v>2625</v>
      </c>
      <c r="G4805" t="s">
        <v>23</v>
      </c>
      <c r="H4805" t="s">
        <v>37</v>
      </c>
      <c r="I4805" t="s">
        <v>25</v>
      </c>
      <c r="J4805" t="s">
        <v>3632</v>
      </c>
      <c r="K4805">
        <v>15</v>
      </c>
      <c r="L4805">
        <v>1</v>
      </c>
      <c r="M4805">
        <v>2025</v>
      </c>
      <c r="N4805" t="s">
        <v>44</v>
      </c>
      <c r="O4805">
        <v>45</v>
      </c>
      <c r="P4805">
        <v>45</v>
      </c>
      <c r="R4805" s="3" t="str">
        <f>HYPERLINK("https://panda.att.com.mx/ODKServer/view/binaryData?blobKey=FSSuministroFluidosv3%5B%40version%3Dnull+and+%40uiVersion%3Dnull%5D%2Fdata%5B%40key%3Duuid%3Aa6d9485a-b185-464c-90cf-a21ecd42f6b2%5D%2FgroupInfoFuel%5B%40ordinal%3D1%5D%2FpicFuelRecibeInterno","Descargar")</f>
        <v>Descargar</v>
      </c>
    </row>
    <row r="4806" spans="1:18" x14ac:dyDescent="0.3">
      <c r="A4806">
        <v>1465063</v>
      </c>
      <c r="B4806" t="s">
        <v>18</v>
      </c>
      <c r="C4806" t="s">
        <v>68</v>
      </c>
      <c r="D4806" t="s">
        <v>258</v>
      </c>
      <c r="E4806" t="s">
        <v>3407</v>
      </c>
      <c r="F4806" t="s">
        <v>22</v>
      </c>
      <c r="G4806" t="s">
        <v>23</v>
      </c>
      <c r="H4806" t="s">
        <v>37</v>
      </c>
      <c r="I4806" t="s">
        <v>25</v>
      </c>
      <c r="J4806" t="s">
        <v>3633</v>
      </c>
      <c r="K4806">
        <v>15</v>
      </c>
      <c r="L4806">
        <v>1</v>
      </c>
      <c r="M4806">
        <v>2025</v>
      </c>
      <c r="N4806" t="s">
        <v>27</v>
      </c>
      <c r="O4806">
        <v>400</v>
      </c>
      <c r="P4806">
        <v>400</v>
      </c>
      <c r="R4806" s="3" t="str">
        <f>HYPERLINK("https://panda.att.com.mx/ODKServer/view/binaryData?blobKey=FSSuministroFluidosv3%5B%40version%3Dnull+and+%40uiVersion%3Dnull%5D%2Fdata%5B%40key%3Duuid%3A038fc5a5-2f14-4986-bbb3-0c7edc1c4d73%5D%2FgroupInfoFuel%5B%40ordinal%3D1%5D%2FpicFuelRecibeInterno","Descargar")</f>
        <v>Descargar</v>
      </c>
    </row>
    <row r="4807" spans="1:18" x14ac:dyDescent="0.3">
      <c r="A4807">
        <v>1465042</v>
      </c>
      <c r="B4807" t="s">
        <v>18</v>
      </c>
      <c r="C4807" t="s">
        <v>68</v>
      </c>
      <c r="D4807" t="s">
        <v>258</v>
      </c>
      <c r="E4807" t="s">
        <v>3407</v>
      </c>
      <c r="F4807" t="s">
        <v>22</v>
      </c>
      <c r="G4807" t="s">
        <v>23</v>
      </c>
      <c r="H4807" t="s">
        <v>37</v>
      </c>
      <c r="I4807" t="s">
        <v>25</v>
      </c>
      <c r="J4807" t="s">
        <v>3634</v>
      </c>
      <c r="K4807">
        <v>15</v>
      </c>
      <c r="L4807">
        <v>1</v>
      </c>
      <c r="M4807">
        <v>2025</v>
      </c>
      <c r="N4807" t="s">
        <v>27</v>
      </c>
      <c r="O4807">
        <v>200</v>
      </c>
      <c r="P4807">
        <v>200</v>
      </c>
      <c r="R4807" s="3" t="str">
        <f>HYPERLINK("https://panda.att.com.mx/ODKServer/view/binaryData?blobKey=FSSuministroFluidosv3%5B%40version%3Dnull+and+%40uiVersion%3Dnull%5D%2Fdata%5B%40key%3Duuid%3Adff61cc0-28eb-4d3f-b53b-7a2a48689c7f%5D%2FgroupInfoFuel%5B%40ordinal%3D1%5D%2FpicFuelRecibeInterno","Descargar")</f>
        <v>Descargar</v>
      </c>
    </row>
    <row r="4808" spans="1:18" x14ac:dyDescent="0.3">
      <c r="A4808">
        <v>1465028</v>
      </c>
      <c r="B4808" t="s">
        <v>18</v>
      </c>
      <c r="C4808" t="s">
        <v>59</v>
      </c>
      <c r="D4808" t="s">
        <v>233</v>
      </c>
      <c r="E4808" t="s">
        <v>3635</v>
      </c>
      <c r="F4808" t="s">
        <v>22</v>
      </c>
      <c r="G4808" t="s">
        <v>23</v>
      </c>
      <c r="H4808" t="s">
        <v>37</v>
      </c>
      <c r="I4808" t="s">
        <v>25</v>
      </c>
      <c r="J4808" t="s">
        <v>3636</v>
      </c>
      <c r="K4808">
        <v>13</v>
      </c>
      <c r="L4808">
        <v>1</v>
      </c>
      <c r="M4808">
        <v>2025</v>
      </c>
      <c r="N4808" t="s">
        <v>27</v>
      </c>
      <c r="O4808">
        <v>50</v>
      </c>
      <c r="P4808">
        <v>50</v>
      </c>
      <c r="R4808" s="3" t="str">
        <f>HYPERLINK("https://panda.att.com.mx/ODKServer/view/binaryData?blobKey=FSSuministroFluidosv3%5B%40version%3Dnull+and+%40uiVersion%3Dnull%5D%2Fdata%5B%40key%3Duuid%3Af121828e-4db6-49fe-92b4-314a3d04c877%5D%2FgroupInfoFuel%5B%40ordinal%3D1%5D%2FpicFuelRecibeInterno","Descargar")</f>
        <v>Descargar</v>
      </c>
    </row>
    <row r="4809" spans="1:18" x14ac:dyDescent="0.3">
      <c r="A4809">
        <v>1465006</v>
      </c>
      <c r="B4809" t="s">
        <v>18</v>
      </c>
      <c r="C4809" t="s">
        <v>55</v>
      </c>
      <c r="D4809" t="s">
        <v>56</v>
      </c>
      <c r="E4809" t="s">
        <v>3568</v>
      </c>
      <c r="F4809" t="s">
        <v>22</v>
      </c>
      <c r="G4809" t="s">
        <v>23</v>
      </c>
      <c r="H4809" t="s">
        <v>1763</v>
      </c>
      <c r="I4809" t="s">
        <v>25</v>
      </c>
      <c r="J4809" t="s">
        <v>3637</v>
      </c>
      <c r="K4809">
        <v>2</v>
      </c>
      <c r="L4809">
        <v>1</v>
      </c>
      <c r="M4809">
        <v>2025</v>
      </c>
      <c r="N4809" t="s">
        <v>27</v>
      </c>
      <c r="O4809">
        <v>300</v>
      </c>
      <c r="P4809">
        <v>300</v>
      </c>
      <c r="R4809" s="3" t="str">
        <f>HYPERLINK("https://panda.att.com.mx/ODKServer/view/binaryData?blobKey=FSSuministroFluidosv3%5B%40version%3Dnull+and+%40uiVersion%3Dnull%5D%2Fdata%5B%40key%3Duuid%3A1f1be39a-3159-44e0-a6d0-f04ffb52de52%5D%2FgroupInfoFuel%5B%40ordinal%3D1%5D%2FpicFuelRecibeInterno","Descargar")</f>
        <v>Descargar</v>
      </c>
    </row>
    <row r="4810" spans="1:18" x14ac:dyDescent="0.3">
      <c r="A4810">
        <v>1464999</v>
      </c>
      <c r="B4810" t="s">
        <v>18</v>
      </c>
      <c r="C4810" t="s">
        <v>55</v>
      </c>
      <c r="D4810" t="s">
        <v>56</v>
      </c>
      <c r="E4810" t="s">
        <v>1555</v>
      </c>
      <c r="F4810" t="s">
        <v>22</v>
      </c>
      <c r="G4810" t="s">
        <v>23</v>
      </c>
      <c r="H4810" t="s">
        <v>1763</v>
      </c>
      <c r="I4810" t="s">
        <v>25</v>
      </c>
      <c r="J4810" t="s">
        <v>3638</v>
      </c>
      <c r="K4810">
        <v>2</v>
      </c>
      <c r="L4810">
        <v>1</v>
      </c>
      <c r="M4810">
        <v>2025</v>
      </c>
      <c r="N4810" t="s">
        <v>27</v>
      </c>
      <c r="O4810">
        <v>300</v>
      </c>
      <c r="P4810">
        <v>300</v>
      </c>
      <c r="R4810" s="3" t="str">
        <f>HYPERLINK("https://panda.att.com.mx/ODKServer/view/binaryData?blobKey=FSSuministroFluidosv3%5B%40version%3Dnull+and+%40uiVersion%3Dnull%5D%2Fdata%5B%40key%3Duuid%3Aa3976df2-b9d8-47bf-83fd-bb18bc526b14%5D%2FgroupInfoFuel%5B%40ordinal%3D1%5D%2FpicFuelRecibeInterno","Descargar")</f>
        <v>Descargar</v>
      </c>
    </row>
    <row r="4811" spans="1:18" x14ac:dyDescent="0.3">
      <c r="A4811">
        <v>1464950</v>
      </c>
      <c r="B4811" t="s">
        <v>18</v>
      </c>
      <c r="C4811" t="s">
        <v>19</v>
      </c>
      <c r="D4811" t="s">
        <v>189</v>
      </c>
      <c r="E4811" t="s">
        <v>2307</v>
      </c>
      <c r="F4811" t="s">
        <v>22</v>
      </c>
      <c r="G4811" t="s">
        <v>23</v>
      </c>
      <c r="H4811" t="s">
        <v>24</v>
      </c>
      <c r="I4811" t="s">
        <v>25</v>
      </c>
      <c r="J4811" t="s">
        <v>3639</v>
      </c>
      <c r="K4811">
        <v>14</v>
      </c>
      <c r="L4811">
        <v>1</v>
      </c>
      <c r="M4811">
        <v>2025</v>
      </c>
      <c r="N4811" t="s">
        <v>27</v>
      </c>
      <c r="O4811">
        <v>250</v>
      </c>
      <c r="P4811">
        <v>250</v>
      </c>
      <c r="R4811" s="3" t="str">
        <f>HYPERLINK("https://panda.att.com.mx/ODKServer/view/binaryData?blobKey=FSSuministroFluidosv3%5B%40version%3Dnull+and+%40uiVersion%3Dnull%5D%2Fdata%5B%40key%3Duuid%3A8bdc5120-accb-4420-a906-96258cfdda68%5D%2FgroupInfoFuel%5B%40ordinal%3D1%5D%2FpicFuelRecibeInterno","Descargar")</f>
        <v>Descargar</v>
      </c>
    </row>
    <row r="4812" spans="1:18" x14ac:dyDescent="0.3">
      <c r="A4812">
        <v>1464943</v>
      </c>
      <c r="B4812" t="s">
        <v>18</v>
      </c>
      <c r="C4812" t="s">
        <v>183</v>
      </c>
      <c r="D4812" t="s">
        <v>3280</v>
      </c>
      <c r="E4812" t="s">
        <v>3281</v>
      </c>
      <c r="F4812" t="s">
        <v>22</v>
      </c>
      <c r="G4812" t="s">
        <v>23</v>
      </c>
      <c r="H4812" t="s">
        <v>37</v>
      </c>
      <c r="I4812" t="s">
        <v>25</v>
      </c>
      <c r="J4812" t="s">
        <v>3640</v>
      </c>
      <c r="K4812">
        <v>14</v>
      </c>
      <c r="L4812">
        <v>1</v>
      </c>
      <c r="M4812">
        <v>2025</v>
      </c>
      <c r="N4812" t="s">
        <v>27</v>
      </c>
      <c r="O4812">
        <v>100</v>
      </c>
      <c r="P4812">
        <v>100</v>
      </c>
      <c r="R4812" s="3" t="str">
        <f>HYPERLINK("https://panda.att.com.mx/ODKServer/view/binaryData?blobKey=FSSuministroFluidosv3%5B%40version%3Dnull+and+%40uiVersion%3Dnull%5D%2Fdata%5B%40key%3Duuid%3A65055c54-36c6-4e92-a7fd-8b603cf02577%5D%2FgroupInfoFuel%5B%40ordinal%3D1%5D%2FpicFuelRecibeInterno","Descargar")</f>
        <v>Descargar</v>
      </c>
    </row>
    <row r="4813" spans="1:18" x14ac:dyDescent="0.3">
      <c r="A4813">
        <v>1464942</v>
      </c>
      <c r="B4813" t="s">
        <v>18</v>
      </c>
      <c r="C4813" t="s">
        <v>183</v>
      </c>
      <c r="D4813" t="s">
        <v>3280</v>
      </c>
      <c r="E4813" t="s">
        <v>3641</v>
      </c>
      <c r="G4813" t="s">
        <v>23</v>
      </c>
      <c r="H4813" t="s">
        <v>37</v>
      </c>
      <c r="I4813" t="s">
        <v>25</v>
      </c>
      <c r="J4813" t="s">
        <v>3642</v>
      </c>
      <c r="K4813">
        <v>14</v>
      </c>
      <c r="L4813">
        <v>1</v>
      </c>
      <c r="M4813">
        <v>2025</v>
      </c>
      <c r="N4813" t="s">
        <v>27</v>
      </c>
      <c r="O4813">
        <v>200</v>
      </c>
      <c r="Q4813">
        <v>200</v>
      </c>
      <c r="R4813" s="3" t="str">
        <f>HYPERLINK("https://panda.att.com.mx/ODKServer/view/binaryData?blobKey=FSSuministroFluidosv3%5B%40version%3Dnull+and+%40uiVersion%3Dnull%5D%2Fdata%5B%40key%3Duuid%3A65e82eca-8015-420c-9614-f6aa8ec0d54b%5D%2FgroupInfoFuel%5B%40ordinal%3D1%5D%2FpicFuelRecibeInterno","Descargar")</f>
        <v>Descargar</v>
      </c>
    </row>
    <row r="4814" spans="1:18" x14ac:dyDescent="0.3">
      <c r="A4814">
        <v>1464930</v>
      </c>
      <c r="B4814" t="s">
        <v>18</v>
      </c>
      <c r="C4814" t="s">
        <v>59</v>
      </c>
      <c r="D4814" t="s">
        <v>60</v>
      </c>
      <c r="E4814" t="s">
        <v>3643</v>
      </c>
      <c r="F4814" t="s">
        <v>22</v>
      </c>
      <c r="G4814" t="s">
        <v>23</v>
      </c>
      <c r="H4814" t="s">
        <v>37</v>
      </c>
      <c r="I4814" t="s">
        <v>25</v>
      </c>
      <c r="J4814" t="s">
        <v>3644</v>
      </c>
      <c r="K4814">
        <v>14</v>
      </c>
      <c r="L4814">
        <v>1</v>
      </c>
      <c r="M4814">
        <v>2025</v>
      </c>
      <c r="N4814" t="s">
        <v>27</v>
      </c>
      <c r="O4814">
        <v>200</v>
      </c>
      <c r="P4814">
        <v>200</v>
      </c>
      <c r="R4814" s="3" t="str">
        <f>HYPERLINK("https://panda.att.com.mx/ODKServer/view/binaryData?blobKey=FSSuministroFluidosv3%5B%40version%3Dnull+and+%40uiVersion%3Dnull%5D%2Fdata%5B%40key%3Duuid%3Afadab679-711c-46cf-8bc5-7fc2801c3f5f%5D%2FgroupInfoFuel%5B%40ordinal%3D1%5D%2FpicFuelRecibeInterno","Descargar")</f>
        <v>Descargar</v>
      </c>
    </row>
    <row r="4815" spans="1:18" x14ac:dyDescent="0.3">
      <c r="A4815">
        <v>1464891</v>
      </c>
      <c r="B4815" t="s">
        <v>18</v>
      </c>
      <c r="C4815" t="s">
        <v>28</v>
      </c>
      <c r="D4815" t="s">
        <v>1036</v>
      </c>
      <c r="E4815" t="s">
        <v>3645</v>
      </c>
      <c r="F4815" t="s">
        <v>22</v>
      </c>
      <c r="G4815" t="s">
        <v>23</v>
      </c>
      <c r="H4815" t="s">
        <v>24</v>
      </c>
      <c r="I4815" t="s">
        <v>25</v>
      </c>
      <c r="J4815" t="s">
        <v>3646</v>
      </c>
      <c r="K4815">
        <v>13</v>
      </c>
      <c r="L4815">
        <v>1</v>
      </c>
      <c r="M4815">
        <v>2025</v>
      </c>
      <c r="N4815" t="s">
        <v>44</v>
      </c>
      <c r="O4815">
        <v>50</v>
      </c>
      <c r="P4815">
        <v>50</v>
      </c>
      <c r="R4815" s="3" t="str">
        <f>HYPERLINK("https://panda.att.com.mx/ODKServer/view/binaryData?blobKey=FSSuministroFluidosv3%5B%40version%3Dnull+and+%40uiVersion%3Dnull%5D%2Fdata%5B%40key%3Duuid%3A216e3727-43d3-4f37-8d28-d66b11ca9220%5D%2FgroupInfoFuel%5B%40ordinal%3D1%5D%2FpicFuelRecibeInterno","Descargar")</f>
        <v>Descargar</v>
      </c>
    </row>
    <row r="4816" spans="1:18" x14ac:dyDescent="0.3">
      <c r="A4816">
        <v>1464890</v>
      </c>
      <c r="B4816" t="s">
        <v>18</v>
      </c>
      <c r="C4816" t="s">
        <v>28</v>
      </c>
      <c r="D4816" t="s">
        <v>1036</v>
      </c>
      <c r="E4816" t="s">
        <v>2137</v>
      </c>
      <c r="F4816" t="s">
        <v>22</v>
      </c>
      <c r="G4816" t="s">
        <v>23</v>
      </c>
      <c r="H4816" t="s">
        <v>24</v>
      </c>
      <c r="I4816" t="s">
        <v>25</v>
      </c>
      <c r="J4816" t="s">
        <v>3647</v>
      </c>
      <c r="K4816">
        <v>14</v>
      </c>
      <c r="L4816">
        <v>1</v>
      </c>
      <c r="M4816">
        <v>2025</v>
      </c>
      <c r="N4816" t="s">
        <v>27</v>
      </c>
      <c r="O4816">
        <v>150</v>
      </c>
      <c r="P4816">
        <v>150</v>
      </c>
      <c r="R4816" s="3" t="str">
        <f>HYPERLINK("https://panda.att.com.mx/ODKServer/view/binaryData?blobKey=FSSuministroFluidosv3%5B%40version%3Dnull+and+%40uiVersion%3Dnull%5D%2Fdata%5B%40key%3Duuid%3A7ab6a905-5822-46d9-919f-a4c6e4a73287%5D%2FgroupInfoFuel%5B%40ordinal%3D1%5D%2FpicFuelRecibeInterno","Descargar")</f>
        <v>Descargar</v>
      </c>
    </row>
    <row r="4817" spans="1:18" x14ac:dyDescent="0.3">
      <c r="A4817">
        <v>1464887</v>
      </c>
      <c r="B4817" t="s">
        <v>18</v>
      </c>
      <c r="C4817" t="s">
        <v>28</v>
      </c>
      <c r="D4817" t="s">
        <v>1036</v>
      </c>
      <c r="E4817" t="s">
        <v>3645</v>
      </c>
      <c r="F4817" t="s">
        <v>22</v>
      </c>
      <c r="G4817" t="s">
        <v>23</v>
      </c>
      <c r="H4817" t="s">
        <v>24</v>
      </c>
      <c r="I4817" t="s">
        <v>25</v>
      </c>
      <c r="J4817" t="s">
        <v>3648</v>
      </c>
      <c r="K4817">
        <v>13</v>
      </c>
      <c r="L4817">
        <v>1</v>
      </c>
      <c r="M4817">
        <v>2025</v>
      </c>
      <c r="N4817" t="s">
        <v>44</v>
      </c>
      <c r="O4817">
        <v>50</v>
      </c>
      <c r="P4817">
        <v>50</v>
      </c>
      <c r="R4817" s="3" t="str">
        <f>HYPERLINK("https://panda.att.com.mx/ODKServer/view/binaryData?blobKey=FSSuministroFluidosv3%5B%40version%3Dnull+and+%40uiVersion%3Dnull%5D%2Fdata%5B%40key%3Duuid%3Ac3b1e8ae-61ae-4df6-bc8b-ecb29c2e4530%5D%2FgroupInfoFuel%5B%40ordinal%3D1%5D%2FpicFuelRecibeInterno","Descargar")</f>
        <v>Descargar</v>
      </c>
    </row>
    <row r="4818" spans="1:18" x14ac:dyDescent="0.3">
      <c r="A4818">
        <v>1464867</v>
      </c>
      <c r="B4818" t="s">
        <v>18</v>
      </c>
      <c r="C4818" t="s">
        <v>34</v>
      </c>
      <c r="D4818" t="s">
        <v>53</v>
      </c>
      <c r="E4818" t="s">
        <v>144</v>
      </c>
      <c r="F4818" t="s">
        <v>22</v>
      </c>
      <c r="G4818" t="s">
        <v>83</v>
      </c>
      <c r="H4818" t="s">
        <v>37</v>
      </c>
      <c r="I4818" t="s">
        <v>25</v>
      </c>
      <c r="J4818" t="s">
        <v>3649</v>
      </c>
      <c r="K4818">
        <v>14</v>
      </c>
      <c r="L4818">
        <v>1</v>
      </c>
      <c r="M4818">
        <v>2025</v>
      </c>
      <c r="N4818" t="s">
        <v>27</v>
      </c>
      <c r="O4818">
        <v>300</v>
      </c>
      <c r="P4818">
        <v>300</v>
      </c>
      <c r="R4818" s="3" t="str">
        <f>HYPERLINK("https://panda.att.com.mx/ODKServer/view/binaryData?blobKey=FSSuministroFluidosv3%5B%40version%3Dnull+and+%40uiVersion%3Dnull%5D%2Fdata%5B%40key%3Duuid%3Abbf4198b-06db-4fa2-b975-dbfdba27e0c6%5D%2FgroupInfoFuel%5B%40ordinal%3D1%5D%2FpicFuelRecibeInterno","Descargar")</f>
        <v>Descargar</v>
      </c>
    </row>
    <row r="4819" spans="1:18" x14ac:dyDescent="0.3">
      <c r="A4819">
        <v>1464866</v>
      </c>
      <c r="B4819" t="s">
        <v>18</v>
      </c>
      <c r="C4819" t="s">
        <v>55</v>
      </c>
      <c r="D4819" t="s">
        <v>64</v>
      </c>
      <c r="E4819" t="s">
        <v>3017</v>
      </c>
      <c r="F4819" t="s">
        <v>22</v>
      </c>
      <c r="G4819" t="s">
        <v>23</v>
      </c>
      <c r="H4819" t="s">
        <v>1763</v>
      </c>
      <c r="I4819" t="s">
        <v>25</v>
      </c>
      <c r="J4819" t="s">
        <v>3650</v>
      </c>
      <c r="K4819">
        <v>7</v>
      </c>
      <c r="L4819">
        <v>1</v>
      </c>
      <c r="M4819">
        <v>2025</v>
      </c>
      <c r="N4819" t="s">
        <v>27</v>
      </c>
      <c r="O4819">
        <v>100</v>
      </c>
      <c r="P4819">
        <v>100</v>
      </c>
      <c r="R4819" s="3" t="str">
        <f>HYPERLINK("https://panda.att.com.mx/ODKServer/view/binaryData?blobKey=FSSuministroFluidosv3%5B%40version%3Dnull+and+%40uiVersion%3Dnull%5D%2Fdata%5B%40key%3Duuid%3A64a08fa9-c270-487c-9912-3605d61c1fda%5D%2FgroupInfoFuel%5B%40ordinal%3D1%5D%2FpicFuelRecibeInterno","Descargar")</f>
        <v>Descargar</v>
      </c>
    </row>
    <row r="4820" spans="1:18" x14ac:dyDescent="0.3">
      <c r="A4820">
        <v>1464838</v>
      </c>
      <c r="B4820" t="s">
        <v>18</v>
      </c>
      <c r="C4820" t="s">
        <v>55</v>
      </c>
      <c r="D4820" t="s">
        <v>56</v>
      </c>
      <c r="E4820" t="s">
        <v>1555</v>
      </c>
      <c r="F4820" t="s">
        <v>22</v>
      </c>
      <c r="G4820" t="s">
        <v>23</v>
      </c>
      <c r="H4820" t="s">
        <v>1763</v>
      </c>
      <c r="I4820" t="s">
        <v>25</v>
      </c>
      <c r="J4820" t="s">
        <v>3651</v>
      </c>
      <c r="K4820">
        <v>14</v>
      </c>
      <c r="L4820">
        <v>1</v>
      </c>
      <c r="M4820">
        <v>2025</v>
      </c>
      <c r="N4820" t="s">
        <v>27</v>
      </c>
      <c r="O4820">
        <v>300</v>
      </c>
      <c r="P4820">
        <v>300</v>
      </c>
      <c r="R4820" s="3" t="str">
        <f>HYPERLINK("https://panda.att.com.mx/ODKServer/view/binaryData?blobKey=FSSuministroFluidosv3%5B%40version%3Dnull+and+%40uiVersion%3Dnull%5D%2Fdata%5B%40key%3Duuid%3Ae7cd9063-1eaf-4600-b4f8-ec623a67e353%5D%2FgroupInfoFuel%5B%40ordinal%3D1%5D%2FpicFuelRecibeInterno","Descargar")</f>
        <v>Descargar</v>
      </c>
    </row>
    <row r="4821" spans="1:18" x14ac:dyDescent="0.3">
      <c r="A4821">
        <v>1464837</v>
      </c>
      <c r="B4821" t="s">
        <v>18</v>
      </c>
      <c r="C4821" t="s">
        <v>55</v>
      </c>
      <c r="D4821" t="s">
        <v>56</v>
      </c>
      <c r="E4821" t="s">
        <v>3652</v>
      </c>
      <c r="F4821" t="s">
        <v>22</v>
      </c>
      <c r="G4821" t="s">
        <v>23</v>
      </c>
      <c r="H4821" t="s">
        <v>1763</v>
      </c>
      <c r="I4821" t="s">
        <v>25</v>
      </c>
      <c r="J4821" t="s">
        <v>3653</v>
      </c>
      <c r="K4821">
        <v>9</v>
      </c>
      <c r="L4821">
        <v>1</v>
      </c>
      <c r="M4821">
        <v>2025</v>
      </c>
      <c r="N4821" t="s">
        <v>27</v>
      </c>
      <c r="O4821">
        <v>120</v>
      </c>
      <c r="P4821">
        <v>120</v>
      </c>
      <c r="R4821" s="3" t="str">
        <f>HYPERLINK("https://panda.att.com.mx/ODKServer/view/binaryData?blobKey=FSSuministroFluidosv3%5B%40version%3Dnull+and+%40uiVersion%3Dnull%5D%2Fdata%5B%40key%3Duuid%3A201889d7-2952-4028-b718-ab42ce1bf81a%5D%2FgroupInfoFuel%5B%40ordinal%3D1%5D%2FpicFuelRecibeInterno","Descargar")</f>
        <v>Descargar</v>
      </c>
    </row>
    <row r="4822" spans="1:18" x14ac:dyDescent="0.3">
      <c r="A4822">
        <v>1464830</v>
      </c>
      <c r="B4822" t="s">
        <v>18</v>
      </c>
      <c r="C4822" t="s">
        <v>55</v>
      </c>
      <c r="D4822" t="s">
        <v>64</v>
      </c>
      <c r="E4822" t="s">
        <v>1317</v>
      </c>
      <c r="F4822" t="s">
        <v>22</v>
      </c>
      <c r="G4822" t="s">
        <v>23</v>
      </c>
      <c r="H4822" t="s">
        <v>1763</v>
      </c>
      <c r="I4822" t="s">
        <v>25</v>
      </c>
      <c r="J4822" t="s">
        <v>3654</v>
      </c>
      <c r="K4822">
        <v>9</v>
      </c>
      <c r="L4822">
        <v>1</v>
      </c>
      <c r="M4822">
        <v>2025</v>
      </c>
      <c r="N4822" t="s">
        <v>27</v>
      </c>
      <c r="O4822">
        <v>100</v>
      </c>
      <c r="P4822">
        <v>100</v>
      </c>
      <c r="R4822" s="3" t="str">
        <f>HYPERLINK("https://panda.att.com.mx/ODKServer/view/binaryData?blobKey=FSSuministroFluidosv3%5B%40version%3Dnull+and+%40uiVersion%3Dnull%5D%2Fdata%5B%40key%3Duuid%3A19097fab-17c6-47d0-bf0a-aeddaff7e07a%5D%2FgroupInfoFuel%5B%40ordinal%3D1%5D%2FpicFuelRecibeInterno","Descargar")</f>
        <v>Descargar</v>
      </c>
    </row>
    <row r="4823" spans="1:18" x14ac:dyDescent="0.3">
      <c r="A4823">
        <v>1464829</v>
      </c>
      <c r="B4823" t="s">
        <v>18</v>
      </c>
      <c r="C4823" t="s">
        <v>55</v>
      </c>
      <c r="D4823" t="s">
        <v>64</v>
      </c>
      <c r="E4823" t="s">
        <v>3017</v>
      </c>
      <c r="F4823" t="s">
        <v>22</v>
      </c>
      <c r="G4823" t="s">
        <v>23</v>
      </c>
      <c r="H4823" t="s">
        <v>1763</v>
      </c>
      <c r="I4823" t="s">
        <v>25</v>
      </c>
      <c r="J4823" t="s">
        <v>3655</v>
      </c>
      <c r="K4823">
        <v>6</v>
      </c>
      <c r="L4823">
        <v>1</v>
      </c>
      <c r="M4823">
        <v>2025</v>
      </c>
      <c r="N4823" t="s">
        <v>27</v>
      </c>
      <c r="O4823">
        <v>100</v>
      </c>
      <c r="P4823">
        <v>100</v>
      </c>
      <c r="R4823" s="3" t="str">
        <f>HYPERLINK("https://panda.att.com.mx/ODKServer/view/binaryData?blobKey=FSSuministroFluidosv3%5B%40version%3Dnull+and+%40uiVersion%3Dnull%5D%2Fdata%5B%40key%3Duuid%3Ab833a37f-4a13-4d2e-b16c-251d9ad5559a%5D%2FgroupInfoFuel%5B%40ordinal%3D1%5D%2FpicFuelRecibeInterno","Descargar")</f>
        <v>Descargar</v>
      </c>
    </row>
    <row r="4824" spans="1:18" x14ac:dyDescent="0.3">
      <c r="A4824">
        <v>1464819</v>
      </c>
      <c r="B4824" t="s">
        <v>18</v>
      </c>
      <c r="C4824" t="s">
        <v>55</v>
      </c>
      <c r="D4824" t="s">
        <v>366</v>
      </c>
      <c r="E4824" t="s">
        <v>3656</v>
      </c>
      <c r="F4824" t="s">
        <v>22</v>
      </c>
      <c r="G4824" t="s">
        <v>23</v>
      </c>
      <c r="H4824" t="s">
        <v>1781</v>
      </c>
      <c r="I4824" t="s">
        <v>25</v>
      </c>
      <c r="J4824" t="s">
        <v>3657</v>
      </c>
      <c r="K4824">
        <v>14</v>
      </c>
      <c r="L4824">
        <v>1</v>
      </c>
      <c r="M4824">
        <v>2025</v>
      </c>
      <c r="N4824" t="s">
        <v>27</v>
      </c>
      <c r="O4824">
        <v>146</v>
      </c>
      <c r="P4824">
        <v>146</v>
      </c>
      <c r="R4824" s="3" t="str">
        <f>HYPERLINK("https://panda.att.com.mx/ODKServer/view/binaryData?blobKey=FSSuministroFluidosv3%5B%40version%3Dnull+and+%40uiVersion%3Dnull%5D%2Fdata%5B%40key%3Duuid%3Ae566b77c-979d-4bda-9cb7-bb7cc34d0691%5D%2FgroupInfoFuel%5B%40ordinal%3D1%5D%2FpicFuelRecibeInterno","Descargar")</f>
        <v>Descargar</v>
      </c>
    </row>
    <row r="4825" spans="1:18" x14ac:dyDescent="0.3">
      <c r="A4825">
        <v>1464707</v>
      </c>
      <c r="B4825" t="s">
        <v>18</v>
      </c>
      <c r="C4825" t="s">
        <v>100</v>
      </c>
      <c r="D4825" t="s">
        <v>716</v>
      </c>
      <c r="E4825" t="s">
        <v>717</v>
      </c>
      <c r="F4825" t="s">
        <v>22</v>
      </c>
      <c r="G4825" t="s">
        <v>83</v>
      </c>
      <c r="H4825" t="s">
        <v>1781</v>
      </c>
      <c r="I4825" t="s">
        <v>25</v>
      </c>
      <c r="J4825" t="s">
        <v>3658</v>
      </c>
      <c r="K4825">
        <v>14</v>
      </c>
      <c r="L4825">
        <v>1</v>
      </c>
      <c r="M4825">
        <v>2025</v>
      </c>
      <c r="N4825" t="s">
        <v>27</v>
      </c>
      <c r="O4825">
        <v>150</v>
      </c>
      <c r="P4825">
        <v>150</v>
      </c>
      <c r="R4825" s="3" t="str">
        <f>HYPERLINK("https://panda.att.com.mx/ODKServer/view/binaryData?blobKey=FSSuministroFluidosv3%5B%40version%3Dnull+and+%40uiVersion%3Dnull%5D%2Fdata%5B%40key%3Duuid%3A10970b31-21ad-419e-9c1a-20ef9cf6f90d%5D%2FgroupInfoFuel%5B%40ordinal%3D1%5D%2FpicFuelRecibeInterno","Descargar")</f>
        <v>Descargar</v>
      </c>
    </row>
    <row r="4826" spans="1:18" x14ac:dyDescent="0.3">
      <c r="A4826">
        <v>1464546</v>
      </c>
      <c r="B4826" t="s">
        <v>18</v>
      </c>
      <c r="C4826" t="s">
        <v>55</v>
      </c>
      <c r="D4826" t="s">
        <v>128</v>
      </c>
      <c r="E4826" t="s">
        <v>2000</v>
      </c>
      <c r="F4826" t="s">
        <v>22</v>
      </c>
      <c r="G4826" t="s">
        <v>23</v>
      </c>
      <c r="H4826" t="s">
        <v>1763</v>
      </c>
      <c r="I4826" t="s">
        <v>25</v>
      </c>
      <c r="J4826" t="s">
        <v>3659</v>
      </c>
      <c r="K4826">
        <v>10</v>
      </c>
      <c r="L4826">
        <v>1</v>
      </c>
      <c r="M4826">
        <v>2025</v>
      </c>
      <c r="N4826" t="s">
        <v>27</v>
      </c>
      <c r="O4826">
        <v>300</v>
      </c>
      <c r="P4826">
        <v>300</v>
      </c>
      <c r="R4826" s="3" t="str">
        <f>HYPERLINK("https://panda.att.com.mx/ODKServer/view/binaryData?blobKey=FSSuministroFluidosv3%5B%40version%3Dnull+and+%40uiVersion%3Dnull%5D%2Fdata%5B%40key%3Duuid%3A05607337-b323-4957-9b7d-01631c7afce7%5D%2FgroupInfoFuel%5B%40ordinal%3D1%5D%2FpicFuelRecibeInterno","Descargar")</f>
        <v>Descargar</v>
      </c>
    </row>
    <row r="4827" spans="1:18" x14ac:dyDescent="0.3">
      <c r="A4827">
        <v>1464540</v>
      </c>
      <c r="B4827" t="s">
        <v>18</v>
      </c>
      <c r="C4827" t="s">
        <v>55</v>
      </c>
      <c r="D4827" t="s">
        <v>128</v>
      </c>
      <c r="E4827" t="s">
        <v>2000</v>
      </c>
      <c r="F4827" t="s">
        <v>22</v>
      </c>
      <c r="G4827" t="s">
        <v>23</v>
      </c>
      <c r="H4827" t="s">
        <v>1763</v>
      </c>
      <c r="I4827" t="s">
        <v>25</v>
      </c>
      <c r="J4827" t="s">
        <v>3660</v>
      </c>
      <c r="K4827">
        <v>13</v>
      </c>
      <c r="L4827">
        <v>1</v>
      </c>
      <c r="M4827">
        <v>2025</v>
      </c>
      <c r="N4827" t="s">
        <v>27</v>
      </c>
      <c r="O4827">
        <v>400</v>
      </c>
      <c r="P4827">
        <v>400</v>
      </c>
      <c r="R4827" s="3" t="str">
        <f>HYPERLINK("https://panda.att.com.mx/ODKServer/view/binaryData?blobKey=FSSuministroFluidosv3%5B%40version%3Dnull+and+%40uiVersion%3Dnull%5D%2Fdata%5B%40key%3Duuid%3Af300f5f0-0e98-4b32-9c1c-9b94e476d8b4%5D%2FgroupInfoFuel%5B%40ordinal%3D1%5D%2FpicFuelRecibeInterno","Descargar")</f>
        <v>Descargar</v>
      </c>
    </row>
    <row r="4828" spans="1:18" x14ac:dyDescent="0.3">
      <c r="A4828">
        <v>1464501</v>
      </c>
      <c r="B4828" t="s">
        <v>18</v>
      </c>
      <c r="C4828" t="s">
        <v>55</v>
      </c>
      <c r="D4828" t="s">
        <v>1836</v>
      </c>
      <c r="E4828" t="s">
        <v>3661</v>
      </c>
      <c r="F4828" t="s">
        <v>22</v>
      </c>
      <c r="G4828" t="s">
        <v>23</v>
      </c>
      <c r="H4828" t="s">
        <v>1763</v>
      </c>
      <c r="I4828" t="s">
        <v>25</v>
      </c>
      <c r="J4828" t="s">
        <v>3662</v>
      </c>
      <c r="K4828">
        <v>7</v>
      </c>
      <c r="L4828">
        <v>1</v>
      </c>
      <c r="M4828">
        <v>2025</v>
      </c>
      <c r="N4828" t="s">
        <v>44</v>
      </c>
      <c r="O4828">
        <v>40</v>
      </c>
      <c r="Q4828">
        <v>40</v>
      </c>
      <c r="R4828" s="3" t="str">
        <f>HYPERLINK("https://panda.att.com.mx/ODKServer/view/binaryData?blobKey=FSSuministroFluidosv3%5B%40version%3Dnull+and+%40uiVersion%3Dnull%5D%2Fdata%5B%40key%3Duuid%3Ae5b66075-be31-47a5-8e17-f42b5a8b1421%5D%2FgroupInfoFuel%5B%40ordinal%3D1%5D%2FpicFuelRecibeInterno","Descargar")</f>
        <v>Descargar</v>
      </c>
    </row>
    <row r="4829" spans="1:18" x14ac:dyDescent="0.3">
      <c r="A4829">
        <v>1464469</v>
      </c>
      <c r="B4829" t="s">
        <v>18</v>
      </c>
      <c r="C4829" t="s">
        <v>55</v>
      </c>
      <c r="D4829" t="s">
        <v>56</v>
      </c>
      <c r="E4829" t="s">
        <v>1555</v>
      </c>
      <c r="F4829" t="s">
        <v>22</v>
      </c>
      <c r="G4829" t="s">
        <v>23</v>
      </c>
      <c r="H4829" t="s">
        <v>1763</v>
      </c>
      <c r="I4829" t="s">
        <v>25</v>
      </c>
      <c r="J4829" t="s">
        <v>3663</v>
      </c>
      <c r="K4829">
        <v>9</v>
      </c>
      <c r="L4829">
        <v>1</v>
      </c>
      <c r="M4829">
        <v>2025</v>
      </c>
      <c r="N4829" t="s">
        <v>27</v>
      </c>
      <c r="O4829">
        <v>300</v>
      </c>
      <c r="P4829">
        <v>300</v>
      </c>
      <c r="R4829" s="3" t="str">
        <f>HYPERLINK("https://panda.att.com.mx/ODKServer/view/binaryData?blobKey=FSSuministroFluidosv3%5B%40version%3Dnull+and+%40uiVersion%3Dnull%5D%2Fdata%5B%40key%3Duuid%3A3cb6457d-55e3-418a-8861-4ce1451d3154%5D%2FgroupInfoFuel%5B%40ordinal%3D1%5D%2FpicFuelRecibeInterno","Descargar")</f>
        <v>Descargar</v>
      </c>
    </row>
    <row r="4830" spans="1:18" x14ac:dyDescent="0.3">
      <c r="A4830">
        <v>1464463</v>
      </c>
      <c r="B4830" t="s">
        <v>18</v>
      </c>
      <c r="C4830" t="s">
        <v>55</v>
      </c>
      <c r="D4830" t="s">
        <v>56</v>
      </c>
      <c r="E4830" t="s">
        <v>1555</v>
      </c>
      <c r="F4830" t="s">
        <v>22</v>
      </c>
      <c r="G4830" t="s">
        <v>23</v>
      </c>
      <c r="H4830" t="s">
        <v>1763</v>
      </c>
      <c r="I4830" t="s">
        <v>25</v>
      </c>
      <c r="J4830" t="s">
        <v>3664</v>
      </c>
      <c r="K4830">
        <v>11</v>
      </c>
      <c r="L4830">
        <v>1</v>
      </c>
      <c r="M4830">
        <v>2025</v>
      </c>
      <c r="N4830" t="s">
        <v>27</v>
      </c>
      <c r="O4830">
        <v>200</v>
      </c>
      <c r="P4830">
        <v>200</v>
      </c>
      <c r="R4830" s="3" t="str">
        <f>HYPERLINK("https://panda.att.com.mx/ODKServer/view/binaryData?blobKey=FSSuministroFluidosv3%5B%40version%3Dnull+and+%40uiVersion%3Dnull%5D%2Fdata%5B%40key%3Duuid%3A63b55a99-9dc3-4703-975a-497120b55a56%5D%2FgroupInfoFuel%5B%40ordinal%3D1%5D%2FpicFuelRecibeInterno","Descargar")</f>
        <v>Descargar</v>
      </c>
    </row>
    <row r="4831" spans="1:18" x14ac:dyDescent="0.3">
      <c r="A4831">
        <v>1464446</v>
      </c>
      <c r="B4831" t="s">
        <v>18</v>
      </c>
      <c r="C4831" t="s">
        <v>55</v>
      </c>
      <c r="D4831" t="s">
        <v>64</v>
      </c>
      <c r="E4831" t="s">
        <v>798</v>
      </c>
      <c r="F4831" t="s">
        <v>22</v>
      </c>
      <c r="G4831" t="s">
        <v>23</v>
      </c>
      <c r="H4831" t="s">
        <v>1763</v>
      </c>
      <c r="I4831" t="s">
        <v>25</v>
      </c>
      <c r="J4831" t="s">
        <v>3665</v>
      </c>
      <c r="K4831">
        <v>14</v>
      </c>
      <c r="L4831">
        <v>1</v>
      </c>
      <c r="M4831">
        <v>2025</v>
      </c>
      <c r="N4831" t="s">
        <v>27</v>
      </c>
      <c r="O4831">
        <v>250</v>
      </c>
      <c r="P4831">
        <v>250</v>
      </c>
      <c r="R4831" s="3" t="str">
        <f>HYPERLINK("https://panda.att.com.mx/ODKServer/view/binaryData?blobKey=FSSuministroFluidosv3%5B%40version%3Dnull+and+%40uiVersion%3Dnull%5D%2Fdata%5B%40key%3Duuid%3A19231a82-1ad0-4639-9f9e-fb0939efd94e%5D%2FgroupInfoFuel%5B%40ordinal%3D1%5D%2FpicFuelRecibeInterno","Descargar")</f>
        <v>Descargar</v>
      </c>
    </row>
    <row r="4832" spans="1:18" x14ac:dyDescent="0.3">
      <c r="A4832">
        <v>1464434</v>
      </c>
      <c r="B4832" t="s">
        <v>18</v>
      </c>
      <c r="C4832" t="s">
        <v>55</v>
      </c>
      <c r="D4832" t="s">
        <v>64</v>
      </c>
      <c r="E4832" t="s">
        <v>1098</v>
      </c>
      <c r="F4832" t="s">
        <v>22</v>
      </c>
      <c r="G4832" t="s">
        <v>23</v>
      </c>
      <c r="H4832" t="s">
        <v>1763</v>
      </c>
      <c r="I4832" t="s">
        <v>25</v>
      </c>
      <c r="J4832" t="s">
        <v>3666</v>
      </c>
      <c r="K4832">
        <v>14</v>
      </c>
      <c r="L4832">
        <v>1</v>
      </c>
      <c r="M4832">
        <v>2025</v>
      </c>
      <c r="N4832" t="s">
        <v>27</v>
      </c>
      <c r="O4832">
        <v>200</v>
      </c>
      <c r="P4832">
        <v>200</v>
      </c>
      <c r="R4832" s="3" t="str">
        <f>HYPERLINK("https://panda.att.com.mx/ODKServer/view/binaryData?blobKey=FSSuministroFluidosv3%5B%40version%3Dnull+and+%40uiVersion%3Dnull%5D%2Fdata%5B%40key%3Duuid%3Aba5c4eca-d992-4e77-adcb-ff5db2ef592f%5D%2FgroupInfoFuel%5B%40ordinal%3D1%5D%2FpicFuelRecibeInterno","Descargar")</f>
        <v>Descargar</v>
      </c>
    </row>
    <row r="4833" spans="1:18" x14ac:dyDescent="0.3">
      <c r="A4833">
        <v>1464433</v>
      </c>
      <c r="B4833" t="s">
        <v>18</v>
      </c>
      <c r="C4833" t="s">
        <v>55</v>
      </c>
      <c r="D4833" t="s">
        <v>64</v>
      </c>
      <c r="E4833" t="s">
        <v>2008</v>
      </c>
      <c r="F4833" t="s">
        <v>22</v>
      </c>
      <c r="G4833" t="s">
        <v>23</v>
      </c>
      <c r="H4833" t="s">
        <v>1763</v>
      </c>
      <c r="I4833" t="s">
        <v>25</v>
      </c>
      <c r="J4833" t="s">
        <v>3667</v>
      </c>
      <c r="K4833">
        <v>14</v>
      </c>
      <c r="L4833">
        <v>1</v>
      </c>
      <c r="M4833">
        <v>2025</v>
      </c>
      <c r="N4833" t="s">
        <v>27</v>
      </c>
      <c r="O4833">
        <v>150</v>
      </c>
      <c r="P4833">
        <v>150</v>
      </c>
      <c r="R4833" s="3" t="str">
        <f>HYPERLINK("https://panda.att.com.mx/ODKServer/view/binaryData?blobKey=FSSuministroFluidosv3%5B%40version%3Dnull+and+%40uiVersion%3Dnull%5D%2Fdata%5B%40key%3Duuid%3Aa24e038c-8051-4c08-97a0-9d37e1441876%5D%2FgroupInfoFuel%5B%40ordinal%3D1%5D%2FpicFuelRecibeInterno","Descargar")</f>
        <v>Descargar</v>
      </c>
    </row>
    <row r="4834" spans="1:18" x14ac:dyDescent="0.3">
      <c r="A4834">
        <v>1464409</v>
      </c>
      <c r="B4834" t="s">
        <v>18</v>
      </c>
      <c r="C4834" t="s">
        <v>55</v>
      </c>
      <c r="D4834" t="s">
        <v>56</v>
      </c>
      <c r="E4834" t="s">
        <v>3568</v>
      </c>
      <c r="F4834" t="s">
        <v>22</v>
      </c>
      <c r="G4834" t="s">
        <v>23</v>
      </c>
      <c r="H4834" t="s">
        <v>1763</v>
      </c>
      <c r="I4834" t="s">
        <v>25</v>
      </c>
      <c r="J4834" t="s">
        <v>3668</v>
      </c>
      <c r="K4834">
        <v>6</v>
      </c>
      <c r="L4834">
        <v>1</v>
      </c>
      <c r="M4834">
        <v>2025</v>
      </c>
      <c r="N4834" t="s">
        <v>27</v>
      </c>
      <c r="O4834">
        <v>300</v>
      </c>
      <c r="P4834">
        <v>300</v>
      </c>
      <c r="R4834" s="3" t="str">
        <f>HYPERLINK("https://panda.att.com.mx/ODKServer/view/binaryData?blobKey=FSSuministroFluidosv3%5B%40version%3Dnull+and+%40uiVersion%3Dnull%5D%2Fdata%5B%40key%3Duuid%3Afe5fd2a7-0827-4ba9-b2a9-7c3501c81382%5D%2FgroupInfoFuel%5B%40ordinal%3D1%5D%2FpicFuelRecibeInterno","Descargar")</f>
        <v>Descargar</v>
      </c>
    </row>
    <row r="4835" spans="1:18" x14ac:dyDescent="0.3">
      <c r="A4835">
        <v>1464408</v>
      </c>
      <c r="B4835" t="s">
        <v>18</v>
      </c>
      <c r="C4835" t="s">
        <v>55</v>
      </c>
      <c r="D4835" t="s">
        <v>56</v>
      </c>
      <c r="E4835" t="s">
        <v>1555</v>
      </c>
      <c r="F4835" t="s">
        <v>22</v>
      </c>
      <c r="G4835" t="s">
        <v>23</v>
      </c>
      <c r="H4835" t="s">
        <v>1763</v>
      </c>
      <c r="I4835" t="s">
        <v>25</v>
      </c>
      <c r="J4835" t="s">
        <v>3669</v>
      </c>
      <c r="K4835">
        <v>6</v>
      </c>
      <c r="L4835">
        <v>1</v>
      </c>
      <c r="M4835">
        <v>2025</v>
      </c>
      <c r="N4835" t="s">
        <v>27</v>
      </c>
      <c r="O4835">
        <v>300</v>
      </c>
      <c r="P4835">
        <v>300</v>
      </c>
      <c r="R4835" s="3" t="str">
        <f>HYPERLINK("https://panda.att.com.mx/ODKServer/view/binaryData?blobKey=FSSuministroFluidosv3%5B%40version%3Dnull+and+%40uiVersion%3Dnull%5D%2Fdata%5B%40key%3Duuid%3A4b01d682-2607-4fb6-b6b3-bcb289a54563%5D%2FgroupInfoFuel%5B%40ordinal%3D1%5D%2FpicFuelRecibeInterno","Descargar")</f>
        <v>Descargar</v>
      </c>
    </row>
    <row r="4836" spans="1:18" x14ac:dyDescent="0.3">
      <c r="A4836">
        <v>1464400</v>
      </c>
      <c r="B4836" t="s">
        <v>18</v>
      </c>
      <c r="C4836" t="s">
        <v>55</v>
      </c>
      <c r="D4836" t="s">
        <v>56</v>
      </c>
      <c r="E4836" t="s">
        <v>3568</v>
      </c>
      <c r="F4836" t="s">
        <v>22</v>
      </c>
      <c r="G4836" t="s">
        <v>23</v>
      </c>
      <c r="H4836" t="s">
        <v>1763</v>
      </c>
      <c r="I4836" t="s">
        <v>25</v>
      </c>
      <c r="J4836" t="s">
        <v>3670</v>
      </c>
      <c r="K4836">
        <v>4</v>
      </c>
      <c r="L4836">
        <v>1</v>
      </c>
      <c r="M4836">
        <v>2025</v>
      </c>
      <c r="N4836" t="s">
        <v>27</v>
      </c>
      <c r="O4836">
        <v>200</v>
      </c>
      <c r="P4836">
        <v>200</v>
      </c>
      <c r="R4836" s="3" t="str">
        <f>HYPERLINK("https://panda.att.com.mx/ODKServer/view/binaryData?blobKey=FSSuministroFluidosv3%5B%40version%3Dnull+and+%40uiVersion%3Dnull%5D%2Fdata%5B%40key%3Duuid%3A7ae07c23-5a6e-409c-b51d-224917d1f091%5D%2FgroupInfoFuel%5B%40ordinal%3D1%5D%2FpicFuelRecibeInterno","Descargar")</f>
        <v>Descargar</v>
      </c>
    </row>
    <row r="4837" spans="1:18" x14ac:dyDescent="0.3">
      <c r="A4837">
        <v>1464392</v>
      </c>
      <c r="B4837" t="s">
        <v>18</v>
      </c>
      <c r="C4837" t="s">
        <v>55</v>
      </c>
      <c r="D4837" t="s">
        <v>56</v>
      </c>
      <c r="E4837" t="s">
        <v>1555</v>
      </c>
      <c r="F4837" t="s">
        <v>22</v>
      </c>
      <c r="G4837" t="s">
        <v>23</v>
      </c>
      <c r="H4837" t="s">
        <v>1763</v>
      </c>
      <c r="I4837" t="s">
        <v>25</v>
      </c>
      <c r="J4837" t="s">
        <v>3671</v>
      </c>
      <c r="K4837">
        <v>4</v>
      </c>
      <c r="L4837">
        <v>1</v>
      </c>
      <c r="M4837">
        <v>2025</v>
      </c>
      <c r="N4837" t="s">
        <v>27</v>
      </c>
      <c r="O4837">
        <v>300</v>
      </c>
      <c r="P4837">
        <v>300</v>
      </c>
      <c r="R4837" s="3" t="str">
        <f>HYPERLINK("https://panda.att.com.mx/ODKServer/view/binaryData?blobKey=FSSuministroFluidosv3%5B%40version%3Dnull+and+%40uiVersion%3Dnull%5D%2Fdata%5B%40key%3Duuid%3A3c1e89cd-1fbd-45ba-a4fd-1e91c0557b0e%5D%2FgroupInfoFuel%5B%40ordinal%3D1%5D%2FpicFuelRecibeInterno","Descargar")</f>
        <v>Descargar</v>
      </c>
    </row>
    <row r="4838" spans="1:18" x14ac:dyDescent="0.3">
      <c r="A4838">
        <v>1464380</v>
      </c>
      <c r="B4838" t="s">
        <v>18</v>
      </c>
      <c r="C4838" t="s">
        <v>55</v>
      </c>
      <c r="D4838" t="s">
        <v>56</v>
      </c>
      <c r="E4838" t="s">
        <v>3027</v>
      </c>
      <c r="F4838" t="s">
        <v>22</v>
      </c>
      <c r="G4838" t="s">
        <v>23</v>
      </c>
      <c r="H4838" t="s">
        <v>1763</v>
      </c>
      <c r="I4838" t="s">
        <v>25</v>
      </c>
      <c r="J4838" t="s">
        <v>3672</v>
      </c>
      <c r="K4838">
        <v>9</v>
      </c>
      <c r="L4838">
        <v>1</v>
      </c>
      <c r="M4838">
        <v>2025</v>
      </c>
      <c r="N4838" t="s">
        <v>27</v>
      </c>
      <c r="O4838">
        <v>150</v>
      </c>
      <c r="P4838">
        <v>150</v>
      </c>
      <c r="R4838" s="3" t="str">
        <f>HYPERLINK("https://panda.att.com.mx/ODKServer/view/binaryData?blobKey=FSSuministroFluidosv3%5B%40version%3Dnull+and+%40uiVersion%3Dnull%5D%2Fdata%5B%40key%3Duuid%3Aac1e12f7-cab3-44d3-b336-7e152121d831%5D%2FgroupInfoFuel%5B%40ordinal%3D1%5D%2FpicFuelRecibeInterno","Descargar")</f>
        <v>Descargar</v>
      </c>
    </row>
    <row r="4839" spans="1:18" x14ac:dyDescent="0.3">
      <c r="A4839">
        <v>1464379</v>
      </c>
      <c r="B4839" t="s">
        <v>18</v>
      </c>
      <c r="C4839" t="s">
        <v>55</v>
      </c>
      <c r="D4839" t="s">
        <v>56</v>
      </c>
      <c r="E4839" t="s">
        <v>2470</v>
      </c>
      <c r="F4839" t="s">
        <v>22</v>
      </c>
      <c r="G4839" t="s">
        <v>23</v>
      </c>
      <c r="H4839" t="s">
        <v>1763</v>
      </c>
      <c r="I4839" t="s">
        <v>25</v>
      </c>
      <c r="J4839" t="s">
        <v>3673</v>
      </c>
      <c r="K4839">
        <v>9</v>
      </c>
      <c r="L4839">
        <v>1</v>
      </c>
      <c r="M4839">
        <v>2025</v>
      </c>
      <c r="N4839" t="s">
        <v>27</v>
      </c>
      <c r="O4839">
        <v>250</v>
      </c>
      <c r="P4839">
        <v>250</v>
      </c>
      <c r="R4839" s="3" t="str">
        <f>HYPERLINK("https://panda.att.com.mx/ODKServer/view/binaryData?blobKey=FSSuministroFluidosv3%5B%40version%3Dnull+and+%40uiVersion%3Dnull%5D%2Fdata%5B%40key%3Duuid%3A13a6e98e-2192-4fca-bdad-fbd42c57faa2%5D%2FgroupInfoFuel%5B%40ordinal%3D1%5D%2FpicFuelRecibeInterno","Descargar")</f>
        <v>Descargar</v>
      </c>
    </row>
    <row r="4840" spans="1:18" x14ac:dyDescent="0.3">
      <c r="A4840">
        <v>1464365</v>
      </c>
      <c r="B4840" t="s">
        <v>18</v>
      </c>
      <c r="C4840" t="s">
        <v>55</v>
      </c>
      <c r="D4840" t="s">
        <v>56</v>
      </c>
      <c r="E4840" t="s">
        <v>3674</v>
      </c>
      <c r="F4840" t="s">
        <v>22</v>
      </c>
      <c r="G4840" t="s">
        <v>23</v>
      </c>
      <c r="H4840" t="s">
        <v>1763</v>
      </c>
      <c r="I4840" t="s">
        <v>25</v>
      </c>
      <c r="J4840" t="s">
        <v>3675</v>
      </c>
      <c r="K4840">
        <v>9</v>
      </c>
      <c r="L4840">
        <v>1</v>
      </c>
      <c r="M4840">
        <v>2025</v>
      </c>
      <c r="N4840" t="s">
        <v>27</v>
      </c>
      <c r="O4840">
        <v>200</v>
      </c>
      <c r="P4840">
        <v>200</v>
      </c>
      <c r="R4840" s="3" t="str">
        <f>HYPERLINK("https://panda.att.com.mx/ODKServer/view/binaryData?blobKey=FSSuministroFluidosv3%5B%40version%3Dnull+and+%40uiVersion%3Dnull%5D%2Fdata%5B%40key%3Duuid%3Afe9151a5-3665-4133-9b9c-cb1c72f32f47%5D%2FgroupInfoFuel%5B%40ordinal%3D1%5D%2FpicFuelRecibeInterno","Descargar")</f>
        <v>Descargar</v>
      </c>
    </row>
    <row r="4841" spans="1:18" x14ac:dyDescent="0.3">
      <c r="A4841">
        <v>1464364</v>
      </c>
      <c r="B4841" t="s">
        <v>18</v>
      </c>
      <c r="C4841" t="s">
        <v>55</v>
      </c>
      <c r="D4841" t="s">
        <v>56</v>
      </c>
      <c r="E4841" t="s">
        <v>3676</v>
      </c>
      <c r="F4841" t="s">
        <v>22</v>
      </c>
      <c r="G4841" t="s">
        <v>23</v>
      </c>
      <c r="H4841" t="s">
        <v>1763</v>
      </c>
      <c r="I4841" t="s">
        <v>25</v>
      </c>
      <c r="J4841" t="s">
        <v>3677</v>
      </c>
      <c r="K4841">
        <v>9</v>
      </c>
      <c r="L4841">
        <v>1</v>
      </c>
      <c r="M4841">
        <v>2025</v>
      </c>
      <c r="N4841" t="s">
        <v>27</v>
      </c>
      <c r="O4841">
        <v>200</v>
      </c>
      <c r="P4841">
        <v>200</v>
      </c>
      <c r="R4841" s="3" t="str">
        <f>HYPERLINK("https://panda.att.com.mx/ODKServer/view/binaryData?blobKey=FSSuministroFluidosv3%5B%40version%3Dnull+and+%40uiVersion%3Dnull%5D%2Fdata%5B%40key%3Duuid%3A446c456f-1bf2-42bd-a4c1-7dbb7a2bd0e6%5D%2FgroupInfoFuel%5B%40ordinal%3D1%5D%2FpicFuelRecibeInterno","Descargar")</f>
        <v>Descargar</v>
      </c>
    </row>
    <row r="4842" spans="1:18" x14ac:dyDescent="0.3">
      <c r="A4842">
        <v>1464360</v>
      </c>
      <c r="B4842" t="s">
        <v>18</v>
      </c>
      <c r="C4842" t="s">
        <v>100</v>
      </c>
      <c r="D4842" t="s">
        <v>854</v>
      </c>
      <c r="E4842" t="s">
        <v>993</v>
      </c>
      <c r="F4842" t="s">
        <v>22</v>
      </c>
      <c r="G4842" t="s">
        <v>83</v>
      </c>
      <c r="H4842" t="s">
        <v>1781</v>
      </c>
      <c r="I4842" t="s">
        <v>25</v>
      </c>
      <c r="J4842" t="s">
        <v>3678</v>
      </c>
      <c r="K4842">
        <v>14</v>
      </c>
      <c r="L4842">
        <v>1</v>
      </c>
      <c r="M4842">
        <v>2025</v>
      </c>
      <c r="N4842" t="s">
        <v>27</v>
      </c>
      <c r="O4842">
        <v>220</v>
      </c>
      <c r="P4842">
        <v>220</v>
      </c>
      <c r="R4842" s="3" t="str">
        <f>HYPERLINK("https://panda.att.com.mx/ODKServer/view/binaryData?blobKey=FSSuministroFluidosv3%5B%40version%3Dnull+and+%40uiVersion%3Dnull%5D%2Fdata%5B%40key%3Duuid%3A26d2597f-eb76-4b7b-817f-b3162fe28b6f%5D%2FgroupInfoFuel%5B%40ordinal%3D1%5D%2FpicFuelRecibeInterno","Descargar")</f>
        <v>Descargar</v>
      </c>
    </row>
    <row r="4843" spans="1:18" x14ac:dyDescent="0.3">
      <c r="A4843">
        <v>1464330</v>
      </c>
      <c r="B4843" t="s">
        <v>18</v>
      </c>
      <c r="C4843" t="s">
        <v>68</v>
      </c>
      <c r="D4843" t="s">
        <v>116</v>
      </c>
      <c r="E4843" t="s">
        <v>3551</v>
      </c>
      <c r="F4843" t="s">
        <v>22</v>
      </c>
      <c r="G4843" t="s">
        <v>83</v>
      </c>
      <c r="H4843" t="s">
        <v>37</v>
      </c>
      <c r="I4843" t="s">
        <v>25</v>
      </c>
      <c r="J4843" t="s">
        <v>3679</v>
      </c>
      <c r="K4843">
        <v>14</v>
      </c>
      <c r="L4843">
        <v>1</v>
      </c>
      <c r="M4843">
        <v>2025</v>
      </c>
      <c r="N4843" t="s">
        <v>44</v>
      </c>
      <c r="O4843">
        <v>50</v>
      </c>
      <c r="P4843">
        <v>50</v>
      </c>
      <c r="R4843" s="3" t="str">
        <f>HYPERLINK("https://panda.att.com.mx/ODKServer/view/binaryData?blobKey=FSSuministroFluidosv3%5B%40version%3Dnull+and+%40uiVersion%3Dnull%5D%2Fdata%5B%40key%3Duuid%3A76b77a9a-e382-4ef7-bbba-91157757fe89%5D%2FgroupInfoFuel%5B%40ordinal%3D1%5D%2FpicFuelRecibeInterno","Descargar")</f>
        <v>Descargar</v>
      </c>
    </row>
    <row r="4844" spans="1:18" x14ac:dyDescent="0.3">
      <c r="A4844">
        <v>1464174</v>
      </c>
      <c r="B4844" t="s">
        <v>18</v>
      </c>
      <c r="C4844" t="s">
        <v>150</v>
      </c>
      <c r="D4844" t="s">
        <v>230</v>
      </c>
      <c r="E4844" t="s">
        <v>1510</v>
      </c>
      <c r="F4844" t="s">
        <v>22</v>
      </c>
      <c r="G4844" t="s">
        <v>23</v>
      </c>
      <c r="H4844" t="s">
        <v>1781</v>
      </c>
      <c r="I4844" t="s">
        <v>25</v>
      </c>
      <c r="J4844" t="s">
        <v>3680</v>
      </c>
      <c r="K4844">
        <v>14</v>
      </c>
      <c r="L4844">
        <v>1</v>
      </c>
      <c r="M4844">
        <v>2025</v>
      </c>
      <c r="N4844" t="s">
        <v>27</v>
      </c>
      <c r="O4844">
        <v>250.02</v>
      </c>
      <c r="P4844">
        <v>250.02</v>
      </c>
      <c r="R4844" s="3" t="str">
        <f>HYPERLINK("https://panda.att.com.mx/ODKServer/view/binaryData?blobKey=FSSuministroFluidosv3%5B%40version%3Dnull+and+%40uiVersion%3Dnull%5D%2Fdata%5B%40key%3Duuid%3A33f1486a-1bd2-4132-b494-6935e575fcd7%5D%2FgroupInfoFuel%5B%40ordinal%3D1%5D%2FpicFuelRecibeInterno","Descargar")</f>
        <v>Descargar</v>
      </c>
    </row>
    <row r="4845" spans="1:18" x14ac:dyDescent="0.3">
      <c r="A4845">
        <v>1464059</v>
      </c>
      <c r="B4845" t="s">
        <v>18</v>
      </c>
      <c r="C4845" t="s">
        <v>34</v>
      </c>
      <c r="D4845" t="s">
        <v>121</v>
      </c>
      <c r="E4845" t="s">
        <v>3086</v>
      </c>
      <c r="F4845" t="s">
        <v>22</v>
      </c>
      <c r="G4845" t="s">
        <v>23</v>
      </c>
      <c r="H4845" t="s">
        <v>37</v>
      </c>
      <c r="I4845" t="s">
        <v>25</v>
      </c>
      <c r="J4845" t="s">
        <v>3681</v>
      </c>
      <c r="K4845">
        <v>13</v>
      </c>
      <c r="L4845">
        <v>1</v>
      </c>
      <c r="M4845">
        <v>2025</v>
      </c>
      <c r="N4845" t="s">
        <v>27</v>
      </c>
      <c r="O4845">
        <v>300</v>
      </c>
      <c r="P4845">
        <v>300</v>
      </c>
      <c r="R4845" s="3" t="str">
        <f>HYPERLINK("https://panda.att.com.mx/ODKServer/view/binaryData?blobKey=FSSuministroFluidosv3%5B%40version%3Dnull+and+%40uiVersion%3Dnull%5D%2Fdata%5B%40key%3Duuid%3Aee192b89-3777-45e4-807f-b185060d8f3f%5D%2FgroupInfoFuel%5B%40ordinal%3D1%5D%2FpicFuelRecibeInterno","Descargar")</f>
        <v>Descargar</v>
      </c>
    </row>
    <row r="4846" spans="1:18" x14ac:dyDescent="0.3">
      <c r="A4846">
        <v>1464058</v>
      </c>
      <c r="B4846" t="s">
        <v>18</v>
      </c>
      <c r="C4846" t="s">
        <v>34</v>
      </c>
      <c r="D4846" t="s">
        <v>121</v>
      </c>
      <c r="E4846" t="s">
        <v>3102</v>
      </c>
      <c r="F4846" t="s">
        <v>22</v>
      </c>
      <c r="G4846" t="s">
        <v>23</v>
      </c>
      <c r="H4846" t="s">
        <v>37</v>
      </c>
      <c r="I4846" t="s">
        <v>25</v>
      </c>
      <c r="J4846" t="s">
        <v>3682</v>
      </c>
      <c r="K4846">
        <v>13</v>
      </c>
      <c r="L4846">
        <v>1</v>
      </c>
      <c r="M4846">
        <v>2025</v>
      </c>
      <c r="N4846" t="s">
        <v>27</v>
      </c>
      <c r="O4846">
        <v>200</v>
      </c>
      <c r="P4846">
        <v>200</v>
      </c>
      <c r="R4846" s="3" t="str">
        <f>HYPERLINK("https://panda.att.com.mx/ODKServer/view/binaryData?blobKey=FSSuministroFluidosv3%5B%40version%3Dnull+and+%40uiVersion%3Dnull%5D%2Fdata%5B%40key%3Duuid%3A0ac3eff3-d815-4292-843d-d4185ce66310%5D%2FgroupInfoFuel%5B%40ordinal%3D1%5D%2FpicFuelRecibeInterno","Descargar")</f>
        <v>Descargar</v>
      </c>
    </row>
    <row r="4847" spans="1:18" x14ac:dyDescent="0.3">
      <c r="A4847">
        <v>1464057</v>
      </c>
      <c r="B4847" t="s">
        <v>18</v>
      </c>
      <c r="C4847" t="s">
        <v>34</v>
      </c>
      <c r="D4847" t="s">
        <v>121</v>
      </c>
      <c r="E4847" t="s">
        <v>3041</v>
      </c>
      <c r="F4847" t="s">
        <v>22</v>
      </c>
      <c r="G4847" t="s">
        <v>23</v>
      </c>
      <c r="H4847" t="s">
        <v>37</v>
      </c>
      <c r="I4847" t="s">
        <v>25</v>
      </c>
      <c r="J4847" t="s">
        <v>3683</v>
      </c>
      <c r="K4847">
        <v>13</v>
      </c>
      <c r="L4847">
        <v>1</v>
      </c>
      <c r="M4847">
        <v>2025</v>
      </c>
      <c r="N4847" t="s">
        <v>27</v>
      </c>
      <c r="O4847">
        <v>500</v>
      </c>
      <c r="P4847">
        <v>500</v>
      </c>
      <c r="R4847" s="3" t="str">
        <f>HYPERLINK("https://panda.att.com.mx/ODKServer/view/binaryData?blobKey=FSSuministroFluidosv3%5B%40version%3Dnull+and+%40uiVersion%3Dnull%5D%2Fdata%5B%40key%3Duuid%3A2da12f1e-188e-46d9-a8d8-7fb2b322c530%5D%2FgroupInfoFuel%5B%40ordinal%3D1%5D%2FpicFuelRecibeInterno","Descargar")</f>
        <v>Descargar</v>
      </c>
    </row>
    <row r="4848" spans="1:18" x14ac:dyDescent="0.3">
      <c r="A4848">
        <v>1464000</v>
      </c>
      <c r="B4848" t="s">
        <v>18</v>
      </c>
      <c r="C4848" t="s">
        <v>19</v>
      </c>
      <c r="D4848" t="s">
        <v>347</v>
      </c>
      <c r="E4848" t="s">
        <v>3396</v>
      </c>
      <c r="F4848" t="s">
        <v>22</v>
      </c>
      <c r="G4848" t="s">
        <v>23</v>
      </c>
      <c r="H4848" t="s">
        <v>24</v>
      </c>
      <c r="I4848" t="s">
        <v>25</v>
      </c>
      <c r="J4848" t="s">
        <v>3684</v>
      </c>
      <c r="K4848">
        <v>7</v>
      </c>
      <c r="L4848">
        <v>1</v>
      </c>
      <c r="M4848">
        <v>2025</v>
      </c>
      <c r="N4848" t="s">
        <v>27</v>
      </c>
      <c r="O4848">
        <v>197</v>
      </c>
      <c r="P4848">
        <v>197</v>
      </c>
      <c r="R4848" s="3" t="str">
        <f>HYPERLINK("https://panda.att.com.mx/ODKServer/view/binaryData?blobKey=FSSuministroFluidosv3%5B%40version%3Dnull+and+%40uiVersion%3Dnull%5D%2Fdata%5B%40key%3Duuid%3A00006337-d74c-4f02-a12d-189327aa37e1%5D%2FgroupInfoFuel%5B%40ordinal%3D1%5D%2FpicFuelRecibeInterno","Descargar")</f>
        <v>Descargar</v>
      </c>
    </row>
    <row r="4849" spans="1:18" x14ac:dyDescent="0.3">
      <c r="A4849">
        <v>1463991</v>
      </c>
      <c r="B4849" t="s">
        <v>18</v>
      </c>
      <c r="C4849" t="s">
        <v>19</v>
      </c>
      <c r="D4849" t="s">
        <v>189</v>
      </c>
      <c r="E4849" t="s">
        <v>2955</v>
      </c>
      <c r="F4849" t="s">
        <v>22</v>
      </c>
      <c r="G4849" t="s">
        <v>23</v>
      </c>
      <c r="H4849" t="s">
        <v>24</v>
      </c>
      <c r="I4849" t="s">
        <v>25</v>
      </c>
      <c r="J4849" t="s">
        <v>3685</v>
      </c>
      <c r="K4849">
        <v>3</v>
      </c>
      <c r="L4849">
        <v>1</v>
      </c>
      <c r="M4849">
        <v>2025</v>
      </c>
      <c r="N4849" t="s">
        <v>27</v>
      </c>
      <c r="O4849">
        <v>298.52</v>
      </c>
      <c r="P4849">
        <v>298.52</v>
      </c>
      <c r="R4849" s="3" t="str">
        <f>HYPERLINK("https://panda.att.com.mx/ODKServer/view/binaryData?blobKey=FSSuministroFluidosv3%5B%40version%3Dnull+and+%40uiVersion%3Dnull%5D%2Fdata%5B%40key%3Duuid%3Aabf613f8-f73e-499e-8605-298976ee52c8%5D%2FgroupInfoFuel%5B%40ordinal%3D1%5D%2FpicFuelRecibeInterno","Descargar")</f>
        <v>Descargar</v>
      </c>
    </row>
    <row r="4850" spans="1:18" x14ac:dyDescent="0.3">
      <c r="A4850">
        <v>1463977</v>
      </c>
      <c r="B4850" t="s">
        <v>18</v>
      </c>
      <c r="C4850" t="s">
        <v>100</v>
      </c>
      <c r="D4850" t="s">
        <v>651</v>
      </c>
      <c r="E4850" t="s">
        <v>3686</v>
      </c>
      <c r="F4850" t="s">
        <v>22</v>
      </c>
      <c r="G4850" t="s">
        <v>23</v>
      </c>
      <c r="H4850" t="s">
        <v>1781</v>
      </c>
      <c r="I4850" t="s">
        <v>25</v>
      </c>
      <c r="J4850" t="s">
        <v>3687</v>
      </c>
      <c r="K4850">
        <v>13</v>
      </c>
      <c r="L4850">
        <v>1</v>
      </c>
      <c r="M4850">
        <v>2025</v>
      </c>
      <c r="N4850" t="s">
        <v>27</v>
      </c>
      <c r="O4850">
        <v>300</v>
      </c>
      <c r="P4850">
        <v>300</v>
      </c>
      <c r="R4850" s="3" t="str">
        <f>HYPERLINK("https://panda.att.com.mx/ODKServer/view/binaryData?blobKey=FSSuministroFluidosv3%5B%40version%3Dnull+and+%40uiVersion%3Dnull%5D%2Fdata%5B%40key%3Duuid%3Ab0ef1f42-39be-4de6-896b-f48775b2b361%5D%2FgroupInfoFuel%5B%40ordinal%3D1%5D%2FpicFuelRecibeInterno","Descargar")</f>
        <v>Descargar</v>
      </c>
    </row>
    <row r="4851" spans="1:18" x14ac:dyDescent="0.3">
      <c r="A4851">
        <v>1463954</v>
      </c>
      <c r="B4851" t="s">
        <v>18</v>
      </c>
      <c r="C4851" t="s">
        <v>55</v>
      </c>
      <c r="D4851" t="s">
        <v>366</v>
      </c>
      <c r="E4851" t="s">
        <v>1854</v>
      </c>
      <c r="F4851" t="s">
        <v>22</v>
      </c>
      <c r="G4851" t="s">
        <v>23</v>
      </c>
      <c r="H4851" t="s">
        <v>1781</v>
      </c>
      <c r="I4851" t="s">
        <v>25</v>
      </c>
      <c r="J4851" t="s">
        <v>3688</v>
      </c>
      <c r="K4851">
        <v>12</v>
      </c>
      <c r="L4851">
        <v>1</v>
      </c>
      <c r="M4851">
        <v>2025</v>
      </c>
      <c r="N4851" t="s">
        <v>27</v>
      </c>
      <c r="O4851">
        <v>108.9</v>
      </c>
      <c r="P4851">
        <v>108.9</v>
      </c>
      <c r="R4851" s="3" t="str">
        <f>HYPERLINK("https://panda.att.com.mx/ODKServer/view/binaryData?blobKey=FSSuministroFluidosv3%5B%40version%3Dnull+and+%40uiVersion%3Dnull%5D%2Fdata%5B%40key%3Duuid%3Ad1bfb8ef-f33b-416e-b59b-256958fda67b%5D%2FgroupInfoFuel%5B%40ordinal%3D1%5D%2FpicFuelRecibeInterno","Descargar")</f>
        <v>Descargar</v>
      </c>
    </row>
    <row r="4852" spans="1:18" x14ac:dyDescent="0.3">
      <c r="A4852">
        <v>1463925</v>
      </c>
      <c r="B4852" t="s">
        <v>18</v>
      </c>
      <c r="C4852" t="s">
        <v>19</v>
      </c>
      <c r="D4852" t="s">
        <v>45</v>
      </c>
      <c r="E4852" t="s">
        <v>752</v>
      </c>
      <c r="F4852" t="s">
        <v>22</v>
      </c>
      <c r="G4852" t="s">
        <v>23</v>
      </c>
      <c r="H4852" t="s">
        <v>24</v>
      </c>
      <c r="I4852" t="s">
        <v>25</v>
      </c>
      <c r="J4852" t="s">
        <v>3689</v>
      </c>
      <c r="K4852">
        <v>9</v>
      </c>
      <c r="L4852">
        <v>1</v>
      </c>
      <c r="M4852">
        <v>2025</v>
      </c>
      <c r="N4852" t="s">
        <v>27</v>
      </c>
      <c r="O4852">
        <v>400</v>
      </c>
      <c r="P4852">
        <v>400</v>
      </c>
      <c r="R4852" s="3" t="str">
        <f>HYPERLINK("https://panda.att.com.mx/ODKServer/view/binaryData?blobKey=FSSuministroFluidosv3%5B%40version%3Dnull+and+%40uiVersion%3Dnull%5D%2Fdata%5B%40key%3Duuid%3Afd8f89d4-46bc-4776-8a78-e3e3e5b8dba6%5D%2FgroupInfoFuel%5B%40ordinal%3D1%5D%2FpicFuelRecibeInterno","Descargar")</f>
        <v>Descargar</v>
      </c>
    </row>
    <row r="4853" spans="1:18" x14ac:dyDescent="0.3">
      <c r="A4853">
        <v>1463826</v>
      </c>
      <c r="B4853" t="s">
        <v>18</v>
      </c>
      <c r="C4853" t="s">
        <v>100</v>
      </c>
      <c r="D4853" t="s">
        <v>854</v>
      </c>
      <c r="E4853" t="s">
        <v>3563</v>
      </c>
      <c r="F4853" t="s">
        <v>22</v>
      </c>
      <c r="G4853" t="s">
        <v>23</v>
      </c>
      <c r="H4853" t="s">
        <v>1781</v>
      </c>
      <c r="I4853" t="s">
        <v>25</v>
      </c>
      <c r="J4853" t="s">
        <v>3690</v>
      </c>
      <c r="K4853">
        <v>13</v>
      </c>
      <c r="L4853">
        <v>1</v>
      </c>
      <c r="M4853">
        <v>2025</v>
      </c>
      <c r="N4853" t="s">
        <v>27</v>
      </c>
      <c r="O4853">
        <v>200</v>
      </c>
      <c r="P4853">
        <v>200</v>
      </c>
      <c r="R4853" s="3" t="str">
        <f>HYPERLINK("https://panda.att.com.mx/ODKServer/view/binaryData?blobKey=FSSuministroFluidosv3%5B%40version%3Dnull+and+%40uiVersion%3Dnull%5D%2Fdata%5B%40key%3Duuid%3A32e286e8-928d-48ec-a454-0b7655588a3e%5D%2FgroupInfoFuel%5B%40ordinal%3D1%5D%2FpicFuelRecibeInterno","Descargar")</f>
        <v>Descargar</v>
      </c>
    </row>
    <row r="4854" spans="1:18" x14ac:dyDescent="0.3">
      <c r="A4854">
        <v>1463772</v>
      </c>
      <c r="B4854" t="s">
        <v>18</v>
      </c>
      <c r="C4854" t="s">
        <v>28</v>
      </c>
      <c r="D4854" t="s">
        <v>513</v>
      </c>
      <c r="E4854" t="s">
        <v>3691</v>
      </c>
      <c r="F4854" t="s">
        <v>22</v>
      </c>
      <c r="G4854" t="s">
        <v>23</v>
      </c>
      <c r="H4854" t="s">
        <v>24</v>
      </c>
      <c r="I4854" t="s">
        <v>25</v>
      </c>
      <c r="J4854" t="s">
        <v>3692</v>
      </c>
      <c r="K4854">
        <v>13</v>
      </c>
      <c r="L4854">
        <v>1</v>
      </c>
      <c r="M4854">
        <v>2025</v>
      </c>
      <c r="N4854" t="s">
        <v>44</v>
      </c>
      <c r="O4854">
        <v>50</v>
      </c>
      <c r="P4854">
        <v>50</v>
      </c>
      <c r="R4854" s="3" t="str">
        <f>HYPERLINK("https://panda.att.com.mx/ODKServer/view/binaryData?blobKey=FSSuministroFluidosv3%5B%40version%3Dnull+and+%40uiVersion%3Dnull%5D%2Fdata%5B%40key%3Duuid%3A8185efcf-a6b2-4367-96c6-271bd75b263c%5D%2FgroupInfoFuel%5B%40ordinal%3D1%5D%2FpicFuelRecibeInterno","Descargar")</f>
        <v>Descargar</v>
      </c>
    </row>
    <row r="4855" spans="1:18" x14ac:dyDescent="0.3">
      <c r="A4855">
        <v>1463771</v>
      </c>
      <c r="B4855" t="s">
        <v>18</v>
      </c>
      <c r="C4855" t="s">
        <v>28</v>
      </c>
      <c r="D4855" t="s">
        <v>513</v>
      </c>
      <c r="E4855" t="s">
        <v>3691</v>
      </c>
      <c r="F4855" t="s">
        <v>22</v>
      </c>
      <c r="G4855" t="s">
        <v>23</v>
      </c>
      <c r="H4855" t="s">
        <v>24</v>
      </c>
      <c r="I4855" t="s">
        <v>25</v>
      </c>
      <c r="J4855" t="s">
        <v>3693</v>
      </c>
      <c r="K4855">
        <v>12</v>
      </c>
      <c r="L4855">
        <v>1</v>
      </c>
      <c r="M4855">
        <v>2025</v>
      </c>
      <c r="N4855" t="s">
        <v>44</v>
      </c>
      <c r="O4855">
        <v>50</v>
      </c>
      <c r="P4855">
        <v>50</v>
      </c>
      <c r="R4855" s="3" t="str">
        <f>HYPERLINK("https://panda.att.com.mx/ODKServer/view/binaryData?blobKey=FSSuministroFluidosv3%5B%40version%3Dnull+and+%40uiVersion%3Dnull%5D%2Fdata%5B%40key%3Duuid%3Ac93aceed-df7d-4dc2-a251-a131238dcb65%5D%2FgroupInfoFuel%5B%40ordinal%3D1%5D%2FpicFuelRecibeInterno","Descargar")</f>
        <v>Descargar</v>
      </c>
    </row>
    <row r="4856" spans="1:18" x14ac:dyDescent="0.3">
      <c r="A4856">
        <v>1463597</v>
      </c>
      <c r="B4856" t="s">
        <v>18</v>
      </c>
      <c r="C4856" t="s">
        <v>28</v>
      </c>
      <c r="D4856" t="s">
        <v>1036</v>
      </c>
      <c r="E4856" t="s">
        <v>3645</v>
      </c>
      <c r="F4856" t="s">
        <v>22</v>
      </c>
      <c r="G4856" t="s">
        <v>23</v>
      </c>
      <c r="H4856" t="s">
        <v>24</v>
      </c>
      <c r="I4856" t="s">
        <v>25</v>
      </c>
      <c r="J4856" t="s">
        <v>3694</v>
      </c>
      <c r="K4856">
        <v>12</v>
      </c>
      <c r="L4856">
        <v>1</v>
      </c>
      <c r="M4856">
        <v>2025</v>
      </c>
      <c r="N4856" t="s">
        <v>44</v>
      </c>
      <c r="O4856">
        <v>40</v>
      </c>
      <c r="P4856">
        <v>40</v>
      </c>
      <c r="R4856" s="3" t="str">
        <f>HYPERLINK("https://panda.att.com.mx/ODKServer/view/binaryData?blobKey=FSSuministroFluidosv3%5B%40version%3Dnull+and+%40uiVersion%3Dnull%5D%2Fdata%5B%40key%3Duuid%3A1cf19505-fa21-4c5a-a2ee-8b06df685afc%5D%2FgroupInfoFuel%5B%40ordinal%3D1%5D%2FpicFuelRecibeInterno","Descargar")</f>
        <v>Descargar</v>
      </c>
    </row>
    <row r="4857" spans="1:18" x14ac:dyDescent="0.3">
      <c r="A4857">
        <v>1463596</v>
      </c>
      <c r="B4857" t="s">
        <v>18</v>
      </c>
      <c r="C4857" t="s">
        <v>28</v>
      </c>
      <c r="D4857" t="s">
        <v>1036</v>
      </c>
      <c r="E4857" t="s">
        <v>3645</v>
      </c>
      <c r="F4857" t="s">
        <v>22</v>
      </c>
      <c r="G4857" t="s">
        <v>23</v>
      </c>
      <c r="H4857" t="s">
        <v>24</v>
      </c>
      <c r="I4857" t="s">
        <v>25</v>
      </c>
      <c r="J4857" t="s">
        <v>3695</v>
      </c>
      <c r="K4857">
        <v>12</v>
      </c>
      <c r="L4857">
        <v>1</v>
      </c>
      <c r="M4857">
        <v>2025</v>
      </c>
      <c r="N4857" t="s">
        <v>44</v>
      </c>
      <c r="O4857">
        <v>40</v>
      </c>
      <c r="P4857">
        <v>40</v>
      </c>
      <c r="R4857" s="3" t="str">
        <f>HYPERLINK("https://panda.att.com.mx/ODKServer/view/binaryData?blobKey=FSSuministroFluidosv3%5B%40version%3Dnull+and+%40uiVersion%3Dnull%5D%2Fdata%5B%40key%3Duuid%3A8cca3fb6-96b5-4ab3-8e36-6a088b232d12%5D%2FgroupInfoFuel%5B%40ordinal%3D1%5D%2FpicFuelRecibeInterno","Descargar")</f>
        <v>Descargar</v>
      </c>
    </row>
    <row r="4858" spans="1:18" x14ac:dyDescent="0.3">
      <c r="A4858">
        <v>1463505</v>
      </c>
      <c r="B4858" t="s">
        <v>18</v>
      </c>
      <c r="C4858" t="s">
        <v>19</v>
      </c>
      <c r="D4858" t="s">
        <v>45</v>
      </c>
      <c r="E4858" t="s">
        <v>752</v>
      </c>
      <c r="F4858" t="s">
        <v>22</v>
      </c>
      <c r="G4858" t="s">
        <v>23</v>
      </c>
      <c r="H4858" t="s">
        <v>24</v>
      </c>
      <c r="I4858" t="s">
        <v>25</v>
      </c>
      <c r="J4858" t="s">
        <v>3696</v>
      </c>
      <c r="K4858">
        <v>4</v>
      </c>
      <c r="L4858">
        <v>1</v>
      </c>
      <c r="M4858">
        <v>2025</v>
      </c>
      <c r="N4858" t="s">
        <v>27</v>
      </c>
      <c r="O4858">
        <v>500</v>
      </c>
      <c r="P4858">
        <v>500</v>
      </c>
      <c r="R4858" s="3" t="str">
        <f>HYPERLINK("https://panda.att.com.mx/ODKServer/view/binaryData?blobKey=FSSuministroFluidosv3%5B%40version%3Dnull+and+%40uiVersion%3Dnull%5D%2Fdata%5B%40key%3Duuid%3A8cc20781-eceb-4fd7-b799-08391ce59d35%5D%2FgroupInfoFuel%5B%40ordinal%3D1%5D%2FpicFuelRecibeInterno","Descargar")</f>
        <v>Descargar</v>
      </c>
    </row>
    <row r="4859" spans="1:18" x14ac:dyDescent="0.3">
      <c r="A4859">
        <v>1463493</v>
      </c>
      <c r="B4859" t="s">
        <v>18</v>
      </c>
      <c r="C4859" t="s">
        <v>28</v>
      </c>
      <c r="D4859" t="s">
        <v>31</v>
      </c>
      <c r="E4859" t="s">
        <v>3697</v>
      </c>
      <c r="F4859" t="s">
        <v>22</v>
      </c>
      <c r="G4859" t="s">
        <v>23</v>
      </c>
      <c r="H4859" t="s">
        <v>24</v>
      </c>
      <c r="I4859" t="s">
        <v>25</v>
      </c>
      <c r="J4859" t="s">
        <v>3698</v>
      </c>
      <c r="K4859">
        <v>12</v>
      </c>
      <c r="L4859">
        <v>1</v>
      </c>
      <c r="M4859">
        <v>2025</v>
      </c>
      <c r="N4859" t="s">
        <v>44</v>
      </c>
      <c r="O4859">
        <v>20</v>
      </c>
      <c r="P4859">
        <v>20</v>
      </c>
      <c r="R4859" s="3" t="str">
        <f>HYPERLINK("https://panda.att.com.mx/ODKServer/view/binaryData?blobKey=FSSuministroFluidosv3%5B%40version%3Dnull+and+%40uiVersion%3Dnull%5D%2Fdata%5B%40key%3Duuid%3A5a73cb48-d0e9-49ff-9a68-bbffa21be246%5D%2FgroupInfoFuel%5B%40ordinal%3D1%5D%2FpicFuelRecibeInterno","Descargar")</f>
        <v>Descargar</v>
      </c>
    </row>
    <row r="4860" spans="1:18" x14ac:dyDescent="0.3">
      <c r="A4860">
        <v>1463480</v>
      </c>
      <c r="B4860" t="s">
        <v>18</v>
      </c>
      <c r="C4860" t="s">
        <v>34</v>
      </c>
      <c r="D4860" t="s">
        <v>121</v>
      </c>
      <c r="E4860" t="s">
        <v>802</v>
      </c>
      <c r="F4860" t="s">
        <v>33</v>
      </c>
      <c r="G4860" t="s">
        <v>23</v>
      </c>
      <c r="H4860" t="s">
        <v>37</v>
      </c>
      <c r="I4860" t="s">
        <v>25</v>
      </c>
      <c r="J4860" t="s">
        <v>3699</v>
      </c>
      <c r="K4860">
        <v>12</v>
      </c>
      <c r="L4860">
        <v>1</v>
      </c>
      <c r="M4860">
        <v>2025</v>
      </c>
      <c r="N4860" t="s">
        <v>27</v>
      </c>
      <c r="O4860">
        <v>400</v>
      </c>
      <c r="Q4860">
        <v>400</v>
      </c>
      <c r="R4860" s="3" t="str">
        <f>HYPERLINK("https://panda.att.com.mx/ODKServer/view/binaryData?blobKey=FSSuministroFluidosv3%5B%40version%3Dnull+and+%40uiVersion%3Dnull%5D%2Fdata%5B%40key%3Duuid%3A35a30cd8-2baa-4961-acf1-425d1da31f3b%5D%2FgroupInfoFuel%5B%40ordinal%3D1%5D%2FpicFuelRecibeInterno","Descargar")</f>
        <v>Descargar</v>
      </c>
    </row>
    <row r="4861" spans="1:18" x14ac:dyDescent="0.3">
      <c r="A4861">
        <v>1463479</v>
      </c>
      <c r="B4861" t="s">
        <v>18</v>
      </c>
      <c r="C4861" t="s">
        <v>34</v>
      </c>
      <c r="D4861" t="s">
        <v>53</v>
      </c>
      <c r="E4861" t="s">
        <v>1760</v>
      </c>
      <c r="F4861" t="s">
        <v>22</v>
      </c>
      <c r="G4861" t="s">
        <v>23</v>
      </c>
      <c r="H4861" t="s">
        <v>37</v>
      </c>
      <c r="I4861" t="s">
        <v>25</v>
      </c>
      <c r="J4861" t="s">
        <v>3700</v>
      </c>
      <c r="K4861">
        <v>12</v>
      </c>
      <c r="L4861">
        <v>1</v>
      </c>
      <c r="M4861">
        <v>2025</v>
      </c>
      <c r="N4861" t="s">
        <v>27</v>
      </c>
      <c r="O4861">
        <v>300</v>
      </c>
      <c r="P4861">
        <v>300</v>
      </c>
      <c r="R4861" s="3" t="str">
        <f>HYPERLINK("https://panda.att.com.mx/ODKServer/view/binaryData?blobKey=FSSuministroFluidosv3%5B%40version%3Dnull+and+%40uiVersion%3Dnull%5D%2Fdata%5B%40key%3Duuid%3A50159e6d-0d76-483a-856f-218cd0a565e3%5D%2FgroupInfoFuel%5B%40ordinal%3D1%5D%2FpicFuelRecibeInterno","Descargar")</f>
        <v>Descargar</v>
      </c>
    </row>
    <row r="4862" spans="1:18" x14ac:dyDescent="0.3">
      <c r="A4862">
        <v>1463470</v>
      </c>
      <c r="B4862" t="s">
        <v>18</v>
      </c>
      <c r="C4862" t="s">
        <v>100</v>
      </c>
      <c r="D4862" t="s">
        <v>716</v>
      </c>
      <c r="E4862" t="s">
        <v>717</v>
      </c>
      <c r="F4862" t="s">
        <v>22</v>
      </c>
      <c r="G4862" t="s">
        <v>83</v>
      </c>
      <c r="H4862" t="s">
        <v>1781</v>
      </c>
      <c r="I4862" t="s">
        <v>25</v>
      </c>
      <c r="J4862" t="s">
        <v>3701</v>
      </c>
      <c r="K4862">
        <v>12</v>
      </c>
      <c r="L4862">
        <v>1</v>
      </c>
      <c r="M4862">
        <v>2025</v>
      </c>
      <c r="N4862" t="s">
        <v>27</v>
      </c>
      <c r="O4862">
        <v>150</v>
      </c>
      <c r="P4862">
        <v>150</v>
      </c>
      <c r="R4862" s="3" t="str">
        <f>HYPERLINK("https://panda.att.com.mx/ODKServer/view/binaryData?blobKey=FSSuministroFluidosv3%5B%40version%3Dnull+and+%40uiVersion%3Dnull%5D%2Fdata%5B%40key%3Duuid%3A24138b43-50e2-4149-adda-75a565075bd7%5D%2FgroupInfoFuel%5B%40ordinal%3D1%5D%2FpicFuelRecibeInterno","Descargar")</f>
        <v>Descargar</v>
      </c>
    </row>
    <row r="4863" spans="1:18" x14ac:dyDescent="0.3">
      <c r="A4863">
        <v>1463377</v>
      </c>
      <c r="B4863" t="s">
        <v>18</v>
      </c>
      <c r="C4863" t="s">
        <v>28</v>
      </c>
      <c r="D4863" t="s">
        <v>138</v>
      </c>
      <c r="E4863" t="s">
        <v>1483</v>
      </c>
      <c r="F4863" t="s">
        <v>22</v>
      </c>
      <c r="G4863" t="s">
        <v>23</v>
      </c>
      <c r="H4863" t="s">
        <v>24</v>
      </c>
      <c r="I4863" t="s">
        <v>25</v>
      </c>
      <c r="J4863" t="s">
        <v>3702</v>
      </c>
      <c r="K4863">
        <v>11</v>
      </c>
      <c r="L4863">
        <v>1</v>
      </c>
      <c r="M4863">
        <v>2025</v>
      </c>
      <c r="N4863" t="s">
        <v>27</v>
      </c>
      <c r="O4863">
        <v>200</v>
      </c>
      <c r="P4863">
        <v>200</v>
      </c>
      <c r="R4863" s="3" t="str">
        <f>HYPERLINK("https://panda.att.com.mx/ODKServer/view/binaryData?blobKey=FSSuministroFluidosv3%5B%40version%3Dnull+and+%40uiVersion%3Dnull%5D%2Fdata%5B%40key%3Duuid%3Aaa14e9cd-9ddd-45b2-9f5c-da779f80a231%5D%2FgroupInfoFuel%5B%40ordinal%3D1%5D%2FpicFuelRecibeInterno","Descargar")</f>
        <v>Descargar</v>
      </c>
    </row>
    <row r="4864" spans="1:18" x14ac:dyDescent="0.3">
      <c r="A4864">
        <v>1463364</v>
      </c>
      <c r="B4864" t="s">
        <v>18</v>
      </c>
      <c r="C4864" t="s">
        <v>19</v>
      </c>
      <c r="D4864" t="s">
        <v>156</v>
      </c>
      <c r="E4864" t="s">
        <v>572</v>
      </c>
      <c r="F4864" t="s">
        <v>22</v>
      </c>
      <c r="G4864" t="s">
        <v>23</v>
      </c>
      <c r="H4864" t="s">
        <v>24</v>
      </c>
      <c r="I4864" t="s">
        <v>25</v>
      </c>
      <c r="J4864" t="s">
        <v>3703</v>
      </c>
      <c r="K4864">
        <v>11</v>
      </c>
      <c r="L4864">
        <v>1</v>
      </c>
      <c r="M4864">
        <v>2025</v>
      </c>
      <c r="N4864" t="s">
        <v>44</v>
      </c>
      <c r="O4864">
        <v>13</v>
      </c>
      <c r="P4864">
        <v>13</v>
      </c>
      <c r="R4864" s="3" t="str">
        <f>HYPERLINK("https://panda.att.com.mx/ODKServer/view/binaryData?blobKey=FSSuministroFluidosv3%5B%40version%3Dnull+and+%40uiVersion%3Dnull%5D%2Fdata%5B%40key%3Duuid%3Ac4fbb02f-484a-431a-a8c5-2a81102f6369%5D%2FgroupInfoFuel%5B%40ordinal%3D1%5D%2FpicFuelRecibeInterno","Descargar")</f>
        <v>Descargar</v>
      </c>
    </row>
    <row r="4865" spans="1:18" x14ac:dyDescent="0.3">
      <c r="A4865">
        <v>1463341</v>
      </c>
      <c r="B4865" t="s">
        <v>18</v>
      </c>
      <c r="C4865" t="s">
        <v>19</v>
      </c>
      <c r="D4865" t="s">
        <v>347</v>
      </c>
      <c r="E4865" t="s">
        <v>3396</v>
      </c>
      <c r="F4865" t="s">
        <v>22</v>
      </c>
      <c r="G4865" t="s">
        <v>23</v>
      </c>
      <c r="H4865" t="s">
        <v>24</v>
      </c>
      <c r="I4865" t="s">
        <v>25</v>
      </c>
      <c r="J4865" t="s">
        <v>3704</v>
      </c>
      <c r="K4865">
        <v>11</v>
      </c>
      <c r="L4865">
        <v>1</v>
      </c>
      <c r="M4865">
        <v>2025</v>
      </c>
      <c r="N4865" t="s">
        <v>27</v>
      </c>
      <c r="O4865">
        <v>400</v>
      </c>
      <c r="P4865">
        <v>400</v>
      </c>
      <c r="R4865" s="3" t="str">
        <f>HYPERLINK("https://panda.att.com.mx/ODKServer/view/binaryData?blobKey=FSSuministroFluidosv3%5B%40version%3Dnull+and+%40uiVersion%3Dnull%5D%2Fdata%5B%40key%3Duuid%3Aff598768-007d-4806-8976-a159f79882d3%5D%2FgroupInfoFuel%5B%40ordinal%3D1%5D%2FpicFuelRecibeInterno","Descargar")</f>
        <v>Descargar</v>
      </c>
    </row>
    <row r="4866" spans="1:18" x14ac:dyDescent="0.3">
      <c r="A4866">
        <v>1463337</v>
      </c>
      <c r="B4866" t="s">
        <v>18</v>
      </c>
      <c r="C4866" t="s">
        <v>100</v>
      </c>
      <c r="D4866" t="s">
        <v>716</v>
      </c>
      <c r="E4866" t="s">
        <v>1238</v>
      </c>
      <c r="F4866" t="s">
        <v>22</v>
      </c>
      <c r="G4866" t="s">
        <v>23</v>
      </c>
      <c r="H4866" t="s">
        <v>1781</v>
      </c>
      <c r="I4866" t="s">
        <v>25</v>
      </c>
      <c r="J4866" t="s">
        <v>3705</v>
      </c>
      <c r="K4866">
        <v>11</v>
      </c>
      <c r="L4866">
        <v>1</v>
      </c>
      <c r="M4866">
        <v>2025</v>
      </c>
      <c r="N4866" t="s">
        <v>27</v>
      </c>
      <c r="O4866">
        <v>200</v>
      </c>
      <c r="P4866">
        <v>200</v>
      </c>
      <c r="R4866" s="3" t="str">
        <f>HYPERLINK("https://panda.att.com.mx/ODKServer/view/binaryData?blobKey=FSSuministroFluidosv3%5B%40version%3Dnull+and+%40uiVersion%3Dnull%5D%2Fdata%5B%40key%3Duuid%3Affaad880-8a52-44fc-aa89-9d7e28b93c27%5D%2FgroupInfoFuel%5B%40ordinal%3D1%5D%2FpicFuelRecibeInterno","Descargar")</f>
        <v>Descargar</v>
      </c>
    </row>
    <row r="4867" spans="1:18" x14ac:dyDescent="0.3">
      <c r="A4867">
        <v>1463319</v>
      </c>
      <c r="B4867" t="s">
        <v>18</v>
      </c>
      <c r="C4867" t="s">
        <v>68</v>
      </c>
      <c r="D4867" t="s">
        <v>116</v>
      </c>
      <c r="E4867" t="s">
        <v>3097</v>
      </c>
      <c r="F4867" t="s">
        <v>22</v>
      </c>
      <c r="G4867" t="s">
        <v>23</v>
      </c>
      <c r="H4867" t="s">
        <v>37</v>
      </c>
      <c r="I4867" t="s">
        <v>25</v>
      </c>
      <c r="J4867" t="s">
        <v>3706</v>
      </c>
      <c r="K4867">
        <v>11</v>
      </c>
      <c r="L4867">
        <v>1</v>
      </c>
      <c r="M4867">
        <v>2025</v>
      </c>
      <c r="N4867" t="s">
        <v>27</v>
      </c>
      <c r="O4867">
        <v>400</v>
      </c>
      <c r="P4867">
        <v>400</v>
      </c>
      <c r="R4867" s="3" t="str">
        <f>HYPERLINK("https://panda.att.com.mx/ODKServer/view/binaryData?blobKey=FSSuministroFluidosv3%5B%40version%3Dnull+and+%40uiVersion%3Dnull%5D%2Fdata%5B%40key%3Duuid%3Aede3d178-a3ae-4333-9520-440b0f16658e%5D%2FgroupInfoFuel%5B%40ordinal%3D1%5D%2FpicFuelRecibeInterno","Descargar")</f>
        <v>Descargar</v>
      </c>
    </row>
    <row r="4868" spans="1:18" x14ac:dyDescent="0.3">
      <c r="A4868">
        <v>1463309</v>
      </c>
      <c r="B4868" t="s">
        <v>18</v>
      </c>
      <c r="C4868" t="s">
        <v>28</v>
      </c>
      <c r="D4868" t="s">
        <v>118</v>
      </c>
      <c r="E4868" t="s">
        <v>401</v>
      </c>
      <c r="F4868" t="s">
        <v>22</v>
      </c>
      <c r="G4868" t="s">
        <v>23</v>
      </c>
      <c r="H4868" t="s">
        <v>24</v>
      </c>
      <c r="I4868" t="s">
        <v>25</v>
      </c>
      <c r="J4868" t="s">
        <v>3707</v>
      </c>
      <c r="K4868">
        <v>10</v>
      </c>
      <c r="L4868">
        <v>1</v>
      </c>
      <c r="M4868">
        <v>2025</v>
      </c>
      <c r="N4868" t="s">
        <v>44</v>
      </c>
      <c r="O4868">
        <v>40</v>
      </c>
      <c r="P4868">
        <v>40</v>
      </c>
      <c r="R4868" s="3" t="str">
        <f>HYPERLINK("https://panda.att.com.mx/ODKServer/view/binaryData?blobKey=FSSuministroFluidosv3%5B%40version%3Dnull+and+%40uiVersion%3Dnull%5D%2Fdata%5B%40key%3Duuid%3A69656b45-3969-40d6-9ca5-97f851ffb825%5D%2FgroupInfoFuel%5B%40ordinal%3D1%5D%2FpicFuelRecibeInterno","Descargar")</f>
        <v>Descargar</v>
      </c>
    </row>
    <row r="4869" spans="1:18" x14ac:dyDescent="0.3">
      <c r="A4869">
        <v>1463308</v>
      </c>
      <c r="B4869" t="s">
        <v>18</v>
      </c>
      <c r="C4869" t="s">
        <v>100</v>
      </c>
      <c r="D4869" t="s">
        <v>854</v>
      </c>
      <c r="E4869" t="s">
        <v>993</v>
      </c>
      <c r="F4869" t="s">
        <v>22</v>
      </c>
      <c r="G4869" t="s">
        <v>83</v>
      </c>
      <c r="H4869" t="s">
        <v>1781</v>
      </c>
      <c r="I4869" t="s">
        <v>25</v>
      </c>
      <c r="J4869" t="s">
        <v>3708</v>
      </c>
      <c r="K4869">
        <v>11</v>
      </c>
      <c r="L4869">
        <v>1</v>
      </c>
      <c r="M4869">
        <v>2025</v>
      </c>
      <c r="N4869" t="s">
        <v>27</v>
      </c>
      <c r="O4869">
        <v>130</v>
      </c>
      <c r="P4869">
        <v>130</v>
      </c>
      <c r="R4869" s="3" t="str">
        <f>HYPERLINK("https://panda.att.com.mx/ODKServer/view/binaryData?blobKey=FSSuministroFluidosv3%5B%40version%3Dnull+and+%40uiVersion%3Dnull%5D%2Fdata%5B%40key%3Duuid%3A9cb6a29f-23cc-4cfc-b64a-763b74c81134%5D%2FgroupInfoFuel%5B%40ordinal%3D1%5D%2FpicFuelRecibeInterno","Descargar")</f>
        <v>Descargar</v>
      </c>
    </row>
    <row r="4870" spans="1:18" x14ac:dyDescent="0.3">
      <c r="A4870">
        <v>1463290</v>
      </c>
      <c r="B4870" t="s">
        <v>18</v>
      </c>
      <c r="C4870" t="s">
        <v>150</v>
      </c>
      <c r="D4870" t="s">
        <v>230</v>
      </c>
      <c r="E4870" t="s">
        <v>1510</v>
      </c>
      <c r="F4870" t="s">
        <v>22</v>
      </c>
      <c r="G4870" t="s">
        <v>23</v>
      </c>
      <c r="H4870" t="s">
        <v>1781</v>
      </c>
      <c r="I4870" t="s">
        <v>25</v>
      </c>
      <c r="J4870" t="s">
        <v>3709</v>
      </c>
      <c r="K4870">
        <v>11</v>
      </c>
      <c r="L4870">
        <v>1</v>
      </c>
      <c r="M4870">
        <v>2025</v>
      </c>
      <c r="N4870" t="s">
        <v>27</v>
      </c>
      <c r="O4870">
        <v>300.02999999999997</v>
      </c>
      <c r="P4870">
        <v>300.02999999999997</v>
      </c>
      <c r="R4870" s="3" t="str">
        <f>HYPERLINK("https://panda.att.com.mx/ODKServer/view/binaryData?blobKey=FSSuministroFluidosv3%5B%40version%3Dnull+and+%40uiVersion%3Dnull%5D%2Fdata%5B%40key%3Duuid%3A87cb918c-f7bf-4735-8fb2-b8f76f3c72fe%5D%2FgroupInfoFuel%5B%40ordinal%3D1%5D%2FpicFuelRecibeInterno","Descargar")</f>
        <v>Descargar</v>
      </c>
    </row>
    <row r="4871" spans="1:18" x14ac:dyDescent="0.3">
      <c r="A4871">
        <v>1463269</v>
      </c>
      <c r="B4871" t="s">
        <v>18</v>
      </c>
      <c r="C4871" t="s">
        <v>150</v>
      </c>
      <c r="D4871" t="s">
        <v>2224</v>
      </c>
      <c r="E4871" t="s">
        <v>2225</v>
      </c>
      <c r="F4871" t="s">
        <v>22</v>
      </c>
      <c r="G4871" t="s">
        <v>23</v>
      </c>
      <c r="H4871" t="s">
        <v>1781</v>
      </c>
      <c r="I4871" t="s">
        <v>25</v>
      </c>
      <c r="J4871" t="s">
        <v>3710</v>
      </c>
      <c r="K4871">
        <v>11</v>
      </c>
      <c r="L4871">
        <v>1</v>
      </c>
      <c r="M4871">
        <v>2025</v>
      </c>
      <c r="N4871" t="s">
        <v>27</v>
      </c>
      <c r="O4871">
        <v>200.02</v>
      </c>
      <c r="P4871">
        <v>200.02</v>
      </c>
      <c r="R4871" s="3" t="str">
        <f>HYPERLINK("https://panda.att.com.mx/ODKServer/view/binaryData?blobKey=FSSuministroFluidosv3%5B%40version%3Dnull+and+%40uiVersion%3Dnull%5D%2Fdata%5B%40key%3Duuid%3A0f1cfd1d-72b2-4d6c-a326-616bf864e0ea%5D%2FgroupInfoFuel%5B%40ordinal%3D1%5D%2FpicFuelRecibeInterno","Descargar")</f>
        <v>Descargar</v>
      </c>
    </row>
    <row r="4872" spans="1:18" x14ac:dyDescent="0.3">
      <c r="A4872">
        <v>1463267</v>
      </c>
      <c r="B4872" t="s">
        <v>18</v>
      </c>
      <c r="C4872" t="s">
        <v>100</v>
      </c>
      <c r="D4872" t="s">
        <v>651</v>
      </c>
      <c r="E4872" t="s">
        <v>750</v>
      </c>
      <c r="F4872" t="s">
        <v>22</v>
      </c>
      <c r="G4872" t="s">
        <v>23</v>
      </c>
      <c r="H4872" t="s">
        <v>1781</v>
      </c>
      <c r="I4872" t="s">
        <v>25</v>
      </c>
      <c r="J4872" t="s">
        <v>3711</v>
      </c>
      <c r="K4872">
        <v>11</v>
      </c>
      <c r="L4872">
        <v>1</v>
      </c>
      <c r="M4872">
        <v>2025</v>
      </c>
      <c r="N4872" t="s">
        <v>27</v>
      </c>
      <c r="O4872">
        <v>150</v>
      </c>
      <c r="P4872">
        <v>150</v>
      </c>
      <c r="R4872" s="3" t="str">
        <f>HYPERLINK("https://panda.att.com.mx/ODKServer/view/binaryData?blobKey=FSSuministroFluidosv3%5B%40version%3Dnull+and+%40uiVersion%3Dnull%5D%2Fdata%5B%40key%3Duuid%3Aaad4d328-5d76-43d7-94e8-271ccfbd817e%5D%2FgroupInfoFuel%5B%40ordinal%3D1%5D%2FpicFuelRecibeInterno","Descargar")</f>
        <v>Descargar</v>
      </c>
    </row>
    <row r="4873" spans="1:18" x14ac:dyDescent="0.3">
      <c r="A4873">
        <v>1463177</v>
      </c>
      <c r="B4873" t="s">
        <v>18</v>
      </c>
      <c r="C4873" t="s">
        <v>59</v>
      </c>
      <c r="D4873" t="s">
        <v>233</v>
      </c>
      <c r="E4873" t="s">
        <v>3712</v>
      </c>
      <c r="F4873" t="s">
        <v>22</v>
      </c>
      <c r="G4873" t="s">
        <v>23</v>
      </c>
      <c r="H4873" t="s">
        <v>37</v>
      </c>
      <c r="I4873" t="s">
        <v>25</v>
      </c>
      <c r="J4873" t="s">
        <v>3713</v>
      </c>
      <c r="K4873">
        <v>10</v>
      </c>
      <c r="L4873">
        <v>1</v>
      </c>
      <c r="M4873">
        <v>2025</v>
      </c>
      <c r="N4873" t="s">
        <v>27</v>
      </c>
      <c r="O4873">
        <v>100</v>
      </c>
      <c r="P4873">
        <v>100</v>
      </c>
      <c r="R4873" s="3" t="str">
        <f>HYPERLINK("https://panda.att.com.mx/ODKServer/view/binaryData?blobKey=FSSuministroFluidosv3%5B%40version%3Dnull+and+%40uiVersion%3Dnull%5D%2Fdata%5B%40key%3Duuid%3Af5f874c9-560c-4dfa-b467-9730ca40e3a4%5D%2FgroupInfoFuel%5B%40ordinal%3D1%5D%2FpicFuelRecibeInterno","Descargar")</f>
        <v>Descargar</v>
      </c>
    </row>
    <row r="4874" spans="1:18" x14ac:dyDescent="0.3">
      <c r="A4874">
        <v>1463174</v>
      </c>
      <c r="B4874" t="s">
        <v>18</v>
      </c>
      <c r="C4874" t="s">
        <v>59</v>
      </c>
      <c r="D4874" t="s">
        <v>233</v>
      </c>
      <c r="E4874" t="s">
        <v>3714</v>
      </c>
      <c r="F4874" t="s">
        <v>22</v>
      </c>
      <c r="G4874" t="s">
        <v>23</v>
      </c>
      <c r="H4874" t="s">
        <v>37</v>
      </c>
      <c r="I4874" t="s">
        <v>25</v>
      </c>
      <c r="J4874" t="s">
        <v>3715</v>
      </c>
      <c r="K4874">
        <v>10</v>
      </c>
      <c r="L4874">
        <v>1</v>
      </c>
      <c r="M4874">
        <v>2025</v>
      </c>
      <c r="N4874" t="s">
        <v>27</v>
      </c>
      <c r="O4874">
        <v>350</v>
      </c>
      <c r="Q4874">
        <v>350</v>
      </c>
      <c r="R4874" s="3" t="str">
        <f>HYPERLINK("https://panda.att.com.mx/ODKServer/view/binaryData?blobKey=FSSuministroFluidosv3%5B%40version%3Dnull+and+%40uiVersion%3Dnull%5D%2Fdata%5B%40key%3Duuid%3Aa38a04d2-0804-4c69-9990-a9f0d07e2fa6%5D%2FgroupInfoFuel%5B%40ordinal%3D1%5D%2FpicFuelRecibeInterno","Descargar")</f>
        <v>Descargar</v>
      </c>
    </row>
    <row r="4875" spans="1:18" x14ac:dyDescent="0.3">
      <c r="A4875">
        <v>1462248</v>
      </c>
      <c r="B4875" t="s">
        <v>18</v>
      </c>
      <c r="C4875" t="s">
        <v>100</v>
      </c>
      <c r="D4875" t="s">
        <v>716</v>
      </c>
      <c r="E4875" t="s">
        <v>717</v>
      </c>
      <c r="F4875" t="s">
        <v>22</v>
      </c>
      <c r="G4875" t="s">
        <v>83</v>
      </c>
      <c r="H4875" t="s">
        <v>1781</v>
      </c>
      <c r="I4875" t="s">
        <v>25</v>
      </c>
      <c r="J4875" t="s">
        <v>3716</v>
      </c>
      <c r="K4875">
        <v>8</v>
      </c>
      <c r="L4875">
        <v>1</v>
      </c>
      <c r="M4875">
        <v>2025</v>
      </c>
      <c r="N4875" t="s">
        <v>27</v>
      </c>
      <c r="O4875">
        <v>150</v>
      </c>
      <c r="P4875">
        <v>150</v>
      </c>
      <c r="R4875" s="3" t="str">
        <f>HYPERLINK("https://panda.att.com.mx/ODKServer/view/binaryData?blobKey=FSSuministroFluidosv3%5B%40version%3Dnull+and+%40uiVersion%3Dnull%5D%2Fdata%5B%40key%3Duuid%3A1e265711-2c2d-43b4-be83-da3462ebcf78%5D%2FgroupInfoFuel%5B%40ordinal%3D1%5D%2FpicFuelRecibeInterno","Descargar")</f>
        <v>Descargar</v>
      </c>
    </row>
    <row r="4876" spans="1:18" x14ac:dyDescent="0.3">
      <c r="A4876">
        <v>1462150</v>
      </c>
      <c r="B4876" t="s">
        <v>18</v>
      </c>
      <c r="C4876" t="s">
        <v>28</v>
      </c>
      <c r="D4876" t="s">
        <v>315</v>
      </c>
      <c r="E4876" t="s">
        <v>703</v>
      </c>
      <c r="F4876" t="s">
        <v>22</v>
      </c>
      <c r="G4876" t="s">
        <v>23</v>
      </c>
      <c r="H4876" t="s">
        <v>24</v>
      </c>
      <c r="I4876" t="s">
        <v>25</v>
      </c>
      <c r="J4876" t="s">
        <v>3717</v>
      </c>
      <c r="K4876">
        <v>6</v>
      </c>
      <c r="L4876">
        <v>1</v>
      </c>
      <c r="M4876">
        <v>2025</v>
      </c>
      <c r="N4876" t="s">
        <v>27</v>
      </c>
      <c r="O4876">
        <v>200</v>
      </c>
      <c r="P4876">
        <v>200</v>
      </c>
      <c r="R4876" s="3" t="str">
        <f>HYPERLINK("https://panda.att.com.mx/ODKServer/view/binaryData?blobKey=FSSuministroFluidosv3%5B%40version%3Dnull+and+%40uiVersion%3Dnull%5D%2Fdata%5B%40key%3Duuid%3A50c5dfe2-4e83-4785-8aa4-b16a6406a8af%5D%2FgroupInfoFuel%5B%40ordinal%3D1%5D%2FpicFuelRecibeInterno","Descargar")</f>
        <v>Descargar</v>
      </c>
    </row>
    <row r="4877" spans="1:18" x14ac:dyDescent="0.3">
      <c r="A4877">
        <v>1461728</v>
      </c>
      <c r="B4877" t="s">
        <v>18</v>
      </c>
      <c r="C4877" t="s">
        <v>19</v>
      </c>
      <c r="D4877" t="s">
        <v>156</v>
      </c>
      <c r="E4877" t="s">
        <v>317</v>
      </c>
      <c r="F4877" t="s">
        <v>22</v>
      </c>
      <c r="G4877" t="s">
        <v>23</v>
      </c>
      <c r="H4877" t="s">
        <v>24</v>
      </c>
      <c r="I4877" t="s">
        <v>25</v>
      </c>
      <c r="J4877" t="s">
        <v>3718</v>
      </c>
      <c r="K4877">
        <v>5</v>
      </c>
      <c r="L4877">
        <v>1</v>
      </c>
      <c r="M4877">
        <v>2025</v>
      </c>
      <c r="N4877" t="s">
        <v>44</v>
      </c>
      <c r="O4877">
        <v>55</v>
      </c>
      <c r="P4877">
        <v>55</v>
      </c>
      <c r="R4877" s="3" t="str">
        <f>HYPERLINK("https://panda.att.com.mx/ODKServer/view/binaryData?blobKey=FSSuministroFluidosv3%5B%40version%3Dnull+and+%40uiVersion%3Dnull%5D%2Fdata%5B%40key%3Duuid%3A288f00a4-57c7-4422-8485-88b4d9f3bcbb%5D%2FgroupInfoFuel%5B%40ordinal%3D1%5D%2FpicFuelRecibeInterno","Descargar")</f>
        <v>Descargar</v>
      </c>
    </row>
    <row r="4878" spans="1:18" x14ac:dyDescent="0.3">
      <c r="A4878">
        <v>1461727</v>
      </c>
      <c r="B4878" t="s">
        <v>18</v>
      </c>
      <c r="C4878" t="s">
        <v>19</v>
      </c>
      <c r="D4878" t="s">
        <v>40</v>
      </c>
      <c r="E4878" t="s">
        <v>3458</v>
      </c>
      <c r="F4878" t="s">
        <v>22</v>
      </c>
      <c r="G4878" t="s">
        <v>23</v>
      </c>
      <c r="H4878" t="s">
        <v>24</v>
      </c>
      <c r="I4878" t="s">
        <v>25</v>
      </c>
      <c r="J4878" t="s">
        <v>3719</v>
      </c>
      <c r="K4878">
        <v>7</v>
      </c>
      <c r="L4878">
        <v>1</v>
      </c>
      <c r="M4878">
        <v>2025</v>
      </c>
      <c r="N4878" t="s">
        <v>44</v>
      </c>
      <c r="O4878">
        <v>55</v>
      </c>
      <c r="P4878">
        <v>55</v>
      </c>
      <c r="R4878" s="3" t="str">
        <f>HYPERLINK("https://panda.att.com.mx/ODKServer/view/binaryData?blobKey=FSSuministroFluidosv3%5B%40version%3Dnull+and+%40uiVersion%3Dnull%5D%2Fdata%5B%40key%3Duuid%3A404f865e-899b-44b7-81ee-3fa920ed3ce3%5D%2FgroupInfoFuel%5B%40ordinal%3D1%5D%2FpicFuelRecibeInterno","Descargar")</f>
        <v>Descargar</v>
      </c>
    </row>
    <row r="4879" spans="1:18" x14ac:dyDescent="0.3">
      <c r="A4879">
        <v>1461725</v>
      </c>
      <c r="B4879" t="s">
        <v>18</v>
      </c>
      <c r="C4879" t="s">
        <v>59</v>
      </c>
      <c r="D4879" t="s">
        <v>60</v>
      </c>
      <c r="E4879" t="s">
        <v>3720</v>
      </c>
      <c r="F4879" t="s">
        <v>22</v>
      </c>
      <c r="G4879" t="s">
        <v>23</v>
      </c>
      <c r="H4879" t="s">
        <v>37</v>
      </c>
      <c r="I4879" t="s">
        <v>25</v>
      </c>
      <c r="J4879" t="s">
        <v>3721</v>
      </c>
      <c r="K4879">
        <v>7</v>
      </c>
      <c r="L4879">
        <v>1</v>
      </c>
      <c r="M4879">
        <v>2025</v>
      </c>
      <c r="N4879" t="s">
        <v>27</v>
      </c>
      <c r="O4879">
        <v>50</v>
      </c>
      <c r="P4879">
        <v>50</v>
      </c>
      <c r="R4879" s="3" t="str">
        <f>HYPERLINK("https://panda.att.com.mx/ODKServer/view/binaryData?blobKey=FSSuministroFluidosv3%5B%40version%3Dnull+and+%40uiVersion%3Dnull%5D%2Fdata%5B%40key%3Duuid%3Aae75c557-ac3c-40e1-9106-d8bc4b243bd5%5D%2FgroupInfoFuel%5B%40ordinal%3D1%5D%2FpicFuelRecibeInterno","Descargar")</f>
        <v>Descargar</v>
      </c>
    </row>
    <row r="4880" spans="1:18" x14ac:dyDescent="0.3">
      <c r="A4880">
        <v>1461723</v>
      </c>
      <c r="B4880" t="s">
        <v>18</v>
      </c>
      <c r="C4880" t="s">
        <v>34</v>
      </c>
      <c r="D4880" t="s">
        <v>53</v>
      </c>
      <c r="E4880" t="s">
        <v>459</v>
      </c>
      <c r="F4880" t="s">
        <v>22</v>
      </c>
      <c r="G4880" t="s">
        <v>83</v>
      </c>
      <c r="H4880" t="s">
        <v>37</v>
      </c>
      <c r="I4880" t="s">
        <v>25</v>
      </c>
      <c r="J4880" t="s">
        <v>3722</v>
      </c>
      <c r="K4880">
        <v>7</v>
      </c>
      <c r="L4880">
        <v>1</v>
      </c>
      <c r="M4880">
        <v>2025</v>
      </c>
      <c r="N4880" t="s">
        <v>27</v>
      </c>
      <c r="O4880">
        <v>400</v>
      </c>
      <c r="P4880">
        <v>400</v>
      </c>
      <c r="R4880" s="3" t="str">
        <f>HYPERLINK("https://panda.att.com.mx/ODKServer/view/binaryData?blobKey=FSSuministroFluidosv3%5B%40version%3Dnull+and+%40uiVersion%3Dnull%5D%2Fdata%5B%40key%3Duuid%3Af62d4a0c-3ee9-4f0c-94a7-7eee9f1df29f%5D%2FgroupInfoFuel%5B%40ordinal%3D1%5D%2FpicFuelRecibeInterno","Descargar")</f>
        <v>Descargar</v>
      </c>
    </row>
    <row r="4881" spans="1:18" x14ac:dyDescent="0.3">
      <c r="A4881">
        <v>1461718</v>
      </c>
      <c r="B4881" t="s">
        <v>18</v>
      </c>
      <c r="C4881" t="s">
        <v>34</v>
      </c>
      <c r="D4881" t="s">
        <v>53</v>
      </c>
      <c r="E4881" t="s">
        <v>457</v>
      </c>
      <c r="F4881" t="s">
        <v>22</v>
      </c>
      <c r="G4881" t="s">
        <v>83</v>
      </c>
      <c r="H4881" t="s">
        <v>37</v>
      </c>
      <c r="I4881" t="s">
        <v>25</v>
      </c>
      <c r="J4881" t="s">
        <v>3723</v>
      </c>
      <c r="K4881">
        <v>7</v>
      </c>
      <c r="L4881">
        <v>1</v>
      </c>
      <c r="M4881">
        <v>2025</v>
      </c>
      <c r="N4881" t="s">
        <v>27</v>
      </c>
      <c r="O4881">
        <v>600</v>
      </c>
      <c r="Q4881">
        <v>600</v>
      </c>
      <c r="R4881" s="3" t="str">
        <f>HYPERLINK("https://panda.att.com.mx/ODKServer/view/binaryData?blobKey=FSSuministroFluidosv3%5B%40version%3Dnull+and+%40uiVersion%3Dnull%5D%2Fdata%5B%40key%3Duuid%3Afe72bc03-0f0b-46f8-9d75-bcd545ae624f%5D%2FgroupInfoFuel%5B%40ordinal%3D1%5D%2FpicFuelRecibeInterno","Descargar")</f>
        <v>Descargar</v>
      </c>
    </row>
    <row r="4882" spans="1:18" x14ac:dyDescent="0.3">
      <c r="A4882">
        <v>1461715</v>
      </c>
      <c r="B4882" t="s">
        <v>18</v>
      </c>
      <c r="C4882" t="s">
        <v>34</v>
      </c>
      <c r="D4882" t="s">
        <v>53</v>
      </c>
      <c r="E4882" t="s">
        <v>144</v>
      </c>
      <c r="F4882" t="s">
        <v>22</v>
      </c>
      <c r="G4882" t="s">
        <v>83</v>
      </c>
      <c r="H4882" t="s">
        <v>37</v>
      </c>
      <c r="I4882" t="s">
        <v>25</v>
      </c>
      <c r="J4882" t="s">
        <v>3724</v>
      </c>
      <c r="K4882">
        <v>7</v>
      </c>
      <c r="L4882">
        <v>1</v>
      </c>
      <c r="M4882">
        <v>2025</v>
      </c>
      <c r="N4882" t="s">
        <v>27</v>
      </c>
      <c r="O4882">
        <v>350</v>
      </c>
      <c r="P4882">
        <v>350</v>
      </c>
      <c r="R4882" s="3" t="str">
        <f>HYPERLINK("https://panda.att.com.mx/ODKServer/view/binaryData?blobKey=FSSuministroFluidosv3%5B%40version%3Dnull+and+%40uiVersion%3Dnull%5D%2Fdata%5B%40key%3Duuid%3A3e4702aa-fd9a-4f75-a77f-d71c6bbbf5d1%5D%2FgroupInfoFuel%5B%40ordinal%3D1%5D%2FpicFuelRecibeInterno","Descargar")</f>
        <v>Descargar</v>
      </c>
    </row>
    <row r="4883" spans="1:18" x14ac:dyDescent="0.3">
      <c r="A4883">
        <v>1461518</v>
      </c>
      <c r="B4883" t="s">
        <v>18</v>
      </c>
      <c r="C4883" t="s">
        <v>68</v>
      </c>
      <c r="D4883" t="s">
        <v>116</v>
      </c>
      <c r="E4883" t="s">
        <v>3097</v>
      </c>
      <c r="F4883" t="s">
        <v>22</v>
      </c>
      <c r="G4883" t="s">
        <v>23</v>
      </c>
      <c r="H4883" t="s">
        <v>37</v>
      </c>
      <c r="I4883" t="s">
        <v>25</v>
      </c>
      <c r="J4883" t="s">
        <v>3725</v>
      </c>
      <c r="K4883">
        <v>7</v>
      </c>
      <c r="L4883">
        <v>1</v>
      </c>
      <c r="M4883">
        <v>2025</v>
      </c>
      <c r="N4883" t="s">
        <v>27</v>
      </c>
      <c r="O4883">
        <v>400</v>
      </c>
      <c r="P4883">
        <v>400</v>
      </c>
      <c r="R4883" s="3" t="str">
        <f>HYPERLINK("https://panda.att.com.mx/ODKServer/view/binaryData?blobKey=FSSuministroFluidosv3%5B%40version%3Dnull+and+%40uiVersion%3Dnull%5D%2Fdata%5B%40key%3Duuid%3A7aa0f530-52c1-4758-8e6c-ad98ae008c8d%5D%2FgroupInfoFuel%5B%40ordinal%3D1%5D%2FpicFuelRecibeInterno","Descargar")</f>
        <v>Descargar</v>
      </c>
    </row>
    <row r="4884" spans="1:18" x14ac:dyDescent="0.3">
      <c r="A4884">
        <v>1461503</v>
      </c>
      <c r="B4884" t="s">
        <v>18</v>
      </c>
      <c r="C4884" t="s">
        <v>34</v>
      </c>
      <c r="D4884" t="s">
        <v>292</v>
      </c>
      <c r="E4884" t="s">
        <v>293</v>
      </c>
      <c r="F4884" t="s">
        <v>22</v>
      </c>
      <c r="G4884" t="s">
        <v>1422</v>
      </c>
      <c r="H4884" t="s">
        <v>37</v>
      </c>
      <c r="I4884" t="s">
        <v>25</v>
      </c>
      <c r="J4884" t="s">
        <v>3726</v>
      </c>
      <c r="K4884">
        <v>7</v>
      </c>
      <c r="L4884">
        <v>1</v>
      </c>
      <c r="M4884">
        <v>2025</v>
      </c>
      <c r="N4884" t="s">
        <v>27</v>
      </c>
      <c r="O4884">
        <v>580</v>
      </c>
      <c r="P4884">
        <v>580</v>
      </c>
      <c r="R4884" s="3" t="str">
        <f>HYPERLINK("https://panda.att.com.mx/ODKServer/view/binaryData?blobKey=FSSuministroFluidosv3%5B%40version%3Dnull+and+%40uiVersion%3Dnull%5D%2Fdata%5B%40key%3Duuid%3A9bddba9e-f897-44e1-a7f7-80c8bb87b79a%5D%2FgroupInfoFuel%5B%40ordinal%3D1%5D%2FpicFuelRecibeInterno","Descargar")</f>
        <v>Descargar</v>
      </c>
    </row>
    <row r="4885" spans="1:18" x14ac:dyDescent="0.3">
      <c r="A4885">
        <v>1461398</v>
      </c>
      <c r="B4885" t="s">
        <v>18</v>
      </c>
      <c r="C4885" t="s">
        <v>34</v>
      </c>
      <c r="D4885" t="s">
        <v>53</v>
      </c>
      <c r="E4885" t="s">
        <v>3727</v>
      </c>
      <c r="F4885" t="s">
        <v>22</v>
      </c>
      <c r="G4885" t="s">
        <v>23</v>
      </c>
      <c r="H4885" t="s">
        <v>37</v>
      </c>
      <c r="I4885" t="s">
        <v>25</v>
      </c>
      <c r="J4885" t="s">
        <v>3728</v>
      </c>
      <c r="K4885">
        <v>6</v>
      </c>
      <c r="L4885">
        <v>1</v>
      </c>
      <c r="M4885">
        <v>2025</v>
      </c>
      <c r="N4885" t="s">
        <v>27</v>
      </c>
      <c r="O4885">
        <v>100</v>
      </c>
      <c r="P4885">
        <v>100</v>
      </c>
      <c r="R4885" s="3" t="str">
        <f>HYPERLINK("https://panda.att.com.mx/ODKServer/view/binaryData?blobKey=FSSuministroFluidosv3%5B%40version%3Dnull+and+%40uiVersion%3Dnull%5D%2Fdata%5B%40key%3Duuid%3A1e8cf9c5-3eb7-4c8c-8c1a-a15d3b8a9a0a%5D%2FgroupInfoFuel%5B%40ordinal%3D1%5D%2FpicFuelRecibeInterno","Descargar")</f>
        <v>Descargar</v>
      </c>
    </row>
    <row r="4886" spans="1:18" x14ac:dyDescent="0.3">
      <c r="A4886">
        <v>1461346</v>
      </c>
      <c r="B4886" t="s">
        <v>18</v>
      </c>
      <c r="C4886" t="s">
        <v>19</v>
      </c>
      <c r="D4886" t="s">
        <v>347</v>
      </c>
      <c r="E4886" t="s">
        <v>3396</v>
      </c>
      <c r="F4886" t="s">
        <v>22</v>
      </c>
      <c r="G4886" t="s">
        <v>23</v>
      </c>
      <c r="H4886" t="s">
        <v>24</v>
      </c>
      <c r="I4886" t="s">
        <v>25</v>
      </c>
      <c r="J4886" t="s">
        <v>3729</v>
      </c>
      <c r="K4886">
        <v>6</v>
      </c>
      <c r="L4886">
        <v>1</v>
      </c>
      <c r="M4886">
        <v>2025</v>
      </c>
      <c r="N4886" t="s">
        <v>27</v>
      </c>
      <c r="O4886">
        <v>400</v>
      </c>
      <c r="P4886">
        <v>400</v>
      </c>
      <c r="R4886" s="3" t="str">
        <f>HYPERLINK("https://panda.att.com.mx/ODKServer/view/binaryData?blobKey=FSSuministroFluidosv3%5B%40version%3Dnull+and+%40uiVersion%3Dnull%5D%2Fdata%5B%40key%3Duuid%3A646fc2e3-4b1e-4dab-909c-9e9fd9d09ffd%5D%2FgroupInfoFuel%5B%40ordinal%3D1%5D%2FpicFuelRecibeInterno","Descargar")</f>
        <v>Descargar</v>
      </c>
    </row>
    <row r="4887" spans="1:18" x14ac:dyDescent="0.3">
      <c r="A4887">
        <v>1461336</v>
      </c>
      <c r="B4887" t="s">
        <v>18</v>
      </c>
      <c r="C4887" t="s">
        <v>68</v>
      </c>
      <c r="D4887" t="s">
        <v>777</v>
      </c>
      <c r="E4887" t="s">
        <v>778</v>
      </c>
      <c r="F4887" t="s">
        <v>22</v>
      </c>
      <c r="G4887" t="s">
        <v>23</v>
      </c>
      <c r="H4887" t="s">
        <v>37</v>
      </c>
      <c r="I4887" t="s">
        <v>25</v>
      </c>
      <c r="J4887" t="s">
        <v>3730</v>
      </c>
      <c r="K4887">
        <v>7</v>
      </c>
      <c r="L4887">
        <v>1</v>
      </c>
      <c r="M4887">
        <v>2025</v>
      </c>
      <c r="N4887" t="s">
        <v>27</v>
      </c>
      <c r="O4887">
        <v>200</v>
      </c>
      <c r="P4887">
        <v>200</v>
      </c>
      <c r="R4887" s="3" t="str">
        <f>HYPERLINK("https://panda.att.com.mx/ODKServer/view/binaryData?blobKey=FSSuministroFluidosv3%5B%40version%3Dnull+and+%40uiVersion%3Dnull%5D%2Fdata%5B%40key%3Duuid%3Abb4bcd4b-ea8a-47dd-b52d-42933039de5c%5D%2FgroupInfoFuel%5B%40ordinal%3D1%5D%2FpicFuelRecibeInterno","Descargar")</f>
        <v>Descargar</v>
      </c>
    </row>
    <row r="4888" spans="1:18" x14ac:dyDescent="0.3">
      <c r="A4888">
        <v>1461245</v>
      </c>
      <c r="B4888" t="s">
        <v>18</v>
      </c>
      <c r="C4888" t="s">
        <v>100</v>
      </c>
      <c r="D4888" t="s">
        <v>716</v>
      </c>
      <c r="E4888" t="s">
        <v>717</v>
      </c>
      <c r="F4888" t="s">
        <v>22</v>
      </c>
      <c r="G4888" t="s">
        <v>83</v>
      </c>
      <c r="H4888" t="s">
        <v>1781</v>
      </c>
      <c r="I4888" t="s">
        <v>25</v>
      </c>
      <c r="J4888" t="s">
        <v>3731</v>
      </c>
      <c r="K4888">
        <v>6</v>
      </c>
      <c r="L4888">
        <v>1</v>
      </c>
      <c r="M4888">
        <v>2025</v>
      </c>
      <c r="N4888" t="s">
        <v>27</v>
      </c>
      <c r="O4888">
        <v>150</v>
      </c>
      <c r="P4888">
        <v>150</v>
      </c>
      <c r="R4888" s="3" t="str">
        <f>HYPERLINK("https://panda.att.com.mx/ODKServer/view/binaryData?blobKey=FSSuministroFluidosv3%5B%40version%3Dnull+and+%40uiVersion%3Dnull%5D%2Fdata%5B%40key%3Duuid%3A97daa7d9-051d-4f0a-904b-b803cd100f89%5D%2FgroupInfoFuel%5B%40ordinal%3D1%5D%2FpicFuelRecibeInterno","Descargar")</f>
        <v>Descargar</v>
      </c>
    </row>
    <row r="4889" spans="1:18" x14ac:dyDescent="0.3">
      <c r="A4889">
        <v>1461234</v>
      </c>
      <c r="B4889" t="s">
        <v>18</v>
      </c>
      <c r="C4889" t="s">
        <v>34</v>
      </c>
      <c r="D4889" t="s">
        <v>121</v>
      </c>
      <c r="E4889" t="s">
        <v>3102</v>
      </c>
      <c r="F4889" t="s">
        <v>22</v>
      </c>
      <c r="G4889" t="s">
        <v>23</v>
      </c>
      <c r="H4889" t="s">
        <v>37</v>
      </c>
      <c r="I4889" t="s">
        <v>25</v>
      </c>
      <c r="J4889" t="s">
        <v>3732</v>
      </c>
      <c r="K4889">
        <v>6</v>
      </c>
      <c r="L4889">
        <v>1</v>
      </c>
      <c r="M4889">
        <v>2025</v>
      </c>
      <c r="N4889" t="s">
        <v>27</v>
      </c>
      <c r="O4889">
        <v>200</v>
      </c>
      <c r="P4889">
        <v>200</v>
      </c>
      <c r="R4889" s="3" t="str">
        <f>HYPERLINK("https://panda.att.com.mx/ODKServer/view/binaryData?blobKey=FSSuministroFluidosv3%5B%40version%3Dnull+and+%40uiVersion%3Dnull%5D%2Fdata%5B%40key%3Duuid%3A32af6147-269e-4da7-8234-b026938347f6%5D%2FgroupInfoFuel%5B%40ordinal%3D1%5D%2FpicFuelRecibeInterno","Descargar")</f>
        <v>Descargar</v>
      </c>
    </row>
    <row r="4890" spans="1:18" x14ac:dyDescent="0.3">
      <c r="A4890">
        <v>1461233</v>
      </c>
      <c r="B4890" t="s">
        <v>18</v>
      </c>
      <c r="C4890" t="s">
        <v>34</v>
      </c>
      <c r="D4890" t="s">
        <v>121</v>
      </c>
      <c r="E4890" t="s">
        <v>3041</v>
      </c>
      <c r="F4890" t="s">
        <v>22</v>
      </c>
      <c r="G4890" t="s">
        <v>23</v>
      </c>
      <c r="H4890" t="s">
        <v>37</v>
      </c>
      <c r="I4890" t="s">
        <v>25</v>
      </c>
      <c r="J4890" t="s">
        <v>3733</v>
      </c>
      <c r="K4890">
        <v>6</v>
      </c>
      <c r="L4890">
        <v>1</v>
      </c>
      <c r="M4890">
        <v>2025</v>
      </c>
      <c r="N4890" t="s">
        <v>27</v>
      </c>
      <c r="O4890">
        <v>500</v>
      </c>
      <c r="P4890">
        <v>500</v>
      </c>
      <c r="R4890" s="3" t="str">
        <f>HYPERLINK("https://panda.att.com.mx/ODKServer/view/binaryData?blobKey=FSSuministroFluidosv3%5B%40version%3Dnull+and+%40uiVersion%3Dnull%5D%2Fdata%5B%40key%3Duuid%3A13431d0d-4040-41d2-a9b2-c50fc065d4fe%5D%2FgroupInfoFuel%5B%40ordinal%3D1%5D%2FpicFuelRecibeInterno","Descargar")</f>
        <v>Descargar</v>
      </c>
    </row>
    <row r="4891" spans="1:18" x14ac:dyDescent="0.3">
      <c r="A4891">
        <v>1461232</v>
      </c>
      <c r="B4891" t="s">
        <v>18</v>
      </c>
      <c r="C4891" t="s">
        <v>34</v>
      </c>
      <c r="D4891" t="s">
        <v>121</v>
      </c>
      <c r="E4891" t="s">
        <v>3086</v>
      </c>
      <c r="F4891" t="s">
        <v>22</v>
      </c>
      <c r="G4891" t="s">
        <v>23</v>
      </c>
      <c r="H4891" t="s">
        <v>37</v>
      </c>
      <c r="I4891" t="s">
        <v>25</v>
      </c>
      <c r="J4891" t="s">
        <v>3734</v>
      </c>
      <c r="K4891">
        <v>6</v>
      </c>
      <c r="L4891">
        <v>1</v>
      </c>
      <c r="M4891">
        <v>2025</v>
      </c>
      <c r="N4891" t="s">
        <v>27</v>
      </c>
      <c r="O4891">
        <v>300</v>
      </c>
      <c r="P4891">
        <v>300</v>
      </c>
      <c r="R4891" s="3" t="str">
        <f>HYPERLINK("https://panda.att.com.mx/ODKServer/view/binaryData?blobKey=FSSuministroFluidosv3%5B%40version%3Dnull+and+%40uiVersion%3Dnull%5D%2Fdata%5B%40key%3Duuid%3A73e00a36-2386-44fe-89eb-cfdca0be7d65%5D%2FgroupInfoFuel%5B%40ordinal%3D1%5D%2FpicFuelRecibeInterno","Descargar")</f>
        <v>Descargar</v>
      </c>
    </row>
    <row r="4892" spans="1:18" x14ac:dyDescent="0.3">
      <c r="A4892">
        <v>1461206</v>
      </c>
      <c r="B4892" t="s">
        <v>18</v>
      </c>
      <c r="C4892" t="s">
        <v>68</v>
      </c>
      <c r="D4892" t="s">
        <v>777</v>
      </c>
      <c r="E4892" t="s">
        <v>778</v>
      </c>
      <c r="F4892" t="s">
        <v>22</v>
      </c>
      <c r="G4892" t="s">
        <v>23</v>
      </c>
      <c r="H4892" t="s">
        <v>37</v>
      </c>
      <c r="I4892" t="s">
        <v>25</v>
      </c>
      <c r="J4892" t="s">
        <v>3735</v>
      </c>
      <c r="K4892">
        <v>6</v>
      </c>
      <c r="L4892">
        <v>1</v>
      </c>
      <c r="M4892">
        <v>2025</v>
      </c>
      <c r="N4892" t="s">
        <v>27</v>
      </c>
      <c r="O4892">
        <v>200</v>
      </c>
      <c r="P4892">
        <v>200</v>
      </c>
      <c r="R4892" s="3" t="str">
        <f>HYPERLINK("https://panda.att.com.mx/ODKServer/view/binaryData?blobKey=FSSuministroFluidosv3%5B%40version%3Dnull+and+%40uiVersion%3Dnull%5D%2Fdata%5B%40key%3Duuid%3A840cc6ad-65f3-4f9b-abcc-b61032ae5ccc%5D%2FgroupInfoFuel%5B%40ordinal%3D1%5D%2FpicFuelRecibeInterno","Descargar")</f>
        <v>Descargar</v>
      </c>
    </row>
    <row r="4893" spans="1:18" x14ac:dyDescent="0.3">
      <c r="A4893">
        <v>1461089</v>
      </c>
      <c r="B4893" t="s">
        <v>18</v>
      </c>
      <c r="C4893" t="s">
        <v>19</v>
      </c>
      <c r="D4893" t="s">
        <v>347</v>
      </c>
      <c r="E4893" t="s">
        <v>2361</v>
      </c>
      <c r="F4893" t="s">
        <v>22</v>
      </c>
      <c r="G4893" t="s">
        <v>23</v>
      </c>
      <c r="H4893" t="s">
        <v>24</v>
      </c>
      <c r="I4893" t="s">
        <v>25</v>
      </c>
      <c r="J4893" t="s">
        <v>3736</v>
      </c>
      <c r="K4893">
        <v>4</v>
      </c>
      <c r="L4893">
        <v>1</v>
      </c>
      <c r="M4893">
        <v>2025</v>
      </c>
      <c r="N4893" t="s">
        <v>27</v>
      </c>
      <c r="O4893">
        <v>100</v>
      </c>
      <c r="P4893">
        <v>100</v>
      </c>
      <c r="R4893" s="3" t="str">
        <f>HYPERLINK("https://panda.att.com.mx/ODKServer/view/binaryData?blobKey=FSSuministroFluidosv3%5B%40version%3Dnull+and+%40uiVersion%3Dnull%5D%2Fdata%5B%40key%3Duuid%3Ae424c9d2-3742-4193-ba3e-e3da3164e0f1%5D%2FgroupInfoFuel%5B%40ordinal%3D1%5D%2FpicFuelRecibeInterno","Descargar")</f>
        <v>Descargar</v>
      </c>
    </row>
    <row r="4894" spans="1:18" x14ac:dyDescent="0.3">
      <c r="A4894">
        <v>1461015</v>
      </c>
      <c r="B4894" t="s">
        <v>18</v>
      </c>
      <c r="C4894" t="s">
        <v>100</v>
      </c>
      <c r="D4894" t="s">
        <v>854</v>
      </c>
      <c r="E4894" t="s">
        <v>993</v>
      </c>
      <c r="F4894" t="s">
        <v>22</v>
      </c>
      <c r="G4894" t="s">
        <v>83</v>
      </c>
      <c r="H4894" t="s">
        <v>1781</v>
      </c>
      <c r="I4894" t="s">
        <v>25</v>
      </c>
      <c r="J4894" t="s">
        <v>3737</v>
      </c>
      <c r="K4894">
        <v>6</v>
      </c>
      <c r="L4894">
        <v>1</v>
      </c>
      <c r="M4894">
        <v>2025</v>
      </c>
      <c r="N4894" t="s">
        <v>27</v>
      </c>
      <c r="O4894">
        <v>220</v>
      </c>
      <c r="P4894">
        <v>220</v>
      </c>
      <c r="R4894" s="3" t="str">
        <f>HYPERLINK("https://panda.att.com.mx/ODKServer/view/binaryData?blobKey=FSSuministroFluidosv3%5B%40version%3Dnull+and+%40uiVersion%3Dnull%5D%2Fdata%5B%40key%3Duuid%3A4d66fb8b-e145-459a-9f40-df975829a45a%5D%2FgroupInfoFuel%5B%40ordinal%3D1%5D%2FpicFuelRecibeInterno","Descargar")</f>
        <v>Descargar</v>
      </c>
    </row>
    <row r="4895" spans="1:18" x14ac:dyDescent="0.3">
      <c r="A4895">
        <v>1460987</v>
      </c>
      <c r="B4895" t="s">
        <v>18</v>
      </c>
      <c r="C4895" t="s">
        <v>150</v>
      </c>
      <c r="D4895" t="s">
        <v>230</v>
      </c>
      <c r="E4895" t="s">
        <v>1510</v>
      </c>
      <c r="F4895" t="s">
        <v>22</v>
      </c>
      <c r="G4895" t="s">
        <v>23</v>
      </c>
      <c r="H4895" t="s">
        <v>1781</v>
      </c>
      <c r="I4895" t="s">
        <v>25</v>
      </c>
      <c r="J4895" t="s">
        <v>3738</v>
      </c>
      <c r="K4895">
        <v>6</v>
      </c>
      <c r="L4895">
        <v>1</v>
      </c>
      <c r="M4895">
        <v>2025</v>
      </c>
      <c r="N4895" t="s">
        <v>27</v>
      </c>
      <c r="O4895">
        <v>300.02</v>
      </c>
      <c r="P4895">
        <v>300.02</v>
      </c>
      <c r="R4895" s="3" t="str">
        <f>HYPERLINK("https://panda.att.com.mx/ODKServer/view/binaryData?blobKey=FSSuministroFluidosv3%5B%40version%3Dnull+and+%40uiVersion%3Dnull%5D%2Fdata%5B%40key%3Duuid%3Aa81a98d7-81b1-4222-ab3f-785f61d239ac%5D%2FgroupInfoFuel%5B%40ordinal%3D1%5D%2FpicFuelRecibeInterno","Descargar")</f>
        <v>Descargar</v>
      </c>
    </row>
    <row r="4896" spans="1:18" x14ac:dyDescent="0.3">
      <c r="A4896">
        <v>1460929</v>
      </c>
      <c r="B4896" t="s">
        <v>18</v>
      </c>
      <c r="C4896" t="s">
        <v>28</v>
      </c>
      <c r="D4896" t="s">
        <v>181</v>
      </c>
      <c r="E4896" t="s">
        <v>1609</v>
      </c>
      <c r="F4896" t="s">
        <v>22</v>
      </c>
      <c r="G4896" t="s">
        <v>23</v>
      </c>
      <c r="H4896" t="s">
        <v>24</v>
      </c>
      <c r="I4896" t="s">
        <v>25</v>
      </c>
      <c r="J4896" t="s">
        <v>3739</v>
      </c>
      <c r="K4896">
        <v>2</v>
      </c>
      <c r="L4896">
        <v>1</v>
      </c>
      <c r="M4896">
        <v>2025</v>
      </c>
      <c r="N4896" t="s">
        <v>27</v>
      </c>
      <c r="O4896">
        <v>300</v>
      </c>
      <c r="P4896">
        <v>300</v>
      </c>
      <c r="R4896" s="3" t="str">
        <f>HYPERLINK("https://panda.att.com.mx/ODKServer/view/binaryData?blobKey=FSSuministroFluidosv3%5B%40version%3Dnull+and+%40uiVersion%3Dnull%5D%2Fdata%5B%40key%3Duuid%3A7136c7ce-8400-4ed1-ad26-ee2a0736113e%5D%2FgroupInfoFuel%5B%40ordinal%3D1%5D%2FpicFuelRecibeInterno","Descargar")</f>
        <v>Descargar</v>
      </c>
    </row>
    <row r="4897" spans="1:18" x14ac:dyDescent="0.3">
      <c r="A4897">
        <v>1460880</v>
      </c>
      <c r="B4897" t="s">
        <v>18</v>
      </c>
      <c r="C4897" t="s">
        <v>55</v>
      </c>
      <c r="D4897" t="s">
        <v>64</v>
      </c>
      <c r="E4897" t="s">
        <v>634</v>
      </c>
      <c r="F4897" t="s">
        <v>22</v>
      </c>
      <c r="G4897" t="s">
        <v>23</v>
      </c>
      <c r="H4897" t="s">
        <v>1763</v>
      </c>
      <c r="I4897" t="s">
        <v>25</v>
      </c>
      <c r="J4897" t="s">
        <v>3740</v>
      </c>
      <c r="K4897">
        <v>5</v>
      </c>
      <c r="L4897">
        <v>1</v>
      </c>
      <c r="M4897">
        <v>2025</v>
      </c>
      <c r="N4897" t="s">
        <v>27</v>
      </c>
      <c r="O4897">
        <v>150</v>
      </c>
      <c r="P4897">
        <v>150</v>
      </c>
      <c r="R4897" s="3" t="str">
        <f>HYPERLINK("https://panda.att.com.mx/ODKServer/view/binaryData?blobKey=FSSuministroFluidosv3%5B%40version%3Dnull+and+%40uiVersion%3Dnull%5D%2Fdata%5B%40key%3Duuid%3A4e0aa231-bdc9-4595-aadf-0778e7ce996d%5D%2FgroupInfoFuel%5B%40ordinal%3D1%5D%2FpicFuelRecibeInterno","Descargar")</f>
        <v>Descargar</v>
      </c>
    </row>
    <row r="4898" spans="1:18" x14ac:dyDescent="0.3">
      <c r="A4898">
        <v>1460846</v>
      </c>
      <c r="B4898" t="s">
        <v>18</v>
      </c>
      <c r="C4898" t="s">
        <v>28</v>
      </c>
      <c r="D4898" t="s">
        <v>66</v>
      </c>
      <c r="E4898" t="s">
        <v>485</v>
      </c>
      <c r="F4898" t="s">
        <v>22</v>
      </c>
      <c r="G4898" t="s">
        <v>23</v>
      </c>
      <c r="H4898" t="s">
        <v>24</v>
      </c>
      <c r="I4898" t="s">
        <v>25</v>
      </c>
      <c r="J4898" t="s">
        <v>3741</v>
      </c>
      <c r="K4898">
        <v>3</v>
      </c>
      <c r="L4898">
        <v>1</v>
      </c>
      <c r="M4898">
        <v>2025</v>
      </c>
      <c r="N4898" t="s">
        <v>27</v>
      </c>
      <c r="O4898">
        <v>550</v>
      </c>
      <c r="P4898">
        <v>550</v>
      </c>
      <c r="R4898" s="3" t="str">
        <f>HYPERLINK("https://panda.att.com.mx/ODKServer/view/binaryData?blobKey=FSSuministroFluidosv3%5B%40version%3Dnull+and+%40uiVersion%3Dnull%5D%2Fdata%5B%40key%3Duuid%3A1e0eaa92-8318-49d7-bd57-f79e0de4e581%5D%2FgroupInfoFuel%5B%40ordinal%3D1%5D%2FpicFuelRecibeInterno","Descargar")</f>
        <v>Descargar</v>
      </c>
    </row>
    <row r="4899" spans="1:18" x14ac:dyDescent="0.3">
      <c r="A4899">
        <v>1460804</v>
      </c>
      <c r="B4899" t="s">
        <v>18</v>
      </c>
      <c r="C4899" t="s">
        <v>28</v>
      </c>
      <c r="D4899" t="s">
        <v>3742</v>
      </c>
      <c r="E4899" t="s">
        <v>3743</v>
      </c>
      <c r="F4899" t="s">
        <v>22</v>
      </c>
      <c r="G4899" t="s">
        <v>23</v>
      </c>
      <c r="H4899" t="s">
        <v>24</v>
      </c>
      <c r="I4899" t="s">
        <v>25</v>
      </c>
      <c r="J4899" t="s">
        <v>3744</v>
      </c>
      <c r="K4899">
        <v>2</v>
      </c>
      <c r="L4899">
        <v>1</v>
      </c>
      <c r="M4899">
        <v>2025</v>
      </c>
      <c r="N4899" t="s">
        <v>44</v>
      </c>
      <c r="O4899">
        <v>30</v>
      </c>
      <c r="P4899">
        <v>30</v>
      </c>
      <c r="R4899" s="3" t="str">
        <f>HYPERLINK("https://panda.att.com.mx/ODKServer/view/binaryData?blobKey=FSSuministroFluidosv3%5B%40version%3Dnull+and+%40uiVersion%3Dnull%5D%2Fdata%5B%40key%3Duuid%3A24bf33c5-8ab4-4b35-b373-0e34f4c5aa3b%5D%2FgroupInfoFuel%5B%40ordinal%3D1%5D%2FpicFuelRecibeInterno","Descargar")</f>
        <v>Descargar</v>
      </c>
    </row>
    <row r="4900" spans="1:18" x14ac:dyDescent="0.3">
      <c r="A4900">
        <v>1463173</v>
      </c>
      <c r="B4900" t="s">
        <v>18</v>
      </c>
      <c r="C4900" t="s">
        <v>34</v>
      </c>
      <c r="D4900" t="s">
        <v>53</v>
      </c>
      <c r="E4900" t="s">
        <v>2105</v>
      </c>
      <c r="F4900" t="s">
        <v>22</v>
      </c>
      <c r="G4900" t="s">
        <v>23</v>
      </c>
      <c r="H4900" t="s">
        <v>37</v>
      </c>
      <c r="I4900" t="s">
        <v>25</v>
      </c>
      <c r="J4900" t="s">
        <v>3745</v>
      </c>
      <c r="K4900">
        <v>10</v>
      </c>
      <c r="L4900">
        <v>1</v>
      </c>
      <c r="M4900">
        <v>2025</v>
      </c>
      <c r="N4900" t="s">
        <v>27</v>
      </c>
      <c r="O4900">
        <v>300</v>
      </c>
      <c r="P4900">
        <v>300</v>
      </c>
      <c r="R4900" s="3" t="str">
        <f>HYPERLINK("https://panda.att.com.mx/ODKServer/view/binaryData?blobKey=FSSuministroFluidosv3%5B%40version%3Dnull+and+%40uiVersion%3Dnull%5D%2Fdata%5B%40key%3Duuid%3Aea1af70b-46f6-4480-8a17-9780e683e7eb%5D%2FgroupInfoFuel%5B%40ordinal%3D1%5D%2FpicFuelRecibeInterno","Descargar")</f>
        <v>Descargar</v>
      </c>
    </row>
    <row r="4901" spans="1:18" x14ac:dyDescent="0.3">
      <c r="A4901">
        <v>1463172</v>
      </c>
      <c r="B4901" t="s">
        <v>18</v>
      </c>
      <c r="C4901" t="s">
        <v>34</v>
      </c>
      <c r="D4901" t="s">
        <v>121</v>
      </c>
      <c r="E4901" t="s">
        <v>3102</v>
      </c>
      <c r="F4901" t="s">
        <v>22</v>
      </c>
      <c r="G4901" t="s">
        <v>23</v>
      </c>
      <c r="H4901" t="s">
        <v>37</v>
      </c>
      <c r="I4901" t="s">
        <v>25</v>
      </c>
      <c r="J4901" t="s">
        <v>3746</v>
      </c>
      <c r="K4901">
        <v>10</v>
      </c>
      <c r="L4901">
        <v>1</v>
      </c>
      <c r="M4901">
        <v>2025</v>
      </c>
      <c r="N4901" t="s">
        <v>27</v>
      </c>
      <c r="O4901">
        <v>200</v>
      </c>
      <c r="P4901">
        <v>200</v>
      </c>
      <c r="R4901" s="3" t="str">
        <f>HYPERLINK("https://panda.att.com.mx/ODKServer/view/binaryData?blobKey=FSSuministroFluidosv3%5B%40version%3Dnull+and+%40uiVersion%3Dnull%5D%2Fdata%5B%40key%3Duuid%3Ad2b1d2fd-717e-4ee6-bb2e-56d5a846b3d2%5D%2FgroupInfoFuel%5B%40ordinal%3D1%5D%2FpicFuelRecibeInterno","Descargar")</f>
        <v>Descargar</v>
      </c>
    </row>
    <row r="4902" spans="1:18" x14ac:dyDescent="0.3">
      <c r="A4902">
        <v>1463169</v>
      </c>
      <c r="B4902" t="s">
        <v>18</v>
      </c>
      <c r="C4902" t="s">
        <v>34</v>
      </c>
      <c r="D4902" t="s">
        <v>121</v>
      </c>
      <c r="E4902" t="s">
        <v>3086</v>
      </c>
      <c r="F4902" t="s">
        <v>22</v>
      </c>
      <c r="G4902" t="s">
        <v>23</v>
      </c>
      <c r="H4902" t="s">
        <v>37</v>
      </c>
      <c r="I4902" t="s">
        <v>25</v>
      </c>
      <c r="J4902" t="s">
        <v>3747</v>
      </c>
      <c r="K4902">
        <v>10</v>
      </c>
      <c r="L4902">
        <v>1</v>
      </c>
      <c r="M4902">
        <v>2025</v>
      </c>
      <c r="N4902" t="s">
        <v>27</v>
      </c>
      <c r="O4902">
        <v>300</v>
      </c>
      <c r="P4902">
        <v>300</v>
      </c>
      <c r="R4902" s="3" t="str">
        <f>HYPERLINK("https://panda.att.com.mx/ODKServer/view/binaryData?blobKey=FSSuministroFluidosv3%5B%40version%3Dnull+and+%40uiVersion%3Dnull%5D%2Fdata%5B%40key%3Duuid%3A395934eb-3795-4b4a-80e3-c245dd18c332%5D%2FgroupInfoFuel%5B%40ordinal%3D1%5D%2FpicFuelRecibeInterno","Descargar")</f>
        <v>Descargar</v>
      </c>
    </row>
    <row r="4903" spans="1:18" x14ac:dyDescent="0.3">
      <c r="A4903">
        <v>1463168</v>
      </c>
      <c r="B4903" t="s">
        <v>18</v>
      </c>
      <c r="C4903" t="s">
        <v>34</v>
      </c>
      <c r="D4903" t="s">
        <v>121</v>
      </c>
      <c r="E4903" t="s">
        <v>3041</v>
      </c>
      <c r="F4903" t="s">
        <v>22</v>
      </c>
      <c r="G4903" t="s">
        <v>23</v>
      </c>
      <c r="H4903" t="s">
        <v>37</v>
      </c>
      <c r="I4903" t="s">
        <v>25</v>
      </c>
      <c r="J4903" t="s">
        <v>3748</v>
      </c>
      <c r="K4903">
        <v>10</v>
      </c>
      <c r="L4903">
        <v>1</v>
      </c>
      <c r="M4903">
        <v>2025</v>
      </c>
      <c r="N4903" t="s">
        <v>27</v>
      </c>
      <c r="O4903">
        <v>150</v>
      </c>
      <c r="P4903">
        <v>150</v>
      </c>
      <c r="R4903" s="3" t="str">
        <f>HYPERLINK("https://panda.att.com.mx/ODKServer/view/binaryData?blobKey=FSSuministroFluidosv3%5B%40version%3Dnull+and+%40uiVersion%3Dnull%5D%2Fdata%5B%40key%3Duuid%3Ab7c61fee-10f5-4a2a-957f-8906ce0cf537%5D%2FgroupInfoFuel%5B%40ordinal%3D1%5D%2FpicFuelRecibeInterno","Descargar")</f>
        <v>Descargar</v>
      </c>
    </row>
    <row r="4904" spans="1:18" x14ac:dyDescent="0.3">
      <c r="A4904">
        <v>1463162</v>
      </c>
      <c r="B4904" t="s">
        <v>18</v>
      </c>
      <c r="C4904" t="s">
        <v>19</v>
      </c>
      <c r="D4904" t="s">
        <v>42</v>
      </c>
      <c r="E4904" t="s">
        <v>733</v>
      </c>
      <c r="F4904" t="s">
        <v>22</v>
      </c>
      <c r="G4904" t="s">
        <v>23</v>
      </c>
      <c r="H4904" t="s">
        <v>24</v>
      </c>
      <c r="I4904" t="s">
        <v>25</v>
      </c>
      <c r="J4904" t="s">
        <v>3749</v>
      </c>
      <c r="K4904">
        <v>9</v>
      </c>
      <c r="L4904">
        <v>1</v>
      </c>
      <c r="M4904">
        <v>2025</v>
      </c>
      <c r="N4904" t="s">
        <v>44</v>
      </c>
      <c r="O4904">
        <v>50</v>
      </c>
      <c r="P4904">
        <v>50</v>
      </c>
      <c r="R4904" s="3" t="str">
        <f>HYPERLINK("https://panda.att.com.mx/ODKServer/view/binaryData?blobKey=FSSuministroFluidosv3%5B%40version%3Dnull+and+%40uiVersion%3Dnull%5D%2Fdata%5B%40key%3Duuid%3A7a274b19-c47f-4240-af82-c88a5a8c4314%5D%2FgroupInfoFuel%5B%40ordinal%3D1%5D%2FpicFuelRecibeInterno","Descargar")</f>
        <v>Descargar</v>
      </c>
    </row>
    <row r="4905" spans="1:18" x14ac:dyDescent="0.3">
      <c r="A4905">
        <v>1463074</v>
      </c>
      <c r="B4905" t="s">
        <v>18</v>
      </c>
      <c r="C4905" t="s">
        <v>100</v>
      </c>
      <c r="D4905" t="s">
        <v>716</v>
      </c>
      <c r="E4905" t="s">
        <v>717</v>
      </c>
      <c r="F4905" t="s">
        <v>22</v>
      </c>
      <c r="G4905" t="s">
        <v>83</v>
      </c>
      <c r="H4905" t="s">
        <v>1781</v>
      </c>
      <c r="I4905" t="s">
        <v>25</v>
      </c>
      <c r="J4905" t="s">
        <v>3750</v>
      </c>
      <c r="K4905">
        <v>10</v>
      </c>
      <c r="L4905">
        <v>1</v>
      </c>
      <c r="M4905">
        <v>2025</v>
      </c>
      <c r="N4905" t="s">
        <v>27</v>
      </c>
      <c r="O4905">
        <v>150</v>
      </c>
      <c r="P4905">
        <v>150</v>
      </c>
      <c r="R4905" s="3" t="str">
        <f>HYPERLINK("https://panda.att.com.mx/ODKServer/view/binaryData?blobKey=FSSuministroFluidosv3%5B%40version%3Dnull+and+%40uiVersion%3Dnull%5D%2Fdata%5B%40key%3Duuid%3A8c56506b-72c4-481e-9be6-2b02971ec5d1%5D%2FgroupInfoFuel%5B%40ordinal%3D1%5D%2FpicFuelRecibeInterno","Descargar")</f>
        <v>Descargar</v>
      </c>
    </row>
    <row r="4906" spans="1:18" x14ac:dyDescent="0.3">
      <c r="A4906">
        <v>1463072</v>
      </c>
      <c r="B4906" t="s">
        <v>18</v>
      </c>
      <c r="C4906" t="s">
        <v>68</v>
      </c>
      <c r="D4906" t="s">
        <v>116</v>
      </c>
      <c r="E4906" t="s">
        <v>3751</v>
      </c>
      <c r="F4906" t="s">
        <v>22</v>
      </c>
      <c r="G4906" t="s">
        <v>83</v>
      </c>
      <c r="H4906" t="s">
        <v>37</v>
      </c>
      <c r="I4906" t="s">
        <v>25</v>
      </c>
      <c r="J4906" t="s">
        <v>3752</v>
      </c>
      <c r="K4906">
        <v>9</v>
      </c>
      <c r="L4906">
        <v>1</v>
      </c>
      <c r="M4906">
        <v>2025</v>
      </c>
      <c r="N4906" t="s">
        <v>44</v>
      </c>
      <c r="O4906">
        <v>50</v>
      </c>
      <c r="P4906">
        <v>50</v>
      </c>
      <c r="R4906" s="3" t="str">
        <f>HYPERLINK("https://panda.att.com.mx/ODKServer/view/binaryData?blobKey=FSSuministroFluidosv3%5B%40version%3Dnull+and+%40uiVersion%3Dnull%5D%2Fdata%5B%40key%3Duuid%3A5c2871b4-a37c-4064-8481-e8c95900c866%5D%2FgroupInfoFuel%5B%40ordinal%3D1%5D%2FpicFuelRecibeInterno","Descargar")</f>
        <v>Descargar</v>
      </c>
    </row>
    <row r="4907" spans="1:18" x14ac:dyDescent="0.3">
      <c r="A4907">
        <v>1463044</v>
      </c>
      <c r="B4907" t="s">
        <v>18</v>
      </c>
      <c r="C4907" t="s">
        <v>55</v>
      </c>
      <c r="D4907" t="s">
        <v>366</v>
      </c>
      <c r="E4907" t="s">
        <v>3753</v>
      </c>
      <c r="F4907" t="s">
        <v>22</v>
      </c>
      <c r="G4907" t="s">
        <v>23</v>
      </c>
      <c r="H4907" t="s">
        <v>1781</v>
      </c>
      <c r="I4907" t="s">
        <v>25</v>
      </c>
      <c r="J4907" t="s">
        <v>3754</v>
      </c>
      <c r="K4907">
        <v>10</v>
      </c>
      <c r="L4907">
        <v>1</v>
      </c>
      <c r="M4907">
        <v>2025</v>
      </c>
      <c r="N4907" t="s">
        <v>27</v>
      </c>
      <c r="O4907">
        <v>200</v>
      </c>
      <c r="P4907">
        <v>200</v>
      </c>
      <c r="R4907" s="3" t="str">
        <f>HYPERLINK("https://panda.att.com.mx/ODKServer/view/binaryData?blobKey=FSSuministroFluidosv3%5B%40version%3Dnull+and+%40uiVersion%3Dnull%5D%2Fdata%5B%40key%3Duuid%3A2aa5671b-1c8e-4172-953c-f85b1c66dfb9%5D%2FgroupInfoFuel%5B%40ordinal%3D1%5D%2FpicFuelRecibeInterno","Descargar")</f>
        <v>Descargar</v>
      </c>
    </row>
    <row r="4908" spans="1:18" x14ac:dyDescent="0.3">
      <c r="A4908">
        <v>1463043</v>
      </c>
      <c r="B4908" t="s">
        <v>18</v>
      </c>
      <c r="C4908" t="s">
        <v>34</v>
      </c>
      <c r="D4908" t="s">
        <v>53</v>
      </c>
      <c r="E4908" t="s">
        <v>3755</v>
      </c>
      <c r="F4908" t="s">
        <v>22</v>
      </c>
      <c r="G4908" t="s">
        <v>23</v>
      </c>
      <c r="H4908" t="s">
        <v>37</v>
      </c>
      <c r="I4908" t="s">
        <v>25</v>
      </c>
      <c r="J4908" t="s">
        <v>3756</v>
      </c>
      <c r="K4908">
        <v>10</v>
      </c>
      <c r="L4908">
        <v>1</v>
      </c>
      <c r="M4908">
        <v>2025</v>
      </c>
      <c r="N4908" t="s">
        <v>27</v>
      </c>
      <c r="O4908">
        <v>200</v>
      </c>
      <c r="Q4908">
        <v>200</v>
      </c>
      <c r="R4908" s="3" t="str">
        <f>HYPERLINK("https://panda.att.com.mx/ODKServer/view/binaryData?blobKey=FSSuministroFluidosv3%5B%40version%3Dnull+and+%40uiVersion%3Dnull%5D%2Fdata%5B%40key%3Duuid%3Ad220a7c5-f285-4657-8c18-9abb9f01a6fe%5D%2FgroupInfoFuel%5B%40ordinal%3D1%5D%2FpicFuelRecibeInterno","Descargar")</f>
        <v>Descargar</v>
      </c>
    </row>
    <row r="4909" spans="1:18" x14ac:dyDescent="0.3">
      <c r="A4909">
        <v>1463018</v>
      </c>
      <c r="B4909" t="s">
        <v>18</v>
      </c>
      <c r="C4909" t="s">
        <v>28</v>
      </c>
      <c r="D4909" t="s">
        <v>118</v>
      </c>
      <c r="E4909" t="s">
        <v>2815</v>
      </c>
      <c r="F4909" t="s">
        <v>22</v>
      </c>
      <c r="G4909" t="s">
        <v>23</v>
      </c>
      <c r="H4909" t="s">
        <v>24</v>
      </c>
      <c r="I4909" t="s">
        <v>25</v>
      </c>
      <c r="J4909" t="s">
        <v>3757</v>
      </c>
      <c r="K4909">
        <v>9</v>
      </c>
      <c r="L4909">
        <v>1</v>
      </c>
      <c r="M4909">
        <v>2025</v>
      </c>
      <c r="N4909" t="s">
        <v>44</v>
      </c>
      <c r="O4909">
        <v>40</v>
      </c>
      <c r="Q4909">
        <v>40</v>
      </c>
      <c r="R4909" s="3" t="str">
        <f>HYPERLINK("https://panda.att.com.mx/ODKServer/view/binaryData?blobKey=FSSuministroFluidosv3%5B%40version%3Dnull+and+%40uiVersion%3Dnull%5D%2Fdata%5B%40key%3Duuid%3A116e3856-a446-4d2f-b26f-865ada3c0c92%5D%2FgroupInfoFuel%5B%40ordinal%3D1%5D%2FpicFuelRecibeInterno","Descargar")</f>
        <v>Descargar</v>
      </c>
    </row>
    <row r="4910" spans="1:18" x14ac:dyDescent="0.3">
      <c r="A4910">
        <v>1463014</v>
      </c>
      <c r="B4910" t="s">
        <v>18</v>
      </c>
      <c r="C4910" t="s">
        <v>167</v>
      </c>
      <c r="D4910" t="s">
        <v>168</v>
      </c>
      <c r="E4910" t="s">
        <v>266</v>
      </c>
      <c r="F4910" t="s">
        <v>22</v>
      </c>
      <c r="G4910" t="s">
        <v>83</v>
      </c>
      <c r="H4910" t="s">
        <v>1781</v>
      </c>
      <c r="I4910" t="s">
        <v>25</v>
      </c>
      <c r="J4910" t="s">
        <v>3758</v>
      </c>
      <c r="K4910">
        <v>10</v>
      </c>
      <c r="L4910">
        <v>1</v>
      </c>
      <c r="M4910">
        <v>2025</v>
      </c>
      <c r="N4910" t="s">
        <v>27</v>
      </c>
      <c r="O4910">
        <v>450</v>
      </c>
      <c r="P4910">
        <v>450</v>
      </c>
      <c r="R4910" s="3" t="str">
        <f>HYPERLINK("https://panda.att.com.mx/ODKServer/view/binaryData?blobKey=FSSuministroFluidosv3%5B%40version%3Dnull+and+%40uiVersion%3Dnull%5D%2Fdata%5B%40key%3Duuid%3A5444cd28-6acc-4546-8af6-a4b00523043d%5D%2FgroupInfoFuel%5B%40ordinal%3D1%5D%2FpicFuelRecibeInterno","Descargar")</f>
        <v>Descargar</v>
      </c>
    </row>
    <row r="4911" spans="1:18" x14ac:dyDescent="0.3">
      <c r="A4911">
        <v>1462914</v>
      </c>
      <c r="B4911" t="s">
        <v>18</v>
      </c>
      <c r="C4911" t="s">
        <v>28</v>
      </c>
      <c r="D4911" t="s">
        <v>181</v>
      </c>
      <c r="E4911" t="s">
        <v>2629</v>
      </c>
      <c r="F4911" t="s">
        <v>22</v>
      </c>
      <c r="G4911" t="s">
        <v>23</v>
      </c>
      <c r="H4911" t="s">
        <v>24</v>
      </c>
      <c r="I4911" t="s">
        <v>25</v>
      </c>
      <c r="J4911" t="s">
        <v>3759</v>
      </c>
      <c r="K4911">
        <v>7</v>
      </c>
      <c r="L4911">
        <v>1</v>
      </c>
      <c r="M4911">
        <v>2025</v>
      </c>
      <c r="N4911" t="s">
        <v>44</v>
      </c>
      <c r="O4911">
        <v>30</v>
      </c>
      <c r="P4911">
        <v>30</v>
      </c>
      <c r="R4911" s="3" t="str">
        <f>HYPERLINK("https://panda.att.com.mx/ODKServer/view/binaryData?blobKey=FSSuministroFluidosv3%5B%40version%3Dnull+and+%40uiVersion%3Dnull%5D%2Fdata%5B%40key%3Duuid%3Afb19a238-da6c-4884-881e-ca135e774d2e%5D%2FgroupInfoFuel%5B%40ordinal%3D1%5D%2FpicFuelRecibeInterno","Descargar")</f>
        <v>Descargar</v>
      </c>
    </row>
    <row r="4912" spans="1:18" x14ac:dyDescent="0.3">
      <c r="A4912">
        <v>1462904</v>
      </c>
      <c r="B4912" t="s">
        <v>18</v>
      </c>
      <c r="C4912" t="s">
        <v>28</v>
      </c>
      <c r="D4912" t="s">
        <v>66</v>
      </c>
      <c r="E4912" t="s">
        <v>485</v>
      </c>
      <c r="F4912" t="s">
        <v>22</v>
      </c>
      <c r="G4912" t="s">
        <v>23</v>
      </c>
      <c r="H4912" t="s">
        <v>24</v>
      </c>
      <c r="I4912" t="s">
        <v>25</v>
      </c>
      <c r="J4912" t="s">
        <v>3760</v>
      </c>
      <c r="K4912">
        <v>9</v>
      </c>
      <c r="L4912">
        <v>1</v>
      </c>
      <c r="M4912">
        <v>2025</v>
      </c>
      <c r="N4912" t="s">
        <v>27</v>
      </c>
      <c r="O4912">
        <v>400</v>
      </c>
      <c r="P4912">
        <v>400</v>
      </c>
      <c r="R4912" s="3" t="str">
        <f>HYPERLINK("https://panda.att.com.mx/ODKServer/view/binaryData?blobKey=FSSuministroFluidosv3%5B%40version%3Dnull+and+%40uiVersion%3Dnull%5D%2Fdata%5B%40key%3Duuid%3Ac4e666fd-9da7-4c27-830c-8fc44993e545%5D%2FgroupInfoFuel%5B%40ordinal%3D1%5D%2FpicFuelRecibeInterno","Descargar")</f>
        <v>Descargar</v>
      </c>
    </row>
    <row r="4913" spans="1:18" x14ac:dyDescent="0.3">
      <c r="A4913">
        <v>1462738</v>
      </c>
      <c r="B4913" t="s">
        <v>18</v>
      </c>
      <c r="C4913" t="s">
        <v>34</v>
      </c>
      <c r="D4913" t="s">
        <v>53</v>
      </c>
      <c r="E4913" t="s">
        <v>3761</v>
      </c>
      <c r="F4913" t="s">
        <v>22</v>
      </c>
      <c r="G4913" t="s">
        <v>23</v>
      </c>
      <c r="H4913" t="s">
        <v>37</v>
      </c>
      <c r="I4913" t="s">
        <v>25</v>
      </c>
      <c r="J4913" t="s">
        <v>3762</v>
      </c>
      <c r="K4913">
        <v>9</v>
      </c>
      <c r="L4913">
        <v>1</v>
      </c>
      <c r="M4913">
        <v>2025</v>
      </c>
      <c r="N4913" t="s">
        <v>27</v>
      </c>
      <c r="O4913">
        <v>230</v>
      </c>
      <c r="P4913">
        <v>230</v>
      </c>
      <c r="R4913" s="3" t="str">
        <f>HYPERLINK("https://panda.att.com.mx/ODKServer/view/binaryData?blobKey=FSSuministroFluidosv3%5B%40version%3Dnull+and+%40uiVersion%3Dnull%5D%2Fdata%5B%40key%3Duuid%3A6d2c45c8-b459-46a8-960f-0d400b71cee9%5D%2FgroupInfoFuel%5B%40ordinal%3D1%5D%2FpicFuelRecibeInterno","Descargar")</f>
        <v>Descargar</v>
      </c>
    </row>
    <row r="4914" spans="1:18" x14ac:dyDescent="0.3">
      <c r="A4914">
        <v>1462725</v>
      </c>
      <c r="B4914" t="s">
        <v>18</v>
      </c>
      <c r="C4914" t="s">
        <v>59</v>
      </c>
      <c r="D4914" t="s">
        <v>233</v>
      </c>
      <c r="E4914" t="s">
        <v>570</v>
      </c>
      <c r="F4914" t="s">
        <v>22</v>
      </c>
      <c r="G4914" t="s">
        <v>23</v>
      </c>
      <c r="H4914" t="s">
        <v>37</v>
      </c>
      <c r="I4914" t="s">
        <v>25</v>
      </c>
      <c r="J4914" t="s">
        <v>3763</v>
      </c>
      <c r="K4914">
        <v>8</v>
      </c>
      <c r="L4914">
        <v>1</v>
      </c>
      <c r="M4914">
        <v>2025</v>
      </c>
      <c r="N4914" t="s">
        <v>27</v>
      </c>
      <c r="O4914">
        <v>300</v>
      </c>
      <c r="P4914">
        <v>300</v>
      </c>
      <c r="R4914" s="3" t="str">
        <f>HYPERLINK("https://panda.att.com.mx/ODKServer/view/binaryData?blobKey=FSSuministroFluidosv3%5B%40version%3Dnull+and+%40uiVersion%3Dnull%5D%2Fdata%5B%40key%3Duuid%3A11861386-bab6-413f-9ec3-77770bbfefdc%5D%2FgroupInfoFuel%5B%40ordinal%3D1%5D%2FpicFuelRecibeInterno","Descargar")</f>
        <v>Descargar</v>
      </c>
    </row>
    <row r="4915" spans="1:18" x14ac:dyDescent="0.3">
      <c r="A4915">
        <v>1462718</v>
      </c>
      <c r="B4915" t="s">
        <v>18</v>
      </c>
      <c r="C4915" t="s">
        <v>59</v>
      </c>
      <c r="D4915" t="s">
        <v>233</v>
      </c>
      <c r="E4915" t="s">
        <v>1859</v>
      </c>
      <c r="F4915" t="s">
        <v>22</v>
      </c>
      <c r="G4915" t="s">
        <v>23</v>
      </c>
      <c r="H4915" t="s">
        <v>37</v>
      </c>
      <c r="I4915" t="s">
        <v>25</v>
      </c>
      <c r="J4915" t="s">
        <v>3764</v>
      </c>
      <c r="K4915">
        <v>8</v>
      </c>
      <c r="L4915">
        <v>1</v>
      </c>
      <c r="M4915">
        <v>2025</v>
      </c>
      <c r="N4915" t="s">
        <v>27</v>
      </c>
      <c r="O4915">
        <v>400</v>
      </c>
      <c r="P4915">
        <v>400</v>
      </c>
      <c r="R4915" s="3" t="str">
        <f>HYPERLINK("https://panda.att.com.mx/ODKServer/view/binaryData?blobKey=FSSuministroFluidosv3%5B%40version%3Dnull+and+%40uiVersion%3Dnull%5D%2Fdata%5B%40key%3Duuid%3A8d6fc908-c4a6-4e6c-a920-d77f5114e271%5D%2FgroupInfoFuel%5B%40ordinal%3D1%5D%2FpicFuelRecibeInterno","Descargar")</f>
        <v>Descargar</v>
      </c>
    </row>
    <row r="4916" spans="1:18" x14ac:dyDescent="0.3">
      <c r="A4916">
        <v>1462668</v>
      </c>
      <c r="B4916" t="s">
        <v>18</v>
      </c>
      <c r="C4916" t="s">
        <v>100</v>
      </c>
      <c r="D4916" t="s">
        <v>716</v>
      </c>
      <c r="E4916" t="s">
        <v>3765</v>
      </c>
      <c r="F4916" t="s">
        <v>22</v>
      </c>
      <c r="G4916" t="s">
        <v>23</v>
      </c>
      <c r="H4916" t="s">
        <v>1781</v>
      </c>
      <c r="I4916" t="s">
        <v>25</v>
      </c>
      <c r="J4916" t="s">
        <v>3766</v>
      </c>
      <c r="K4916">
        <v>9</v>
      </c>
      <c r="L4916">
        <v>1</v>
      </c>
      <c r="M4916">
        <v>2025</v>
      </c>
      <c r="N4916" t="s">
        <v>27</v>
      </c>
      <c r="O4916">
        <v>200</v>
      </c>
      <c r="P4916">
        <v>200</v>
      </c>
      <c r="R4916" s="3" t="str">
        <f>HYPERLINK("https://panda.att.com.mx/ODKServer/view/binaryData?blobKey=FSSuministroFluidosv3%5B%40version%3Dnull+and+%40uiVersion%3Dnull%5D%2Fdata%5B%40key%3Duuid%3A50f1468e-f928-448f-b605-354606d39502%5D%2FgroupInfoFuel%5B%40ordinal%3D1%5D%2FpicFuelRecibeInterno","Descargar")</f>
        <v>Descargar</v>
      </c>
    </row>
    <row r="4917" spans="1:18" x14ac:dyDescent="0.3">
      <c r="A4917">
        <v>1462609</v>
      </c>
      <c r="B4917" t="s">
        <v>18</v>
      </c>
      <c r="C4917" t="s">
        <v>28</v>
      </c>
      <c r="D4917" t="s">
        <v>66</v>
      </c>
      <c r="E4917" t="s">
        <v>846</v>
      </c>
      <c r="F4917" t="s">
        <v>22</v>
      </c>
      <c r="G4917" t="s">
        <v>23</v>
      </c>
      <c r="H4917" t="s">
        <v>24</v>
      </c>
      <c r="I4917" t="s">
        <v>25</v>
      </c>
      <c r="J4917" t="s">
        <v>3767</v>
      </c>
      <c r="K4917">
        <v>8</v>
      </c>
      <c r="L4917">
        <v>1</v>
      </c>
      <c r="M4917">
        <v>2025</v>
      </c>
      <c r="N4917" t="s">
        <v>44</v>
      </c>
      <c r="O4917">
        <v>40</v>
      </c>
      <c r="Q4917">
        <v>40</v>
      </c>
      <c r="R4917" s="3" t="str">
        <f>HYPERLINK("https://panda.att.com.mx/ODKServer/view/binaryData?blobKey=FSSuministroFluidosv3%5B%40version%3Dnull+and+%40uiVersion%3Dnull%5D%2Fdata%5B%40key%3Duuid%3A0ada99a7-b0a3-4157-afa8-d326cbee4eb8%5D%2FgroupInfoFuel%5B%40ordinal%3D1%5D%2FpicFuelRecibeInterno","Descargar")</f>
        <v>Descargar</v>
      </c>
    </row>
    <row r="4918" spans="1:18" x14ac:dyDescent="0.3">
      <c r="A4918">
        <v>1462608</v>
      </c>
      <c r="B4918" t="s">
        <v>18</v>
      </c>
      <c r="C4918" t="s">
        <v>55</v>
      </c>
      <c r="D4918" t="s">
        <v>366</v>
      </c>
      <c r="E4918" t="s">
        <v>3753</v>
      </c>
      <c r="F4918" t="s">
        <v>22</v>
      </c>
      <c r="G4918" t="s">
        <v>23</v>
      </c>
      <c r="H4918" t="s">
        <v>1781</v>
      </c>
      <c r="I4918" t="s">
        <v>25</v>
      </c>
      <c r="J4918" t="s">
        <v>3768</v>
      </c>
      <c r="K4918">
        <v>5</v>
      </c>
      <c r="L4918">
        <v>1</v>
      </c>
      <c r="M4918">
        <v>2025</v>
      </c>
      <c r="N4918" t="s">
        <v>27</v>
      </c>
      <c r="O4918">
        <v>300</v>
      </c>
      <c r="P4918">
        <v>300</v>
      </c>
      <c r="R4918" s="3" t="str">
        <f>HYPERLINK("https://panda.att.com.mx/ODKServer/view/binaryData?blobKey=FSSuministroFluidosv3%5B%40version%3Dnull+and+%40uiVersion%3Dnull%5D%2Fdata%5B%40key%3Duuid%3Abb2b244b-cc78-4527-85e0-4fb886097a74%5D%2FgroupInfoFuel%5B%40ordinal%3D1%5D%2FpicFuelRecibeInterno","Descargar")</f>
        <v>Descargar</v>
      </c>
    </row>
    <row r="4919" spans="1:18" x14ac:dyDescent="0.3">
      <c r="A4919">
        <v>1462574</v>
      </c>
      <c r="B4919" t="s">
        <v>18</v>
      </c>
      <c r="C4919" t="s">
        <v>150</v>
      </c>
      <c r="D4919" t="s">
        <v>230</v>
      </c>
      <c r="E4919" t="s">
        <v>3769</v>
      </c>
      <c r="F4919" t="s">
        <v>22</v>
      </c>
      <c r="G4919" t="s">
        <v>23</v>
      </c>
      <c r="H4919" t="s">
        <v>1781</v>
      </c>
      <c r="I4919" t="s">
        <v>25</v>
      </c>
      <c r="J4919" t="s">
        <v>3770</v>
      </c>
      <c r="K4919">
        <v>9</v>
      </c>
      <c r="L4919">
        <v>1</v>
      </c>
      <c r="M4919">
        <v>2025</v>
      </c>
      <c r="N4919" t="s">
        <v>27</v>
      </c>
      <c r="O4919">
        <v>200.05</v>
      </c>
      <c r="P4919">
        <v>200.05</v>
      </c>
      <c r="R4919" s="3" t="str">
        <f>HYPERLINK("https://panda.att.com.mx/ODKServer/view/binaryData?blobKey=FSSuministroFluidosv3%5B%40version%3Dnull+and+%40uiVersion%3Dnull%5D%2Fdata%5B%40key%3Duuid%3A31a1651e-2801-4c19-859c-f36f0ff354d2%5D%2FgroupInfoFuel%5B%40ordinal%3D1%5D%2FpicFuelRecibeInterno","Descargar")</f>
        <v>Descargar</v>
      </c>
    </row>
    <row r="4920" spans="1:18" x14ac:dyDescent="0.3">
      <c r="A4920">
        <v>1462546</v>
      </c>
      <c r="B4920" t="s">
        <v>18</v>
      </c>
      <c r="C4920" t="s">
        <v>100</v>
      </c>
      <c r="D4920" t="s">
        <v>504</v>
      </c>
      <c r="E4920" t="s">
        <v>2124</v>
      </c>
      <c r="F4920" t="s">
        <v>22</v>
      </c>
      <c r="G4920" t="s">
        <v>23</v>
      </c>
      <c r="H4920" t="s">
        <v>1781</v>
      </c>
      <c r="I4920" t="s">
        <v>25</v>
      </c>
      <c r="J4920" t="s">
        <v>3771</v>
      </c>
      <c r="K4920">
        <v>9</v>
      </c>
      <c r="L4920">
        <v>1</v>
      </c>
      <c r="M4920">
        <v>2025</v>
      </c>
      <c r="N4920" t="s">
        <v>27</v>
      </c>
      <c r="O4920">
        <v>200</v>
      </c>
      <c r="Q4920">
        <v>200</v>
      </c>
      <c r="R4920" s="3" t="str">
        <f>HYPERLINK("https://panda.att.com.mx/ODKServer/view/binaryData?blobKey=FSSuministroFluidosv3%5B%40version%3Dnull+and+%40uiVersion%3Dnull%5D%2Fdata%5B%40key%3Duuid%3Af7eb3d8a-6d81-496d-89a5-bd14c4162e0a%5D%2FgroupInfoFuel%5B%40ordinal%3D1%5D%2FpicFuelRecibeInterno","Descargar")</f>
        <v>Descargar</v>
      </c>
    </row>
    <row r="4921" spans="1:18" x14ac:dyDescent="0.3">
      <c r="A4921">
        <v>1462498</v>
      </c>
      <c r="B4921" t="s">
        <v>18</v>
      </c>
      <c r="C4921" t="s">
        <v>100</v>
      </c>
      <c r="D4921" t="s">
        <v>101</v>
      </c>
      <c r="E4921" t="s">
        <v>126</v>
      </c>
      <c r="F4921" t="s">
        <v>22</v>
      </c>
      <c r="G4921" t="s">
        <v>23</v>
      </c>
      <c r="H4921" t="s">
        <v>1781</v>
      </c>
      <c r="I4921" t="s">
        <v>25</v>
      </c>
      <c r="J4921" t="s">
        <v>3772</v>
      </c>
      <c r="K4921">
        <v>9</v>
      </c>
      <c r="L4921">
        <v>1</v>
      </c>
      <c r="M4921">
        <v>2025</v>
      </c>
      <c r="N4921" t="s">
        <v>27</v>
      </c>
      <c r="O4921">
        <v>200</v>
      </c>
      <c r="P4921">
        <v>200</v>
      </c>
      <c r="R4921" s="3" t="str">
        <f>HYPERLINK("https://panda.att.com.mx/ODKServer/view/binaryData?blobKey=FSSuministroFluidosv3%5B%40version%3Dnull+and+%40uiVersion%3Dnull%5D%2Fdata%5B%40key%3Duuid%3Ae99f8547-b115-428b-b4e5-ae1faac82698%5D%2FgroupInfoFuel%5B%40ordinal%3D1%5D%2FpicFuelRecibeInterno","Descargar")</f>
        <v>Descargar</v>
      </c>
    </row>
    <row r="4922" spans="1:18" x14ac:dyDescent="0.3">
      <c r="A4922">
        <v>1462471</v>
      </c>
      <c r="B4922" t="s">
        <v>18</v>
      </c>
      <c r="C4922" t="s">
        <v>100</v>
      </c>
      <c r="D4922" t="s">
        <v>854</v>
      </c>
      <c r="E4922" t="s">
        <v>993</v>
      </c>
      <c r="F4922" t="s">
        <v>22</v>
      </c>
      <c r="G4922" t="s">
        <v>83</v>
      </c>
      <c r="H4922" t="s">
        <v>1781</v>
      </c>
      <c r="I4922" t="s">
        <v>25</v>
      </c>
      <c r="J4922" t="s">
        <v>3773</v>
      </c>
      <c r="K4922">
        <v>9</v>
      </c>
      <c r="L4922">
        <v>1</v>
      </c>
      <c r="M4922">
        <v>2025</v>
      </c>
      <c r="N4922" t="s">
        <v>27</v>
      </c>
      <c r="O4922">
        <v>220</v>
      </c>
      <c r="P4922">
        <v>220</v>
      </c>
      <c r="R4922" s="3" t="str">
        <f>HYPERLINK("https://panda.att.com.mx/ODKServer/view/binaryData?blobKey=FSSuministroFluidosv3%5B%40version%3Dnull+and+%40uiVersion%3Dnull%5D%2Fdata%5B%40key%3Duuid%3Ac6742bfc-d73f-43d1-9e65-0befc0980026%5D%2FgroupInfoFuel%5B%40ordinal%3D1%5D%2FpicFuelRecibeInterno","Descargar")</f>
        <v>Descargar</v>
      </c>
    </row>
    <row r="4923" spans="1:18" x14ac:dyDescent="0.3">
      <c r="A4923">
        <v>1462364</v>
      </c>
      <c r="B4923" t="s">
        <v>18</v>
      </c>
      <c r="C4923" t="s">
        <v>150</v>
      </c>
      <c r="D4923" t="s">
        <v>230</v>
      </c>
      <c r="E4923" t="s">
        <v>1510</v>
      </c>
      <c r="F4923" t="s">
        <v>22</v>
      </c>
      <c r="G4923" t="s">
        <v>23</v>
      </c>
      <c r="H4923" t="s">
        <v>1781</v>
      </c>
      <c r="I4923" t="s">
        <v>25</v>
      </c>
      <c r="J4923" t="s">
        <v>3774</v>
      </c>
      <c r="K4923">
        <v>9</v>
      </c>
      <c r="L4923">
        <v>1</v>
      </c>
      <c r="M4923">
        <v>2025</v>
      </c>
      <c r="N4923" t="s">
        <v>27</v>
      </c>
      <c r="O4923">
        <v>300</v>
      </c>
      <c r="P4923">
        <v>300</v>
      </c>
      <c r="R4923" s="3" t="str">
        <f>HYPERLINK("https://panda.att.com.mx/ODKServer/view/binaryData?blobKey=FSSuministroFluidosv3%5B%40version%3Dnull+and+%40uiVersion%3Dnull%5D%2Fdata%5B%40key%3Duuid%3A87e5adee-9826-42e5-b816-15efce3241c6%5D%2FgroupInfoFuel%5B%40ordinal%3D1%5D%2FpicFuelRecibeInterno","Descargar")</f>
        <v>Descargar</v>
      </c>
    </row>
    <row r="4924" spans="1:18" x14ac:dyDescent="0.3">
      <c r="A4924">
        <v>1462269</v>
      </c>
      <c r="B4924" t="s">
        <v>18</v>
      </c>
      <c r="C4924" t="s">
        <v>28</v>
      </c>
      <c r="D4924" t="s">
        <v>138</v>
      </c>
      <c r="E4924" t="s">
        <v>1483</v>
      </c>
      <c r="F4924" t="s">
        <v>22</v>
      </c>
      <c r="G4924" t="s">
        <v>23</v>
      </c>
      <c r="H4924" t="s">
        <v>24</v>
      </c>
      <c r="I4924" t="s">
        <v>25</v>
      </c>
      <c r="J4924" t="s">
        <v>3775</v>
      </c>
      <c r="K4924">
        <v>8</v>
      </c>
      <c r="L4924">
        <v>1</v>
      </c>
      <c r="M4924">
        <v>2025</v>
      </c>
      <c r="N4924" t="s">
        <v>27</v>
      </c>
      <c r="O4924">
        <v>153</v>
      </c>
      <c r="P4924">
        <v>153</v>
      </c>
      <c r="R4924" s="3" t="str">
        <f>HYPERLINK("https://panda.att.com.mx/ODKServer/view/binaryData?blobKey=FSSuministroFluidosv3%5B%40version%3Dnull+and+%40uiVersion%3Dnull%5D%2Fdata%5B%40key%3Duuid%3A62a51c6d-113c-4822-87a2-9522b5bd35c9%5D%2FgroupInfoFuel%5B%40ordinal%3D1%5D%2FpicFuelRecibeInterno","Descargar")</f>
        <v>Descargar</v>
      </c>
    </row>
    <row r="4925" spans="1:18" x14ac:dyDescent="0.3">
      <c r="A4925">
        <v>1460796</v>
      </c>
      <c r="B4925" t="s">
        <v>18</v>
      </c>
      <c r="C4925" t="s">
        <v>19</v>
      </c>
      <c r="D4925" t="s">
        <v>3062</v>
      </c>
      <c r="E4925" t="s">
        <v>3063</v>
      </c>
      <c r="F4925" t="s">
        <v>22</v>
      </c>
      <c r="G4925" t="s">
        <v>23</v>
      </c>
      <c r="H4925" t="s">
        <v>24</v>
      </c>
      <c r="I4925" t="s">
        <v>25</v>
      </c>
      <c r="J4925" t="s">
        <v>3776</v>
      </c>
      <c r="K4925">
        <v>4</v>
      </c>
      <c r="L4925">
        <v>1</v>
      </c>
      <c r="M4925">
        <v>2025</v>
      </c>
      <c r="N4925" t="s">
        <v>44</v>
      </c>
      <c r="O4925">
        <v>50</v>
      </c>
      <c r="P4925">
        <v>50</v>
      </c>
      <c r="R4925" s="3" t="str">
        <f>HYPERLINK("https://panda.att.com.mx/ODKServer/view/binaryData?blobKey=FSSuministroFluidosv3%5B%40version%3Dnull+and+%40uiVersion%3Dnull%5D%2Fdata%5B%40key%3Duuid%3A442055a7-58c9-4df9-9702-e262100e3149%5D%2FgroupInfoFuel%5B%40ordinal%3D1%5D%2FpicFuelRecibeInterno","Descargar")</f>
        <v>Descargar</v>
      </c>
    </row>
    <row r="4926" spans="1:18" x14ac:dyDescent="0.3">
      <c r="A4926">
        <v>1460794</v>
      </c>
      <c r="B4926" t="s">
        <v>18</v>
      </c>
      <c r="C4926" t="s">
        <v>183</v>
      </c>
      <c r="D4926" t="s">
        <v>1720</v>
      </c>
      <c r="E4926" t="s">
        <v>3777</v>
      </c>
      <c r="F4926" t="s">
        <v>22</v>
      </c>
      <c r="G4926" t="s">
        <v>23</v>
      </c>
      <c r="H4926" t="s">
        <v>24</v>
      </c>
      <c r="I4926" t="s">
        <v>25</v>
      </c>
      <c r="J4926" t="s">
        <v>3778</v>
      </c>
      <c r="K4926">
        <v>4</v>
      </c>
      <c r="L4926">
        <v>1</v>
      </c>
      <c r="M4926">
        <v>2025</v>
      </c>
      <c r="N4926" t="s">
        <v>44</v>
      </c>
      <c r="O4926">
        <v>60</v>
      </c>
      <c r="P4926">
        <v>60</v>
      </c>
      <c r="R4926" s="3" t="str">
        <f>HYPERLINK("https://panda.att.com.mx/ODKServer/view/binaryData?blobKey=FSSuministroFluidosv3%5B%40version%3Dnull+and+%40uiVersion%3Dnull%5D%2Fdata%5B%40key%3Duuid%3Abd5f3830-d364-4c6c-ac1d-c9550852c1d4%5D%2FgroupInfoFuel%5B%40ordinal%3D1%5D%2FpicFuelRecibeInterno","Descargar")</f>
        <v>Descargar</v>
      </c>
    </row>
    <row r="4927" spans="1:18" x14ac:dyDescent="0.3">
      <c r="A4927">
        <v>1460772</v>
      </c>
      <c r="B4927" t="s">
        <v>18</v>
      </c>
      <c r="C4927" t="s">
        <v>100</v>
      </c>
      <c r="D4927" t="s">
        <v>716</v>
      </c>
      <c r="E4927" t="s">
        <v>717</v>
      </c>
      <c r="F4927" t="s">
        <v>22</v>
      </c>
      <c r="G4927" t="s">
        <v>83</v>
      </c>
      <c r="H4927" t="s">
        <v>1781</v>
      </c>
      <c r="I4927" t="s">
        <v>25</v>
      </c>
      <c r="J4927" t="s">
        <v>3779</v>
      </c>
      <c r="K4927">
        <v>4</v>
      </c>
      <c r="L4927">
        <v>1</v>
      </c>
      <c r="M4927">
        <v>2025</v>
      </c>
      <c r="N4927" t="s">
        <v>27</v>
      </c>
      <c r="O4927">
        <v>150</v>
      </c>
      <c r="P4927">
        <v>150</v>
      </c>
      <c r="R4927" s="3" t="str">
        <f>HYPERLINK("https://panda.att.com.mx/ODKServer/view/binaryData?blobKey=FSSuministroFluidosv3%5B%40version%3Dnull+and+%40uiVersion%3Dnull%5D%2Fdata%5B%40key%3Duuid%3A2227ff6e-3dfc-4e22-98ac-d3c2e6b53924%5D%2FgroupInfoFuel%5B%40ordinal%3D1%5D%2FpicFuelRecibeInterno","Descargar")</f>
        <v>Descargar</v>
      </c>
    </row>
    <row r="4928" spans="1:18" x14ac:dyDescent="0.3">
      <c r="A4928">
        <v>1460768</v>
      </c>
      <c r="B4928" t="s">
        <v>18</v>
      </c>
      <c r="C4928" t="s">
        <v>19</v>
      </c>
      <c r="D4928" t="s">
        <v>42</v>
      </c>
      <c r="E4928" t="s">
        <v>3072</v>
      </c>
      <c r="F4928" t="s">
        <v>22</v>
      </c>
      <c r="G4928" t="s">
        <v>23</v>
      </c>
      <c r="H4928" t="s">
        <v>24</v>
      </c>
      <c r="I4928" t="s">
        <v>25</v>
      </c>
      <c r="J4928" t="s">
        <v>3780</v>
      </c>
      <c r="K4928">
        <v>3</v>
      </c>
      <c r="L4928">
        <v>1</v>
      </c>
      <c r="M4928">
        <v>2025</v>
      </c>
      <c r="N4928" t="s">
        <v>44</v>
      </c>
      <c r="O4928">
        <v>50</v>
      </c>
      <c r="P4928">
        <v>50</v>
      </c>
      <c r="R4928" s="3" t="str">
        <f>HYPERLINK("https://panda.att.com.mx/ODKServer/view/binaryData?blobKey=FSSuministroFluidosv3%5B%40version%3Dnull+and+%40uiVersion%3Dnull%5D%2Fdata%5B%40key%3Duuid%3A2026c991-9ee5-41b3-8bbd-361e62ae25f3%5D%2FgroupInfoFuel%5B%40ordinal%3D1%5D%2FpicFuelRecibeInterno","Descargar")</f>
        <v>Descargar</v>
      </c>
    </row>
    <row r="4929" spans="1:18" x14ac:dyDescent="0.3">
      <c r="A4929">
        <v>1460737</v>
      </c>
      <c r="B4929" t="s">
        <v>18</v>
      </c>
      <c r="C4929" t="s">
        <v>19</v>
      </c>
      <c r="D4929" t="s">
        <v>40</v>
      </c>
      <c r="E4929" t="s">
        <v>3458</v>
      </c>
      <c r="F4929" t="s">
        <v>22</v>
      </c>
      <c r="G4929" t="s">
        <v>23</v>
      </c>
      <c r="H4929" t="s">
        <v>24</v>
      </c>
      <c r="I4929" t="s">
        <v>25</v>
      </c>
      <c r="J4929" t="s">
        <v>3781</v>
      </c>
      <c r="K4929">
        <v>4</v>
      </c>
      <c r="L4929">
        <v>1</v>
      </c>
      <c r="M4929">
        <v>2025</v>
      </c>
      <c r="N4929" t="s">
        <v>44</v>
      </c>
      <c r="O4929">
        <v>60</v>
      </c>
      <c r="P4929">
        <v>60</v>
      </c>
      <c r="R4929" s="3" t="str">
        <f>HYPERLINK("https://panda.att.com.mx/ODKServer/view/binaryData?blobKey=FSSuministroFluidosv3%5B%40version%3Dnull+and+%40uiVersion%3Dnull%5D%2Fdata%5B%40key%3Duuid%3Ad6fd0fc7-0625-4373-8ad6-b83ce2d622d1%5D%2FgroupInfoFuel%5B%40ordinal%3D1%5D%2FpicFuelRecibeInterno","Descargar")</f>
        <v>Descargar</v>
      </c>
    </row>
    <row r="4930" spans="1:18" x14ac:dyDescent="0.3">
      <c r="A4930">
        <v>1460731</v>
      </c>
      <c r="B4930" t="s">
        <v>18</v>
      </c>
      <c r="C4930" t="s">
        <v>19</v>
      </c>
      <c r="D4930" t="s">
        <v>347</v>
      </c>
      <c r="E4930" t="s">
        <v>3396</v>
      </c>
      <c r="F4930" t="s">
        <v>22</v>
      </c>
      <c r="G4930" t="s">
        <v>23</v>
      </c>
      <c r="H4930" t="s">
        <v>24</v>
      </c>
      <c r="I4930" t="s">
        <v>25</v>
      </c>
      <c r="J4930" t="s">
        <v>3782</v>
      </c>
      <c r="K4930">
        <v>4</v>
      </c>
      <c r="L4930">
        <v>1</v>
      </c>
      <c r="M4930">
        <v>2025</v>
      </c>
      <c r="N4930" t="s">
        <v>27</v>
      </c>
      <c r="O4930">
        <v>400</v>
      </c>
      <c r="P4930">
        <v>400</v>
      </c>
      <c r="R4930" s="3" t="str">
        <f>HYPERLINK("https://panda.att.com.mx/ODKServer/view/binaryData?blobKey=FSSuministroFluidosv3%5B%40version%3Dnull+and+%40uiVersion%3Dnull%5D%2Fdata%5B%40key%3Duuid%3A60279d65-44cb-4ac0-b0c6-5b80917aee95%5D%2FgroupInfoFuel%5B%40ordinal%3D1%5D%2FpicFuelRecibeInterno","Descargar")</f>
        <v>Descargar</v>
      </c>
    </row>
    <row r="4931" spans="1:18" x14ac:dyDescent="0.3">
      <c r="A4931">
        <v>1460723</v>
      </c>
      <c r="B4931" t="s">
        <v>18</v>
      </c>
      <c r="C4931" t="s">
        <v>19</v>
      </c>
      <c r="D4931" t="s">
        <v>3062</v>
      </c>
      <c r="E4931" t="s">
        <v>3063</v>
      </c>
      <c r="F4931" t="s">
        <v>22</v>
      </c>
      <c r="G4931" t="s">
        <v>23</v>
      </c>
      <c r="H4931" t="s">
        <v>24</v>
      </c>
      <c r="I4931" t="s">
        <v>25</v>
      </c>
      <c r="J4931" t="s">
        <v>3783</v>
      </c>
      <c r="K4931">
        <v>4</v>
      </c>
      <c r="L4931">
        <v>1</v>
      </c>
      <c r="M4931">
        <v>2025</v>
      </c>
      <c r="N4931" t="s">
        <v>44</v>
      </c>
      <c r="O4931">
        <v>60</v>
      </c>
      <c r="P4931">
        <v>60</v>
      </c>
      <c r="R4931" s="3" t="str">
        <f>HYPERLINK("https://panda.att.com.mx/ODKServer/view/binaryData?blobKey=FSSuministroFluidosv3%5B%40version%3Dnull+and+%40uiVersion%3Dnull%5D%2Fdata%5B%40key%3Duuid%3A0c56d0fc-8552-4da7-a127-0ce390c3bf47%5D%2FgroupInfoFuel%5B%40ordinal%3D1%5D%2FpicFuelRecibeInterno","Descargar")</f>
        <v>Descargar</v>
      </c>
    </row>
    <row r="4932" spans="1:18" x14ac:dyDescent="0.3">
      <c r="A4932">
        <v>1460720</v>
      </c>
      <c r="B4932" t="s">
        <v>18</v>
      </c>
      <c r="C4932" t="s">
        <v>183</v>
      </c>
      <c r="D4932" t="s">
        <v>1720</v>
      </c>
      <c r="E4932" t="s">
        <v>3777</v>
      </c>
      <c r="F4932" t="s">
        <v>22</v>
      </c>
      <c r="G4932" t="s">
        <v>23</v>
      </c>
      <c r="H4932" t="s">
        <v>24</v>
      </c>
      <c r="I4932" t="s">
        <v>25</v>
      </c>
      <c r="J4932" t="s">
        <v>3784</v>
      </c>
      <c r="K4932">
        <v>3</v>
      </c>
      <c r="L4932">
        <v>1</v>
      </c>
      <c r="M4932">
        <v>2025</v>
      </c>
      <c r="N4932" t="s">
        <v>44</v>
      </c>
      <c r="O4932">
        <v>35</v>
      </c>
      <c r="P4932">
        <v>35</v>
      </c>
      <c r="R4932" s="3" t="str">
        <f>HYPERLINK("https://panda.att.com.mx/ODKServer/view/binaryData?blobKey=FSSuministroFluidosv3%5B%40version%3Dnull+and+%40uiVersion%3Dnull%5D%2Fdata%5B%40key%3Duuid%3Ac083fa91-0c12-4920-8a26-670be099b8ff%5D%2FgroupInfoFuel%5B%40ordinal%3D1%5D%2FpicFuelRecibeInterno","Descargar")</f>
        <v>Descargar</v>
      </c>
    </row>
    <row r="4933" spans="1:18" x14ac:dyDescent="0.3">
      <c r="A4933">
        <v>1460708</v>
      </c>
      <c r="B4933" t="s">
        <v>18</v>
      </c>
      <c r="C4933" t="s">
        <v>34</v>
      </c>
      <c r="D4933" t="s">
        <v>121</v>
      </c>
      <c r="E4933" t="s">
        <v>3102</v>
      </c>
      <c r="F4933" t="s">
        <v>22</v>
      </c>
      <c r="G4933" t="s">
        <v>23</v>
      </c>
      <c r="H4933" t="s">
        <v>37</v>
      </c>
      <c r="I4933" t="s">
        <v>25</v>
      </c>
      <c r="J4933" t="s">
        <v>3785</v>
      </c>
      <c r="K4933">
        <v>3</v>
      </c>
      <c r="L4933">
        <v>1</v>
      </c>
      <c r="M4933">
        <v>2025</v>
      </c>
      <c r="N4933" t="s">
        <v>27</v>
      </c>
      <c r="O4933">
        <v>200</v>
      </c>
      <c r="P4933">
        <v>200</v>
      </c>
      <c r="R4933" s="3" t="str">
        <f>HYPERLINK("https://panda.att.com.mx/ODKServer/view/binaryData?blobKey=FSSuministroFluidosv3%5B%40version%3Dnull+and+%40uiVersion%3Dnull%5D%2Fdata%5B%40key%3Duuid%3A46f892f4-fa74-492d-b065-01fc7fd6c4ba%5D%2FgroupInfoFuel%5B%40ordinal%3D1%5D%2FpicFuelRecibeInterno","Descargar")</f>
        <v>Descargar</v>
      </c>
    </row>
    <row r="4934" spans="1:18" x14ac:dyDescent="0.3">
      <c r="A4934">
        <v>1460707</v>
      </c>
      <c r="B4934" t="s">
        <v>18</v>
      </c>
      <c r="C4934" t="s">
        <v>34</v>
      </c>
      <c r="D4934" t="s">
        <v>121</v>
      </c>
      <c r="E4934" t="s">
        <v>3086</v>
      </c>
      <c r="F4934" t="s">
        <v>22</v>
      </c>
      <c r="G4934" t="s">
        <v>23</v>
      </c>
      <c r="H4934" t="s">
        <v>37</v>
      </c>
      <c r="I4934" t="s">
        <v>25</v>
      </c>
      <c r="J4934" t="s">
        <v>3786</v>
      </c>
      <c r="K4934">
        <v>3</v>
      </c>
      <c r="L4934">
        <v>1</v>
      </c>
      <c r="M4934">
        <v>2025</v>
      </c>
      <c r="N4934" t="s">
        <v>27</v>
      </c>
      <c r="O4934">
        <v>300</v>
      </c>
      <c r="P4934">
        <v>300</v>
      </c>
      <c r="R4934" s="3" t="str">
        <f>HYPERLINK("https://panda.att.com.mx/ODKServer/view/binaryData?blobKey=FSSuministroFluidosv3%5B%40version%3Dnull+and+%40uiVersion%3Dnull%5D%2Fdata%5B%40key%3Duuid%3Ad3bca256-3d30-4144-b288-9f39ce5892f2%5D%2FgroupInfoFuel%5B%40ordinal%3D1%5D%2FpicFuelRecibeInterno","Descargar")</f>
        <v>Descargar</v>
      </c>
    </row>
    <row r="4935" spans="1:18" x14ac:dyDescent="0.3">
      <c r="A4935">
        <v>1460706</v>
      </c>
      <c r="B4935" t="s">
        <v>18</v>
      </c>
      <c r="C4935" t="s">
        <v>34</v>
      </c>
      <c r="D4935" t="s">
        <v>121</v>
      </c>
      <c r="E4935" t="s">
        <v>3041</v>
      </c>
      <c r="F4935" t="s">
        <v>22</v>
      </c>
      <c r="G4935" t="s">
        <v>23</v>
      </c>
      <c r="H4935" t="s">
        <v>37</v>
      </c>
      <c r="I4935" t="s">
        <v>25</v>
      </c>
      <c r="J4935" t="s">
        <v>3787</v>
      </c>
      <c r="K4935">
        <v>3</v>
      </c>
      <c r="L4935">
        <v>1</v>
      </c>
      <c r="M4935">
        <v>2025</v>
      </c>
      <c r="N4935" t="s">
        <v>27</v>
      </c>
      <c r="O4935">
        <v>150</v>
      </c>
      <c r="P4935">
        <v>150</v>
      </c>
      <c r="R4935" s="3" t="str">
        <f>HYPERLINK("https://panda.att.com.mx/ODKServer/view/binaryData?blobKey=FSSuministroFluidosv3%5B%40version%3Dnull+and+%40uiVersion%3Dnull%5D%2Fdata%5B%40key%3Duuid%3A8cb8dcd4-8b3b-4946-abb1-ee9322f0f02b%5D%2FgroupInfoFuel%5B%40ordinal%3D1%5D%2FpicFuelRecibeInterno","Descargar")</f>
        <v>Descargar</v>
      </c>
    </row>
    <row r="4936" spans="1:18" x14ac:dyDescent="0.3">
      <c r="A4936">
        <v>1460697</v>
      </c>
      <c r="B4936" t="s">
        <v>18</v>
      </c>
      <c r="C4936" t="s">
        <v>19</v>
      </c>
      <c r="D4936" t="s">
        <v>42</v>
      </c>
      <c r="E4936" t="s">
        <v>3021</v>
      </c>
      <c r="F4936" t="s">
        <v>22</v>
      </c>
      <c r="G4936" t="s">
        <v>23</v>
      </c>
      <c r="H4936" t="s">
        <v>24</v>
      </c>
      <c r="I4936" t="s">
        <v>25</v>
      </c>
      <c r="J4936" t="s">
        <v>3788</v>
      </c>
      <c r="K4936">
        <v>3</v>
      </c>
      <c r="L4936">
        <v>1</v>
      </c>
      <c r="M4936">
        <v>2025</v>
      </c>
      <c r="N4936" t="s">
        <v>44</v>
      </c>
      <c r="O4936">
        <v>35</v>
      </c>
      <c r="P4936">
        <v>35</v>
      </c>
      <c r="R4936" s="3" t="str">
        <f>HYPERLINK("https://panda.att.com.mx/ODKServer/view/binaryData?blobKey=FSSuministroFluidosv3%5B%40version%3Dnull+and+%40uiVersion%3Dnull%5D%2Fdata%5B%40key%3Duuid%3Ac97c0015-0a4f-49fc-81b9-9b52ba00e237%5D%2FgroupInfoFuel%5B%40ordinal%3D1%5D%2FpicFuelRecibeInterno","Descargar")</f>
        <v>Descargar</v>
      </c>
    </row>
    <row r="4937" spans="1:18" x14ac:dyDescent="0.3">
      <c r="A4937">
        <v>1460690</v>
      </c>
      <c r="B4937" t="s">
        <v>18</v>
      </c>
      <c r="C4937" t="s">
        <v>55</v>
      </c>
      <c r="D4937" t="s">
        <v>210</v>
      </c>
      <c r="E4937" t="s">
        <v>3789</v>
      </c>
      <c r="F4937" t="s">
        <v>22</v>
      </c>
      <c r="G4937" t="s">
        <v>23</v>
      </c>
      <c r="H4937" t="s">
        <v>1763</v>
      </c>
      <c r="I4937" t="s">
        <v>25</v>
      </c>
      <c r="J4937" t="s">
        <v>3790</v>
      </c>
      <c r="K4937">
        <v>3</v>
      </c>
      <c r="L4937">
        <v>1</v>
      </c>
      <c r="M4937">
        <v>2025</v>
      </c>
      <c r="N4937" t="s">
        <v>27</v>
      </c>
      <c r="O4937">
        <v>300</v>
      </c>
      <c r="P4937">
        <v>300</v>
      </c>
      <c r="R4937" s="3" t="str">
        <f>HYPERLINK("https://panda.att.com.mx/ODKServer/view/binaryData?blobKey=FSSuministroFluidosv3%5B%40version%3Dnull+and+%40uiVersion%3Dnull%5D%2Fdata%5B%40key%3Duuid%3A2a77bbbd-7f60-43cb-b553-416259b776c1%5D%2FgroupInfoFuel%5B%40ordinal%3D1%5D%2FpicFuelRecibeInterno","Descargar")</f>
        <v>Descargar</v>
      </c>
    </row>
    <row r="4938" spans="1:18" x14ac:dyDescent="0.3">
      <c r="A4938">
        <v>1460680</v>
      </c>
      <c r="B4938" t="s">
        <v>18</v>
      </c>
      <c r="C4938" t="s">
        <v>19</v>
      </c>
      <c r="D4938" t="s">
        <v>42</v>
      </c>
      <c r="E4938" t="s">
        <v>43</v>
      </c>
      <c r="F4938" t="s">
        <v>22</v>
      </c>
      <c r="G4938" t="s">
        <v>23</v>
      </c>
      <c r="H4938" t="s">
        <v>24</v>
      </c>
      <c r="I4938" t="s">
        <v>25</v>
      </c>
      <c r="J4938" t="s">
        <v>3791</v>
      </c>
      <c r="K4938">
        <v>3</v>
      </c>
      <c r="L4938">
        <v>1</v>
      </c>
      <c r="M4938">
        <v>2025</v>
      </c>
      <c r="N4938" t="s">
        <v>27</v>
      </c>
      <c r="O4938">
        <v>100</v>
      </c>
      <c r="P4938">
        <v>100</v>
      </c>
      <c r="R4938" s="3" t="str">
        <f>HYPERLINK("https://panda.att.com.mx/ODKServer/view/binaryData?blobKey=FSSuministroFluidosv3%5B%40version%3Dnull+and+%40uiVersion%3Dnull%5D%2Fdata%5B%40key%3Duuid%3Ab1ee63a3-efe7-45e2-ac2d-e0bf4369315e%5D%2FgroupInfoFuel%5B%40ordinal%3D1%5D%2FpicFuelRecibeInterno","Descargar")</f>
        <v>Descargar</v>
      </c>
    </row>
    <row r="4939" spans="1:18" x14ac:dyDescent="0.3">
      <c r="A4939">
        <v>1460579</v>
      </c>
      <c r="B4939" t="s">
        <v>18</v>
      </c>
      <c r="C4939" t="s">
        <v>28</v>
      </c>
      <c r="D4939" t="s">
        <v>66</v>
      </c>
      <c r="E4939" t="s">
        <v>655</v>
      </c>
      <c r="F4939" t="s">
        <v>22</v>
      </c>
      <c r="G4939" t="s">
        <v>23</v>
      </c>
      <c r="H4939" t="s">
        <v>24</v>
      </c>
      <c r="I4939" t="s">
        <v>25</v>
      </c>
      <c r="J4939" t="s">
        <v>3792</v>
      </c>
      <c r="K4939">
        <v>2</v>
      </c>
      <c r="L4939">
        <v>1</v>
      </c>
      <c r="M4939">
        <v>2025</v>
      </c>
      <c r="N4939" t="s">
        <v>44</v>
      </c>
      <c r="O4939">
        <v>40</v>
      </c>
      <c r="Q4939">
        <v>40</v>
      </c>
      <c r="R4939" s="3" t="str">
        <f>HYPERLINK("https://panda.att.com.mx/ODKServer/view/binaryData?blobKey=FSSuministroFluidosv3%5B%40version%3Dnull+and+%40uiVersion%3Dnull%5D%2Fdata%5B%40key%3Duuid%3A348b41c8-254c-4c49-a228-71d521befa69%5D%2FgroupInfoFuel%5B%40ordinal%3D1%5D%2FpicFuelRecibeInterno","Descargar")</f>
        <v>Descargar</v>
      </c>
    </row>
    <row r="4940" spans="1:18" x14ac:dyDescent="0.3">
      <c r="A4940">
        <v>1460559</v>
      </c>
      <c r="B4940" t="s">
        <v>18</v>
      </c>
      <c r="C4940" t="s">
        <v>167</v>
      </c>
      <c r="D4940" t="s">
        <v>168</v>
      </c>
      <c r="E4940" t="s">
        <v>169</v>
      </c>
      <c r="F4940" t="s">
        <v>22</v>
      </c>
      <c r="G4940" t="s">
        <v>83</v>
      </c>
      <c r="H4940" t="s">
        <v>1781</v>
      </c>
      <c r="I4940" t="s">
        <v>25</v>
      </c>
      <c r="J4940" t="s">
        <v>3793</v>
      </c>
      <c r="K4940">
        <v>3</v>
      </c>
      <c r="L4940">
        <v>1</v>
      </c>
      <c r="M4940">
        <v>2025</v>
      </c>
      <c r="N4940" t="s">
        <v>27</v>
      </c>
      <c r="O4940">
        <v>450</v>
      </c>
      <c r="P4940">
        <v>450</v>
      </c>
      <c r="R4940" s="3" t="str">
        <f>HYPERLINK("https://panda.att.com.mx/ODKServer/view/binaryData?blobKey=FSSuministroFluidosv3%5B%40version%3Dnull+and+%40uiVersion%3Dnull%5D%2Fdata%5B%40key%3Duuid%3A67b99ea5-c89d-43bf-93bf-868355865717%5D%2FgroupInfoFuel%5B%40ordinal%3D1%5D%2FpicFuelRecibeInterno","Descargar")</f>
        <v>Descargar</v>
      </c>
    </row>
    <row r="4941" spans="1:18" x14ac:dyDescent="0.3">
      <c r="A4941">
        <v>1460533</v>
      </c>
      <c r="B4941" t="s">
        <v>18</v>
      </c>
      <c r="C4941" t="s">
        <v>55</v>
      </c>
      <c r="D4941" t="s">
        <v>128</v>
      </c>
      <c r="E4941" t="s">
        <v>2000</v>
      </c>
      <c r="F4941" t="s">
        <v>22</v>
      </c>
      <c r="G4941" t="s">
        <v>23</v>
      </c>
      <c r="H4941" t="s">
        <v>1763</v>
      </c>
      <c r="I4941" t="s">
        <v>25</v>
      </c>
      <c r="J4941" t="s">
        <v>3794</v>
      </c>
      <c r="K4941">
        <v>3</v>
      </c>
      <c r="L4941">
        <v>1</v>
      </c>
      <c r="M4941">
        <v>2025</v>
      </c>
      <c r="N4941" t="s">
        <v>27</v>
      </c>
      <c r="O4941">
        <v>300</v>
      </c>
      <c r="P4941">
        <v>300</v>
      </c>
      <c r="R4941" s="3" t="str">
        <f>HYPERLINK("https://panda.att.com.mx/ODKServer/view/binaryData?blobKey=FSSuministroFluidosv3%5B%40version%3Dnull+and+%40uiVersion%3Dnull%5D%2Fdata%5B%40key%3Duuid%3Ac2b0c638-7a08-4ab6-95d3-5c1c5ee92c49%5D%2FgroupInfoFuel%5B%40ordinal%3D1%5D%2FpicFuelRecibeInterno","Descargar")</f>
        <v>Descargar</v>
      </c>
    </row>
    <row r="4942" spans="1:18" x14ac:dyDescent="0.3">
      <c r="A4942">
        <v>1460532</v>
      </c>
      <c r="B4942" t="s">
        <v>18</v>
      </c>
      <c r="C4942" t="s">
        <v>150</v>
      </c>
      <c r="D4942" t="s">
        <v>230</v>
      </c>
      <c r="E4942" t="s">
        <v>890</v>
      </c>
      <c r="F4942" t="s">
        <v>22</v>
      </c>
      <c r="G4942" t="s">
        <v>23</v>
      </c>
      <c r="H4942" t="s">
        <v>1781</v>
      </c>
      <c r="I4942" t="s">
        <v>25</v>
      </c>
      <c r="J4942" t="s">
        <v>3795</v>
      </c>
      <c r="K4942">
        <v>3</v>
      </c>
      <c r="L4942">
        <v>1</v>
      </c>
      <c r="M4942">
        <v>2025</v>
      </c>
      <c r="N4942" t="s">
        <v>27</v>
      </c>
      <c r="O4942">
        <v>150.27000000000001</v>
      </c>
      <c r="P4942">
        <v>150.27000000000001</v>
      </c>
      <c r="R4942" s="3" t="str">
        <f>HYPERLINK("https://panda.att.com.mx/ODKServer/view/binaryData?blobKey=FSSuministroFluidosv3%5B%40version%3Dnull+and+%40uiVersion%3Dnull%5D%2Fdata%5B%40key%3Duuid%3A7f41b95b-1a42-4802-bd89-6ae0da8faa49%5D%2FgroupInfoFuel%5B%40ordinal%3D1%5D%2FpicFuelRecibeInterno","Descargar")</f>
        <v>Descargar</v>
      </c>
    </row>
    <row r="4943" spans="1:18" x14ac:dyDescent="0.3">
      <c r="A4943">
        <v>1460514</v>
      </c>
      <c r="B4943" t="s">
        <v>18</v>
      </c>
      <c r="C4943" t="s">
        <v>68</v>
      </c>
      <c r="D4943" t="s">
        <v>258</v>
      </c>
      <c r="E4943" t="s">
        <v>3796</v>
      </c>
      <c r="F4943" t="s">
        <v>22</v>
      </c>
      <c r="G4943" t="s">
        <v>23</v>
      </c>
      <c r="H4943" t="s">
        <v>37</v>
      </c>
      <c r="I4943" t="s">
        <v>25</v>
      </c>
      <c r="J4943" t="s">
        <v>3797</v>
      </c>
      <c r="K4943">
        <v>3</v>
      </c>
      <c r="L4943">
        <v>1</v>
      </c>
      <c r="M4943">
        <v>2025</v>
      </c>
      <c r="N4943" t="s">
        <v>27</v>
      </c>
      <c r="O4943">
        <v>400</v>
      </c>
      <c r="P4943">
        <v>400</v>
      </c>
      <c r="R4943" s="3" t="str">
        <f>HYPERLINK("https://panda.att.com.mx/ODKServer/view/binaryData?blobKey=FSSuministroFluidosv3%5B%40version%3Dnull+and+%40uiVersion%3Dnull%5D%2Fdata%5B%40key%3Duuid%3Ab9217211-dc83-42e3-9977-184f41bf786e%5D%2FgroupInfoFuel%5B%40ordinal%3D1%5D%2FpicFuelRecibeInterno","Descargar")</f>
        <v>Descargar</v>
      </c>
    </row>
    <row r="4944" spans="1:18" x14ac:dyDescent="0.3">
      <c r="A4944">
        <v>1460491</v>
      </c>
      <c r="B4944" t="s">
        <v>18</v>
      </c>
      <c r="C4944" t="s">
        <v>55</v>
      </c>
      <c r="D4944" t="s">
        <v>56</v>
      </c>
      <c r="E4944" t="s">
        <v>2996</v>
      </c>
      <c r="F4944" t="s">
        <v>22</v>
      </c>
      <c r="G4944" t="s">
        <v>23</v>
      </c>
      <c r="H4944" t="s">
        <v>1763</v>
      </c>
      <c r="I4944" t="s">
        <v>25</v>
      </c>
      <c r="J4944" t="s">
        <v>3798</v>
      </c>
      <c r="K4944">
        <v>1</v>
      </c>
      <c r="L4944">
        <v>1</v>
      </c>
      <c r="M4944">
        <v>2025</v>
      </c>
      <c r="N4944" t="s">
        <v>27</v>
      </c>
      <c r="O4944">
        <v>70</v>
      </c>
      <c r="P4944">
        <v>70</v>
      </c>
      <c r="R4944" s="3" t="str">
        <f>HYPERLINK("https://panda.att.com.mx/ODKServer/view/binaryData?blobKey=FSSuministroFluidosv3%5B%40version%3Dnull+and+%40uiVersion%3Dnull%5D%2Fdata%5B%40key%3Duuid%3Ad2470204-4fa5-47c8-a7fc-c76a0d86f063%5D%2FgroupInfoFuel%5B%40ordinal%3D1%5D%2FpicFuelRecibeInterno","Descargar")</f>
        <v>Descargar</v>
      </c>
    </row>
    <row r="4945" spans="1:18" x14ac:dyDescent="0.3">
      <c r="A4945">
        <v>1460490</v>
      </c>
      <c r="B4945" t="s">
        <v>18</v>
      </c>
      <c r="C4945" t="s">
        <v>55</v>
      </c>
      <c r="D4945" t="s">
        <v>56</v>
      </c>
      <c r="E4945" t="s">
        <v>3652</v>
      </c>
      <c r="F4945" t="s">
        <v>22</v>
      </c>
      <c r="G4945" t="s">
        <v>23</v>
      </c>
      <c r="H4945" t="s">
        <v>1763</v>
      </c>
      <c r="I4945" t="s">
        <v>25</v>
      </c>
      <c r="J4945" t="s">
        <v>3799</v>
      </c>
      <c r="K4945">
        <v>1</v>
      </c>
      <c r="L4945">
        <v>1</v>
      </c>
      <c r="M4945">
        <v>2025</v>
      </c>
      <c r="N4945" t="s">
        <v>27</v>
      </c>
      <c r="O4945">
        <v>100</v>
      </c>
      <c r="P4945">
        <v>100</v>
      </c>
      <c r="R4945" s="3" t="str">
        <f>HYPERLINK("https://panda.att.com.mx/ODKServer/view/binaryData?blobKey=FSSuministroFluidosv3%5B%40version%3Dnull+and+%40uiVersion%3Dnull%5D%2Fdata%5B%40key%3Duuid%3A12dbc896-400a-4e5f-8915-7990648bbed7%5D%2FgroupInfoFuel%5B%40ordinal%3D1%5D%2FpicFuelRecibeInterno","Descargar")</f>
        <v>Descargar</v>
      </c>
    </row>
    <row r="4946" spans="1:18" x14ac:dyDescent="0.3">
      <c r="A4946">
        <v>1460446</v>
      </c>
      <c r="B4946" t="s">
        <v>18</v>
      </c>
      <c r="C4946" t="s">
        <v>19</v>
      </c>
      <c r="D4946" t="s">
        <v>42</v>
      </c>
      <c r="E4946" t="s">
        <v>2281</v>
      </c>
      <c r="F4946" t="s">
        <v>22</v>
      </c>
      <c r="G4946" t="s">
        <v>23</v>
      </c>
      <c r="H4946" t="s">
        <v>24</v>
      </c>
      <c r="I4946" t="s">
        <v>25</v>
      </c>
      <c r="J4946" t="s">
        <v>3800</v>
      </c>
      <c r="K4946">
        <v>3</v>
      </c>
      <c r="L4946">
        <v>1</v>
      </c>
      <c r="M4946">
        <v>2025</v>
      </c>
      <c r="N4946" t="s">
        <v>44</v>
      </c>
      <c r="O4946">
        <v>50</v>
      </c>
      <c r="P4946">
        <v>50</v>
      </c>
      <c r="R4946" s="3" t="str">
        <f>HYPERLINK("https://panda.att.com.mx/ODKServer/view/binaryData?blobKey=FSSuministroFluidosv3%5B%40version%3Dnull+and+%40uiVersion%3Dnull%5D%2Fdata%5B%40key%3Duuid%3Aeb5d89b4-7763-4bd2-8aa4-7b719b3bd46e%5D%2FgroupInfoFuel%5B%40ordinal%3D1%5D%2FpicFuelRecibeInterno","Descargar")</f>
        <v>Descargar</v>
      </c>
    </row>
    <row r="4947" spans="1:18" x14ac:dyDescent="0.3">
      <c r="A4947">
        <v>1460438</v>
      </c>
      <c r="B4947" t="s">
        <v>18</v>
      </c>
      <c r="C4947" t="s">
        <v>100</v>
      </c>
      <c r="D4947" t="s">
        <v>854</v>
      </c>
      <c r="E4947" t="s">
        <v>993</v>
      </c>
      <c r="F4947" t="s">
        <v>22</v>
      </c>
      <c r="G4947" t="s">
        <v>83</v>
      </c>
      <c r="H4947" t="s">
        <v>1781</v>
      </c>
      <c r="I4947" t="s">
        <v>25</v>
      </c>
      <c r="J4947" t="s">
        <v>3801</v>
      </c>
      <c r="K4947">
        <v>3</v>
      </c>
      <c r="L4947">
        <v>1</v>
      </c>
      <c r="M4947">
        <v>2025</v>
      </c>
      <c r="N4947" t="s">
        <v>27</v>
      </c>
      <c r="O4947">
        <v>230</v>
      </c>
      <c r="P4947">
        <v>230</v>
      </c>
      <c r="R4947" s="3" t="str">
        <f>HYPERLINK("https://panda.att.com.mx/ODKServer/view/binaryData?blobKey=FSSuministroFluidosv3%5B%40version%3Dnull+and+%40uiVersion%3Dnull%5D%2Fdata%5B%40key%3Duuid%3A9f163ecb-8304-47a2-a370-94af2babd16e%5D%2FgroupInfoFuel%5B%40ordinal%3D1%5D%2FpicFuelRecibeInterno","Descargar")</f>
        <v>Descargar</v>
      </c>
    </row>
    <row r="4948" spans="1:18" x14ac:dyDescent="0.3">
      <c r="A4948">
        <v>1460418</v>
      </c>
      <c r="B4948" t="s">
        <v>18</v>
      </c>
      <c r="C4948" t="s">
        <v>150</v>
      </c>
      <c r="D4948" t="s">
        <v>230</v>
      </c>
      <c r="E4948" t="s">
        <v>1510</v>
      </c>
      <c r="F4948" t="s">
        <v>22</v>
      </c>
      <c r="G4948" t="s">
        <v>23</v>
      </c>
      <c r="H4948" t="s">
        <v>1781</v>
      </c>
      <c r="I4948" t="s">
        <v>25</v>
      </c>
      <c r="J4948" t="s">
        <v>3802</v>
      </c>
      <c r="K4948">
        <v>3</v>
      </c>
      <c r="L4948">
        <v>1</v>
      </c>
      <c r="M4948">
        <v>2025</v>
      </c>
      <c r="N4948" t="s">
        <v>27</v>
      </c>
      <c r="O4948">
        <v>300.02</v>
      </c>
      <c r="P4948">
        <v>300.02</v>
      </c>
      <c r="R4948" s="3" t="str">
        <f>HYPERLINK("https://panda.att.com.mx/ODKServer/view/binaryData?blobKey=FSSuministroFluidosv3%5B%40version%3Dnull+and+%40uiVersion%3Dnull%5D%2Fdata%5B%40key%3Duuid%3Adb8b9383-e2fb-4932-bb55-55f90ff4717b%5D%2FgroupInfoFuel%5B%40ordinal%3D1%5D%2FpicFuelRecibeInterno","Descargar")</f>
        <v>Descargar</v>
      </c>
    </row>
    <row r="4949" spans="1:18" x14ac:dyDescent="0.3">
      <c r="A4949">
        <v>1460399</v>
      </c>
      <c r="B4949" t="s">
        <v>18</v>
      </c>
      <c r="C4949" t="s">
        <v>68</v>
      </c>
      <c r="D4949" t="s">
        <v>116</v>
      </c>
      <c r="E4949" t="s">
        <v>3097</v>
      </c>
      <c r="F4949" t="s">
        <v>22</v>
      </c>
      <c r="G4949" t="s">
        <v>23</v>
      </c>
      <c r="H4949" t="s">
        <v>37</v>
      </c>
      <c r="I4949" t="s">
        <v>25</v>
      </c>
      <c r="J4949" t="s">
        <v>3803</v>
      </c>
      <c r="K4949">
        <v>2</v>
      </c>
      <c r="L4949">
        <v>1</v>
      </c>
      <c r="M4949">
        <v>2025</v>
      </c>
      <c r="N4949" t="s">
        <v>27</v>
      </c>
      <c r="O4949">
        <v>400</v>
      </c>
      <c r="P4949">
        <v>400</v>
      </c>
      <c r="R4949" s="3" t="str">
        <f>HYPERLINK("https://panda.att.com.mx/ODKServer/view/binaryData?blobKey=FSSuministroFluidosv3%5B%40version%3Dnull+and+%40uiVersion%3Dnull%5D%2Fdata%5B%40key%3Duuid%3A5bd56f84-86ee-4c8c-98cd-eb062bb608b9%5D%2FgroupInfoFuel%5B%40ordinal%3D1%5D%2FpicFuelRecibeInterno","Descargar")</f>
        <v>Descargar</v>
      </c>
    </row>
    <row r="4950" spans="1:18" x14ac:dyDescent="0.3">
      <c r="A4950">
        <v>1460183</v>
      </c>
      <c r="B4950" t="s">
        <v>18</v>
      </c>
      <c r="C4950" t="s">
        <v>100</v>
      </c>
      <c r="D4950" t="s">
        <v>716</v>
      </c>
      <c r="E4950" t="s">
        <v>717</v>
      </c>
      <c r="F4950" t="s">
        <v>22</v>
      </c>
      <c r="G4950" t="s">
        <v>83</v>
      </c>
      <c r="H4950" t="s">
        <v>1781</v>
      </c>
      <c r="I4950" t="s">
        <v>25</v>
      </c>
      <c r="J4950" t="s">
        <v>3804</v>
      </c>
      <c r="K4950">
        <v>2</v>
      </c>
      <c r="L4950">
        <v>1</v>
      </c>
      <c r="M4950">
        <v>2025</v>
      </c>
      <c r="N4950" t="s">
        <v>27</v>
      </c>
      <c r="O4950">
        <v>142</v>
      </c>
      <c r="P4950">
        <v>142</v>
      </c>
      <c r="R4950" s="3" t="str">
        <f>HYPERLINK("https://panda.att.com.mx/ODKServer/view/binaryData?blobKey=FSSuministroFluidosv3%5B%40version%3Dnull+and+%40uiVersion%3Dnull%5D%2Fdata%5B%40key%3Duuid%3Aeffb45d0-65b1-43c4-a62e-90647faf7b12%5D%2FgroupInfoFuel%5B%40ordinal%3D1%5D%2FpicFuelRecibeInterno","Descargar")</f>
        <v>Descargar</v>
      </c>
    </row>
    <row r="4951" spans="1:18" x14ac:dyDescent="0.3">
      <c r="A4951">
        <v>1460127</v>
      </c>
      <c r="B4951" t="s">
        <v>18</v>
      </c>
      <c r="C4951" t="s">
        <v>150</v>
      </c>
      <c r="D4951" t="s">
        <v>230</v>
      </c>
      <c r="E4951" t="s">
        <v>3805</v>
      </c>
      <c r="F4951" t="s">
        <v>22</v>
      </c>
      <c r="G4951" t="s">
        <v>23</v>
      </c>
      <c r="H4951" t="s">
        <v>1781</v>
      </c>
      <c r="I4951" t="s">
        <v>25</v>
      </c>
      <c r="J4951" t="s">
        <v>3806</v>
      </c>
      <c r="K4951">
        <v>2</v>
      </c>
      <c r="L4951">
        <v>1</v>
      </c>
      <c r="M4951">
        <v>2025</v>
      </c>
      <c r="N4951" t="s">
        <v>27</v>
      </c>
      <c r="O4951">
        <v>150.03</v>
      </c>
      <c r="P4951">
        <v>150.03</v>
      </c>
      <c r="R4951" s="3" t="str">
        <f>HYPERLINK("https://panda.att.com.mx/ODKServer/view/binaryData?blobKey=FSSuministroFluidosv3%5B%40version%3Dnull+and+%40uiVersion%3Dnull%5D%2Fdata%5B%40key%3Duuid%3Ad50acd52-b035-4333-8b4d-359b7c91229e%5D%2FgroupInfoFuel%5B%40ordinal%3D1%5D%2FpicFuelRecibeInterno","Descargar")</f>
        <v>Descargar</v>
      </c>
    </row>
    <row r="4952" spans="1:18" x14ac:dyDescent="0.3">
      <c r="A4952">
        <v>1460100</v>
      </c>
      <c r="B4952" t="s">
        <v>18</v>
      </c>
      <c r="C4952" t="s">
        <v>19</v>
      </c>
      <c r="D4952" t="s">
        <v>45</v>
      </c>
      <c r="E4952" t="s">
        <v>1705</v>
      </c>
      <c r="F4952" t="s">
        <v>22</v>
      </c>
      <c r="G4952" t="s">
        <v>23</v>
      </c>
      <c r="H4952" t="s">
        <v>24</v>
      </c>
      <c r="I4952" t="s">
        <v>25</v>
      </c>
      <c r="J4952" t="s">
        <v>3807</v>
      </c>
      <c r="K4952">
        <v>2</v>
      </c>
      <c r="L4952">
        <v>1</v>
      </c>
      <c r="M4952">
        <v>2025</v>
      </c>
      <c r="N4952" t="s">
        <v>27</v>
      </c>
      <c r="O4952">
        <v>350</v>
      </c>
      <c r="P4952">
        <v>350</v>
      </c>
      <c r="R4952" s="3" t="str">
        <f>HYPERLINK("https://panda.att.com.mx/ODKServer/view/binaryData?blobKey=FSSuministroFluidosv3%5B%40version%3Dnull+and+%40uiVersion%3Dnull%5D%2Fdata%5B%40key%3Duuid%3Aaf1af305-2e19-42dc-af9d-8d1d7cd06aa9%5D%2FgroupInfoFuel%5B%40ordinal%3D1%5D%2FpicFuelRecibeInterno","Descargar")</f>
        <v>Descargar</v>
      </c>
    </row>
    <row r="4953" spans="1:18" x14ac:dyDescent="0.3">
      <c r="A4953">
        <v>1460092</v>
      </c>
      <c r="B4953" t="s">
        <v>18</v>
      </c>
      <c r="C4953" t="s">
        <v>28</v>
      </c>
      <c r="D4953" t="s">
        <v>118</v>
      </c>
      <c r="E4953" t="s">
        <v>864</v>
      </c>
      <c r="F4953" t="s">
        <v>22</v>
      </c>
      <c r="G4953" t="s">
        <v>23</v>
      </c>
      <c r="H4953" t="s">
        <v>24</v>
      </c>
      <c r="I4953" t="s">
        <v>25</v>
      </c>
      <c r="J4953" t="s">
        <v>3808</v>
      </c>
      <c r="K4953">
        <v>2</v>
      </c>
      <c r="L4953">
        <v>1</v>
      </c>
      <c r="M4953">
        <v>2025</v>
      </c>
      <c r="N4953" t="s">
        <v>44</v>
      </c>
      <c r="O4953">
        <v>40</v>
      </c>
      <c r="P4953">
        <v>40</v>
      </c>
      <c r="R4953" s="3" t="str">
        <f>HYPERLINK("https://panda.att.com.mx/ODKServer/view/binaryData?blobKey=FSSuministroFluidosv3%5B%40version%3Dnull+and+%40uiVersion%3Dnull%5D%2Fdata%5B%40key%3Duuid%3Adac2af16-12c2-4ab8-86e9-b3f33c8ca55b%5D%2FgroupInfoFuel%5B%40ordinal%3D1%5D%2FpicFuelRecibeInterno","Descargar")</f>
        <v>Descargar</v>
      </c>
    </row>
    <row r="4954" spans="1:18" x14ac:dyDescent="0.3">
      <c r="A4954">
        <v>1460023</v>
      </c>
      <c r="B4954" t="s">
        <v>18</v>
      </c>
      <c r="C4954" t="s">
        <v>150</v>
      </c>
      <c r="D4954" t="s">
        <v>164</v>
      </c>
      <c r="E4954" t="s">
        <v>3809</v>
      </c>
      <c r="F4954" t="s">
        <v>22</v>
      </c>
      <c r="G4954" t="s">
        <v>23</v>
      </c>
      <c r="H4954" t="s">
        <v>1781</v>
      </c>
      <c r="I4954" t="s">
        <v>25</v>
      </c>
      <c r="J4954" t="s">
        <v>3810</v>
      </c>
      <c r="K4954">
        <v>1</v>
      </c>
      <c r="L4954">
        <v>1</v>
      </c>
      <c r="M4954">
        <v>2025</v>
      </c>
      <c r="N4954" t="s">
        <v>27</v>
      </c>
      <c r="O4954">
        <v>123.01</v>
      </c>
      <c r="P4954">
        <v>123.01</v>
      </c>
      <c r="R4954" s="3" t="str">
        <f>HYPERLINK("https://panda.att.com.mx/ODKServer/view/binaryData?blobKey=FSSuministroFluidosv3%5B%40version%3Dnull+and+%40uiVersion%3Dnull%5D%2Fdata%5B%40key%3Duuid%3A833756b0-b3d9-4a19-a830-4b81f27a870e%5D%2FgroupInfoFuel%5B%40ordinal%3D1%5D%2FpicFuelRecibeInterno","Descargar")</f>
        <v>Descargar</v>
      </c>
    </row>
    <row r="4955" spans="1:18" x14ac:dyDescent="0.3">
      <c r="A4955">
        <v>1615410</v>
      </c>
      <c r="B4955" t="s">
        <v>18</v>
      </c>
      <c r="C4955" t="s">
        <v>55</v>
      </c>
      <c r="D4955" t="s">
        <v>366</v>
      </c>
      <c r="E4955" t="s">
        <v>367</v>
      </c>
      <c r="F4955" t="s">
        <v>22</v>
      </c>
      <c r="G4955" t="s">
        <v>23</v>
      </c>
      <c r="H4955" t="s">
        <v>58</v>
      </c>
      <c r="I4955" t="s">
        <v>25</v>
      </c>
      <c r="J4955" s="2">
        <v>45909.62296296296</v>
      </c>
      <c r="K4955">
        <v>9</v>
      </c>
      <c r="L4955">
        <v>9</v>
      </c>
      <c r="M4955">
        <v>2025</v>
      </c>
      <c r="N4955" t="s">
        <v>27</v>
      </c>
      <c r="O4955">
        <v>150.05000000000001</v>
      </c>
      <c r="P4955">
        <v>150.05000000000001</v>
      </c>
      <c r="R4955" s="3" t="str">
        <f>HYPERLINK("https://panda.att.com.mx/ODKServer/view/binaryData?blobKey=FSSuministroFluidosv3%5B%40version%3Dnull+and+%40uiVersion%3Dnull%5D%2Fdata%5B%40key%3Duuid%3Af683b7d6-093d-42ed-bb6c-d2ac907c4e23%5D%2FgroupInfoFuel%5B%40ordinal%3D1%5D%2FpicFuelRecibeInterno","Descargar")</f>
        <v>Descargar</v>
      </c>
    </row>
    <row r="4956" spans="1:18" x14ac:dyDescent="0.3">
      <c r="A4956">
        <v>1621120</v>
      </c>
      <c r="B4956" t="s">
        <v>18</v>
      </c>
      <c r="C4956" t="s">
        <v>55</v>
      </c>
      <c r="D4956" t="s">
        <v>3811</v>
      </c>
      <c r="E4956" t="s">
        <v>3812</v>
      </c>
      <c r="F4956" t="s">
        <v>22</v>
      </c>
      <c r="G4956" t="s">
        <v>23</v>
      </c>
      <c r="H4956" t="s">
        <v>58</v>
      </c>
      <c r="I4956" t="s">
        <v>25</v>
      </c>
      <c r="J4956" s="2">
        <v>45918.567025462973</v>
      </c>
      <c r="K4956">
        <v>18</v>
      </c>
      <c r="L4956">
        <v>9</v>
      </c>
      <c r="M4956">
        <v>2025</v>
      </c>
      <c r="N4956" t="s">
        <v>27</v>
      </c>
      <c r="O4956">
        <v>200</v>
      </c>
      <c r="P4956">
        <v>200</v>
      </c>
      <c r="R4956" s="3" t="str">
        <f>HYPERLINK("https://panda.att.com.mx/ODKServer/view/binaryData?blobKey=FSSuministroFluidosv3%5B%40version%3Dnull+and+%40uiVersion%3Dnull%5D%2Fdata%5B%40key%3Duuid%3Addab04cf-728b-4cab-be1e-5ae297ae2836%5D%2FgroupInfoFuel%5B%40ordinal%3D1%5D%2FpicFuelRecibeInterno","Descargar")</f>
        <v>Descargar</v>
      </c>
    </row>
    <row r="4957" spans="1:18" x14ac:dyDescent="0.3">
      <c r="A4957">
        <v>1585422</v>
      </c>
      <c r="B4957" t="s">
        <v>18</v>
      </c>
      <c r="C4957" t="s">
        <v>100</v>
      </c>
      <c r="D4957" t="s">
        <v>854</v>
      </c>
      <c r="E4957" t="s">
        <v>993</v>
      </c>
      <c r="F4957" t="s">
        <v>22</v>
      </c>
      <c r="G4957" t="s">
        <v>83</v>
      </c>
      <c r="H4957" t="s">
        <v>58</v>
      </c>
      <c r="I4957" t="s">
        <v>25</v>
      </c>
      <c r="J4957" s="2">
        <v>45864.444502314807</v>
      </c>
      <c r="K4957">
        <v>26</v>
      </c>
      <c r="L4957">
        <v>7</v>
      </c>
      <c r="M4957">
        <v>2025</v>
      </c>
      <c r="N4957" t="s">
        <v>27</v>
      </c>
      <c r="O4957">
        <v>200</v>
      </c>
      <c r="P4957">
        <v>200</v>
      </c>
      <c r="R4957" s="3" t="str">
        <f>HYPERLINK("https://panda.att.com.mx/ODKServer/view/binaryData?blobKey=FSSuministroFluidosv3%5B%40version%3Dnull+and+%40uiVersion%3Dnull%5D%2Fdata%5B%40key%3Duuid%3A4b82634c-4a88-482a-b05b-2fd5d5c06871%5D%2FgroupInfoFuel%5B%40ordinal%3D1%5D%2FpicFuelRecibeInterno","Descargar")</f>
        <v>Descargar</v>
      </c>
    </row>
    <row r="4958" spans="1:18" x14ac:dyDescent="0.3">
      <c r="A4958">
        <v>1603296</v>
      </c>
      <c r="B4958" t="s">
        <v>18</v>
      </c>
      <c r="C4958" t="s">
        <v>100</v>
      </c>
      <c r="D4958" t="s">
        <v>651</v>
      </c>
      <c r="E4958" t="s">
        <v>750</v>
      </c>
      <c r="F4958" t="s">
        <v>22</v>
      </c>
      <c r="G4958" t="s">
        <v>83</v>
      </c>
      <c r="H4958" t="s">
        <v>58</v>
      </c>
      <c r="I4958" t="s">
        <v>25</v>
      </c>
      <c r="J4958" t="s">
        <v>3813</v>
      </c>
      <c r="K4958">
        <v>23</v>
      </c>
      <c r="L4958">
        <v>8</v>
      </c>
      <c r="M4958">
        <v>2025</v>
      </c>
      <c r="N4958" t="s">
        <v>27</v>
      </c>
      <c r="O4958">
        <v>180</v>
      </c>
      <c r="P4958">
        <v>180</v>
      </c>
      <c r="R4958" s="3" t="str">
        <f>HYPERLINK("https://panda.att.com.mx/ODKServer/view/binaryData?blobKey=FSSuministroFluidosv3%5B%40version%3Dnull+and+%40uiVersion%3Dnull%5D%2Fdata%5B%40key%3Duuid%3A4d52d480-2476-47b9-b1eb-3aea92c420ea%5D%2FgroupInfoFuel%5B%40ordinal%3D1%5D%2FpicFuelRecibeInterno","Descargar")</f>
        <v>Descargar</v>
      </c>
    </row>
    <row r="4959" spans="1:18" x14ac:dyDescent="0.3">
      <c r="A4959">
        <v>1620522</v>
      </c>
      <c r="B4959" t="s">
        <v>18</v>
      </c>
      <c r="C4959" t="s">
        <v>34</v>
      </c>
      <c r="D4959" t="s">
        <v>53</v>
      </c>
      <c r="E4959" t="s">
        <v>54</v>
      </c>
      <c r="F4959" t="s">
        <v>22</v>
      </c>
      <c r="G4959" t="s">
        <v>23</v>
      </c>
      <c r="H4959" t="s">
        <v>37</v>
      </c>
      <c r="I4959" t="s">
        <v>25</v>
      </c>
      <c r="J4959" s="2">
        <v>45917.859074074076</v>
      </c>
      <c r="K4959">
        <v>17</v>
      </c>
      <c r="L4959">
        <v>9</v>
      </c>
      <c r="M4959">
        <v>2025</v>
      </c>
      <c r="N4959" t="s">
        <v>27</v>
      </c>
      <c r="O4959">
        <v>250</v>
      </c>
      <c r="Q4959">
        <v>250</v>
      </c>
      <c r="R4959" s="3" t="str">
        <f>HYPERLINK("https://panda.att.com.mx/ODKServer/view/binaryData?blobKey=FSSuministroFluidosv3%5B%40version%3Dnull+and+%40uiVersion%3Dnull%5D%2Fdata%5B%40key%3Duuid%3Abb6a48d4-6645-46b3-939f-762852859c0a%5D%2FgroupInfoFuel%5B%40ordinal%3D1%5D%2FpicFuelRecibeInterno","Descargar")</f>
        <v>Descargar</v>
      </c>
    </row>
    <row r="4960" spans="1:18" x14ac:dyDescent="0.3">
      <c r="A4960">
        <v>1618209</v>
      </c>
      <c r="B4960" t="s">
        <v>18</v>
      </c>
      <c r="C4960" t="s">
        <v>34</v>
      </c>
      <c r="D4960" t="s">
        <v>53</v>
      </c>
      <c r="E4960" t="s">
        <v>54</v>
      </c>
      <c r="F4960" t="s">
        <v>22</v>
      </c>
      <c r="G4960" t="s">
        <v>23</v>
      </c>
      <c r="H4960" t="s">
        <v>37</v>
      </c>
      <c r="I4960" t="s">
        <v>25</v>
      </c>
      <c r="J4960" s="2">
        <v>45912.706990740742</v>
      </c>
      <c r="K4960">
        <v>12</v>
      </c>
      <c r="L4960">
        <v>9</v>
      </c>
      <c r="M4960">
        <v>2025</v>
      </c>
      <c r="N4960" t="s">
        <v>27</v>
      </c>
      <c r="O4960">
        <v>400</v>
      </c>
      <c r="Q4960">
        <v>400</v>
      </c>
      <c r="R4960" s="3" t="str">
        <f>HYPERLINK("https://panda.att.com.mx/ODKServer/view/binaryData?blobKey=FSSuministroFluidosv3%5B%40version%3Dnull+and+%40uiVersion%3Dnull%5D%2Fdata%5B%40key%3Duuid%3Adb2106ce-6fc9-44dd-8592-b1948209fbec%5D%2FgroupInfoFuel%5B%40ordinal%3D1%5D%2FpicFuelRecibeInterno","Descargar")</f>
        <v>Descargar</v>
      </c>
    </row>
    <row r="4961" spans="1:18" x14ac:dyDescent="0.3">
      <c r="A4961">
        <v>1622046</v>
      </c>
      <c r="B4961" t="s">
        <v>18</v>
      </c>
      <c r="C4961" t="s">
        <v>34</v>
      </c>
      <c r="D4961" t="s">
        <v>53</v>
      </c>
      <c r="E4961" t="s">
        <v>327</v>
      </c>
      <c r="F4961" t="s">
        <v>22</v>
      </c>
      <c r="G4961" t="s">
        <v>23</v>
      </c>
      <c r="H4961" t="s">
        <v>37</v>
      </c>
      <c r="I4961" t="s">
        <v>25</v>
      </c>
      <c r="J4961" s="2">
        <v>45920.66778935185</v>
      </c>
      <c r="K4961">
        <v>20</v>
      </c>
      <c r="L4961">
        <v>9</v>
      </c>
      <c r="M4961">
        <v>2025</v>
      </c>
      <c r="N4961" t="s">
        <v>27</v>
      </c>
      <c r="O4961">
        <v>134</v>
      </c>
      <c r="P4961">
        <v>134</v>
      </c>
      <c r="R4961" s="3" t="str">
        <f>HYPERLINK("https://panda.att.com.mx/ODKServer/view/binaryData?blobKey=FSSuministroFluidosv3%5B%40version%3Dnull+and+%40uiVersion%3Dnull%5D%2Fdata%5B%40key%3Duuid%3A67ee514f-5a4b-4dc6-968c-3e7ed11e70c9%5D%2FgroupInfoFuel%5B%40ordinal%3D1%5D%2FpicFuelRecibeInterno","Descargar")</f>
        <v>Descargar</v>
      </c>
    </row>
    <row r="4962" spans="1:18" x14ac:dyDescent="0.3">
      <c r="A4962">
        <v>1621094</v>
      </c>
      <c r="B4962" t="s">
        <v>18</v>
      </c>
      <c r="C4962" t="s">
        <v>34</v>
      </c>
      <c r="D4962" t="s">
        <v>53</v>
      </c>
      <c r="E4962" t="s">
        <v>144</v>
      </c>
      <c r="F4962" t="s">
        <v>22</v>
      </c>
      <c r="G4962" t="s">
        <v>23</v>
      </c>
      <c r="H4962" t="s">
        <v>37</v>
      </c>
      <c r="I4962" t="s">
        <v>25</v>
      </c>
      <c r="J4962" s="2">
        <v>45918.777592592603</v>
      </c>
      <c r="K4962">
        <v>18</v>
      </c>
      <c r="L4962">
        <v>9</v>
      </c>
      <c r="M4962">
        <v>2025</v>
      </c>
      <c r="N4962" t="s">
        <v>27</v>
      </c>
      <c r="O4962">
        <v>300</v>
      </c>
      <c r="P4962">
        <v>300</v>
      </c>
      <c r="R4962" s="3" t="str">
        <f>HYPERLINK("https://panda.att.com.mx/ODKServer/view/binaryData?blobKey=FSSuministroFluidosv3%5B%40version%3Dnull+and+%40uiVersion%3Dnull%5D%2Fdata%5B%40key%3Duuid%3A47eed67e-bc1c-4c30-90a1-fb8f240b1932%5D%2FgroupInfoFuel%5B%40ordinal%3D1%5D%2FpicFuelRecibeInterno","Descargar")</f>
        <v>Descargar</v>
      </c>
    </row>
    <row r="4963" spans="1:18" x14ac:dyDescent="0.3">
      <c r="A4963">
        <v>1618446</v>
      </c>
      <c r="B4963" t="s">
        <v>18</v>
      </c>
      <c r="C4963" t="s">
        <v>34</v>
      </c>
      <c r="D4963" t="s">
        <v>53</v>
      </c>
      <c r="E4963" t="s">
        <v>327</v>
      </c>
      <c r="F4963" t="s">
        <v>22</v>
      </c>
      <c r="G4963" t="s">
        <v>23</v>
      </c>
      <c r="H4963" t="s">
        <v>37</v>
      </c>
      <c r="I4963" t="s">
        <v>25</v>
      </c>
      <c r="J4963" s="2">
        <v>45913.360798611109</v>
      </c>
      <c r="K4963">
        <v>13</v>
      </c>
      <c r="L4963">
        <v>9</v>
      </c>
      <c r="M4963">
        <v>2025</v>
      </c>
      <c r="N4963" t="s">
        <v>27</v>
      </c>
      <c r="O4963">
        <v>400</v>
      </c>
      <c r="P4963">
        <v>400</v>
      </c>
      <c r="R4963" s="3" t="str">
        <f>HYPERLINK("https://panda.att.com.mx/ODKServer/view/binaryData?blobKey=FSSuministroFluidosv3%5B%40version%3Dnull+and+%40uiVersion%3Dnull%5D%2Fdata%5B%40key%3Duuid%3A59d65b73-0382-4dcf-896a-d18548732bdf%5D%2FgroupInfoFuel%5B%40ordinal%3D1%5D%2FpicFuelRecibeInterno","Descargar")</f>
        <v>Descargar</v>
      </c>
    </row>
    <row r="4964" spans="1:18" x14ac:dyDescent="0.3">
      <c r="A4964">
        <v>1621036</v>
      </c>
      <c r="B4964" t="s">
        <v>18</v>
      </c>
      <c r="C4964" t="s">
        <v>34</v>
      </c>
      <c r="D4964" t="s">
        <v>53</v>
      </c>
      <c r="E4964" t="s">
        <v>491</v>
      </c>
      <c r="F4964" t="s">
        <v>22</v>
      </c>
      <c r="G4964" t="s">
        <v>23</v>
      </c>
      <c r="H4964" t="s">
        <v>37</v>
      </c>
      <c r="I4964" t="s">
        <v>25</v>
      </c>
      <c r="J4964" s="2">
        <v>45918.435682870368</v>
      </c>
      <c r="K4964">
        <v>18</v>
      </c>
      <c r="L4964">
        <v>9</v>
      </c>
      <c r="M4964">
        <v>2025</v>
      </c>
      <c r="N4964" t="s">
        <v>27</v>
      </c>
      <c r="O4964">
        <v>300</v>
      </c>
      <c r="Q4964">
        <v>300</v>
      </c>
      <c r="R4964" s="3" t="str">
        <f>HYPERLINK("https://panda.att.com.mx/ODKServer/view/binaryData?blobKey=FSSuministroFluidosv3%5B%40version%3Dnull+and+%40uiVersion%3Dnull%5D%2Fdata%5B%40key%3Duuid%3A9cf44eff-24cc-4a88-a238-3843ab6c7538%5D%2FgroupInfoFuel%5B%40ordinal%3D1%5D%2FpicFuelRecibeInterno","Descargar")</f>
        <v>Descargar</v>
      </c>
    </row>
    <row r="4965" spans="1:18" x14ac:dyDescent="0.3">
      <c r="A4965">
        <v>1621159</v>
      </c>
      <c r="B4965" t="s">
        <v>18</v>
      </c>
      <c r="C4965" t="s">
        <v>19</v>
      </c>
      <c r="D4965" t="s">
        <v>45</v>
      </c>
      <c r="E4965" t="s">
        <v>752</v>
      </c>
      <c r="F4965" t="s">
        <v>22</v>
      </c>
      <c r="G4965" t="s">
        <v>23</v>
      </c>
      <c r="H4965" t="s">
        <v>24</v>
      </c>
      <c r="I4965" t="s">
        <v>25</v>
      </c>
      <c r="J4965" s="2">
        <v>45903.543217592603</v>
      </c>
      <c r="K4965">
        <v>3</v>
      </c>
      <c r="L4965">
        <v>9</v>
      </c>
      <c r="M4965">
        <v>2025</v>
      </c>
      <c r="N4965" t="s">
        <v>27</v>
      </c>
      <c r="O4965">
        <v>400</v>
      </c>
      <c r="P4965">
        <v>400</v>
      </c>
      <c r="R4965" s="3" t="str">
        <f>HYPERLINK("https://panda.att.com.mx/ODKServer/view/binaryData?blobKey=FSSuministroFluidosv3%5B%40version%3Dnull+and+%40uiVersion%3Dnull%5D%2Fdata%5B%40key%3Duuid%3A850a7964-611a-4f6e-86d6-88829ece10b3%5D%2FgroupInfoFuel%5B%40ordinal%3D1%5D%2FpicFuelRecibeInterno","Descargar")</f>
        <v>Descargar</v>
      </c>
    </row>
    <row r="4966" spans="1:18" x14ac:dyDescent="0.3">
      <c r="A4966">
        <v>1621160</v>
      </c>
      <c r="B4966" t="s">
        <v>18</v>
      </c>
      <c r="C4966" t="s">
        <v>19</v>
      </c>
      <c r="D4966" t="s">
        <v>45</v>
      </c>
      <c r="E4966" t="s">
        <v>2246</v>
      </c>
      <c r="F4966" t="s">
        <v>22</v>
      </c>
      <c r="G4966" t="s">
        <v>23</v>
      </c>
      <c r="H4966" t="s">
        <v>24</v>
      </c>
      <c r="I4966" t="s">
        <v>25</v>
      </c>
      <c r="J4966" s="2">
        <v>45902.460798611108</v>
      </c>
      <c r="K4966">
        <v>2</v>
      </c>
      <c r="L4966">
        <v>9</v>
      </c>
      <c r="M4966">
        <v>2025</v>
      </c>
      <c r="N4966" t="s">
        <v>27</v>
      </c>
      <c r="O4966">
        <v>100</v>
      </c>
      <c r="P4966">
        <v>100</v>
      </c>
      <c r="R4966" s="3" t="str">
        <f>HYPERLINK("https://panda.att.com.mx/ODKServer/view/binaryData?blobKey=FSSuministroFluidosv3%5B%40version%3Dnull+and+%40uiVersion%3Dnull%5D%2Fdata%5B%40key%3Duuid%3A12a2bad5-ce27-4508-9e2c-b90e83288894%5D%2FgroupInfoFuel%5B%40ordinal%3D1%5D%2FpicFuelRecibeInterno","Descargar")</f>
        <v>Descargar</v>
      </c>
    </row>
    <row r="4967" spans="1:18" x14ac:dyDescent="0.3">
      <c r="A4967">
        <v>1622632</v>
      </c>
      <c r="B4967" t="s">
        <v>18</v>
      </c>
      <c r="C4967" t="s">
        <v>19</v>
      </c>
      <c r="D4967" t="s">
        <v>347</v>
      </c>
      <c r="E4967" t="s">
        <v>1679</v>
      </c>
      <c r="F4967" t="s">
        <v>22</v>
      </c>
      <c r="G4967" t="s">
        <v>23</v>
      </c>
      <c r="H4967" t="s">
        <v>24</v>
      </c>
      <c r="I4967" t="s">
        <v>25</v>
      </c>
      <c r="J4967" s="2">
        <v>45902.48951388889</v>
      </c>
      <c r="K4967">
        <v>2</v>
      </c>
      <c r="L4967">
        <v>9</v>
      </c>
      <c r="M4967">
        <v>2025</v>
      </c>
      <c r="N4967" t="s">
        <v>44</v>
      </c>
      <c r="O4967">
        <v>50</v>
      </c>
      <c r="P4967">
        <v>50</v>
      </c>
      <c r="R4967" s="3" t="str">
        <f>HYPERLINK("https://panda.att.com.mx/ODKServer/view/binaryData?blobKey=FSSuministroFluidosv3%5B%40version%3Dnull+and+%40uiVersion%3Dnull%5D%2Fdata%5B%40key%3Duuid%3A13aa6fb1-c496-41fa-ae37-f69bb1d53634%5D%2FgroupInfoFuel%5B%40ordinal%3D1%5D%2FpicFuelRecibeInterno","Descargar")</f>
        <v>Descargar</v>
      </c>
    </row>
    <row r="4968" spans="1:18" x14ac:dyDescent="0.3">
      <c r="A4968">
        <v>1622711</v>
      </c>
      <c r="B4968" t="s">
        <v>18</v>
      </c>
      <c r="C4968" t="s">
        <v>19</v>
      </c>
      <c r="D4968" t="s">
        <v>347</v>
      </c>
      <c r="E4968" t="s">
        <v>3094</v>
      </c>
      <c r="F4968" t="s">
        <v>22</v>
      </c>
      <c r="G4968" t="s">
        <v>23</v>
      </c>
      <c r="H4968" t="s">
        <v>24</v>
      </c>
      <c r="I4968" t="s">
        <v>25</v>
      </c>
      <c r="J4968" s="2">
        <v>45904.526180555556</v>
      </c>
      <c r="K4968">
        <v>4</v>
      </c>
      <c r="L4968">
        <v>9</v>
      </c>
      <c r="M4968">
        <v>2025</v>
      </c>
      <c r="N4968" t="s">
        <v>27</v>
      </c>
      <c r="O4968">
        <v>250</v>
      </c>
      <c r="P4968">
        <v>250</v>
      </c>
      <c r="R4968" s="3" t="str">
        <f>HYPERLINK("https://panda.att.com.mx/ODKServer/view/binaryData?blobKey=FSSuministroFluidosv3%5B%40version%3Dnull+and+%40uiVersion%3Dnull%5D%2Fdata%5B%40key%3Duuid%3A74a7bd71-9d2b-448f-95e2-205cbcb9191a%5D%2FgroupInfoFuel%5B%40ordinal%3D1%5D%2FpicFuelRecibeInterno","Descargar")</f>
        <v>Descargar</v>
      </c>
    </row>
    <row r="4969" spans="1:18" x14ac:dyDescent="0.3">
      <c r="A4969">
        <v>1623437</v>
      </c>
      <c r="B4969" t="s">
        <v>18</v>
      </c>
      <c r="C4969" t="s">
        <v>19</v>
      </c>
      <c r="D4969" t="s">
        <v>347</v>
      </c>
      <c r="E4969" t="s">
        <v>353</v>
      </c>
      <c r="F4969" t="s">
        <v>22</v>
      </c>
      <c r="G4969" t="s">
        <v>23</v>
      </c>
      <c r="H4969" t="s">
        <v>24</v>
      </c>
      <c r="I4969" t="s">
        <v>25</v>
      </c>
      <c r="J4969" s="2">
        <v>45917.198645833327</v>
      </c>
      <c r="K4969">
        <v>17</v>
      </c>
      <c r="L4969">
        <v>9</v>
      </c>
      <c r="M4969">
        <v>2025</v>
      </c>
      <c r="N4969" t="s">
        <v>27</v>
      </c>
      <c r="O4969">
        <v>150</v>
      </c>
      <c r="P4969">
        <v>150</v>
      </c>
      <c r="R4969" s="3" t="str">
        <f>HYPERLINK("https://panda.att.com.mx/ODKServer/view/binaryData?blobKey=FSSuministroFluidosv3%5B%40version%3Dnull+and+%40uiVersion%3Dnull%5D%2Fdata%5B%40key%3Duuid%3A28e066b1-7ee3-4a73-9949-ce1613bb213a%5D%2FgroupInfoFuel%5B%40ordinal%3D1%5D%2FpicFuelRecibeInterno","Descargar")</f>
        <v>Descargar</v>
      </c>
    </row>
    <row r="4970" spans="1:18" x14ac:dyDescent="0.3">
      <c r="A4970">
        <v>1623426</v>
      </c>
      <c r="B4970" t="s">
        <v>18</v>
      </c>
      <c r="C4970" t="s">
        <v>19</v>
      </c>
      <c r="D4970" t="s">
        <v>347</v>
      </c>
      <c r="E4970" t="s">
        <v>353</v>
      </c>
      <c r="F4970" t="s">
        <v>22</v>
      </c>
      <c r="G4970" t="s">
        <v>23</v>
      </c>
      <c r="H4970" t="s">
        <v>24</v>
      </c>
      <c r="I4970" t="s">
        <v>25</v>
      </c>
      <c r="J4970" s="2">
        <v>45914.387638888889</v>
      </c>
      <c r="K4970">
        <v>14</v>
      </c>
      <c r="L4970">
        <v>9</v>
      </c>
      <c r="M4970">
        <v>2025</v>
      </c>
      <c r="N4970" t="s">
        <v>27</v>
      </c>
      <c r="O4970">
        <v>150</v>
      </c>
      <c r="P4970">
        <v>150</v>
      </c>
      <c r="R4970" s="3" t="str">
        <f>HYPERLINK("https://panda.att.com.mx/ODKServer/view/binaryData?blobKey=FSSuministroFluidosv3%5B%40version%3Dnull+and+%40uiVersion%3Dnull%5D%2Fdata%5B%40key%3Duuid%3A25cec34e-d883-40d3-b56b-83a2d7bfedad%5D%2FgroupInfoFuel%5B%40ordinal%3D1%5D%2FpicFuelRecibeInterno","Descargar")</f>
        <v>Descargar</v>
      </c>
    </row>
    <row r="4971" spans="1:18" x14ac:dyDescent="0.3">
      <c r="A4971">
        <v>1623053</v>
      </c>
      <c r="B4971" t="s">
        <v>18</v>
      </c>
      <c r="C4971" t="s">
        <v>19</v>
      </c>
      <c r="D4971" t="s">
        <v>347</v>
      </c>
      <c r="E4971" t="s">
        <v>353</v>
      </c>
      <c r="F4971" t="s">
        <v>22</v>
      </c>
      <c r="G4971" t="s">
        <v>23</v>
      </c>
      <c r="H4971" t="s">
        <v>24</v>
      </c>
      <c r="I4971" t="s">
        <v>25</v>
      </c>
      <c r="J4971" s="2">
        <v>45909.582384259258</v>
      </c>
      <c r="K4971">
        <v>9</v>
      </c>
      <c r="L4971">
        <v>9</v>
      </c>
      <c r="M4971">
        <v>2025</v>
      </c>
      <c r="N4971" t="s">
        <v>27</v>
      </c>
      <c r="O4971">
        <v>150</v>
      </c>
      <c r="P4971">
        <v>150</v>
      </c>
      <c r="R4971" s="3" t="str">
        <f>HYPERLINK("https://panda.att.com.mx/ODKServer/view/binaryData?blobKey=FSSuministroFluidosv3%5B%40version%3Dnull+and+%40uiVersion%3Dnull%5D%2Fdata%5B%40key%3Duuid%3A93bf8ba0-fb22-4a2b-9b66-70f2aa682bcd%5D%2FgroupInfoFuel%5B%40ordinal%3D1%5D%2FpicFuelRecibeInterno","Descargar")</f>
        <v>Descargar</v>
      </c>
    </row>
    <row r="4972" spans="1:18" x14ac:dyDescent="0.3">
      <c r="A4972">
        <v>1621164</v>
      </c>
      <c r="B4972" t="s">
        <v>18</v>
      </c>
      <c r="C4972" t="s">
        <v>19</v>
      </c>
      <c r="D4972" t="s">
        <v>45</v>
      </c>
      <c r="E4972" t="s">
        <v>752</v>
      </c>
      <c r="F4972" t="s">
        <v>22</v>
      </c>
      <c r="G4972" t="s">
        <v>23</v>
      </c>
      <c r="H4972" t="s">
        <v>24</v>
      </c>
      <c r="I4972" t="s">
        <v>25</v>
      </c>
      <c r="J4972" s="2">
        <v>45917.447453703702</v>
      </c>
      <c r="K4972">
        <v>17</v>
      </c>
      <c r="L4972">
        <v>9</v>
      </c>
      <c r="M4972">
        <v>2025</v>
      </c>
      <c r="N4972" t="s">
        <v>27</v>
      </c>
      <c r="O4972">
        <v>400</v>
      </c>
      <c r="P4972">
        <v>400</v>
      </c>
      <c r="R4972" s="3" t="str">
        <f>HYPERLINK("https://panda.att.com.mx/ODKServer/view/binaryData?blobKey=FSSuministroFluidosv3%5B%40version%3Dnull+and+%40uiVersion%3Dnull%5D%2Fdata%5B%40key%3Duuid%3A894d7763-3385-49bb-8a73-65dae7c0192d%5D%2FgroupInfoFuel%5B%40ordinal%3D1%5D%2FpicFuelRecibeInterno","Descargar")</f>
        <v>Descargar</v>
      </c>
    </row>
    <row r="4973" spans="1:18" x14ac:dyDescent="0.3">
      <c r="A4973">
        <v>1623123</v>
      </c>
      <c r="B4973" t="s">
        <v>18</v>
      </c>
      <c r="C4973" t="s">
        <v>19</v>
      </c>
      <c r="D4973" t="s">
        <v>45</v>
      </c>
      <c r="E4973" t="s">
        <v>374</v>
      </c>
      <c r="F4973" t="s">
        <v>22</v>
      </c>
      <c r="G4973" t="s">
        <v>23</v>
      </c>
      <c r="H4973" t="s">
        <v>24</v>
      </c>
      <c r="I4973" t="s">
        <v>25</v>
      </c>
      <c r="J4973" s="2">
        <v>45912.440752314818</v>
      </c>
      <c r="K4973">
        <v>12</v>
      </c>
      <c r="L4973">
        <v>9</v>
      </c>
      <c r="M4973">
        <v>2025</v>
      </c>
      <c r="N4973" t="s">
        <v>27</v>
      </c>
      <c r="O4973">
        <v>250</v>
      </c>
      <c r="P4973">
        <v>250</v>
      </c>
      <c r="R4973" s="3" t="str">
        <f>HYPERLINK("https://panda.att.com.mx/ODKServer/view/binaryData?blobKey=FSSuministroFluidosv3%5B%40version%3Dnull+and+%40uiVersion%3Dnull%5D%2Fdata%5B%40key%3Duuid%3A43de8eeb-5c87-4ce1-909d-a87e77d38e52%5D%2FgroupInfoFuel%5B%40ordinal%3D1%5D%2FpicFuelRecibeInterno","Descargar")</f>
        <v>Descargar</v>
      </c>
    </row>
    <row r="4974" spans="1:18" x14ac:dyDescent="0.3">
      <c r="A4974">
        <v>1622130</v>
      </c>
      <c r="B4974" t="s">
        <v>18</v>
      </c>
      <c r="C4974" t="s">
        <v>19</v>
      </c>
      <c r="D4974" t="s">
        <v>20</v>
      </c>
      <c r="E4974" t="s">
        <v>166</v>
      </c>
      <c r="F4974" t="s">
        <v>22</v>
      </c>
      <c r="G4974" t="s">
        <v>23</v>
      </c>
      <c r="H4974" t="s">
        <v>24</v>
      </c>
      <c r="I4974" t="s">
        <v>25</v>
      </c>
      <c r="J4974" s="2">
        <v>45907.227071759262</v>
      </c>
      <c r="K4974">
        <v>7</v>
      </c>
      <c r="L4974">
        <v>9</v>
      </c>
      <c r="M4974">
        <v>2025</v>
      </c>
      <c r="N4974" t="s">
        <v>44</v>
      </c>
      <c r="O4974">
        <v>40</v>
      </c>
      <c r="P4974">
        <v>40</v>
      </c>
      <c r="R4974" s="3" t="str">
        <f>HYPERLINK("https://panda.att.com.mx/ODKServer/view/binaryData?blobKey=FSSuministroFluidosv3%5B%40version%3Dnull+and+%40uiVersion%3Dnull%5D%2Fdata%5B%40key%3Duuid%3A62bc9896-297d-4a2e-8f23-ab2f4f54992e%5D%2FgroupInfoFuel%5B%40ordinal%3D1%5D%2FpicFuelRecibeInterno","Descargar")</f>
        <v>Descargar</v>
      </c>
    </row>
    <row r="4975" spans="1:18" x14ac:dyDescent="0.3">
      <c r="A4975">
        <v>1623047</v>
      </c>
      <c r="B4975" t="s">
        <v>18</v>
      </c>
      <c r="C4975" t="s">
        <v>19</v>
      </c>
      <c r="D4975" t="s">
        <v>347</v>
      </c>
      <c r="E4975" t="s">
        <v>353</v>
      </c>
      <c r="F4975" t="s">
        <v>22</v>
      </c>
      <c r="G4975" t="s">
        <v>23</v>
      </c>
      <c r="H4975" t="s">
        <v>24</v>
      </c>
      <c r="I4975" t="s">
        <v>25</v>
      </c>
      <c r="J4975" s="2">
        <v>45908.395543981482</v>
      </c>
      <c r="K4975">
        <v>8</v>
      </c>
      <c r="L4975">
        <v>9</v>
      </c>
      <c r="M4975">
        <v>2025</v>
      </c>
      <c r="N4975" t="s">
        <v>27</v>
      </c>
      <c r="O4975">
        <v>300</v>
      </c>
      <c r="P4975">
        <v>300</v>
      </c>
      <c r="R4975" s="3" t="str">
        <f>HYPERLINK("https://panda.att.com.mx/ODKServer/view/binaryData?blobKey=FSSuministroFluidosv3%5B%40version%3Dnull+and+%40uiVersion%3Dnull%5D%2Fdata%5B%40key%3Duuid%3Aab290bac-0fb3-4fb8-aec0-ae1a4bfbf838%5D%2FgroupInfoFuel%5B%40ordinal%3D1%5D%2FpicFuelRecibeInterno","Descargar")</f>
        <v>Descargar</v>
      </c>
    </row>
    <row r="4976" spans="1:18" x14ac:dyDescent="0.3">
      <c r="A4976">
        <v>1622689</v>
      </c>
      <c r="B4976" t="s">
        <v>18</v>
      </c>
      <c r="C4976" t="s">
        <v>19</v>
      </c>
      <c r="D4976" t="s">
        <v>347</v>
      </c>
      <c r="E4976" t="s">
        <v>353</v>
      </c>
      <c r="F4976" t="s">
        <v>22</v>
      </c>
      <c r="G4976" t="s">
        <v>23</v>
      </c>
      <c r="H4976" t="s">
        <v>24</v>
      </c>
      <c r="I4976" t="s">
        <v>25</v>
      </c>
      <c r="J4976" s="2">
        <v>45903.637291666673</v>
      </c>
      <c r="K4976">
        <v>3</v>
      </c>
      <c r="L4976">
        <v>9</v>
      </c>
      <c r="M4976">
        <v>2025</v>
      </c>
      <c r="N4976" t="s">
        <v>27</v>
      </c>
      <c r="O4976">
        <v>300</v>
      </c>
      <c r="P4976">
        <v>300</v>
      </c>
      <c r="R4976" s="3" t="str">
        <f>HYPERLINK("https://panda.att.com.mx/ODKServer/view/binaryData?blobKey=FSSuministroFluidosv3%5B%40version%3Dnull+and+%40uiVersion%3Dnull%5D%2Fdata%5B%40key%3Duuid%3A10130798-26d3-4b2a-b30c-ab40c523f0d3%5D%2FgroupInfoFuel%5B%40ordinal%3D1%5D%2FpicFuelRecibeInterno","Descargar")</f>
        <v>Descargar</v>
      </c>
    </row>
    <row r="4977" spans="1:18" x14ac:dyDescent="0.3">
      <c r="A4977">
        <v>1623124</v>
      </c>
      <c r="B4977" t="s">
        <v>18</v>
      </c>
      <c r="C4977" t="s">
        <v>19</v>
      </c>
      <c r="D4977" t="s">
        <v>45</v>
      </c>
      <c r="E4977" t="s">
        <v>374</v>
      </c>
      <c r="F4977" t="s">
        <v>22</v>
      </c>
      <c r="G4977" t="s">
        <v>23</v>
      </c>
      <c r="H4977" t="s">
        <v>24</v>
      </c>
      <c r="I4977" t="s">
        <v>25</v>
      </c>
      <c r="J4977" s="2">
        <v>45919.505208333343</v>
      </c>
      <c r="K4977">
        <v>19</v>
      </c>
      <c r="L4977">
        <v>9</v>
      </c>
      <c r="M4977">
        <v>2025</v>
      </c>
      <c r="N4977" t="s">
        <v>27</v>
      </c>
      <c r="O4977">
        <v>350</v>
      </c>
      <c r="P4977">
        <v>350</v>
      </c>
      <c r="R4977" s="3" t="str">
        <f>HYPERLINK("https://panda.att.com.mx/ODKServer/view/binaryData?blobKey=FSSuministroFluidosv3%5B%40version%3Dnull+and+%40uiVersion%3Dnull%5D%2Fdata%5B%40key%3Duuid%3Ae535b0c4-0392-4494-8921-80cc4608a106%5D%2FgroupInfoFuel%5B%40ordinal%3D1%5D%2FpicFuelRecibeInterno","Descargar")</f>
        <v>Descargar</v>
      </c>
    </row>
    <row r="4978" spans="1:18" x14ac:dyDescent="0.3">
      <c r="A4978">
        <v>1621712</v>
      </c>
      <c r="B4978" t="s">
        <v>18</v>
      </c>
      <c r="C4978" t="s">
        <v>19</v>
      </c>
      <c r="D4978" t="s">
        <v>45</v>
      </c>
      <c r="E4978" t="s">
        <v>752</v>
      </c>
      <c r="F4978" t="s">
        <v>22</v>
      </c>
      <c r="G4978" t="s">
        <v>23</v>
      </c>
      <c r="H4978" t="s">
        <v>24</v>
      </c>
      <c r="I4978" t="s">
        <v>25</v>
      </c>
      <c r="J4978" s="2">
        <v>45908.643530092602</v>
      </c>
      <c r="K4978">
        <v>8</v>
      </c>
      <c r="L4978">
        <v>9</v>
      </c>
      <c r="M4978">
        <v>2025</v>
      </c>
      <c r="N4978" t="s">
        <v>27</v>
      </c>
      <c r="O4978">
        <v>400</v>
      </c>
      <c r="P4978">
        <v>400</v>
      </c>
      <c r="R4978" s="3" t="str">
        <f>HYPERLINK("https://panda.att.com.mx/ODKServer/view/binaryData?blobKey=FSSuministroFluidosv3%5B%40version%3Dnull+and+%40uiVersion%3Dnull%5D%2Fdata%5B%40key%3Duuid%3Ae1275b02-5770-4d8b-8391-66527407d893%5D%2FgroupInfoFuel%5B%40ordinal%3D1%5D%2FpicFuelRecibeInterno","Descargar")</f>
        <v>Descargar</v>
      </c>
    </row>
    <row r="4979" spans="1:18" x14ac:dyDescent="0.3">
      <c r="A4979">
        <v>1622748</v>
      </c>
      <c r="B4979" t="s">
        <v>18</v>
      </c>
      <c r="C4979" t="s">
        <v>19</v>
      </c>
      <c r="D4979" t="s">
        <v>347</v>
      </c>
      <c r="E4979" t="s">
        <v>353</v>
      </c>
      <c r="F4979" t="s">
        <v>22</v>
      </c>
      <c r="G4979" t="s">
        <v>23</v>
      </c>
      <c r="H4979" t="s">
        <v>24</v>
      </c>
      <c r="I4979" t="s">
        <v>25</v>
      </c>
      <c r="J4979" s="2">
        <v>45904.643761574072</v>
      </c>
      <c r="K4979">
        <v>4</v>
      </c>
      <c r="L4979">
        <v>9</v>
      </c>
      <c r="M4979">
        <v>2025</v>
      </c>
      <c r="N4979" t="s">
        <v>27</v>
      </c>
      <c r="O4979">
        <v>200</v>
      </c>
      <c r="P4979">
        <v>200</v>
      </c>
      <c r="R4979" s="3" t="str">
        <f>HYPERLINK("https://panda.att.com.mx/ODKServer/view/binaryData?blobKey=FSSuministroFluidosv3%5B%40version%3Dnull+and+%40uiVersion%3Dnull%5D%2Fdata%5B%40key%3Duuid%3A96f3fead-3e9f-465b-9e92-964661f0f375%5D%2FgroupInfoFuel%5B%40ordinal%3D1%5D%2FpicFuelRecibeInterno","Descargar")</f>
        <v>Descargar</v>
      </c>
    </row>
    <row r="4980" spans="1:18" x14ac:dyDescent="0.3">
      <c r="A4980">
        <v>1623078</v>
      </c>
      <c r="B4980" t="s">
        <v>18</v>
      </c>
      <c r="C4980" t="s">
        <v>19</v>
      </c>
      <c r="D4980" t="s">
        <v>347</v>
      </c>
      <c r="E4980" t="s">
        <v>353</v>
      </c>
      <c r="F4980" t="s">
        <v>22</v>
      </c>
      <c r="G4980" t="s">
        <v>23</v>
      </c>
      <c r="H4980" t="s">
        <v>24</v>
      </c>
      <c r="I4980" t="s">
        <v>25</v>
      </c>
      <c r="J4980" s="2">
        <v>45915.746388888889</v>
      </c>
      <c r="K4980">
        <v>15</v>
      </c>
      <c r="L4980">
        <v>9</v>
      </c>
      <c r="M4980">
        <v>2025</v>
      </c>
      <c r="N4980" t="s">
        <v>27</v>
      </c>
      <c r="O4980">
        <v>100</v>
      </c>
      <c r="P4980">
        <v>100</v>
      </c>
      <c r="R4980" s="3" t="str">
        <f>HYPERLINK("https://panda.att.com.mx/ODKServer/view/binaryData?blobKey=FSSuministroFluidosv3%5B%40version%3Dnull+and+%40uiVersion%3Dnull%5D%2Fdata%5B%40key%3Duuid%3A75b3a8b6-8a05-47dc-9111-a678219a5583%5D%2FgroupInfoFuel%5B%40ordinal%3D1%5D%2FpicFuelRecibeInterno","Descargar")</f>
        <v>Descargar</v>
      </c>
    </row>
    <row r="4981" spans="1:18" x14ac:dyDescent="0.3">
      <c r="A4981">
        <v>1621161</v>
      </c>
      <c r="B4981" t="s">
        <v>18</v>
      </c>
      <c r="C4981" t="s">
        <v>19</v>
      </c>
      <c r="D4981" t="s">
        <v>45</v>
      </c>
      <c r="E4981" t="s">
        <v>752</v>
      </c>
      <c r="F4981" t="s">
        <v>22</v>
      </c>
      <c r="G4981" t="s">
        <v>23</v>
      </c>
      <c r="H4981" t="s">
        <v>24</v>
      </c>
      <c r="I4981" t="s">
        <v>25</v>
      </c>
      <c r="J4981" t="s">
        <v>3814</v>
      </c>
      <c r="K4981">
        <v>26</v>
      </c>
      <c r="L4981">
        <v>8</v>
      </c>
      <c r="M4981">
        <v>2025</v>
      </c>
      <c r="N4981" t="s">
        <v>27</v>
      </c>
      <c r="O4981">
        <v>400</v>
      </c>
      <c r="P4981">
        <v>400</v>
      </c>
      <c r="R4981" s="3" t="str">
        <f>HYPERLINK("https://panda.att.com.mx/ODKServer/view/binaryData?blobKey=FSSuministroFluidosv3%5B%40version%3Dnull+and+%40uiVersion%3Dnull%5D%2Fdata%5B%40key%3Duuid%3Aee6ce4eb-8500-4955-b8b2-4b93ef122467%5D%2FgroupInfoFuel%5B%40ordinal%3D1%5D%2FpicFuelRecibeInterno","Descargar")</f>
        <v>Descargar</v>
      </c>
    </row>
    <row r="4982" spans="1:18" x14ac:dyDescent="0.3">
      <c r="A4982">
        <v>1599787</v>
      </c>
      <c r="B4982" t="s">
        <v>18</v>
      </c>
      <c r="C4982" t="s">
        <v>19</v>
      </c>
      <c r="D4982" t="s">
        <v>347</v>
      </c>
      <c r="E4982" t="s">
        <v>353</v>
      </c>
      <c r="F4982" t="s">
        <v>22</v>
      </c>
      <c r="G4982" t="s">
        <v>23</v>
      </c>
      <c r="H4982" t="s">
        <v>24</v>
      </c>
      <c r="I4982" t="s">
        <v>25</v>
      </c>
      <c r="J4982" t="s">
        <v>3815</v>
      </c>
      <c r="K4982">
        <v>8</v>
      </c>
      <c r="L4982">
        <v>8</v>
      </c>
      <c r="M4982">
        <v>2025</v>
      </c>
      <c r="N4982" t="s">
        <v>27</v>
      </c>
      <c r="O4982">
        <v>300</v>
      </c>
      <c r="P4982">
        <v>300</v>
      </c>
      <c r="R4982" s="3" t="str">
        <f>HYPERLINK("https://panda.att.com.mx/ODKServer/view/binaryData?blobKey=FSSuministroFluidosv3%5B%40version%3Dnull+and+%40uiVersion%3Dnull%5D%2Fdata%5B%40key%3Duuid%3A7794629b-b4c0-4df0-8a2c-cdf7b336c9a2%5D%2FgroupInfoFuel%5B%40ordinal%3D1%5D%2FpicFuelRecibeInterno","Descargar")</f>
        <v>Descargar</v>
      </c>
    </row>
    <row r="4983" spans="1:18" x14ac:dyDescent="0.3">
      <c r="A4983">
        <v>1618236</v>
      </c>
      <c r="B4983" t="s">
        <v>18</v>
      </c>
      <c r="C4983" t="s">
        <v>19</v>
      </c>
      <c r="D4983" t="s">
        <v>109</v>
      </c>
      <c r="E4983" t="s">
        <v>1136</v>
      </c>
      <c r="F4983" t="s">
        <v>22</v>
      </c>
      <c r="G4983" t="s">
        <v>23</v>
      </c>
      <c r="H4983" t="s">
        <v>37</v>
      </c>
      <c r="I4983" t="s">
        <v>25</v>
      </c>
      <c r="J4983" s="2">
        <v>45912.745995370373</v>
      </c>
      <c r="K4983">
        <v>12</v>
      </c>
      <c r="L4983">
        <v>9</v>
      </c>
      <c r="M4983">
        <v>2025</v>
      </c>
      <c r="N4983" t="s">
        <v>44</v>
      </c>
      <c r="O4983">
        <v>45</v>
      </c>
      <c r="P4983">
        <v>45</v>
      </c>
      <c r="R4983" s="3" t="str">
        <f>HYPERLINK("https://panda.att.com.mx/ODKServer/view/binaryData?blobKey=FSSuministroFluidosv3%5B%40version%3Dnull+and+%40uiVersion%3Dnull%5D%2Fdata%5B%40key%3Duuid%3Af01b6172-d1ed-405d-9112-1717dc02f481%5D%2FgroupInfoFuel%5B%40ordinal%3D1%5D%2FpicFuelRecibeInterno","Descargar")</f>
        <v>Descargar</v>
      </c>
    </row>
    <row r="4984" spans="1:18" x14ac:dyDescent="0.3">
      <c r="A4984">
        <v>1622059</v>
      </c>
      <c r="B4984" t="s">
        <v>18</v>
      </c>
      <c r="C4984" t="s">
        <v>19</v>
      </c>
      <c r="D4984" t="s">
        <v>62</v>
      </c>
      <c r="E4984" t="s">
        <v>3816</v>
      </c>
      <c r="F4984" t="s">
        <v>22</v>
      </c>
      <c r="G4984" t="s">
        <v>23</v>
      </c>
      <c r="H4984" t="s">
        <v>37</v>
      </c>
      <c r="I4984" t="s">
        <v>25</v>
      </c>
      <c r="J4984" s="2">
        <v>45919.577465277784</v>
      </c>
      <c r="K4984">
        <v>19</v>
      </c>
      <c r="L4984">
        <v>9</v>
      </c>
      <c r="M4984">
        <v>2025</v>
      </c>
      <c r="N4984" t="s">
        <v>44</v>
      </c>
      <c r="O4984">
        <v>45</v>
      </c>
      <c r="Q4984">
        <v>45</v>
      </c>
      <c r="R4984" s="3" t="str">
        <f>HYPERLINK("https://panda.att.com.mx/ODKServer/view/binaryData?blobKey=FSSuministroFluidosv3%5B%40version%3Dnull+and+%40uiVersion%3Dnull%5D%2Fdata%5B%40key%3Duuid%3Afcf36cd3-be71-4655-8b2d-4da832be8bfb%5D%2FgroupInfoFuel%5B%40ordinal%3D1%5D%2FpicFuelRecibeInterno","Descargar")</f>
        <v>Descargar</v>
      </c>
    </row>
    <row r="4985" spans="1:18" x14ac:dyDescent="0.3">
      <c r="A4985">
        <v>1619666</v>
      </c>
      <c r="B4985" t="s">
        <v>18</v>
      </c>
      <c r="C4985" t="s">
        <v>19</v>
      </c>
      <c r="D4985" t="s">
        <v>175</v>
      </c>
      <c r="E4985" t="s">
        <v>263</v>
      </c>
      <c r="F4985" t="s">
        <v>22</v>
      </c>
      <c r="G4985" t="s">
        <v>23</v>
      </c>
      <c r="H4985" t="s">
        <v>37</v>
      </c>
      <c r="I4985" t="s">
        <v>25</v>
      </c>
      <c r="J4985" s="2">
        <v>45915.719456018523</v>
      </c>
      <c r="K4985">
        <v>15</v>
      </c>
      <c r="L4985">
        <v>9</v>
      </c>
      <c r="M4985">
        <v>2025</v>
      </c>
      <c r="N4985" t="s">
        <v>44</v>
      </c>
      <c r="O4985">
        <v>20</v>
      </c>
      <c r="Q4985">
        <v>20</v>
      </c>
      <c r="R4985" s="3" t="str">
        <f>HYPERLINK("https://panda.att.com.mx/ODKServer/view/binaryData?blobKey=FSSuministroFluidosv3%5B%40version%3Dnull+and+%40uiVersion%3Dnull%5D%2Fdata%5B%40key%3Duuid%3Aefee078c-b8a4-4ee4-b2af-8b063bdec45f%5D%2FgroupInfoFuel%5B%40ordinal%3D1%5D%2FpicFuelRecibeInterno","Descargar")</f>
        <v>Descargar</v>
      </c>
    </row>
    <row r="4986" spans="1:18" x14ac:dyDescent="0.3">
      <c r="A4986">
        <v>1618853</v>
      </c>
      <c r="B4986" t="s">
        <v>18</v>
      </c>
      <c r="C4986" t="s">
        <v>19</v>
      </c>
      <c r="D4986" t="s">
        <v>175</v>
      </c>
      <c r="E4986" t="s">
        <v>1446</v>
      </c>
      <c r="F4986" t="s">
        <v>22</v>
      </c>
      <c r="G4986" t="s">
        <v>23</v>
      </c>
      <c r="H4986" t="s">
        <v>37</v>
      </c>
      <c r="I4986" t="s">
        <v>25</v>
      </c>
      <c r="J4986" s="2">
        <v>45915.25</v>
      </c>
      <c r="K4986">
        <v>15</v>
      </c>
      <c r="L4986">
        <v>9</v>
      </c>
      <c r="M4986">
        <v>2025</v>
      </c>
      <c r="N4986" t="s">
        <v>44</v>
      </c>
      <c r="O4986">
        <v>40</v>
      </c>
      <c r="P4986">
        <v>40</v>
      </c>
      <c r="R4986" s="3" t="str">
        <f>HYPERLINK("https://panda.att.com.mx/ODKServer/view/binaryData?blobKey=FSSuministroFluidosv3%5B%40version%3Dnull+and+%40uiVersion%3Dnull%5D%2Fdata%5B%40key%3Duuid%3Acc3b2cc8-696c-4ef8-bc99-e52036b0829b%5D%2FgroupInfoFuel%5B%40ordinal%3D1%5D%2FpicFuelRecibeInterno","Descargar")</f>
        <v>Descargar</v>
      </c>
    </row>
    <row r="4987" spans="1:18" x14ac:dyDescent="0.3">
      <c r="A4987">
        <v>1622105</v>
      </c>
      <c r="B4987" t="s">
        <v>18</v>
      </c>
      <c r="C4987" t="s">
        <v>19</v>
      </c>
      <c r="D4987" t="s">
        <v>109</v>
      </c>
      <c r="E4987" t="s">
        <v>110</v>
      </c>
      <c r="F4987" t="s">
        <v>22</v>
      </c>
      <c r="G4987" t="s">
        <v>23</v>
      </c>
      <c r="H4987" t="s">
        <v>24</v>
      </c>
      <c r="I4987" t="s">
        <v>25</v>
      </c>
      <c r="J4987" s="2">
        <v>45920.567025462973</v>
      </c>
      <c r="K4987">
        <v>20</v>
      </c>
      <c r="L4987">
        <v>9</v>
      </c>
      <c r="M4987">
        <v>2025</v>
      </c>
      <c r="N4987" t="s">
        <v>27</v>
      </c>
      <c r="O4987">
        <v>90</v>
      </c>
      <c r="P4987">
        <v>90</v>
      </c>
      <c r="R4987" s="3" t="str">
        <f>HYPERLINK("https://panda.att.com.mx/ODKServer/view/binaryData?blobKey=FSSuministroFluidosv3%5B%40version%3Dnull+and+%40uiVersion%3Dnull%5D%2Fdata%5B%40key%3Duuid%3A8100d202-e659-453f-93c1-cc37040c5239%5D%2FgroupInfoFuel%5B%40ordinal%3D1%5D%2FpicFuelRecibeInterno","Descargar")</f>
        <v>Descargar</v>
      </c>
    </row>
    <row r="4988" spans="1:18" x14ac:dyDescent="0.3">
      <c r="A4988">
        <v>1620288</v>
      </c>
      <c r="B4988" t="s">
        <v>18</v>
      </c>
      <c r="C4988" t="s">
        <v>19</v>
      </c>
      <c r="D4988" t="s">
        <v>42</v>
      </c>
      <c r="E4988" t="s">
        <v>2228</v>
      </c>
      <c r="F4988" t="s">
        <v>22</v>
      </c>
      <c r="G4988" t="s">
        <v>23</v>
      </c>
      <c r="H4988" t="s">
        <v>24</v>
      </c>
      <c r="I4988" t="s">
        <v>25</v>
      </c>
      <c r="J4988" s="2">
        <v>45916.597175925926</v>
      </c>
      <c r="K4988">
        <v>16</v>
      </c>
      <c r="L4988">
        <v>9</v>
      </c>
      <c r="M4988">
        <v>2025</v>
      </c>
      <c r="N4988" t="s">
        <v>27</v>
      </c>
      <c r="O4988">
        <v>50</v>
      </c>
      <c r="P4988">
        <v>50</v>
      </c>
      <c r="R4988" s="3" t="str">
        <f>HYPERLINK("https://panda.att.com.mx/ODKServer/view/binaryData?blobKey=FSSuministroFluidosv3%5B%40version%3Dnull+and+%40uiVersion%3Dnull%5D%2Fdata%5B%40key%3Duuid%3Afdcdb2c8-ebb6-417f-a122-11f2d9f84f9e%5D%2FgroupInfoFuel%5B%40ordinal%3D1%5D%2FpicFuelRecibeInterno","Descargar")</f>
        <v>Descargar</v>
      </c>
    </row>
    <row r="4989" spans="1:18" x14ac:dyDescent="0.3">
      <c r="A4989">
        <v>1620710</v>
      </c>
      <c r="B4989" t="s">
        <v>18</v>
      </c>
      <c r="C4989" t="s">
        <v>19</v>
      </c>
      <c r="D4989" t="s">
        <v>62</v>
      </c>
      <c r="E4989" t="s">
        <v>1326</v>
      </c>
      <c r="F4989" t="s">
        <v>22</v>
      </c>
      <c r="G4989" t="s">
        <v>23</v>
      </c>
      <c r="H4989" t="s">
        <v>24</v>
      </c>
      <c r="I4989" t="s">
        <v>25</v>
      </c>
      <c r="J4989" s="2">
        <v>45918.481030092589</v>
      </c>
      <c r="K4989">
        <v>18</v>
      </c>
      <c r="L4989">
        <v>9</v>
      </c>
      <c r="M4989">
        <v>2025</v>
      </c>
      <c r="N4989" t="s">
        <v>44</v>
      </c>
      <c r="O4989">
        <v>45</v>
      </c>
      <c r="P4989">
        <v>45</v>
      </c>
      <c r="R4989" s="3" t="str">
        <f>HYPERLINK("https://panda.att.com.mx/ODKServer/view/binaryData?blobKey=FSSuministroFluidosv3%5B%40version%3Dnull+and+%40uiVersion%3Dnull%5D%2Fdata%5B%40key%3Duuid%3Aff30e1cb-07e3-4d80-849f-9a5cdced337c%5D%2FgroupInfoFuel%5B%40ordinal%3D1%5D%2FpicFuelRecibeInterno","Descargar")</f>
        <v>Descargar</v>
      </c>
    </row>
    <row r="4990" spans="1:18" x14ac:dyDescent="0.3">
      <c r="A4990">
        <v>1620961</v>
      </c>
      <c r="B4990" t="s">
        <v>18</v>
      </c>
      <c r="C4990" t="s">
        <v>19</v>
      </c>
      <c r="D4990" t="s">
        <v>62</v>
      </c>
      <c r="E4990" t="s">
        <v>1326</v>
      </c>
      <c r="F4990" t="s">
        <v>22</v>
      </c>
      <c r="G4990" t="s">
        <v>23</v>
      </c>
      <c r="H4990" t="s">
        <v>24</v>
      </c>
      <c r="I4990" t="s">
        <v>25</v>
      </c>
      <c r="J4990" s="2">
        <v>45918.641284722216</v>
      </c>
      <c r="K4990">
        <v>18</v>
      </c>
      <c r="L4990">
        <v>9</v>
      </c>
      <c r="M4990">
        <v>2025</v>
      </c>
      <c r="N4990" t="s">
        <v>44</v>
      </c>
      <c r="O4990">
        <v>45</v>
      </c>
      <c r="P4990">
        <v>45</v>
      </c>
      <c r="R4990" s="3" t="str">
        <f>HYPERLINK("https://panda.att.com.mx/ODKServer/view/binaryData?blobKey=FSSuministroFluidosv3%5B%40version%3Dnull+and+%40uiVersion%3Dnull%5D%2Fdata%5B%40key%3Duuid%3A6a44d537-7cc5-415d-ab4c-f598666c46be%5D%2FgroupInfoFuel%5B%40ordinal%3D1%5D%2FpicFuelRecibeInterno","Descargar")</f>
        <v>Descargar</v>
      </c>
    </row>
    <row r="4991" spans="1:18" x14ac:dyDescent="0.3">
      <c r="A4991">
        <v>1620554</v>
      </c>
      <c r="B4991" t="s">
        <v>18</v>
      </c>
      <c r="C4991" t="s">
        <v>19</v>
      </c>
      <c r="D4991" t="s">
        <v>109</v>
      </c>
      <c r="E4991" t="s">
        <v>110</v>
      </c>
      <c r="F4991" t="s">
        <v>22</v>
      </c>
      <c r="G4991" t="s">
        <v>23</v>
      </c>
      <c r="H4991" t="s">
        <v>24</v>
      </c>
      <c r="I4991" t="s">
        <v>25</v>
      </c>
      <c r="J4991" s="2">
        <v>45917.464988425927</v>
      </c>
      <c r="K4991">
        <v>17</v>
      </c>
      <c r="L4991">
        <v>9</v>
      </c>
      <c r="M4991">
        <v>2025</v>
      </c>
      <c r="N4991" t="s">
        <v>27</v>
      </c>
      <c r="O4991">
        <v>120</v>
      </c>
      <c r="P4991">
        <v>120</v>
      </c>
      <c r="R4991" s="3" t="str">
        <f>HYPERLINK("https://panda.att.com.mx/ODKServer/view/binaryData?blobKey=FSSuministroFluidosv3%5B%40version%3Dnull+and+%40uiVersion%3Dnull%5D%2Fdata%5B%40key%3Duuid%3A83c26bc1-3baf-457b-a526-b9cfed228fc0%5D%2FgroupInfoFuel%5B%40ordinal%3D1%5D%2FpicFuelRecibeInterno","Descargar")</f>
        <v>Descargar</v>
      </c>
    </row>
    <row r="4992" spans="1:18" x14ac:dyDescent="0.3">
      <c r="A4992">
        <v>1618782</v>
      </c>
      <c r="B4992" t="s">
        <v>18</v>
      </c>
      <c r="C4992" t="s">
        <v>183</v>
      </c>
      <c r="D4992" t="s">
        <v>1720</v>
      </c>
      <c r="E4992" t="s">
        <v>1721</v>
      </c>
      <c r="F4992" t="s">
        <v>22</v>
      </c>
      <c r="G4992" t="s">
        <v>23</v>
      </c>
      <c r="H4992" t="s">
        <v>24</v>
      </c>
      <c r="I4992" t="s">
        <v>25</v>
      </c>
      <c r="J4992" s="2">
        <v>45914.714629629627</v>
      </c>
      <c r="K4992">
        <v>14</v>
      </c>
      <c r="L4992">
        <v>9</v>
      </c>
      <c r="M4992">
        <v>2025</v>
      </c>
      <c r="N4992" t="s">
        <v>44</v>
      </c>
      <c r="O4992">
        <v>30</v>
      </c>
      <c r="P4992">
        <v>30</v>
      </c>
      <c r="R4992" s="3" t="str">
        <f>HYPERLINK("https://panda.att.com.mx/ODKServer/view/binaryData?blobKey=FSSuministroFluidosv3%5B%40version%3Dnull+and+%40uiVersion%3Dnull%5D%2Fdata%5B%40key%3Duuid%3Aa0cd1e26-957d-4645-84f0-16c511efcfc0%5D%2FgroupInfoFuel%5B%40ordinal%3D1%5D%2FpicFuelRecibeInterno","Descargar")</f>
        <v>Descargar</v>
      </c>
    </row>
    <row r="4993" spans="1:18" x14ac:dyDescent="0.3">
      <c r="A4993">
        <v>1621134</v>
      </c>
      <c r="B4993" t="s">
        <v>18</v>
      </c>
      <c r="C4993" t="s">
        <v>19</v>
      </c>
      <c r="D4993" t="s">
        <v>109</v>
      </c>
      <c r="E4993" t="s">
        <v>1136</v>
      </c>
      <c r="F4993" t="s">
        <v>22</v>
      </c>
      <c r="G4993" t="s">
        <v>23</v>
      </c>
      <c r="H4993" t="s">
        <v>24</v>
      </c>
      <c r="I4993" t="s">
        <v>25</v>
      </c>
      <c r="J4993" s="2">
        <v>45918.511643518519</v>
      </c>
      <c r="K4993">
        <v>18</v>
      </c>
      <c r="L4993">
        <v>9</v>
      </c>
      <c r="M4993">
        <v>2025</v>
      </c>
      <c r="N4993" t="s">
        <v>44</v>
      </c>
      <c r="O4993">
        <v>35</v>
      </c>
      <c r="P4993">
        <v>35</v>
      </c>
      <c r="R4993" s="3" t="str">
        <f>HYPERLINK("https://panda.att.com.mx/ODKServer/view/binaryData?blobKey=FSSuministroFluidosv3%5B%40version%3Dnull+and+%40uiVersion%3Dnull%5D%2Fdata%5B%40key%3Duuid%3A59bd0ef8-7814-4ea7-9c94-75512c78739a%5D%2FgroupInfoFuel%5B%40ordinal%3D1%5D%2FpicFuelRecibeInterno","Descargar")</f>
        <v>Descargar</v>
      </c>
    </row>
    <row r="4994" spans="1:18" x14ac:dyDescent="0.3">
      <c r="A4994">
        <v>1619250</v>
      </c>
      <c r="B4994" t="s">
        <v>18</v>
      </c>
      <c r="C4994" t="s">
        <v>68</v>
      </c>
      <c r="D4994" t="s">
        <v>91</v>
      </c>
      <c r="E4994" t="s">
        <v>3057</v>
      </c>
      <c r="F4994" t="s">
        <v>22</v>
      </c>
      <c r="G4994" t="s">
        <v>23</v>
      </c>
      <c r="H4994" t="s">
        <v>37</v>
      </c>
      <c r="I4994" t="s">
        <v>25</v>
      </c>
      <c r="J4994" s="2">
        <v>45915.153113425928</v>
      </c>
      <c r="K4994">
        <v>15</v>
      </c>
      <c r="L4994">
        <v>9</v>
      </c>
      <c r="M4994">
        <v>2025</v>
      </c>
      <c r="N4994" t="s">
        <v>27</v>
      </c>
      <c r="O4994">
        <v>450</v>
      </c>
      <c r="P4994">
        <v>450</v>
      </c>
      <c r="R4994" s="3" t="str">
        <f>HYPERLINK("https://panda.att.com.mx/ODKServer/view/binaryData?blobKey=FSSuministroFluidosv3%5B%40version%3Dnull+and+%40uiVersion%3Dnull%5D%2Fdata%5B%40key%3Duuid%3Ab403969d-fef9-4561-9194-9c4322019816%5D%2FgroupInfoFuel%5B%40ordinal%3D1%5D%2FpicFuelRecibeInterno","Descargar")</f>
        <v>Descargar</v>
      </c>
    </row>
    <row r="4995" spans="1:18" x14ac:dyDescent="0.3">
      <c r="A4995">
        <v>1620142</v>
      </c>
      <c r="B4995" t="s">
        <v>18</v>
      </c>
      <c r="C4995" t="s">
        <v>68</v>
      </c>
      <c r="D4995" t="s">
        <v>258</v>
      </c>
      <c r="E4995" t="s">
        <v>3817</v>
      </c>
      <c r="F4995" t="s">
        <v>22</v>
      </c>
      <c r="G4995" t="s">
        <v>23</v>
      </c>
      <c r="H4995" t="s">
        <v>37</v>
      </c>
      <c r="I4995" t="s">
        <v>25</v>
      </c>
      <c r="J4995" s="2">
        <v>45910.447835648149</v>
      </c>
      <c r="K4995">
        <v>10</v>
      </c>
      <c r="L4995">
        <v>9</v>
      </c>
      <c r="M4995">
        <v>2025</v>
      </c>
      <c r="N4995" t="s">
        <v>27</v>
      </c>
      <c r="O4995">
        <v>300</v>
      </c>
      <c r="P4995">
        <v>300</v>
      </c>
      <c r="R4995" s="3" t="str">
        <f>HYPERLINK("https://panda.att.com.mx/ODKServer/view/binaryData?blobKey=FSSuministroFluidosv3%5B%40version%3Dnull+and+%40uiVersion%3Dnull%5D%2Fdata%5B%40key%3Duuid%3Ac0cd406a-51e0-4237-abdf-8210e042fe79%5D%2FgroupInfoFuel%5B%40ordinal%3D1%5D%2FpicFuelRecibeInterno","Descargar")</f>
        <v>Descargar</v>
      </c>
    </row>
    <row r="4996" spans="1:18" x14ac:dyDescent="0.3">
      <c r="A4996">
        <v>1619600</v>
      </c>
      <c r="B4996" t="s">
        <v>18</v>
      </c>
      <c r="C4996" t="s">
        <v>68</v>
      </c>
      <c r="D4996" t="s">
        <v>91</v>
      </c>
      <c r="E4996" t="s">
        <v>3818</v>
      </c>
      <c r="F4996" t="s">
        <v>22</v>
      </c>
      <c r="G4996" t="s">
        <v>23</v>
      </c>
      <c r="H4996" t="s">
        <v>37</v>
      </c>
      <c r="I4996" t="s">
        <v>25</v>
      </c>
      <c r="J4996" s="2">
        <v>45915.653182870366</v>
      </c>
      <c r="K4996">
        <v>15</v>
      </c>
      <c r="L4996">
        <v>9</v>
      </c>
      <c r="M4996">
        <v>2025</v>
      </c>
      <c r="N4996" t="s">
        <v>27</v>
      </c>
      <c r="O4996">
        <v>440</v>
      </c>
      <c r="P4996">
        <v>440</v>
      </c>
      <c r="R4996" s="3" t="str">
        <f>HYPERLINK("https://panda.att.com.mx/ODKServer/view/binaryData?blobKey=FSSuministroFluidosv3%5B%40version%3Dnull+and+%40uiVersion%3Dnull%5D%2Fdata%5B%40key%3Duuid%3Adc6f6729-f14a-4e20-aad6-c5efa8b248c9%5D%2FgroupInfoFuel%5B%40ordinal%3D1%5D%2FpicFuelRecibeInterno","Descargar")</f>
        <v>Descargar</v>
      </c>
    </row>
    <row r="4997" spans="1:18" x14ac:dyDescent="0.3">
      <c r="A4997">
        <v>1620577</v>
      </c>
      <c r="B4997" t="s">
        <v>18</v>
      </c>
      <c r="C4997" t="s">
        <v>68</v>
      </c>
      <c r="D4997" t="s">
        <v>91</v>
      </c>
      <c r="E4997" t="s">
        <v>2171</v>
      </c>
      <c r="F4997" t="s">
        <v>22</v>
      </c>
      <c r="G4997" t="s">
        <v>23</v>
      </c>
      <c r="H4997" t="s">
        <v>37</v>
      </c>
      <c r="I4997" t="s">
        <v>25</v>
      </c>
      <c r="J4997" s="2">
        <v>45917.708715277768</v>
      </c>
      <c r="K4997">
        <v>17</v>
      </c>
      <c r="L4997">
        <v>9</v>
      </c>
      <c r="M4997">
        <v>2025</v>
      </c>
      <c r="N4997" t="s">
        <v>27</v>
      </c>
      <c r="O4997">
        <v>270</v>
      </c>
      <c r="P4997">
        <v>270</v>
      </c>
      <c r="R4997" s="3" t="str">
        <f>HYPERLINK("https://panda.att.com.mx/ODKServer/view/binaryData?blobKey=FSSuministroFluidosv3%5B%40version%3Dnull+and+%40uiVersion%3Dnull%5D%2Fdata%5B%40key%3Duuid%3Aaeb2ad26-6d4b-42eb-af84-9cd16024ef9c%5D%2FgroupInfoFuel%5B%40ordinal%3D1%5D%2FpicFuelRecibeInterno","Descargar")</f>
        <v>Descargar</v>
      </c>
    </row>
    <row r="4998" spans="1:18" x14ac:dyDescent="0.3">
      <c r="A4998">
        <v>1619599</v>
      </c>
      <c r="B4998" t="s">
        <v>18</v>
      </c>
      <c r="C4998" t="s">
        <v>68</v>
      </c>
      <c r="D4998" t="s">
        <v>2156</v>
      </c>
      <c r="E4998" t="s">
        <v>3819</v>
      </c>
      <c r="F4998" t="s">
        <v>22</v>
      </c>
      <c r="G4998" t="s">
        <v>23</v>
      </c>
      <c r="H4998" t="s">
        <v>37</v>
      </c>
      <c r="I4998" t="s">
        <v>25</v>
      </c>
      <c r="J4998" s="2">
        <v>45915.770451388889</v>
      </c>
      <c r="K4998">
        <v>15</v>
      </c>
      <c r="L4998">
        <v>9</v>
      </c>
      <c r="M4998">
        <v>2025</v>
      </c>
      <c r="N4998" t="s">
        <v>27</v>
      </c>
      <c r="O4998">
        <v>350</v>
      </c>
      <c r="P4998">
        <v>350</v>
      </c>
      <c r="R4998" s="3" t="str">
        <f>HYPERLINK("https://panda.att.com.mx/ODKServer/view/binaryData?blobKey=FSSuministroFluidosv3%5B%40version%3Dnull+and+%40uiVersion%3Dnull%5D%2Fdata%5B%40key%3Duuid%3A8c4fc56f-0807-44bb-8f13-9687f972dd02%5D%2FgroupInfoFuel%5B%40ordinal%3D1%5D%2FpicFuelRecibeInterno","Descargar")</f>
        <v>Descargar</v>
      </c>
    </row>
    <row r="4999" spans="1:18" x14ac:dyDescent="0.3">
      <c r="A4999">
        <v>1619513</v>
      </c>
      <c r="B4999" t="s">
        <v>18</v>
      </c>
      <c r="C4999" t="s">
        <v>68</v>
      </c>
      <c r="D4999" t="s">
        <v>91</v>
      </c>
      <c r="E4999" t="s">
        <v>1677</v>
      </c>
      <c r="F4999" t="s">
        <v>22</v>
      </c>
      <c r="G4999" t="s">
        <v>23</v>
      </c>
      <c r="H4999" t="s">
        <v>37</v>
      </c>
      <c r="I4999" t="s">
        <v>25</v>
      </c>
      <c r="J4999" s="2">
        <v>45915.643101851849</v>
      </c>
      <c r="K4999">
        <v>15</v>
      </c>
      <c r="L4999">
        <v>9</v>
      </c>
      <c r="M4999">
        <v>2025</v>
      </c>
      <c r="N4999" t="s">
        <v>27</v>
      </c>
      <c r="O4999">
        <v>85</v>
      </c>
      <c r="P4999">
        <v>85</v>
      </c>
      <c r="R4999" s="3" t="str">
        <f>HYPERLINK("https://panda.att.com.mx/ODKServer/view/binaryData?blobKey=FSSuministroFluidosv3%5B%40version%3Dnull+and+%40uiVersion%3Dnull%5D%2Fdata%5B%40key%3Duuid%3A4ffab7fa-3986-46c3-b9fb-1fa32bd961d7%5D%2FgroupInfoFuel%5B%40ordinal%3D1%5D%2FpicFuelRecibeInterno","Descargar")</f>
        <v>Descargar</v>
      </c>
    </row>
    <row r="5000" spans="1:18" x14ac:dyDescent="0.3">
      <c r="A5000">
        <v>1620908</v>
      </c>
      <c r="B5000" t="s">
        <v>18</v>
      </c>
      <c r="C5000" t="s">
        <v>167</v>
      </c>
      <c r="D5000" t="s">
        <v>768</v>
      </c>
      <c r="E5000" t="s">
        <v>3820</v>
      </c>
      <c r="F5000" t="s">
        <v>22</v>
      </c>
      <c r="G5000" t="s">
        <v>23</v>
      </c>
      <c r="H5000" t="s">
        <v>58</v>
      </c>
      <c r="I5000" t="s">
        <v>25</v>
      </c>
      <c r="J5000" s="2">
        <v>45918.589212962957</v>
      </c>
      <c r="K5000">
        <v>18</v>
      </c>
      <c r="L5000">
        <v>9</v>
      </c>
      <c r="M5000">
        <v>2025</v>
      </c>
      <c r="N5000" t="s">
        <v>27</v>
      </c>
      <c r="O5000">
        <v>300</v>
      </c>
      <c r="P5000">
        <v>300</v>
      </c>
      <c r="R5000" s="3" t="str">
        <f>HYPERLINK("https://panda.att.com.mx/ODKServer/view/binaryData?blobKey=FSSuministroFluidosv3%5B%40version%3Dnull+and+%40uiVersion%3Dnull%5D%2Fdata%5B%40key%3Duuid%3Ac70d141c-df6c-48b1-a6cb-4ba9a3788a5f%5D%2FgroupInfoFuel%5B%40ordinal%3D1%5D%2FpicFuelRecibeInterno","Descargar")</f>
        <v>Descargar</v>
      </c>
    </row>
    <row r="5001" spans="1:18" x14ac:dyDescent="0.3">
      <c r="A5001">
        <v>1620709</v>
      </c>
      <c r="B5001" t="s">
        <v>18</v>
      </c>
      <c r="C5001" t="s">
        <v>167</v>
      </c>
      <c r="D5001" t="s">
        <v>264</v>
      </c>
      <c r="E5001" t="s">
        <v>3518</v>
      </c>
      <c r="F5001" t="s">
        <v>22</v>
      </c>
      <c r="G5001" t="s">
        <v>23</v>
      </c>
      <c r="H5001" t="s">
        <v>58</v>
      </c>
      <c r="I5001" t="s">
        <v>25</v>
      </c>
      <c r="J5001" s="2">
        <v>45911.715289351851</v>
      </c>
      <c r="K5001">
        <v>11</v>
      </c>
      <c r="L5001">
        <v>9</v>
      </c>
      <c r="M5001">
        <v>2025</v>
      </c>
      <c r="N5001" t="s">
        <v>27</v>
      </c>
      <c r="O5001">
        <v>250</v>
      </c>
      <c r="P5001">
        <v>250</v>
      </c>
      <c r="R5001" s="3" t="str">
        <f>HYPERLINK("https://panda.att.com.mx/ODKServer/view/binaryData?blobKey=FSSuministroFluidosv3%5B%40version%3Dnull+and+%40uiVersion%3Dnull%5D%2Fdata%5B%40key%3Duuid%3Ac9061cb1-86f5-4562-a81b-76bb1d3e0820%5D%2FgroupInfoFuel%5B%40ordinal%3D1%5D%2FpicFuelRecibeInterno","Descargar")</f>
        <v>Descargar</v>
      </c>
    </row>
    <row r="5002" spans="1:18" x14ac:dyDescent="0.3">
      <c r="A5002">
        <v>1620423</v>
      </c>
      <c r="B5002" t="s">
        <v>18</v>
      </c>
      <c r="C5002" t="s">
        <v>167</v>
      </c>
      <c r="D5002" t="s">
        <v>264</v>
      </c>
      <c r="E5002" t="s">
        <v>3518</v>
      </c>
      <c r="F5002" t="s">
        <v>22</v>
      </c>
      <c r="G5002" t="s">
        <v>23</v>
      </c>
      <c r="H5002" t="s">
        <v>58</v>
      </c>
      <c r="I5002" t="s">
        <v>25</v>
      </c>
      <c r="J5002" s="2">
        <v>45917.662152777782</v>
      </c>
      <c r="K5002">
        <v>17</v>
      </c>
      <c r="L5002">
        <v>9</v>
      </c>
      <c r="M5002">
        <v>2025</v>
      </c>
      <c r="N5002" t="s">
        <v>27</v>
      </c>
      <c r="O5002">
        <v>180</v>
      </c>
      <c r="P5002">
        <v>180</v>
      </c>
      <c r="R5002" s="3" t="str">
        <f>HYPERLINK("https://panda.att.com.mx/ODKServer/view/binaryData?blobKey=FSSuministroFluidosv3%5B%40version%3Dnull+and+%40uiVersion%3Dnull%5D%2Fdata%5B%40key%3Duuid%3A43cfe5c8-edd8-497e-ac31-957e93043420%5D%2FgroupInfoFuel%5B%40ordinal%3D1%5D%2FpicFuelRecibeInterno","Descargar")</f>
        <v>Descargar</v>
      </c>
    </row>
    <row r="5003" spans="1:18" x14ac:dyDescent="0.3">
      <c r="A5003">
        <v>1619739</v>
      </c>
      <c r="B5003" t="s">
        <v>18</v>
      </c>
      <c r="C5003" t="s">
        <v>167</v>
      </c>
      <c r="D5003" t="s">
        <v>268</v>
      </c>
      <c r="E5003" t="s">
        <v>442</v>
      </c>
      <c r="F5003" t="s">
        <v>33</v>
      </c>
      <c r="G5003" t="s">
        <v>23</v>
      </c>
      <c r="H5003" t="s">
        <v>58</v>
      </c>
      <c r="I5003" t="s">
        <v>25</v>
      </c>
      <c r="J5003" s="2">
        <v>45916.706203703703</v>
      </c>
      <c r="K5003">
        <v>16</v>
      </c>
      <c r="L5003">
        <v>9</v>
      </c>
      <c r="M5003">
        <v>2025</v>
      </c>
      <c r="N5003" t="s">
        <v>27</v>
      </c>
      <c r="O5003">
        <v>200</v>
      </c>
      <c r="P5003">
        <v>200</v>
      </c>
      <c r="R5003" s="3" t="str">
        <f>HYPERLINK("https://panda.att.com.mx/ODKServer/view/binaryData?blobKey=FSSuministroFluidosv3%5B%40version%3Dnull+and+%40uiVersion%3Dnull%5D%2Fdata%5B%40key%3Duuid%3Ac4c34e2a-a17c-46e8-b78a-03ffdef00630%5D%2FgroupInfoFuel%5B%40ordinal%3D1%5D%2FpicFuelRecibeInterno","Descargar")</f>
        <v>Descargar</v>
      </c>
    </row>
    <row r="5004" spans="1:18" x14ac:dyDescent="0.3">
      <c r="A5004">
        <v>1622072</v>
      </c>
      <c r="B5004" t="s">
        <v>18</v>
      </c>
      <c r="C5004" t="s">
        <v>59</v>
      </c>
      <c r="D5004" t="s">
        <v>1242</v>
      </c>
      <c r="E5004" t="s">
        <v>3042</v>
      </c>
      <c r="F5004" t="s">
        <v>22</v>
      </c>
      <c r="G5004" t="s">
        <v>23</v>
      </c>
      <c r="H5004" t="s">
        <v>37</v>
      </c>
      <c r="I5004" t="s">
        <v>25</v>
      </c>
      <c r="J5004" s="2">
        <v>45920.699629629627</v>
      </c>
      <c r="K5004">
        <v>20</v>
      </c>
      <c r="L5004">
        <v>9</v>
      </c>
      <c r="M5004">
        <v>2025</v>
      </c>
      <c r="N5004" t="s">
        <v>44</v>
      </c>
      <c r="O5004">
        <v>60</v>
      </c>
      <c r="P5004">
        <v>60</v>
      </c>
      <c r="R5004" s="3" t="str">
        <f>HYPERLINK("https://panda.att.com.mx/ODKServer/view/binaryData?blobKey=FSSuministroFluidosv3%5B%40version%3Dnull+and+%40uiVersion%3Dnull%5D%2Fdata%5B%40key%3Duuid%3A4c510a61-c65d-4d6c-aeb3-f2be840b885f%5D%2FgroupInfoFuel%5B%40ordinal%3D1%5D%2FpicFuelRecibeInterno","Descargar")</f>
        <v>Descargar</v>
      </c>
    </row>
    <row r="5005" spans="1:18" x14ac:dyDescent="0.3">
      <c r="A5005">
        <v>1622587</v>
      </c>
      <c r="B5005" t="s">
        <v>18</v>
      </c>
      <c r="C5005" t="s">
        <v>59</v>
      </c>
      <c r="D5005" t="s">
        <v>233</v>
      </c>
      <c r="E5005" t="s">
        <v>1859</v>
      </c>
      <c r="F5005" t="s">
        <v>22</v>
      </c>
      <c r="G5005" t="s">
        <v>23</v>
      </c>
      <c r="H5005" t="s">
        <v>37</v>
      </c>
      <c r="I5005" t="s">
        <v>25</v>
      </c>
      <c r="J5005" s="2">
        <v>45920.390509259261</v>
      </c>
      <c r="K5005">
        <v>20</v>
      </c>
      <c r="L5005">
        <v>9</v>
      </c>
      <c r="M5005">
        <v>2025</v>
      </c>
      <c r="N5005" t="s">
        <v>27</v>
      </c>
      <c r="O5005">
        <v>400</v>
      </c>
      <c r="P5005">
        <v>400</v>
      </c>
      <c r="R5005" s="3" t="str">
        <f>HYPERLINK("https://panda.att.com.mx/ODKServer/view/binaryData?blobKey=FSSuministroFluidosv3%5B%40version%3Dnull+and+%40uiVersion%3Dnull%5D%2Fdata%5B%40key%3Duuid%3A121ec674-a509-441c-a97e-b23626335d1a%5D%2FgroupInfoFuel%5B%40ordinal%3D1%5D%2FpicFuelRecibeInterno","Descargar")</f>
        <v>Descargar</v>
      </c>
    </row>
    <row r="5006" spans="1:18" x14ac:dyDescent="0.3">
      <c r="A5006">
        <v>1619586</v>
      </c>
      <c r="B5006" t="s">
        <v>18</v>
      </c>
      <c r="C5006" t="s">
        <v>28</v>
      </c>
      <c r="D5006" t="s">
        <v>118</v>
      </c>
      <c r="E5006" t="s">
        <v>2490</v>
      </c>
      <c r="F5006" t="s">
        <v>22</v>
      </c>
      <c r="G5006" t="s">
        <v>23</v>
      </c>
      <c r="H5006" t="s">
        <v>24</v>
      </c>
      <c r="I5006" t="s">
        <v>25</v>
      </c>
      <c r="J5006" s="2">
        <v>45916.238240740742</v>
      </c>
      <c r="K5006">
        <v>16</v>
      </c>
      <c r="L5006">
        <v>9</v>
      </c>
      <c r="M5006">
        <v>2025</v>
      </c>
      <c r="N5006" t="s">
        <v>44</v>
      </c>
      <c r="O5006">
        <v>35</v>
      </c>
      <c r="P5006">
        <v>35</v>
      </c>
      <c r="R5006" s="3" t="str">
        <f>HYPERLINK("https://panda.att.com.mx/ODKServer/view/binaryData?blobKey=FSSuministroFluidosv3%5B%40version%3Dnull+and+%40uiVersion%3Dnull%5D%2Fdata%5B%40key%3Duuid%3Aeb5856e9-705b-4e80-ba38-a5a3e300dee1%5D%2FgroupInfoFuel%5B%40ordinal%3D1%5D%2FpicFuelRecibeInterno","Descargar")</f>
        <v>Descargar</v>
      </c>
    </row>
    <row r="5007" spans="1:18" x14ac:dyDescent="0.3">
      <c r="A5007">
        <v>1619519</v>
      </c>
      <c r="B5007" t="s">
        <v>18</v>
      </c>
      <c r="C5007" t="s">
        <v>28</v>
      </c>
      <c r="D5007" t="s">
        <v>66</v>
      </c>
      <c r="E5007" t="s">
        <v>96</v>
      </c>
      <c r="F5007" t="s">
        <v>22</v>
      </c>
      <c r="G5007" t="s">
        <v>23</v>
      </c>
      <c r="H5007" t="s">
        <v>24</v>
      </c>
      <c r="I5007" t="s">
        <v>25</v>
      </c>
      <c r="J5007" s="2">
        <v>45915.330659722233</v>
      </c>
      <c r="K5007">
        <v>15</v>
      </c>
      <c r="L5007">
        <v>9</v>
      </c>
      <c r="M5007">
        <v>2025</v>
      </c>
      <c r="N5007" t="s">
        <v>27</v>
      </c>
      <c r="O5007">
        <v>350</v>
      </c>
      <c r="P5007">
        <v>350</v>
      </c>
      <c r="R5007" s="3" t="str">
        <f>HYPERLINK("https://panda.att.com.mx/ODKServer/view/binaryData?blobKey=FSSuministroFluidosv3%5B%40version%3Dnull+and+%40uiVersion%3Dnull%5D%2Fdata%5B%40key%3Duuid%3A8a7afa5b-9b48-418f-b1a1-8a6a29ac653f%5D%2FgroupInfoFuel%5B%40ordinal%3D1%5D%2FpicFuelRecibeInterno","Descargar")</f>
        <v>Descargar</v>
      </c>
    </row>
    <row r="5008" spans="1:18" x14ac:dyDescent="0.3">
      <c r="A5008">
        <v>1619831</v>
      </c>
      <c r="B5008" t="s">
        <v>18</v>
      </c>
      <c r="C5008" t="s">
        <v>28</v>
      </c>
      <c r="D5008" t="s">
        <v>111</v>
      </c>
      <c r="E5008" t="s">
        <v>112</v>
      </c>
      <c r="F5008" t="s">
        <v>22</v>
      </c>
      <c r="G5008" t="s">
        <v>23</v>
      </c>
      <c r="H5008" t="s">
        <v>24</v>
      </c>
      <c r="I5008" t="s">
        <v>25</v>
      </c>
      <c r="J5008" s="2">
        <v>45915.520520833343</v>
      </c>
      <c r="K5008">
        <v>15</v>
      </c>
      <c r="L5008">
        <v>9</v>
      </c>
      <c r="M5008">
        <v>2025</v>
      </c>
      <c r="N5008" t="s">
        <v>27</v>
      </c>
      <c r="O5008">
        <v>300</v>
      </c>
      <c r="P5008">
        <v>300</v>
      </c>
      <c r="R5008" s="3" t="str">
        <f>HYPERLINK("https://panda.att.com.mx/ODKServer/view/binaryData?blobKey=FSSuministroFluidosv3%5B%40version%3Dnull+and+%40uiVersion%3Dnull%5D%2Fdata%5B%40key%3Duuid%3A7dcbff43-58d4-4a09-8b12-a6d764c5eba2%5D%2FgroupInfoFuel%5B%40ordinal%3D1%5D%2FpicFuelRecibeInterno","Descargar")</f>
        <v>Descargar</v>
      </c>
    </row>
    <row r="5009" spans="1:18" x14ac:dyDescent="0.3">
      <c r="A5009">
        <v>1619832</v>
      </c>
      <c r="B5009" t="s">
        <v>18</v>
      </c>
      <c r="C5009" t="s">
        <v>28</v>
      </c>
      <c r="D5009" t="s">
        <v>111</v>
      </c>
      <c r="E5009" t="s">
        <v>112</v>
      </c>
      <c r="F5009" t="s">
        <v>22</v>
      </c>
      <c r="G5009" t="s">
        <v>23</v>
      </c>
      <c r="H5009" t="s">
        <v>24</v>
      </c>
      <c r="I5009" t="s">
        <v>25</v>
      </c>
      <c r="J5009" s="2">
        <v>45913.427881944437</v>
      </c>
      <c r="K5009">
        <v>13</v>
      </c>
      <c r="L5009">
        <v>9</v>
      </c>
      <c r="M5009">
        <v>2025</v>
      </c>
      <c r="N5009" t="s">
        <v>27</v>
      </c>
      <c r="O5009">
        <v>300</v>
      </c>
      <c r="P5009">
        <v>300</v>
      </c>
      <c r="R5009" s="3" t="str">
        <f>HYPERLINK("https://panda.att.com.mx/ODKServer/view/binaryData?blobKey=FSSuministroFluidosv3%5B%40version%3Dnull+and+%40uiVersion%3Dnull%5D%2Fdata%5B%40key%3Duuid%3A60f21842-790f-4b08-9feb-dce52b88b94f%5D%2FgroupInfoFuel%5B%40ordinal%3D1%5D%2FpicFuelRecibeInterno","Descargar")</f>
        <v>Descargar</v>
      </c>
    </row>
    <row r="5010" spans="1:18" x14ac:dyDescent="0.3">
      <c r="A5010">
        <v>1620460</v>
      </c>
      <c r="B5010" t="s">
        <v>18</v>
      </c>
      <c r="C5010" t="s">
        <v>34</v>
      </c>
      <c r="D5010" t="s">
        <v>187</v>
      </c>
      <c r="E5010" t="s">
        <v>188</v>
      </c>
      <c r="F5010" t="s">
        <v>22</v>
      </c>
      <c r="G5010" t="s">
        <v>23</v>
      </c>
      <c r="H5010" t="s">
        <v>24</v>
      </c>
      <c r="I5010" t="s">
        <v>25</v>
      </c>
      <c r="J5010" s="2">
        <v>45915.631354166668</v>
      </c>
      <c r="K5010">
        <v>15</v>
      </c>
      <c r="L5010">
        <v>9</v>
      </c>
      <c r="M5010">
        <v>2025</v>
      </c>
      <c r="N5010" t="s">
        <v>27</v>
      </c>
      <c r="O5010">
        <v>350</v>
      </c>
      <c r="P5010">
        <v>350</v>
      </c>
      <c r="R5010" s="3" t="str">
        <f>HYPERLINK("https://panda.att.com.mx/ODKServer/view/binaryData?blobKey=FSSuministroFluidosv3%5B%40version%3Dnull+and+%40uiVersion%3Dnull%5D%2Fdata%5B%40key%3Duuid%3A010ba35a-0f4d-4c8a-958e-fa7515c4a8d5%5D%2FgroupInfoFuel%5B%40ordinal%3D1%5D%2FpicFuelRecibeInterno","Descargar")</f>
        <v>Descargar</v>
      </c>
    </row>
    <row r="5011" spans="1:18" x14ac:dyDescent="0.3">
      <c r="A5011">
        <v>1621948</v>
      </c>
      <c r="B5011" t="s">
        <v>18</v>
      </c>
      <c r="C5011" t="s">
        <v>28</v>
      </c>
      <c r="D5011" t="s">
        <v>181</v>
      </c>
      <c r="E5011" t="s">
        <v>1293</v>
      </c>
      <c r="F5011" t="s">
        <v>22</v>
      </c>
      <c r="G5011" t="s">
        <v>23</v>
      </c>
      <c r="H5011" t="s">
        <v>24</v>
      </c>
      <c r="I5011" t="s">
        <v>25</v>
      </c>
      <c r="J5011" s="2">
        <v>45920.580138888887</v>
      </c>
      <c r="K5011">
        <v>20</v>
      </c>
      <c r="L5011">
        <v>9</v>
      </c>
      <c r="M5011">
        <v>2025</v>
      </c>
      <c r="N5011" t="s">
        <v>27</v>
      </c>
      <c r="O5011">
        <v>100</v>
      </c>
      <c r="P5011">
        <v>100</v>
      </c>
      <c r="R5011" s="3" t="str">
        <f>HYPERLINK("https://panda.att.com.mx/ODKServer/view/binaryData?blobKey=FSSuministroFluidosv3%5B%40version%3Dnull+and+%40uiVersion%3Dnull%5D%2Fdata%5B%40key%3Duuid%3A5f19070e-1029-4488-8ee4-9de0125f3b68%5D%2FgroupInfoFuel%5B%40ordinal%3D1%5D%2FpicFuelRecibeInterno","Descargar")</f>
        <v>Descargar</v>
      </c>
    </row>
    <row r="5012" spans="1:18" x14ac:dyDescent="0.3">
      <c r="A5012">
        <v>1619004</v>
      </c>
      <c r="B5012" t="s">
        <v>18</v>
      </c>
      <c r="C5012" t="s">
        <v>28</v>
      </c>
      <c r="D5012" t="s">
        <v>66</v>
      </c>
      <c r="E5012" t="s">
        <v>655</v>
      </c>
      <c r="F5012" t="s">
        <v>22</v>
      </c>
      <c r="G5012" t="s">
        <v>23</v>
      </c>
      <c r="H5012" t="s">
        <v>24</v>
      </c>
      <c r="I5012" t="s">
        <v>25</v>
      </c>
      <c r="J5012" s="2">
        <v>45912.42759259259</v>
      </c>
      <c r="K5012">
        <v>12</v>
      </c>
      <c r="L5012">
        <v>9</v>
      </c>
      <c r="M5012">
        <v>2025</v>
      </c>
      <c r="N5012" t="s">
        <v>44</v>
      </c>
      <c r="O5012">
        <v>20</v>
      </c>
      <c r="Q5012">
        <v>20</v>
      </c>
      <c r="R5012" s="3" t="str">
        <f>HYPERLINK("https://panda.att.com.mx/ODKServer/view/binaryData?blobKey=FSSuministroFluidosv3%5B%40version%3Dnull+and+%40uiVersion%3Dnull%5D%2Fdata%5B%40key%3Duuid%3A8fa8605b-57c6-4135-ad09-d935deb67d4d%5D%2FgroupInfoFuel%5B%40ordinal%3D1%5D%2FpicFuelRecibeInterno","Descargar")</f>
        <v>Descargar</v>
      </c>
    </row>
    <row r="5013" spans="1:18" x14ac:dyDescent="0.3">
      <c r="A5013">
        <v>1621571</v>
      </c>
      <c r="B5013" t="s">
        <v>18</v>
      </c>
      <c r="C5013" t="s">
        <v>28</v>
      </c>
      <c r="D5013" t="s">
        <v>2641</v>
      </c>
      <c r="E5013" t="s">
        <v>2642</v>
      </c>
      <c r="F5013" t="s">
        <v>22</v>
      </c>
      <c r="G5013" t="s">
        <v>23</v>
      </c>
      <c r="H5013" t="s">
        <v>24</v>
      </c>
      <c r="I5013" t="s">
        <v>25</v>
      </c>
      <c r="J5013" s="2">
        <v>45903.709467592591</v>
      </c>
      <c r="K5013">
        <v>3</v>
      </c>
      <c r="L5013">
        <v>9</v>
      </c>
      <c r="M5013">
        <v>2025</v>
      </c>
      <c r="N5013" t="s">
        <v>27</v>
      </c>
      <c r="O5013">
        <v>300</v>
      </c>
      <c r="P5013">
        <v>300</v>
      </c>
      <c r="R5013" s="3" t="str">
        <f>HYPERLINK("https://panda.att.com.mx/ODKServer/view/binaryData?blobKey=FSSuministroFluidosv3%5B%40version%3Dnull+and+%40uiVersion%3Dnull%5D%2Fdata%5B%40key%3Duuid%3A6633831d-edcd-4582-bd79-f46058a7f297%5D%2FgroupInfoFuel%5B%40ordinal%3D1%5D%2FpicFuelRecibeInterno","Descargar")</f>
        <v>Descargar</v>
      </c>
    </row>
    <row r="5014" spans="1:18" x14ac:dyDescent="0.3">
      <c r="A5014">
        <v>1621146</v>
      </c>
      <c r="B5014" t="s">
        <v>18</v>
      </c>
      <c r="C5014" t="s">
        <v>28</v>
      </c>
      <c r="D5014" t="s">
        <v>429</v>
      </c>
      <c r="E5014" t="s">
        <v>430</v>
      </c>
      <c r="F5014" t="s">
        <v>22</v>
      </c>
      <c r="G5014" t="s">
        <v>23</v>
      </c>
      <c r="H5014" t="s">
        <v>24</v>
      </c>
      <c r="I5014" t="s">
        <v>25</v>
      </c>
      <c r="J5014" s="2">
        <v>45912.613564814812</v>
      </c>
      <c r="K5014">
        <v>12</v>
      </c>
      <c r="L5014">
        <v>9</v>
      </c>
      <c r="M5014">
        <v>2025</v>
      </c>
      <c r="N5014" t="s">
        <v>44</v>
      </c>
      <c r="O5014">
        <v>60</v>
      </c>
      <c r="P5014">
        <v>60</v>
      </c>
      <c r="R5014" s="3" t="str">
        <f>HYPERLINK("https://panda.att.com.mx/ODKServer/view/binaryData?blobKey=FSSuministroFluidosv3%5B%40version%3Dnull+and+%40uiVersion%3Dnull%5D%2Fdata%5B%40key%3Duuid%3A4faf7d56-0e90-43a8-83fa-d7e472a1462a%5D%2FgroupInfoFuel%5B%40ordinal%3D1%5D%2FpicFuelRecibeInterno","Descargar")</f>
        <v>Descargar</v>
      </c>
    </row>
    <row r="5015" spans="1:18" x14ac:dyDescent="0.3">
      <c r="A5015">
        <v>1621251</v>
      </c>
      <c r="B5015" t="s">
        <v>18</v>
      </c>
      <c r="C5015" t="s">
        <v>28</v>
      </c>
      <c r="D5015" t="s">
        <v>181</v>
      </c>
      <c r="E5015" t="s">
        <v>3821</v>
      </c>
      <c r="F5015" t="s">
        <v>22</v>
      </c>
      <c r="G5015" t="s">
        <v>23</v>
      </c>
      <c r="H5015" t="s">
        <v>24</v>
      </c>
      <c r="I5015" t="s">
        <v>25</v>
      </c>
      <c r="J5015" s="2">
        <v>45911.325023148151</v>
      </c>
      <c r="K5015">
        <v>11</v>
      </c>
      <c r="L5015">
        <v>9</v>
      </c>
      <c r="M5015">
        <v>2025</v>
      </c>
      <c r="N5015" t="s">
        <v>27</v>
      </c>
      <c r="O5015">
        <v>100</v>
      </c>
      <c r="P5015">
        <v>100</v>
      </c>
      <c r="R5015" s="3" t="str">
        <f>HYPERLINK("https://panda.att.com.mx/ODKServer/view/binaryData?blobKey=FSSuministroFluidosv3%5B%40version%3Dnull+and+%40uiVersion%3Dnull%5D%2Fdata%5B%40key%3Duuid%3A0fdd5427-3f38-43ff-aac0-e9aac3e992d3%5D%2FgroupInfoFuel%5B%40ordinal%3D1%5D%2FpicFuelRecibeInterno","Descargar")</f>
        <v>Descargar</v>
      </c>
    </row>
    <row r="5016" spans="1:18" x14ac:dyDescent="0.3">
      <c r="A5016">
        <v>1622026</v>
      </c>
      <c r="B5016" t="s">
        <v>18</v>
      </c>
      <c r="C5016" t="s">
        <v>28</v>
      </c>
      <c r="D5016" t="s">
        <v>467</v>
      </c>
      <c r="E5016" t="s">
        <v>3822</v>
      </c>
      <c r="F5016" t="s">
        <v>22</v>
      </c>
      <c r="G5016" t="s">
        <v>23</v>
      </c>
      <c r="H5016" t="s">
        <v>24</v>
      </c>
      <c r="I5016" t="s">
        <v>25</v>
      </c>
      <c r="J5016" s="2">
        <v>45920.753078703703</v>
      </c>
      <c r="K5016">
        <v>20</v>
      </c>
      <c r="L5016">
        <v>9</v>
      </c>
      <c r="M5016">
        <v>2025</v>
      </c>
      <c r="N5016" t="s">
        <v>44</v>
      </c>
      <c r="O5016">
        <v>60</v>
      </c>
      <c r="P5016">
        <v>60</v>
      </c>
      <c r="R5016" s="3" t="str">
        <f>HYPERLINK("https://panda.att.com.mx/ODKServer/view/binaryData?blobKey=FSSuministroFluidosv3%5B%40version%3Dnull+and+%40uiVersion%3Dnull%5D%2Fdata%5B%40key%3Duuid%3A1b757877-2efc-49c6-a1d5-3a35e881ddeb%5D%2FgroupInfoFuel%5B%40ordinal%3D1%5D%2FpicFuelRecibeInterno","Descargar")</f>
        <v>Descargar</v>
      </c>
    </row>
    <row r="5017" spans="1:18" x14ac:dyDescent="0.3">
      <c r="A5017">
        <v>1621255</v>
      </c>
      <c r="B5017" t="s">
        <v>18</v>
      </c>
      <c r="C5017" t="s">
        <v>28</v>
      </c>
      <c r="D5017" t="s">
        <v>181</v>
      </c>
      <c r="E5017" t="s">
        <v>3821</v>
      </c>
      <c r="F5017" t="s">
        <v>22</v>
      </c>
      <c r="G5017" t="s">
        <v>23</v>
      </c>
      <c r="H5017" t="s">
        <v>24</v>
      </c>
      <c r="I5017" t="s">
        <v>25</v>
      </c>
      <c r="J5017" s="2">
        <v>45911.351701388892</v>
      </c>
      <c r="K5017">
        <v>11</v>
      </c>
      <c r="L5017">
        <v>9</v>
      </c>
      <c r="M5017">
        <v>2025</v>
      </c>
      <c r="N5017" t="s">
        <v>27</v>
      </c>
      <c r="O5017">
        <v>100</v>
      </c>
      <c r="P5017">
        <v>100</v>
      </c>
      <c r="R5017" s="3" t="str">
        <f>HYPERLINK("https://panda.att.com.mx/ODKServer/view/binaryData?blobKey=FSSuministroFluidosv3%5B%40version%3Dnull+and+%40uiVersion%3Dnull%5D%2Fdata%5B%40key%3Duuid%3Aea1394ba-6ee4-40a2-b1c8-77afd23de38d%5D%2FgroupInfoFuel%5B%40ordinal%3D1%5D%2FpicFuelRecibeInterno","Descargar")</f>
        <v>Descargar</v>
      </c>
    </row>
    <row r="5018" spans="1:18" x14ac:dyDescent="0.3">
      <c r="A5018">
        <v>1621158</v>
      </c>
      <c r="B5018" t="s">
        <v>18</v>
      </c>
      <c r="C5018" t="s">
        <v>28</v>
      </c>
      <c r="D5018" t="s">
        <v>181</v>
      </c>
      <c r="E5018" t="s">
        <v>3823</v>
      </c>
      <c r="F5018" t="s">
        <v>22</v>
      </c>
      <c r="G5018" t="s">
        <v>23</v>
      </c>
      <c r="H5018" t="s">
        <v>24</v>
      </c>
      <c r="I5018" t="s">
        <v>25</v>
      </c>
      <c r="J5018" s="2">
        <v>45918.447245370371</v>
      </c>
      <c r="K5018">
        <v>18</v>
      </c>
      <c r="L5018">
        <v>9</v>
      </c>
      <c r="M5018">
        <v>2025</v>
      </c>
      <c r="N5018" t="s">
        <v>44</v>
      </c>
      <c r="O5018">
        <v>50</v>
      </c>
      <c r="Q5018">
        <v>50</v>
      </c>
      <c r="R5018" s="3" t="str">
        <f>HYPERLINK("https://panda.att.com.mx/ODKServer/view/binaryData?blobKey=FSSuministroFluidosv3%5B%40version%3Dnull+and+%40uiVersion%3Dnull%5D%2Fdata%5B%40key%3Duuid%3A3b382648-3e3d-4870-aff3-f4dfef9f0393%5D%2FgroupInfoFuel%5B%40ordinal%3D1%5D%2FpicFuelRecibeInterno","Descargar")</f>
        <v>Descargar</v>
      </c>
    </row>
    <row r="5019" spans="1:18" x14ac:dyDescent="0.3">
      <c r="A5019">
        <v>1613035</v>
      </c>
      <c r="B5019" t="s">
        <v>18</v>
      </c>
      <c r="C5019" t="s">
        <v>28</v>
      </c>
      <c r="D5019" t="s">
        <v>177</v>
      </c>
      <c r="E5019" t="s">
        <v>449</v>
      </c>
      <c r="F5019" t="s">
        <v>22</v>
      </c>
      <c r="G5019" t="s">
        <v>23</v>
      </c>
      <c r="H5019" t="s">
        <v>24</v>
      </c>
      <c r="I5019" t="s">
        <v>25</v>
      </c>
      <c r="J5019" s="2">
        <v>45901.679675925923</v>
      </c>
      <c r="K5019">
        <v>1</v>
      </c>
      <c r="L5019">
        <v>9</v>
      </c>
      <c r="M5019">
        <v>2025</v>
      </c>
      <c r="N5019" t="s">
        <v>44</v>
      </c>
      <c r="O5019">
        <v>30</v>
      </c>
      <c r="P5019">
        <v>30</v>
      </c>
      <c r="R5019" s="3" t="str">
        <f>HYPERLINK("https://panda.att.com.mx/ODKServer/view/binaryData?blobKey=FSSuministroFluidosv3%5B%40version%3Dnull+and+%40uiVersion%3Dnull%5D%2Fdata%5B%40key%3Duuid%3A9e13c1f2-1c3e-4230-a219-261d0f454b88%5D%2FgroupInfoFuel%5B%40ordinal%3D1%5D%2FpicFuelRecibeInterno","Descargar")</f>
        <v>Descargar</v>
      </c>
    </row>
    <row r="5020" spans="1:18" x14ac:dyDescent="0.3">
      <c r="A5020">
        <v>1489132</v>
      </c>
      <c r="B5020" t="s">
        <v>18</v>
      </c>
      <c r="C5020" t="s">
        <v>55</v>
      </c>
      <c r="D5020" t="s">
        <v>56</v>
      </c>
      <c r="E5020" t="s">
        <v>2735</v>
      </c>
      <c r="F5020" t="s">
        <v>22</v>
      </c>
      <c r="G5020" t="s">
        <v>23</v>
      </c>
      <c r="H5020" t="s">
        <v>1781</v>
      </c>
      <c r="I5020" t="s">
        <v>25</v>
      </c>
      <c r="J5020" s="2">
        <v>45714.752384259264</v>
      </c>
      <c r="K5020">
        <v>26</v>
      </c>
      <c r="L5020">
        <v>2</v>
      </c>
      <c r="M5020">
        <v>2025</v>
      </c>
      <c r="N5020" t="s">
        <v>27</v>
      </c>
      <c r="O5020">
        <v>50</v>
      </c>
      <c r="P5020">
        <v>50</v>
      </c>
      <c r="R5020" s="3" t="str">
        <f>HYPERLINK("https://panda.att.com.mx/ODKServer/view/binaryData?blobKey=FSSuministroFluidosv3%5B%40version%3Dnull+and+%40uiVersion%3Dnull%5D%2Fdata%5B%40key%3Duuid%3A60427a60-2a66-4e1f-806d-11a1189ee6b3%5D%2FgroupInfoFuel%5B%40ordinal%3D1%5D%2FpicFuelRecibeInterno","Descargar")</f>
        <v>Descargar</v>
      </c>
    </row>
    <row r="5021" spans="1:18" x14ac:dyDescent="0.3">
      <c r="A5021">
        <v>1488204</v>
      </c>
      <c r="B5021" t="s">
        <v>18</v>
      </c>
      <c r="C5021" t="s">
        <v>55</v>
      </c>
      <c r="D5021" t="s">
        <v>56</v>
      </c>
      <c r="E5021" t="s">
        <v>3023</v>
      </c>
      <c r="F5021" t="s">
        <v>22</v>
      </c>
      <c r="G5021" t="s">
        <v>23</v>
      </c>
      <c r="H5021" t="s">
        <v>1781</v>
      </c>
      <c r="I5021" t="s">
        <v>25</v>
      </c>
      <c r="J5021" s="2">
        <v>45713.524444444447</v>
      </c>
      <c r="K5021">
        <v>25</v>
      </c>
      <c r="L5021">
        <v>2</v>
      </c>
      <c r="M5021">
        <v>2025</v>
      </c>
      <c r="N5021" t="s">
        <v>27</v>
      </c>
      <c r="O5021">
        <v>150</v>
      </c>
      <c r="P5021">
        <v>150</v>
      </c>
      <c r="R5021" s="3" t="str">
        <f>HYPERLINK("https://panda.att.com.mx/ODKServer/view/binaryData?blobKey=FSSuministroFluidosv3%5B%40version%3Dnull+and+%40uiVersion%3Dnull%5D%2Fdata%5B%40key%3Duuid%3Afcb26511-0d03-427d-8f06-6d76cbfc329d%5D%2FgroupInfoFuel%5B%40ordinal%3D1%5D%2FpicFuelRecibeInterno","Descargar")</f>
        <v>Descargar</v>
      </c>
    </row>
    <row r="5022" spans="1:18" x14ac:dyDescent="0.3">
      <c r="A5022">
        <v>1488202</v>
      </c>
      <c r="B5022" t="s">
        <v>18</v>
      </c>
      <c r="C5022" t="s">
        <v>55</v>
      </c>
      <c r="D5022" t="s">
        <v>56</v>
      </c>
      <c r="E5022" t="s">
        <v>3037</v>
      </c>
      <c r="F5022" t="s">
        <v>22</v>
      </c>
      <c r="G5022" t="s">
        <v>23</v>
      </c>
      <c r="H5022" t="s">
        <v>1781</v>
      </c>
      <c r="I5022" t="s">
        <v>25</v>
      </c>
      <c r="J5022" s="2">
        <v>45713.405775462961</v>
      </c>
      <c r="K5022">
        <v>25</v>
      </c>
      <c r="L5022">
        <v>2</v>
      </c>
      <c r="M5022">
        <v>2025</v>
      </c>
      <c r="N5022" t="s">
        <v>27</v>
      </c>
      <c r="O5022">
        <v>150</v>
      </c>
      <c r="P5022">
        <v>150</v>
      </c>
      <c r="R5022" s="3" t="str">
        <f>HYPERLINK("https://panda.att.com.mx/ODKServer/view/binaryData?blobKey=FSSuministroFluidosv3%5B%40version%3Dnull+and+%40uiVersion%3Dnull%5D%2Fdata%5B%40key%3Duuid%3A2ac392b3-5697-459a-8658-d4b925fd88dc%5D%2FgroupInfoFuel%5B%40ordinal%3D1%5D%2FpicFuelRecibeInterno","Descargar")</f>
        <v>Descargar</v>
      </c>
    </row>
    <row r="5023" spans="1:18" x14ac:dyDescent="0.3">
      <c r="A5023">
        <v>1488203</v>
      </c>
      <c r="B5023" t="s">
        <v>18</v>
      </c>
      <c r="C5023" t="s">
        <v>55</v>
      </c>
      <c r="D5023" t="s">
        <v>56</v>
      </c>
      <c r="E5023" t="s">
        <v>2966</v>
      </c>
      <c r="F5023" t="s">
        <v>22</v>
      </c>
      <c r="G5023" t="s">
        <v>23</v>
      </c>
      <c r="H5023" t="s">
        <v>1781</v>
      </c>
      <c r="I5023" t="s">
        <v>25</v>
      </c>
      <c r="J5023" s="2">
        <v>45713.454699074071</v>
      </c>
      <c r="K5023">
        <v>25</v>
      </c>
      <c r="L5023">
        <v>2</v>
      </c>
      <c r="M5023">
        <v>2025</v>
      </c>
      <c r="N5023" t="s">
        <v>27</v>
      </c>
      <c r="O5023">
        <v>100</v>
      </c>
      <c r="P5023">
        <v>100</v>
      </c>
      <c r="R5023" s="3" t="str">
        <f>HYPERLINK("https://panda.att.com.mx/ODKServer/view/binaryData?blobKey=FSSuministroFluidosv3%5B%40version%3Dnull+and+%40uiVersion%3Dnull%5D%2Fdata%5B%40key%3Duuid%3A68bee32c-3347-4c74-a31e-71c618a30eff%5D%2FgroupInfoFuel%5B%40ordinal%3D1%5D%2FpicFuelRecibeInterno","Descargar")</f>
        <v>Descargar</v>
      </c>
    </row>
    <row r="5024" spans="1:18" x14ac:dyDescent="0.3">
      <c r="A5024">
        <v>1618882</v>
      </c>
      <c r="B5024" t="s">
        <v>18</v>
      </c>
      <c r="C5024" t="s">
        <v>68</v>
      </c>
      <c r="D5024" t="s">
        <v>258</v>
      </c>
      <c r="E5024" t="s">
        <v>3824</v>
      </c>
      <c r="F5024" t="s">
        <v>22</v>
      </c>
      <c r="G5024" t="s">
        <v>23</v>
      </c>
      <c r="H5024" t="s">
        <v>37</v>
      </c>
      <c r="I5024" t="s">
        <v>25</v>
      </c>
      <c r="J5024" s="2">
        <v>45915.23369212963</v>
      </c>
      <c r="K5024">
        <v>15</v>
      </c>
      <c r="L5024">
        <v>9</v>
      </c>
      <c r="M5024">
        <v>2025</v>
      </c>
      <c r="N5024" t="s">
        <v>27</v>
      </c>
      <c r="O5024">
        <v>160</v>
      </c>
      <c r="P5024">
        <v>160</v>
      </c>
      <c r="R5024" s="3" t="str">
        <f>HYPERLINK("https://panda.att.com.mx/ODKServer/view/binaryData?blobKey=FSSuministroFluidosv3%5B%40version%3Dnull+and+%40uiVersion%3Dnull%5D%2Fdata%5B%40key%3Duuid%3A4f0573a1-7808-4cf3-9b23-847740e3ca76%5D%2FgroupInfoFuel%5B%40ordinal%3D1%5D%2FpicFuelRecibeInterno","Descargar")</f>
        <v>Descargar</v>
      </c>
    </row>
    <row r="5025" spans="1:18" x14ac:dyDescent="0.3">
      <c r="A5025">
        <v>1623774</v>
      </c>
      <c r="B5025" t="s">
        <v>18</v>
      </c>
      <c r="C5025" t="s">
        <v>55</v>
      </c>
      <c r="D5025" t="s">
        <v>64</v>
      </c>
      <c r="E5025" t="s">
        <v>2001</v>
      </c>
      <c r="F5025" t="s">
        <v>22</v>
      </c>
      <c r="G5025" t="s">
        <v>23</v>
      </c>
      <c r="H5025" t="s">
        <v>58</v>
      </c>
      <c r="I5025" t="s">
        <v>25</v>
      </c>
      <c r="J5025" s="2">
        <v>45923.735046296293</v>
      </c>
      <c r="K5025">
        <v>23</v>
      </c>
      <c r="L5025">
        <v>9</v>
      </c>
      <c r="M5025">
        <v>2025</v>
      </c>
      <c r="N5025" t="s">
        <v>27</v>
      </c>
      <c r="O5025">
        <v>100</v>
      </c>
      <c r="P5025">
        <v>100</v>
      </c>
      <c r="R5025" s="3" t="str">
        <f>HYPERLINK("https://panda.att.com.mx/ODKServer/view/binaryData?blobKey=FSSuministroFluidosv3%5B%40version%3Dnull+and+%40uiVersion%3Dnull%5D%2Fdata%5B%40key%3Duuid%3Ac3c764da-1e4f-4637-ab82-658ea7104a0d%5D%2FgroupInfoFuel%5B%40ordinal%3D1%5D%2FpicFuelRecibeInterno","Descargar")</f>
        <v>Descargar</v>
      </c>
    </row>
    <row r="5026" spans="1:18" x14ac:dyDescent="0.3">
      <c r="A5026">
        <v>1621358</v>
      </c>
      <c r="B5026" t="s">
        <v>18</v>
      </c>
      <c r="C5026" t="s">
        <v>55</v>
      </c>
      <c r="D5026" t="s">
        <v>56</v>
      </c>
      <c r="E5026" t="s">
        <v>77</v>
      </c>
      <c r="F5026" t="s">
        <v>22</v>
      </c>
      <c r="G5026" t="s">
        <v>23</v>
      </c>
      <c r="H5026" t="s">
        <v>58</v>
      </c>
      <c r="I5026" t="s">
        <v>25</v>
      </c>
      <c r="J5026" s="2">
        <v>45915.798506944448</v>
      </c>
      <c r="K5026">
        <v>15</v>
      </c>
      <c r="L5026">
        <v>9</v>
      </c>
      <c r="M5026">
        <v>2025</v>
      </c>
      <c r="N5026" t="s">
        <v>27</v>
      </c>
      <c r="O5026">
        <v>300</v>
      </c>
      <c r="P5026">
        <v>300</v>
      </c>
      <c r="R5026" s="3" t="str">
        <f>HYPERLINK("https://panda.att.com.mx/ODKServer/view/binaryData?blobKey=FSSuministroFluidosv3%5B%40version%3Dnull+and+%40uiVersion%3Dnull%5D%2Fdata%5B%40key%3Duuid%3Ae45254cd-12c3-4388-8d0d-454ada087223%5D%2FgroupInfoFuel%5B%40ordinal%3D1%5D%2FpicFuelRecibeInterno","Descargar")</f>
        <v>Descargar</v>
      </c>
    </row>
    <row r="5027" spans="1:18" x14ac:dyDescent="0.3">
      <c r="A5027">
        <v>1621346</v>
      </c>
      <c r="B5027" t="s">
        <v>18</v>
      </c>
      <c r="C5027" t="s">
        <v>55</v>
      </c>
      <c r="D5027" t="s">
        <v>56</v>
      </c>
      <c r="E5027" t="s">
        <v>247</v>
      </c>
      <c r="F5027" t="s">
        <v>22</v>
      </c>
      <c r="G5027" t="s">
        <v>23</v>
      </c>
      <c r="H5027" t="s">
        <v>58</v>
      </c>
      <c r="I5027" t="s">
        <v>25</v>
      </c>
      <c r="J5027" s="2">
        <v>45903.542534722219</v>
      </c>
      <c r="K5027">
        <v>3</v>
      </c>
      <c r="L5027">
        <v>9</v>
      </c>
      <c r="M5027">
        <v>2025</v>
      </c>
      <c r="N5027" t="s">
        <v>27</v>
      </c>
      <c r="O5027">
        <v>100</v>
      </c>
      <c r="P5027">
        <v>100</v>
      </c>
      <c r="R5027" s="3" t="str">
        <f>HYPERLINK("https://panda.att.com.mx/ODKServer/view/binaryData?blobKey=FSSuministroFluidosv3%5B%40version%3Dnull+and+%40uiVersion%3Dnull%5D%2Fdata%5B%40key%3Duuid%3Ab019f742-92f5-4b14-ab38-9ef6b002b6aa%5D%2FgroupInfoFuel%5B%40ordinal%3D1%5D%2FpicFuelRecibeInterno","Descargar")</f>
        <v>Descargar</v>
      </c>
    </row>
    <row r="5028" spans="1:18" x14ac:dyDescent="0.3">
      <c r="A5028">
        <v>1621919</v>
      </c>
      <c r="B5028" t="s">
        <v>18</v>
      </c>
      <c r="C5028" t="s">
        <v>55</v>
      </c>
      <c r="D5028" t="s">
        <v>128</v>
      </c>
      <c r="E5028" t="s">
        <v>2511</v>
      </c>
      <c r="F5028" t="s">
        <v>22</v>
      </c>
      <c r="G5028" t="s">
        <v>23</v>
      </c>
      <c r="H5028" t="s">
        <v>58</v>
      </c>
      <c r="I5028" t="s">
        <v>25</v>
      </c>
      <c r="J5028" s="2">
        <v>45920.436631944453</v>
      </c>
      <c r="K5028">
        <v>20</v>
      </c>
      <c r="L5028">
        <v>9</v>
      </c>
      <c r="M5028">
        <v>2025</v>
      </c>
      <c r="N5028" t="s">
        <v>27</v>
      </c>
      <c r="O5028">
        <v>100</v>
      </c>
      <c r="P5028">
        <v>100</v>
      </c>
      <c r="R5028" s="3" t="str">
        <f>HYPERLINK("https://panda.att.com.mx/ODKServer/view/binaryData?blobKey=FSSuministroFluidosv3%5B%40version%3Dnull+and+%40uiVersion%3Dnull%5D%2Fdata%5B%40key%3Duuid%3A03ec517b-d681-405f-ba5d-8027326595e0%5D%2FgroupInfoFuel%5B%40ordinal%3D1%5D%2FpicFuelRecibeInterno","Descargar")</f>
        <v>Descargar</v>
      </c>
    </row>
    <row r="5029" spans="1:18" x14ac:dyDescent="0.3">
      <c r="A5029">
        <v>1620763</v>
      </c>
      <c r="B5029" t="s">
        <v>18</v>
      </c>
      <c r="C5029" t="s">
        <v>55</v>
      </c>
      <c r="D5029" t="s">
        <v>917</v>
      </c>
      <c r="E5029" t="s">
        <v>2946</v>
      </c>
      <c r="F5029" t="s">
        <v>22</v>
      </c>
      <c r="G5029" t="s">
        <v>23</v>
      </c>
      <c r="H5029" t="s">
        <v>58</v>
      </c>
      <c r="I5029" t="s">
        <v>25</v>
      </c>
      <c r="J5029" s="2">
        <v>45916.571238425917</v>
      </c>
      <c r="K5029">
        <v>16</v>
      </c>
      <c r="L5029">
        <v>9</v>
      </c>
      <c r="M5029">
        <v>2025</v>
      </c>
      <c r="N5029" t="s">
        <v>27</v>
      </c>
      <c r="O5029">
        <v>100</v>
      </c>
      <c r="P5029">
        <v>100</v>
      </c>
      <c r="R5029" s="3" t="str">
        <f>HYPERLINK("https://panda.att.com.mx/ODKServer/view/binaryData?blobKey=FSSuministroFluidosv3%5B%40version%3Dnull+and+%40uiVersion%3Dnull%5D%2Fdata%5B%40key%3Duuid%3A269aa706-234c-403a-8ada-773e516f0680%5D%2FgroupInfoFuel%5B%40ordinal%3D1%5D%2FpicFuelRecibeInterno","Descargar")</f>
        <v>Descargar</v>
      </c>
    </row>
    <row r="5030" spans="1:18" x14ac:dyDescent="0.3">
      <c r="A5030">
        <v>1620036</v>
      </c>
      <c r="B5030" t="s">
        <v>18</v>
      </c>
      <c r="C5030" t="s">
        <v>55</v>
      </c>
      <c r="D5030" t="s">
        <v>56</v>
      </c>
      <c r="E5030" t="s">
        <v>3825</v>
      </c>
      <c r="F5030" t="s">
        <v>22</v>
      </c>
      <c r="G5030" t="s">
        <v>23</v>
      </c>
      <c r="H5030" t="s">
        <v>58</v>
      </c>
      <c r="I5030" t="s">
        <v>25</v>
      </c>
      <c r="J5030" s="2">
        <v>45913.552407407413</v>
      </c>
      <c r="K5030">
        <v>13</v>
      </c>
      <c r="L5030">
        <v>9</v>
      </c>
      <c r="M5030">
        <v>2025</v>
      </c>
      <c r="N5030" t="s">
        <v>27</v>
      </c>
      <c r="O5030">
        <v>100</v>
      </c>
      <c r="P5030">
        <v>100</v>
      </c>
      <c r="R5030" s="3" t="str">
        <f>HYPERLINK("https://panda.att.com.mx/ODKServer/view/binaryData?blobKey=FSSuministroFluidosv3%5B%40version%3Dnull+and+%40uiVersion%3Dnull%5D%2Fdata%5B%40key%3Duuid%3Abad2d62d-a7ee-4c99-9ed7-aef9cb0d6c0f%5D%2FgroupInfoFuel%5B%40ordinal%3D1%5D%2FpicFuelRecibeInterno","Descargar")</f>
        <v>Descargar</v>
      </c>
    </row>
    <row r="5031" spans="1:18" x14ac:dyDescent="0.3">
      <c r="A5031">
        <v>1623515</v>
      </c>
      <c r="B5031" t="s">
        <v>18</v>
      </c>
      <c r="C5031" t="s">
        <v>55</v>
      </c>
      <c r="D5031" t="s">
        <v>917</v>
      </c>
      <c r="E5031" t="s">
        <v>2946</v>
      </c>
      <c r="F5031" t="s">
        <v>22</v>
      </c>
      <c r="G5031" t="s">
        <v>23</v>
      </c>
      <c r="H5031" t="s">
        <v>58</v>
      </c>
      <c r="I5031" t="s">
        <v>25</v>
      </c>
      <c r="J5031" s="2">
        <v>45919.638310185182</v>
      </c>
      <c r="K5031">
        <v>19</v>
      </c>
      <c r="L5031">
        <v>9</v>
      </c>
      <c r="M5031">
        <v>2025</v>
      </c>
      <c r="N5031" t="s">
        <v>27</v>
      </c>
      <c r="O5031">
        <v>150</v>
      </c>
      <c r="P5031">
        <v>150</v>
      </c>
      <c r="R5031" s="3" t="str">
        <f>HYPERLINK("https://panda.att.com.mx/ODKServer/view/binaryData?blobKey=FSSuministroFluidosv3%5B%40version%3Dnull+and+%40uiVersion%3Dnull%5D%2Fdata%5B%40key%3Duuid%3A2343406e-8d09-4c27-b764-e8997f6dc987%5D%2FgroupInfoFuel%5B%40ordinal%3D1%5D%2FpicFuelRecibeInterno","Descargar")</f>
        <v>Descargar</v>
      </c>
    </row>
    <row r="5032" spans="1:18" x14ac:dyDescent="0.3">
      <c r="A5032">
        <v>1619819</v>
      </c>
      <c r="B5032" t="s">
        <v>18</v>
      </c>
      <c r="C5032" t="s">
        <v>55</v>
      </c>
      <c r="D5032" t="s">
        <v>56</v>
      </c>
      <c r="E5032" t="s">
        <v>3825</v>
      </c>
      <c r="F5032" t="s">
        <v>22</v>
      </c>
      <c r="G5032" t="s">
        <v>23</v>
      </c>
      <c r="H5032" t="s">
        <v>58</v>
      </c>
      <c r="I5032" t="s">
        <v>25</v>
      </c>
      <c r="J5032" s="2">
        <v>45915.717175925929</v>
      </c>
      <c r="K5032">
        <v>15</v>
      </c>
      <c r="L5032">
        <v>9</v>
      </c>
      <c r="M5032">
        <v>2025</v>
      </c>
      <c r="N5032" t="s">
        <v>27</v>
      </c>
      <c r="O5032">
        <v>100</v>
      </c>
      <c r="P5032">
        <v>100</v>
      </c>
      <c r="R5032" s="3" t="str">
        <f>HYPERLINK("https://panda.att.com.mx/ODKServer/view/binaryData?blobKey=FSSuministroFluidosv3%5B%40version%3Dnull+and+%40uiVersion%3Dnull%5D%2Fdata%5B%40key%3Duuid%3A8598d74a-7bf8-42fb-a2a2-bd45520562bd%5D%2FgroupInfoFuel%5B%40ordinal%3D1%5D%2FpicFuelRecibeInterno","Descargar")</f>
        <v>Descargar</v>
      </c>
    </row>
    <row r="5033" spans="1:18" x14ac:dyDescent="0.3">
      <c r="A5033">
        <v>1619820</v>
      </c>
      <c r="B5033" t="s">
        <v>18</v>
      </c>
      <c r="C5033" t="s">
        <v>55</v>
      </c>
      <c r="D5033" t="s">
        <v>56</v>
      </c>
      <c r="E5033" t="s">
        <v>3825</v>
      </c>
      <c r="F5033" t="s">
        <v>22</v>
      </c>
      <c r="G5033" t="s">
        <v>23</v>
      </c>
      <c r="H5033" t="s">
        <v>58</v>
      </c>
      <c r="I5033" t="s">
        <v>25</v>
      </c>
      <c r="J5033" s="2">
        <v>45916.393900462957</v>
      </c>
      <c r="K5033">
        <v>16</v>
      </c>
      <c r="L5033">
        <v>9</v>
      </c>
      <c r="M5033">
        <v>2025</v>
      </c>
      <c r="N5033" t="s">
        <v>27</v>
      </c>
      <c r="O5033">
        <v>100</v>
      </c>
      <c r="P5033">
        <v>100</v>
      </c>
      <c r="R5033" s="3" t="str">
        <f>HYPERLINK("https://panda.att.com.mx/ODKServer/view/binaryData?blobKey=FSSuministroFluidosv3%5B%40version%3Dnull+and+%40uiVersion%3Dnull%5D%2Fdata%5B%40key%3Duuid%3Aabee2c77-3b84-4f76-ae4f-2c259137c248%5D%2FgroupInfoFuel%5B%40ordinal%3D1%5D%2FpicFuelRecibeInterno","Descargar")</f>
        <v>Descargar</v>
      </c>
    </row>
    <row r="5034" spans="1:18" x14ac:dyDescent="0.3">
      <c r="A5034">
        <v>1621359</v>
      </c>
      <c r="B5034" t="s">
        <v>18</v>
      </c>
      <c r="C5034" t="s">
        <v>55</v>
      </c>
      <c r="D5034" t="s">
        <v>56</v>
      </c>
      <c r="E5034" t="s">
        <v>3826</v>
      </c>
      <c r="F5034" t="s">
        <v>22</v>
      </c>
      <c r="G5034" t="s">
        <v>23</v>
      </c>
      <c r="H5034" t="s">
        <v>58</v>
      </c>
      <c r="I5034" t="s">
        <v>25</v>
      </c>
      <c r="J5034" s="2">
        <v>45917.797453703701</v>
      </c>
      <c r="K5034">
        <v>17</v>
      </c>
      <c r="L5034">
        <v>9</v>
      </c>
      <c r="M5034">
        <v>2025</v>
      </c>
      <c r="N5034" t="s">
        <v>27</v>
      </c>
      <c r="O5034">
        <v>100</v>
      </c>
      <c r="P5034">
        <v>100</v>
      </c>
      <c r="R5034" s="3" t="str">
        <f>HYPERLINK("https://panda.att.com.mx/ODKServer/view/binaryData?blobKey=FSSuministroFluidosv3%5B%40version%3Dnull+and+%40uiVersion%3Dnull%5D%2Fdata%5B%40key%3Duuid%3Ac645db74-39b6-4cd8-aec8-d2b798f68650%5D%2FgroupInfoFuel%5B%40ordinal%3D1%5D%2FpicFuelRecibeInterno","Descargar")</f>
        <v>Descargar</v>
      </c>
    </row>
    <row r="5035" spans="1:18" x14ac:dyDescent="0.3">
      <c r="A5035">
        <v>1622975</v>
      </c>
      <c r="B5035" t="s">
        <v>18</v>
      </c>
      <c r="C5035" t="s">
        <v>55</v>
      </c>
      <c r="D5035" t="s">
        <v>288</v>
      </c>
      <c r="E5035" t="s">
        <v>440</v>
      </c>
      <c r="F5035" t="s">
        <v>22</v>
      </c>
      <c r="G5035" t="s">
        <v>23</v>
      </c>
      <c r="H5035" t="s">
        <v>58</v>
      </c>
      <c r="I5035" t="s">
        <v>25</v>
      </c>
      <c r="J5035" s="2">
        <v>45922.655046296299</v>
      </c>
      <c r="K5035">
        <v>22</v>
      </c>
      <c r="L5035">
        <v>9</v>
      </c>
      <c r="M5035">
        <v>2025</v>
      </c>
      <c r="N5035" t="s">
        <v>27</v>
      </c>
      <c r="O5035">
        <v>450</v>
      </c>
      <c r="P5035">
        <v>450</v>
      </c>
      <c r="R5035" s="3" t="str">
        <f>HYPERLINK("https://panda.att.com.mx/ODKServer/view/binaryData?blobKey=FSSuministroFluidosv3%5B%40version%3Dnull+and+%40uiVersion%3Dnull%5D%2Fdata%5B%40key%3Duuid%3Acf97f22c-c7d7-4693-9721-9b611421df20%5D%2FgroupInfoFuel%5B%40ordinal%3D1%5D%2FpicFuelRecibeInterno","Descargar")</f>
        <v>Descargar</v>
      </c>
    </row>
    <row r="5036" spans="1:18" x14ac:dyDescent="0.3">
      <c r="A5036">
        <v>1622207</v>
      </c>
      <c r="B5036" t="s">
        <v>18</v>
      </c>
      <c r="C5036" t="s">
        <v>55</v>
      </c>
      <c r="D5036" t="s">
        <v>917</v>
      </c>
      <c r="E5036" t="s">
        <v>2946</v>
      </c>
      <c r="F5036" t="s">
        <v>22</v>
      </c>
      <c r="G5036" t="s">
        <v>23</v>
      </c>
      <c r="H5036" t="s">
        <v>58</v>
      </c>
      <c r="I5036" t="s">
        <v>25</v>
      </c>
      <c r="J5036" s="2">
        <v>45921.530266203707</v>
      </c>
      <c r="K5036">
        <v>21</v>
      </c>
      <c r="L5036">
        <v>9</v>
      </c>
      <c r="M5036">
        <v>2025</v>
      </c>
      <c r="N5036" t="s">
        <v>27</v>
      </c>
      <c r="O5036">
        <v>200</v>
      </c>
      <c r="P5036">
        <v>200</v>
      </c>
      <c r="R5036" s="3" t="str">
        <f>HYPERLINK("https://panda.att.com.mx/ODKServer/view/binaryData?blobKey=FSSuministroFluidosv3%5B%40version%3Dnull+and+%40uiVersion%3Dnull%5D%2Fdata%5B%40key%3Duuid%3Ae96632fb-a018-4e42-8b55-61bdc573bf4d%5D%2FgroupInfoFuel%5B%40ordinal%3D1%5D%2FpicFuelRecibeInterno","Descargar")</f>
        <v>Descargar</v>
      </c>
    </row>
    <row r="5037" spans="1:18" x14ac:dyDescent="0.3">
      <c r="A5037">
        <v>1621900</v>
      </c>
      <c r="B5037" t="s">
        <v>18</v>
      </c>
      <c r="C5037" t="s">
        <v>55</v>
      </c>
      <c r="D5037" t="s">
        <v>64</v>
      </c>
      <c r="E5037" t="s">
        <v>3827</v>
      </c>
      <c r="F5037" t="s">
        <v>22</v>
      </c>
      <c r="G5037" t="s">
        <v>23</v>
      </c>
      <c r="H5037" t="s">
        <v>58</v>
      </c>
      <c r="I5037" t="s">
        <v>25</v>
      </c>
      <c r="J5037" s="2">
        <v>45920.443715277783</v>
      </c>
      <c r="K5037">
        <v>20</v>
      </c>
      <c r="L5037">
        <v>9</v>
      </c>
      <c r="M5037">
        <v>2025</v>
      </c>
      <c r="N5037" t="s">
        <v>27</v>
      </c>
      <c r="O5037">
        <v>150</v>
      </c>
      <c r="P5037">
        <v>150</v>
      </c>
      <c r="R5037" s="3" t="str">
        <f>HYPERLINK("https://panda.att.com.mx/ODKServer/view/binaryData?blobKey=FSSuministroFluidosv3%5B%40version%3Dnull+and+%40uiVersion%3Dnull%5D%2Fdata%5B%40key%3Duuid%3A21f40d11-c8a8-4e2b-9b9a-483547f553f5%5D%2FgroupInfoFuel%5B%40ordinal%3D1%5D%2FpicFuelRecibeInterno","Descargar")</f>
        <v>Descargar</v>
      </c>
    </row>
    <row r="5038" spans="1:18" x14ac:dyDescent="0.3">
      <c r="A5038">
        <v>1622142</v>
      </c>
      <c r="B5038" t="s">
        <v>18</v>
      </c>
      <c r="C5038" t="s">
        <v>55</v>
      </c>
      <c r="D5038" t="s">
        <v>64</v>
      </c>
      <c r="E5038" t="s">
        <v>3827</v>
      </c>
      <c r="F5038" t="s">
        <v>22</v>
      </c>
      <c r="G5038" t="s">
        <v>23</v>
      </c>
      <c r="H5038" t="s">
        <v>58</v>
      </c>
      <c r="I5038" t="s">
        <v>25</v>
      </c>
      <c r="J5038" s="2">
        <v>45921.365405092591</v>
      </c>
      <c r="K5038">
        <v>21</v>
      </c>
      <c r="L5038">
        <v>9</v>
      </c>
      <c r="M5038">
        <v>2025</v>
      </c>
      <c r="N5038" t="s">
        <v>27</v>
      </c>
      <c r="O5038">
        <v>150</v>
      </c>
      <c r="P5038">
        <v>150</v>
      </c>
      <c r="R5038" s="3" t="str">
        <f>HYPERLINK("https://panda.att.com.mx/ODKServer/view/binaryData?blobKey=FSSuministroFluidosv3%5B%40version%3Dnull+and+%40uiVersion%3Dnull%5D%2Fdata%5B%40key%3Duuid%3Aefa77af2-7588-4534-9cee-4f16fd758ec3%5D%2FgroupInfoFuel%5B%40ordinal%3D1%5D%2FpicFuelRecibeInterno","Descargar")</f>
        <v>Descargar</v>
      </c>
    </row>
    <row r="5039" spans="1:18" x14ac:dyDescent="0.3">
      <c r="A5039">
        <v>1623773</v>
      </c>
      <c r="B5039" t="s">
        <v>18</v>
      </c>
      <c r="C5039" t="s">
        <v>55</v>
      </c>
      <c r="D5039" t="s">
        <v>64</v>
      </c>
      <c r="E5039" t="s">
        <v>2496</v>
      </c>
      <c r="F5039" t="s">
        <v>22</v>
      </c>
      <c r="G5039" t="s">
        <v>23</v>
      </c>
      <c r="H5039" t="s">
        <v>58</v>
      </c>
      <c r="I5039" t="s">
        <v>25</v>
      </c>
      <c r="J5039" s="2">
        <v>45923.637708333343</v>
      </c>
      <c r="K5039">
        <v>23</v>
      </c>
      <c r="L5039">
        <v>9</v>
      </c>
      <c r="M5039">
        <v>2025</v>
      </c>
      <c r="N5039" t="s">
        <v>27</v>
      </c>
      <c r="O5039">
        <v>250</v>
      </c>
      <c r="P5039">
        <v>250</v>
      </c>
      <c r="R5039" s="3" t="str">
        <f>HYPERLINK("https://panda.att.com.mx/ODKServer/view/binaryData?blobKey=FSSuministroFluidosv3%5B%40version%3Dnull+and+%40uiVersion%3Dnull%5D%2Fdata%5B%40key%3Duuid%3A7ab722c3-7c34-4cd2-92be-7b41e5bda5f0%5D%2FgroupInfoFuel%5B%40ordinal%3D1%5D%2FpicFuelRecibeInterno","Descargar")</f>
        <v>Descargar</v>
      </c>
    </row>
    <row r="5040" spans="1:18" x14ac:dyDescent="0.3">
      <c r="A5040">
        <v>1623991</v>
      </c>
      <c r="B5040" t="s">
        <v>18</v>
      </c>
      <c r="C5040" t="s">
        <v>55</v>
      </c>
      <c r="D5040" t="s">
        <v>64</v>
      </c>
      <c r="E5040" t="s">
        <v>3828</v>
      </c>
      <c r="F5040" t="s">
        <v>22</v>
      </c>
      <c r="G5040" t="s">
        <v>23</v>
      </c>
      <c r="H5040" t="s">
        <v>58</v>
      </c>
      <c r="I5040" t="s">
        <v>25</v>
      </c>
      <c r="J5040" s="2">
        <v>45923.750277777777</v>
      </c>
      <c r="K5040">
        <v>23</v>
      </c>
      <c r="L5040">
        <v>9</v>
      </c>
      <c r="M5040">
        <v>2025</v>
      </c>
      <c r="N5040" t="s">
        <v>27</v>
      </c>
      <c r="O5040">
        <v>200</v>
      </c>
      <c r="P5040">
        <v>200</v>
      </c>
      <c r="R5040" s="3" t="str">
        <f>HYPERLINK("https://panda.att.com.mx/ODKServer/view/binaryData?blobKey=FSSuministroFluidosv3%5B%40version%3Dnull+and+%40uiVersion%3Dnull%5D%2Fdata%5B%40key%3Duuid%3A84233876-f96a-481d-80b9-366688abdab5%5D%2FgroupInfoFuel%5B%40ordinal%3D1%5D%2FpicFuelRecibeInterno","Descargar")</f>
        <v>Descargar</v>
      </c>
    </row>
    <row r="5041" spans="1:18" x14ac:dyDescent="0.3">
      <c r="A5041">
        <v>1619932</v>
      </c>
      <c r="B5041" t="s">
        <v>18</v>
      </c>
      <c r="C5041" t="s">
        <v>55</v>
      </c>
      <c r="D5041" t="s">
        <v>210</v>
      </c>
      <c r="E5041" t="s">
        <v>3829</v>
      </c>
      <c r="F5041" t="s">
        <v>22</v>
      </c>
      <c r="G5041" t="s">
        <v>23</v>
      </c>
      <c r="H5041" t="s">
        <v>58</v>
      </c>
      <c r="I5041" t="s">
        <v>25</v>
      </c>
      <c r="J5041" s="2">
        <v>45912.273217592592</v>
      </c>
      <c r="K5041">
        <v>12</v>
      </c>
      <c r="L5041">
        <v>9</v>
      </c>
      <c r="M5041">
        <v>2025</v>
      </c>
      <c r="N5041" t="s">
        <v>27</v>
      </c>
      <c r="O5041">
        <v>100</v>
      </c>
      <c r="P5041">
        <v>100</v>
      </c>
      <c r="R5041" s="3" t="str">
        <f>HYPERLINK("https://panda.att.com.mx/ODKServer/view/binaryData?blobKey=FSSuministroFluidosv3%5B%40version%3Dnull+and+%40uiVersion%3Dnull%5D%2Fdata%5B%40key%3Duuid%3A5ab0b8d2-79ce-4fd9-ad1a-da067cbef8fc%5D%2FgroupInfoFuel%5B%40ordinal%3D1%5D%2FpicFuelRecibeInterno","Descargar")</f>
        <v>Descargar</v>
      </c>
    </row>
    <row r="5042" spans="1:18" x14ac:dyDescent="0.3">
      <c r="A5042">
        <v>1616875</v>
      </c>
      <c r="B5042" t="s">
        <v>18</v>
      </c>
      <c r="C5042" t="s">
        <v>55</v>
      </c>
      <c r="D5042" t="s">
        <v>107</v>
      </c>
      <c r="E5042" t="s">
        <v>108</v>
      </c>
      <c r="F5042" t="s">
        <v>22</v>
      </c>
      <c r="G5042" t="s">
        <v>23</v>
      </c>
      <c r="H5042" t="s">
        <v>58</v>
      </c>
      <c r="I5042" t="s">
        <v>25</v>
      </c>
      <c r="J5042" s="2">
        <v>45911.549004629633</v>
      </c>
      <c r="K5042">
        <v>11</v>
      </c>
      <c r="L5042">
        <v>9</v>
      </c>
      <c r="M5042">
        <v>2025</v>
      </c>
      <c r="N5042" t="s">
        <v>27</v>
      </c>
      <c r="O5042">
        <v>250</v>
      </c>
      <c r="P5042">
        <v>250</v>
      </c>
      <c r="R5042" s="3" t="str">
        <f>HYPERLINK("https://panda.att.com.mx/ODKServer/view/binaryData?blobKey=FSSuministroFluidosv3%5B%40version%3Dnull+and+%40uiVersion%3Dnull%5D%2Fdata%5B%40key%3Duuid%3A44e060b3-39e5-4c39-a4fa-f35ebfb20e3d%5D%2FgroupInfoFuel%5B%40ordinal%3D1%5D%2FpicFuelRecibeInterno","Descargar")</f>
        <v>Descargar</v>
      </c>
    </row>
    <row r="5043" spans="1:18" x14ac:dyDescent="0.3">
      <c r="A5043">
        <v>1621015</v>
      </c>
      <c r="B5043" t="s">
        <v>18</v>
      </c>
      <c r="C5043" t="s">
        <v>55</v>
      </c>
      <c r="D5043" t="s">
        <v>128</v>
      </c>
      <c r="E5043" t="s">
        <v>273</v>
      </c>
      <c r="F5043" t="s">
        <v>22</v>
      </c>
      <c r="G5043" t="s">
        <v>23</v>
      </c>
      <c r="H5043" t="s">
        <v>58</v>
      </c>
      <c r="I5043" t="s">
        <v>25</v>
      </c>
      <c r="J5043" s="2">
        <v>45918.646145833343</v>
      </c>
      <c r="K5043">
        <v>18</v>
      </c>
      <c r="L5043">
        <v>9</v>
      </c>
      <c r="M5043">
        <v>2025</v>
      </c>
      <c r="N5043" t="s">
        <v>44</v>
      </c>
      <c r="O5043">
        <v>25</v>
      </c>
      <c r="P5043">
        <v>25</v>
      </c>
      <c r="R5043" s="3" t="str">
        <f>HYPERLINK("https://panda.att.com.mx/ODKServer/view/binaryData?blobKey=FSSuministroFluidosv3%5B%40version%3Dnull+and+%40uiVersion%3Dnull%5D%2Fdata%5B%40key%3Duuid%3Ab6876c91-2ed1-464f-b458-015f76ef0ed8%5D%2FgroupInfoFuel%5B%40ordinal%3D1%5D%2FpicFuelRecibeInterno","Descargar")</f>
        <v>Descargar</v>
      </c>
    </row>
    <row r="5044" spans="1:18" x14ac:dyDescent="0.3">
      <c r="A5044">
        <v>1619933</v>
      </c>
      <c r="B5044" t="s">
        <v>18</v>
      </c>
      <c r="C5044" t="s">
        <v>55</v>
      </c>
      <c r="D5044" t="s">
        <v>210</v>
      </c>
      <c r="E5044" t="s">
        <v>3830</v>
      </c>
      <c r="F5044" t="s">
        <v>22</v>
      </c>
      <c r="G5044" t="s">
        <v>23</v>
      </c>
      <c r="H5044" t="s">
        <v>58</v>
      </c>
      <c r="I5044" t="s">
        <v>25</v>
      </c>
      <c r="J5044" s="2">
        <v>45916.433877314812</v>
      </c>
      <c r="K5044">
        <v>16</v>
      </c>
      <c r="L5044">
        <v>9</v>
      </c>
      <c r="M5044">
        <v>2025</v>
      </c>
      <c r="N5044" t="s">
        <v>27</v>
      </c>
      <c r="O5044">
        <v>100</v>
      </c>
      <c r="P5044">
        <v>100</v>
      </c>
      <c r="R5044" s="3" t="str">
        <f>HYPERLINK("https://panda.att.com.mx/ODKServer/view/binaryData?blobKey=FSSuministroFluidosv3%5B%40version%3Dnull+and+%40uiVersion%3Dnull%5D%2Fdata%5B%40key%3Duuid%3A30ae7b25-e3eb-46a3-87a2-b51b64f744dc%5D%2FgroupInfoFuel%5B%40ordinal%3D1%5D%2FpicFuelRecibeInterno","Descargar")</f>
        <v>Descargar</v>
      </c>
    </row>
    <row r="5045" spans="1:18" x14ac:dyDescent="0.3">
      <c r="A5045">
        <v>1621308</v>
      </c>
      <c r="B5045" t="s">
        <v>18</v>
      </c>
      <c r="C5045" t="s">
        <v>55</v>
      </c>
      <c r="D5045" t="s">
        <v>887</v>
      </c>
      <c r="E5045" t="s">
        <v>888</v>
      </c>
      <c r="F5045" t="s">
        <v>22</v>
      </c>
      <c r="G5045" t="s">
        <v>23</v>
      </c>
      <c r="H5045" t="s">
        <v>58</v>
      </c>
      <c r="I5045" t="s">
        <v>25</v>
      </c>
      <c r="J5045" s="2">
        <v>45919.352627314824</v>
      </c>
      <c r="K5045">
        <v>19</v>
      </c>
      <c r="L5045">
        <v>9</v>
      </c>
      <c r="M5045">
        <v>2025</v>
      </c>
      <c r="N5045" t="s">
        <v>27</v>
      </c>
      <c r="O5045">
        <v>190</v>
      </c>
      <c r="P5045">
        <v>190</v>
      </c>
      <c r="R5045" s="3" t="str">
        <f>HYPERLINK("https://panda.att.com.mx/ODKServer/view/binaryData?blobKey=FSSuministroFluidosv3%5B%40version%3Dnull+and+%40uiVersion%3Dnull%5D%2Fdata%5B%40key%3Duuid%3Ac1dea798-f523-4264-8f30-3935ab736d17%5D%2FgroupInfoFuel%5B%40ordinal%3D1%5D%2FpicFuelRecibeInterno","Descargar")</f>
        <v>Descargar</v>
      </c>
    </row>
    <row r="5046" spans="1:18" x14ac:dyDescent="0.3">
      <c r="A5046">
        <v>1623307</v>
      </c>
      <c r="B5046" t="s">
        <v>18</v>
      </c>
      <c r="C5046" t="s">
        <v>55</v>
      </c>
      <c r="D5046" t="s">
        <v>288</v>
      </c>
      <c r="E5046" t="s">
        <v>1537</v>
      </c>
      <c r="F5046" t="s">
        <v>22</v>
      </c>
      <c r="G5046" t="s">
        <v>23</v>
      </c>
      <c r="H5046" t="s">
        <v>58</v>
      </c>
      <c r="I5046" t="s">
        <v>25</v>
      </c>
      <c r="J5046" s="2">
        <v>45922.7262962963</v>
      </c>
      <c r="K5046">
        <v>22</v>
      </c>
      <c r="L5046">
        <v>9</v>
      </c>
      <c r="M5046">
        <v>2025</v>
      </c>
      <c r="N5046" t="s">
        <v>27</v>
      </c>
      <c r="O5046">
        <v>350</v>
      </c>
      <c r="P5046">
        <v>350</v>
      </c>
      <c r="R5046" s="3" t="str">
        <f>HYPERLINK("https://panda.att.com.mx/ODKServer/view/binaryData?blobKey=FSSuministroFluidosv3%5B%40version%3Dnull+and+%40uiVersion%3Dnull%5D%2Fdata%5B%40key%3Duuid%3Aebe2d289-510a-4efa-834f-c1bea0f7aa3a%5D%2FgroupInfoFuel%5B%40ordinal%3D1%5D%2FpicFuelRecibeInterno","Descargar")</f>
        <v>Descargar</v>
      </c>
    </row>
    <row r="5047" spans="1:18" x14ac:dyDescent="0.3">
      <c r="A5047">
        <v>1619817</v>
      </c>
      <c r="B5047" t="s">
        <v>18</v>
      </c>
      <c r="C5047" t="s">
        <v>55</v>
      </c>
      <c r="D5047" t="s">
        <v>56</v>
      </c>
      <c r="E5047" t="s">
        <v>3825</v>
      </c>
      <c r="F5047" t="s">
        <v>22</v>
      </c>
      <c r="G5047" t="s">
        <v>23</v>
      </c>
      <c r="H5047" t="s">
        <v>58</v>
      </c>
      <c r="I5047" t="s">
        <v>25</v>
      </c>
      <c r="J5047" s="2">
        <v>45914.410509259258</v>
      </c>
      <c r="K5047">
        <v>14</v>
      </c>
      <c r="L5047">
        <v>9</v>
      </c>
      <c r="M5047">
        <v>2025</v>
      </c>
      <c r="N5047" t="s">
        <v>27</v>
      </c>
      <c r="O5047">
        <v>100</v>
      </c>
      <c r="P5047">
        <v>100</v>
      </c>
      <c r="R5047" s="3" t="str">
        <f>HYPERLINK("https://panda.att.com.mx/ODKServer/view/binaryData?blobKey=FSSuministroFluidosv3%5B%40version%3Dnull+and+%40uiVersion%3Dnull%5D%2Fdata%5B%40key%3Duuid%3A5fe09b51-8611-42e6-b9f3-434917bdce4c%5D%2FgroupInfoFuel%5B%40ordinal%3D1%5D%2FpicFuelRecibeInterno","Descargar")</f>
        <v>Descargar</v>
      </c>
    </row>
    <row r="5048" spans="1:18" x14ac:dyDescent="0.3">
      <c r="A5048">
        <v>1622234</v>
      </c>
      <c r="B5048" t="s">
        <v>18</v>
      </c>
      <c r="C5048" t="s">
        <v>55</v>
      </c>
      <c r="D5048" t="s">
        <v>64</v>
      </c>
      <c r="E5048" t="s">
        <v>3827</v>
      </c>
      <c r="F5048" t="s">
        <v>22</v>
      </c>
      <c r="G5048" t="s">
        <v>23</v>
      </c>
      <c r="H5048" t="s">
        <v>58</v>
      </c>
      <c r="I5048" t="s">
        <v>25</v>
      </c>
      <c r="J5048" s="2">
        <v>45921.745706018519</v>
      </c>
      <c r="K5048">
        <v>21</v>
      </c>
      <c r="L5048">
        <v>9</v>
      </c>
      <c r="M5048">
        <v>2025</v>
      </c>
      <c r="N5048" t="s">
        <v>27</v>
      </c>
      <c r="O5048">
        <v>150</v>
      </c>
      <c r="P5048">
        <v>150</v>
      </c>
      <c r="R5048" s="3" t="str">
        <f>HYPERLINK("https://panda.att.com.mx/ODKServer/view/binaryData?blobKey=FSSuministroFluidosv3%5B%40version%3Dnull+and+%40uiVersion%3Dnull%5D%2Fdata%5B%40key%3Duuid%3A64dea4a1-80d0-416b-8309-c28003375dc2%5D%2FgroupInfoFuel%5B%40ordinal%3D1%5D%2FpicFuelRecibeInterno","Descargar")</f>
        <v>Descargar</v>
      </c>
    </row>
    <row r="5049" spans="1:18" x14ac:dyDescent="0.3">
      <c r="A5049">
        <v>1622630</v>
      </c>
      <c r="B5049" t="s">
        <v>18</v>
      </c>
      <c r="C5049" t="s">
        <v>55</v>
      </c>
      <c r="D5049" t="s">
        <v>64</v>
      </c>
      <c r="E5049" t="s">
        <v>3827</v>
      </c>
      <c r="F5049" t="s">
        <v>22</v>
      </c>
      <c r="G5049" t="s">
        <v>23</v>
      </c>
      <c r="H5049" t="s">
        <v>58</v>
      </c>
      <c r="I5049" t="s">
        <v>25</v>
      </c>
      <c r="J5049" s="2">
        <v>45922.413680555554</v>
      </c>
      <c r="K5049">
        <v>22</v>
      </c>
      <c r="L5049">
        <v>9</v>
      </c>
      <c r="M5049">
        <v>2025</v>
      </c>
      <c r="N5049" t="s">
        <v>27</v>
      </c>
      <c r="O5049">
        <v>150</v>
      </c>
      <c r="P5049">
        <v>150</v>
      </c>
      <c r="R5049" s="3" t="str">
        <f>HYPERLINK("https://panda.att.com.mx/ODKServer/view/binaryData?blobKey=FSSuministroFluidosv3%5B%40version%3Dnull+and+%40uiVersion%3Dnull%5D%2Fdata%5B%40key%3Duuid%3A2253d770-4294-4614-b809-929fddbb9e5d%5D%2FgroupInfoFuel%5B%40ordinal%3D1%5D%2FpicFuelRecibeInterno","Descargar")</f>
        <v>Descargar</v>
      </c>
    </row>
    <row r="5050" spans="1:18" x14ac:dyDescent="0.3">
      <c r="A5050">
        <v>1619281</v>
      </c>
      <c r="B5050" t="s">
        <v>18</v>
      </c>
      <c r="C5050" t="s">
        <v>68</v>
      </c>
      <c r="D5050" t="s">
        <v>132</v>
      </c>
      <c r="E5050" t="s">
        <v>3831</v>
      </c>
      <c r="F5050" t="s">
        <v>22</v>
      </c>
      <c r="G5050" t="s">
        <v>23</v>
      </c>
      <c r="H5050" t="s">
        <v>37</v>
      </c>
      <c r="I5050" t="s">
        <v>25</v>
      </c>
      <c r="J5050" s="2">
        <v>45915.257824074077</v>
      </c>
      <c r="K5050">
        <v>15</v>
      </c>
      <c r="L5050">
        <v>9</v>
      </c>
      <c r="M5050">
        <v>2025</v>
      </c>
      <c r="N5050" t="s">
        <v>27</v>
      </c>
      <c r="O5050">
        <v>140</v>
      </c>
      <c r="P5050">
        <v>140</v>
      </c>
      <c r="R5050" s="3" t="str">
        <f>HYPERLINK("https://panda.att.com.mx/ODKServer/view/binaryData?blobKey=FSSuministroFluidosv3%5B%40version%3Dnull+and+%40uiVersion%3Dnull%5D%2Fdata%5B%40key%3Duuid%3A3f66b322-df60-4b0f-8cd3-a11f00007f1e%5D%2FgroupInfoFuel%5B%40ordinal%3D1%5D%2FpicFuelRecibeInterno","Descargar")</f>
        <v>Descargar</v>
      </c>
    </row>
    <row r="5051" spans="1:18" x14ac:dyDescent="0.3">
      <c r="A5051">
        <v>1620143</v>
      </c>
      <c r="B5051" t="s">
        <v>18</v>
      </c>
      <c r="C5051" t="s">
        <v>68</v>
      </c>
      <c r="D5051" t="s">
        <v>258</v>
      </c>
      <c r="E5051" t="s">
        <v>3832</v>
      </c>
      <c r="F5051" t="s">
        <v>22</v>
      </c>
      <c r="G5051" t="s">
        <v>23</v>
      </c>
      <c r="H5051" t="s">
        <v>37</v>
      </c>
      <c r="I5051" t="s">
        <v>25</v>
      </c>
      <c r="J5051" s="2">
        <v>45910.543576388889</v>
      </c>
      <c r="K5051">
        <v>10</v>
      </c>
      <c r="L5051">
        <v>9</v>
      </c>
      <c r="M5051">
        <v>2025</v>
      </c>
      <c r="N5051" t="s">
        <v>27</v>
      </c>
      <c r="O5051">
        <v>200</v>
      </c>
      <c r="P5051">
        <v>200</v>
      </c>
      <c r="R5051" s="3" t="str">
        <f>HYPERLINK("https://panda.att.com.mx/ODKServer/view/binaryData?blobKey=FSSuministroFluidosv3%5B%40version%3Dnull+and+%40uiVersion%3Dnull%5D%2Fdata%5B%40key%3Duuid%3Aadb0c679-ae67-468e-a092-62a2918ae593%5D%2FgroupInfoFuel%5B%40ordinal%3D1%5D%2FpicFuelRecibeInterno","Descargar")</f>
        <v>Descargar</v>
      </c>
    </row>
    <row r="5052" spans="1:18" x14ac:dyDescent="0.3">
      <c r="A5052">
        <v>1618851</v>
      </c>
      <c r="B5052" t="s">
        <v>18</v>
      </c>
      <c r="C5052" t="s">
        <v>68</v>
      </c>
      <c r="D5052" t="s">
        <v>91</v>
      </c>
      <c r="E5052" t="s">
        <v>92</v>
      </c>
      <c r="F5052" t="s">
        <v>22</v>
      </c>
      <c r="G5052" t="s">
        <v>23</v>
      </c>
      <c r="H5052" t="s">
        <v>37</v>
      </c>
      <c r="I5052" t="s">
        <v>25</v>
      </c>
      <c r="J5052" s="2">
        <v>45913.599004629628</v>
      </c>
      <c r="K5052">
        <v>13</v>
      </c>
      <c r="L5052">
        <v>9</v>
      </c>
      <c r="M5052">
        <v>2025</v>
      </c>
      <c r="N5052" t="s">
        <v>27</v>
      </c>
      <c r="O5052">
        <v>110</v>
      </c>
      <c r="P5052">
        <v>110</v>
      </c>
      <c r="R5052" s="3" t="str">
        <f>HYPERLINK("https://panda.att.com.mx/ODKServer/view/binaryData?blobKey=FSSuministroFluidosv3%5B%40version%3Dnull+and+%40uiVersion%3Dnull%5D%2Fdata%5B%40key%3Duuid%3Ad4d08cbe-4f55-49c9-9c60-5f5b2bb32835%5D%2FgroupInfoFuel%5B%40ordinal%3D1%5D%2FpicFuelRecibeInterno","Descargar")</f>
        <v>Descargar</v>
      </c>
    </row>
    <row r="5053" spans="1:18" x14ac:dyDescent="0.3">
      <c r="A5053">
        <v>1620297</v>
      </c>
      <c r="B5053" t="s">
        <v>18</v>
      </c>
      <c r="C5053" t="s">
        <v>68</v>
      </c>
      <c r="D5053" t="s">
        <v>258</v>
      </c>
      <c r="E5053" t="s">
        <v>548</v>
      </c>
      <c r="F5053" t="s">
        <v>22</v>
      </c>
      <c r="G5053" t="s">
        <v>23</v>
      </c>
      <c r="H5053" t="s">
        <v>37</v>
      </c>
      <c r="I5053" t="s">
        <v>25</v>
      </c>
      <c r="J5053" s="2">
        <v>45911.683379629627</v>
      </c>
      <c r="K5053">
        <v>11</v>
      </c>
      <c r="L5053">
        <v>9</v>
      </c>
      <c r="M5053">
        <v>2025</v>
      </c>
      <c r="N5053" t="s">
        <v>27</v>
      </c>
      <c r="O5053">
        <v>300</v>
      </c>
      <c r="P5053">
        <v>300</v>
      </c>
      <c r="R5053" s="3" t="str">
        <f>HYPERLINK("https://panda.att.com.mx/ODKServer/view/binaryData?blobKey=FSSuministroFluidosv3%5B%40version%3Dnull+and+%40uiVersion%3Dnull%5D%2Fdata%5B%40key%3Duuid%3A0aa2f18d-1ef7-42f1-9fd6-58fe4482e956%5D%2FgroupInfoFuel%5B%40ordinal%3D1%5D%2FpicFuelRecibeInterno","Descargar")</f>
        <v>Descargar</v>
      </c>
    </row>
    <row r="5054" spans="1:18" x14ac:dyDescent="0.3">
      <c r="A5054">
        <v>1612684</v>
      </c>
      <c r="B5054" t="s">
        <v>18</v>
      </c>
      <c r="C5054" t="s">
        <v>68</v>
      </c>
      <c r="D5054" t="s">
        <v>132</v>
      </c>
      <c r="E5054" t="s">
        <v>2263</v>
      </c>
      <c r="F5054" t="s">
        <v>22</v>
      </c>
      <c r="G5054" t="s">
        <v>1980</v>
      </c>
      <c r="H5054" t="s">
        <v>37</v>
      </c>
      <c r="I5054" t="s">
        <v>25</v>
      </c>
      <c r="J5054" s="2">
        <v>45906.520405092589</v>
      </c>
      <c r="K5054">
        <v>6</v>
      </c>
      <c r="L5054">
        <v>9</v>
      </c>
      <c r="M5054">
        <v>2025</v>
      </c>
      <c r="N5054" t="s">
        <v>27</v>
      </c>
      <c r="O5054">
        <v>400</v>
      </c>
      <c r="P5054">
        <v>400</v>
      </c>
      <c r="R5054" s="3" t="str">
        <f>HYPERLINK("https://panda.att.com.mx/ODKServer/view/binaryData?blobKey=FSSuministroFluidosv3%5B%40version%3Dnull+and+%40uiVersion%3Dnull%5D%2Fdata%5B%40key%3Duuid%3A349def9a-487c-47eb-92bc-8cf9858cae6e%5D%2FgroupInfoFuel%5B%40ordinal%3D1%5D%2FpicFuelRecibeInterno","Descargar")</f>
        <v>Descargar</v>
      </c>
    </row>
    <row r="5055" spans="1:18" x14ac:dyDescent="0.3">
      <c r="A5055">
        <v>1619627</v>
      </c>
      <c r="B5055" t="s">
        <v>18</v>
      </c>
      <c r="C5055" t="s">
        <v>28</v>
      </c>
      <c r="D5055" t="s">
        <v>1036</v>
      </c>
      <c r="E5055" t="s">
        <v>2982</v>
      </c>
      <c r="F5055" t="s">
        <v>22</v>
      </c>
      <c r="G5055" t="s">
        <v>23</v>
      </c>
      <c r="H5055" t="s">
        <v>37</v>
      </c>
      <c r="I5055" t="s">
        <v>25</v>
      </c>
      <c r="J5055" s="2">
        <v>45916.435601851852</v>
      </c>
      <c r="K5055">
        <v>16</v>
      </c>
      <c r="L5055">
        <v>9</v>
      </c>
      <c r="M5055">
        <v>2025</v>
      </c>
      <c r="N5055" t="s">
        <v>44</v>
      </c>
      <c r="O5055">
        <v>60</v>
      </c>
      <c r="P5055">
        <v>60</v>
      </c>
      <c r="R5055" s="3" t="str">
        <f>HYPERLINK("https://panda.att.com.mx/ODKServer/view/binaryData?blobKey=FSSuministroFluidosv3%5B%40version%3Dnull+and+%40uiVersion%3Dnull%5D%2Fdata%5B%40key%3Duuid%3Add343bb7-df5b-4045-ac33-689f60b60d5b%5D%2FgroupInfoFuel%5B%40ordinal%3D1%5D%2FpicFuelRecibeInterno","Descargar")</f>
        <v>Descargar</v>
      </c>
    </row>
    <row r="5056" spans="1:18" x14ac:dyDescent="0.3">
      <c r="A5056">
        <v>1620473</v>
      </c>
      <c r="B5056" t="s">
        <v>18</v>
      </c>
      <c r="C5056" t="s">
        <v>28</v>
      </c>
      <c r="D5056" t="s">
        <v>1036</v>
      </c>
      <c r="E5056" t="s">
        <v>2982</v>
      </c>
      <c r="F5056" t="s">
        <v>22</v>
      </c>
      <c r="G5056" t="s">
        <v>23</v>
      </c>
      <c r="H5056" t="s">
        <v>37</v>
      </c>
      <c r="I5056" t="s">
        <v>25</v>
      </c>
      <c r="J5056" s="2">
        <v>45917.746134259258</v>
      </c>
      <c r="K5056">
        <v>17</v>
      </c>
      <c r="L5056">
        <v>9</v>
      </c>
      <c r="M5056">
        <v>2025</v>
      </c>
      <c r="N5056" t="s">
        <v>44</v>
      </c>
      <c r="O5056">
        <v>20</v>
      </c>
      <c r="P5056">
        <v>20</v>
      </c>
      <c r="R5056" s="3" t="str">
        <f>HYPERLINK("https://panda.att.com.mx/ODKServer/view/binaryData?blobKey=FSSuministroFluidosv3%5B%40version%3Dnull+and+%40uiVersion%3Dnull%5D%2Fdata%5B%40key%3Duuid%3A8d90fc29-8bfb-4a88-a689-64f3d6241ebe%5D%2FgroupInfoFuel%5B%40ordinal%3D1%5D%2FpicFuelRecibeInterno","Descargar")</f>
        <v>Descargar</v>
      </c>
    </row>
    <row r="5057" spans="1:18" x14ac:dyDescent="0.3">
      <c r="A5057">
        <v>1618781</v>
      </c>
      <c r="B5057" t="s">
        <v>18</v>
      </c>
      <c r="C5057" t="s">
        <v>28</v>
      </c>
      <c r="D5057" t="s">
        <v>1036</v>
      </c>
      <c r="E5057" t="s">
        <v>1846</v>
      </c>
      <c r="F5057" t="s">
        <v>22</v>
      </c>
      <c r="G5057" t="s">
        <v>23</v>
      </c>
      <c r="H5057" t="s">
        <v>37</v>
      </c>
      <c r="I5057" t="s">
        <v>25</v>
      </c>
      <c r="J5057" s="2">
        <v>45914.687974537039</v>
      </c>
      <c r="K5057">
        <v>14</v>
      </c>
      <c r="L5057">
        <v>9</v>
      </c>
      <c r="M5057">
        <v>2025</v>
      </c>
      <c r="N5057" t="s">
        <v>27</v>
      </c>
      <c r="O5057">
        <v>200</v>
      </c>
      <c r="P5057">
        <v>200</v>
      </c>
      <c r="R5057" s="3" t="str">
        <f>HYPERLINK("https://panda.att.com.mx/ODKServer/view/binaryData?blobKey=FSSuministroFluidosv3%5B%40version%3Dnull+and+%40uiVersion%3Dnull%5D%2Fdata%5B%40key%3Duuid%3A6774eb27-a72e-46dc-bd65-7f7230787842%5D%2FgroupInfoFuel%5B%40ordinal%3D1%5D%2FpicFuelRecibeInterno","Descargar")</f>
        <v>Descargar</v>
      </c>
    </row>
    <row r="5058" spans="1:18" x14ac:dyDescent="0.3">
      <c r="A5058">
        <v>1621089</v>
      </c>
      <c r="B5058" t="s">
        <v>18</v>
      </c>
      <c r="C5058" t="s">
        <v>28</v>
      </c>
      <c r="D5058" t="s">
        <v>1036</v>
      </c>
      <c r="E5058" t="s">
        <v>3833</v>
      </c>
      <c r="F5058" t="s">
        <v>22</v>
      </c>
      <c r="G5058" t="s">
        <v>23</v>
      </c>
      <c r="H5058" t="s">
        <v>37</v>
      </c>
      <c r="I5058" t="s">
        <v>25</v>
      </c>
      <c r="J5058" s="2">
        <v>45918.541956018518</v>
      </c>
      <c r="K5058">
        <v>18</v>
      </c>
      <c r="L5058">
        <v>9</v>
      </c>
      <c r="M5058">
        <v>2025</v>
      </c>
      <c r="N5058" t="s">
        <v>27</v>
      </c>
      <c r="O5058">
        <v>200</v>
      </c>
      <c r="Q5058">
        <v>200</v>
      </c>
      <c r="R5058" s="3" t="str">
        <f>HYPERLINK("https://panda.att.com.mx/ODKServer/view/binaryData?blobKey=FSSuministroFluidosv3%5B%40version%3Dnull+and+%40uiVersion%3Dnull%5D%2Fdata%5B%40key%3Duuid%3A19ecf35e-bf3e-41bd-a133-f77933364c57%5D%2FgroupInfoFuel%5B%40ordinal%3D1%5D%2FpicFuelRecibeInterno","Descargar")</f>
        <v>Descargar</v>
      </c>
    </row>
    <row r="5059" spans="1:18" x14ac:dyDescent="0.3">
      <c r="A5059">
        <v>1622629</v>
      </c>
      <c r="B5059" t="s">
        <v>18</v>
      </c>
      <c r="C5059" t="s">
        <v>28</v>
      </c>
      <c r="D5059" t="s">
        <v>261</v>
      </c>
      <c r="E5059" t="s">
        <v>3834</v>
      </c>
      <c r="F5059" t="s">
        <v>22</v>
      </c>
      <c r="G5059" t="s">
        <v>23</v>
      </c>
      <c r="H5059" t="s">
        <v>37</v>
      </c>
      <c r="I5059" t="s">
        <v>25</v>
      </c>
      <c r="J5059" s="2">
        <v>45918.6091087963</v>
      </c>
      <c r="K5059">
        <v>18</v>
      </c>
      <c r="L5059">
        <v>9</v>
      </c>
      <c r="M5059">
        <v>2025</v>
      </c>
      <c r="N5059" t="s">
        <v>44</v>
      </c>
      <c r="O5059">
        <v>40</v>
      </c>
      <c r="P5059">
        <v>40</v>
      </c>
      <c r="R5059" s="3" t="str">
        <f>HYPERLINK("https://panda.att.com.mx/ODKServer/view/binaryData?blobKey=FSSuministroFluidosv3%5B%40version%3Dnull+and+%40uiVersion%3Dnull%5D%2Fdata%5B%40key%3Duuid%3A42098509-001b-45fe-bafe-5604139f4eba%5D%2FgroupInfoFuel%5B%40ordinal%3D1%5D%2FpicFuelRecibeInterno","Descargar")</f>
        <v>Descargar</v>
      </c>
    </row>
    <row r="5060" spans="1:18" x14ac:dyDescent="0.3">
      <c r="A5060">
        <v>1621083</v>
      </c>
      <c r="B5060" t="s">
        <v>18</v>
      </c>
      <c r="C5060" t="s">
        <v>28</v>
      </c>
      <c r="D5060" t="s">
        <v>1036</v>
      </c>
      <c r="E5060" t="s">
        <v>3835</v>
      </c>
      <c r="F5060" t="s">
        <v>22</v>
      </c>
      <c r="G5060" t="s">
        <v>23</v>
      </c>
      <c r="H5060" t="s">
        <v>37</v>
      </c>
      <c r="I5060" t="s">
        <v>25</v>
      </c>
      <c r="J5060" s="2">
        <v>45918.466967592591</v>
      </c>
      <c r="K5060">
        <v>18</v>
      </c>
      <c r="L5060">
        <v>9</v>
      </c>
      <c r="M5060">
        <v>2025</v>
      </c>
      <c r="N5060" t="s">
        <v>27</v>
      </c>
      <c r="O5060">
        <v>225</v>
      </c>
      <c r="P5060">
        <v>225</v>
      </c>
      <c r="R5060" s="3" t="str">
        <f>HYPERLINK("https://panda.att.com.mx/ODKServer/view/binaryData?blobKey=FSSuministroFluidosv3%5B%40version%3Dnull+and+%40uiVersion%3Dnull%5D%2Fdata%5B%40key%3Duuid%3A06a810d7-2359-49b3-9809-c8be10a82232%5D%2FgroupInfoFuel%5B%40ordinal%3D1%5D%2FpicFuelRecibeInterno","Descargar")</f>
        <v>Descargar</v>
      </c>
    </row>
    <row r="5061" spans="1:18" x14ac:dyDescent="0.3">
      <c r="A5061">
        <v>1612099</v>
      </c>
      <c r="B5061" t="s">
        <v>18</v>
      </c>
      <c r="C5061" t="s">
        <v>28</v>
      </c>
      <c r="D5061" t="s">
        <v>1723</v>
      </c>
      <c r="E5061" t="s">
        <v>1724</v>
      </c>
      <c r="F5061" t="s">
        <v>22</v>
      </c>
      <c r="G5061" t="s">
        <v>23</v>
      </c>
      <c r="H5061" t="s">
        <v>24</v>
      </c>
      <c r="I5061" t="s">
        <v>25</v>
      </c>
      <c r="J5061" s="2">
        <v>45903.444085648152</v>
      </c>
      <c r="K5061">
        <v>3</v>
      </c>
      <c r="L5061">
        <v>9</v>
      </c>
      <c r="M5061">
        <v>2025</v>
      </c>
      <c r="N5061" t="s">
        <v>27</v>
      </c>
      <c r="O5061">
        <v>450</v>
      </c>
      <c r="Q5061">
        <v>450</v>
      </c>
      <c r="R5061" s="3" t="str">
        <f>HYPERLINK("https://panda.att.com.mx/ODKServer/view/binaryData?blobKey=FSSuministroFluidosv3%5B%40version%3Dnull+and+%40uiVersion%3Dnull%5D%2Fdata%5B%40key%3Duuid%3A920078b6-ca4b-40b1-8041-7ffda1251974%5D%2FgroupInfoFuel%5B%40ordinal%3D1%5D%2FpicFuelRecibeInterno","Descargar")</f>
        <v>Descargar</v>
      </c>
    </row>
    <row r="5062" spans="1:18" x14ac:dyDescent="0.3">
      <c r="A5062">
        <v>1621799</v>
      </c>
      <c r="B5062" t="s">
        <v>18</v>
      </c>
      <c r="C5062" t="s">
        <v>28</v>
      </c>
      <c r="D5062" t="s">
        <v>895</v>
      </c>
      <c r="E5062" t="s">
        <v>3836</v>
      </c>
      <c r="F5062" t="s">
        <v>22</v>
      </c>
      <c r="G5062" t="s">
        <v>23</v>
      </c>
      <c r="H5062" t="s">
        <v>24</v>
      </c>
      <c r="I5062" t="s">
        <v>25</v>
      </c>
      <c r="J5062" s="2">
        <v>45919.726377314822</v>
      </c>
      <c r="K5062">
        <v>19</v>
      </c>
      <c r="L5062">
        <v>9</v>
      </c>
      <c r="M5062">
        <v>2025</v>
      </c>
      <c r="N5062" t="s">
        <v>27</v>
      </c>
      <c r="O5062">
        <v>200</v>
      </c>
      <c r="P5062">
        <v>200</v>
      </c>
      <c r="R5062" s="3" t="str">
        <f>HYPERLINK("https://panda.att.com.mx/ODKServer/view/binaryData?blobKey=FSSuministroFluidosv3%5B%40version%3Dnull+and+%40uiVersion%3Dnull%5D%2Fdata%5B%40key%3Duuid%3Aa84f3006-c15e-4e9b-b686-adaa43d4fbb6%5D%2FgroupInfoFuel%5B%40ordinal%3D1%5D%2FpicFuelRecibeInterno","Descargar")</f>
        <v>Descargar</v>
      </c>
    </row>
    <row r="5063" spans="1:18" x14ac:dyDescent="0.3">
      <c r="A5063">
        <v>1622116</v>
      </c>
      <c r="B5063" t="s">
        <v>18</v>
      </c>
      <c r="C5063" t="s">
        <v>28</v>
      </c>
      <c r="D5063" t="s">
        <v>1036</v>
      </c>
      <c r="E5063" t="s">
        <v>3837</v>
      </c>
      <c r="F5063" t="s">
        <v>22</v>
      </c>
      <c r="G5063" t="s">
        <v>23</v>
      </c>
      <c r="H5063" t="s">
        <v>24</v>
      </c>
      <c r="I5063" t="s">
        <v>25</v>
      </c>
      <c r="J5063" s="2">
        <v>45920.436921296299</v>
      </c>
      <c r="K5063">
        <v>20</v>
      </c>
      <c r="L5063">
        <v>9</v>
      </c>
      <c r="M5063">
        <v>2025</v>
      </c>
      <c r="N5063" t="s">
        <v>44</v>
      </c>
      <c r="O5063">
        <v>30</v>
      </c>
      <c r="P5063">
        <v>30</v>
      </c>
      <c r="R5063" s="3" t="str">
        <f>HYPERLINK("https://panda.att.com.mx/ODKServer/view/binaryData?blobKey=FSSuministroFluidosv3%5B%40version%3Dnull+and+%40uiVersion%3Dnull%5D%2Fdata%5B%40key%3Duuid%3Afac780ef-26bc-4963-92d3-9ed616fa96bd%5D%2FgroupInfoFuel%5B%40ordinal%3D1%5D%2FpicFuelRecibeInterno","Descargar")</f>
        <v>Descargar</v>
      </c>
    </row>
    <row r="5064" spans="1:18" x14ac:dyDescent="0.3">
      <c r="A5064">
        <v>1621798</v>
      </c>
      <c r="B5064" t="s">
        <v>18</v>
      </c>
      <c r="C5064" t="s">
        <v>28</v>
      </c>
      <c r="D5064" t="s">
        <v>1036</v>
      </c>
      <c r="E5064" t="s">
        <v>1189</v>
      </c>
      <c r="F5064" t="s">
        <v>22</v>
      </c>
      <c r="G5064" t="s">
        <v>23</v>
      </c>
      <c r="H5064" t="s">
        <v>24</v>
      </c>
      <c r="I5064" t="s">
        <v>25</v>
      </c>
      <c r="J5064" s="2">
        <v>45918.512650462973</v>
      </c>
      <c r="K5064">
        <v>18</v>
      </c>
      <c r="L5064">
        <v>9</v>
      </c>
      <c r="M5064">
        <v>2025</v>
      </c>
      <c r="N5064" t="s">
        <v>27</v>
      </c>
      <c r="O5064">
        <v>120</v>
      </c>
      <c r="Q5064">
        <v>120</v>
      </c>
      <c r="R5064" s="3" t="str">
        <f>HYPERLINK("https://panda.att.com.mx/ODKServer/view/binaryData?blobKey=FSSuministroFluidosv3%5B%40version%3Dnull+and+%40uiVersion%3Dnull%5D%2Fdata%5B%40key%3Duuid%3Aab2bf9c6-0155-47f1-8f15-c4847cb1a706%5D%2FgroupInfoFuel%5B%40ordinal%3D1%5D%2FpicFuelRecibeInterno","Descargar")</f>
        <v>Descargar</v>
      </c>
    </row>
    <row r="5065" spans="1:18" x14ac:dyDescent="0.3">
      <c r="A5065">
        <v>1620408</v>
      </c>
      <c r="B5065" t="s">
        <v>18</v>
      </c>
      <c r="C5065" t="s">
        <v>28</v>
      </c>
      <c r="D5065" t="s">
        <v>1036</v>
      </c>
      <c r="E5065" t="s">
        <v>1637</v>
      </c>
      <c r="F5065" t="s">
        <v>22</v>
      </c>
      <c r="G5065" t="s">
        <v>23</v>
      </c>
      <c r="H5065" t="s">
        <v>24</v>
      </c>
      <c r="I5065" t="s">
        <v>25</v>
      </c>
      <c r="J5065" s="2">
        <v>45917.647847222222</v>
      </c>
      <c r="K5065">
        <v>17</v>
      </c>
      <c r="L5065">
        <v>9</v>
      </c>
      <c r="M5065">
        <v>2025</v>
      </c>
      <c r="N5065" t="s">
        <v>27</v>
      </c>
      <c r="O5065">
        <v>100</v>
      </c>
      <c r="P5065">
        <v>100</v>
      </c>
      <c r="R5065" s="3" t="str">
        <f>HYPERLINK("https://panda.att.com.mx/ODKServer/view/binaryData?blobKey=FSSuministroFluidosv3%5B%40version%3Dnull+and+%40uiVersion%3Dnull%5D%2Fdata%5B%40key%3Duuid%3A8a756ee4-bfc9-487d-bccd-a89ede371afa%5D%2FgroupInfoFuel%5B%40ordinal%3D1%5D%2FpicFuelRecibeInterno","Descargar")</f>
        <v>Descargar</v>
      </c>
    </row>
    <row r="5066" spans="1:18" x14ac:dyDescent="0.3">
      <c r="A5066">
        <v>1621797</v>
      </c>
      <c r="B5066" t="s">
        <v>18</v>
      </c>
      <c r="C5066" t="s">
        <v>28</v>
      </c>
      <c r="D5066" t="s">
        <v>895</v>
      </c>
      <c r="E5066" t="s">
        <v>3838</v>
      </c>
      <c r="F5066" t="s">
        <v>22</v>
      </c>
      <c r="G5066" t="s">
        <v>23</v>
      </c>
      <c r="H5066" t="s">
        <v>24</v>
      </c>
      <c r="I5066" t="s">
        <v>25</v>
      </c>
      <c r="J5066" s="2">
        <v>45919.510891203703</v>
      </c>
      <c r="K5066">
        <v>19</v>
      </c>
      <c r="L5066">
        <v>9</v>
      </c>
      <c r="M5066">
        <v>2025</v>
      </c>
      <c r="N5066" t="s">
        <v>27</v>
      </c>
      <c r="O5066">
        <v>200</v>
      </c>
      <c r="P5066">
        <v>200</v>
      </c>
      <c r="R5066" s="3" t="str">
        <f>HYPERLINK("https://panda.att.com.mx/ODKServer/view/binaryData?blobKey=FSSuministroFluidosv3%5B%40version%3Dnull+and+%40uiVersion%3Dnull%5D%2Fdata%5B%40key%3Duuid%3Aef80b14a-7bdb-4ff1-8a73-188adba2811c%5D%2FgroupInfoFuel%5B%40ordinal%3D1%5D%2FpicFuelRecibeInterno","Descargar")</f>
        <v>Descargar</v>
      </c>
    </row>
    <row r="5067" spans="1:18" x14ac:dyDescent="0.3">
      <c r="A5067">
        <v>1614708</v>
      </c>
      <c r="B5067" t="s">
        <v>18</v>
      </c>
      <c r="C5067" t="s">
        <v>28</v>
      </c>
      <c r="D5067" t="s">
        <v>895</v>
      </c>
      <c r="E5067" t="s">
        <v>896</v>
      </c>
      <c r="F5067" t="s">
        <v>22</v>
      </c>
      <c r="G5067" t="s">
        <v>23</v>
      </c>
      <c r="H5067" t="s">
        <v>24</v>
      </c>
      <c r="I5067" t="s">
        <v>25</v>
      </c>
      <c r="J5067" s="2">
        <v>45907.699791666673</v>
      </c>
      <c r="K5067">
        <v>7</v>
      </c>
      <c r="L5067">
        <v>9</v>
      </c>
      <c r="M5067">
        <v>2025</v>
      </c>
      <c r="N5067" t="s">
        <v>27</v>
      </c>
      <c r="O5067">
        <v>500</v>
      </c>
      <c r="P5067">
        <v>500</v>
      </c>
      <c r="R5067" s="3" t="str">
        <f>HYPERLINK("https://panda.att.com.mx/ODKServer/view/binaryData?blobKey=FSSuministroFluidosv3%5B%40version%3Dnull+and+%40uiVersion%3Dnull%5D%2Fdata%5B%40key%3Duuid%3Ac8d7f59c-ad7c-4745-92b0-a1a21d613273%5D%2FgroupInfoFuel%5B%40ordinal%3D1%5D%2FpicFuelRecibeInterno","Descargar")</f>
        <v>Descargar</v>
      </c>
    </row>
    <row r="5068" spans="1:18" x14ac:dyDescent="0.3">
      <c r="A5068">
        <v>1621877</v>
      </c>
      <c r="B5068" t="s">
        <v>18</v>
      </c>
      <c r="C5068" t="s">
        <v>28</v>
      </c>
      <c r="D5068" t="s">
        <v>1036</v>
      </c>
      <c r="E5068" t="s">
        <v>3839</v>
      </c>
      <c r="F5068" t="s">
        <v>22</v>
      </c>
      <c r="G5068" t="s">
        <v>23</v>
      </c>
      <c r="H5068" t="s">
        <v>24</v>
      </c>
      <c r="I5068" t="s">
        <v>25</v>
      </c>
      <c r="J5068" s="2">
        <v>45920.411793981482</v>
      </c>
      <c r="K5068">
        <v>20</v>
      </c>
      <c r="L5068">
        <v>9</v>
      </c>
      <c r="M5068">
        <v>2025</v>
      </c>
      <c r="N5068" t="s">
        <v>44</v>
      </c>
      <c r="O5068">
        <v>40</v>
      </c>
      <c r="P5068">
        <v>40</v>
      </c>
      <c r="R5068" s="3" t="str">
        <f>HYPERLINK("https://panda.att.com.mx/ODKServer/view/binaryData?blobKey=FSSuministroFluidosv3%5B%40version%3Dnull+and+%40uiVersion%3Dnull%5D%2Fdata%5B%40key%3Duuid%3A7c119346-aeea-4d0f-baf6-be334e2f3071%5D%2FgroupInfoFuel%5B%40ordinal%3D1%5D%2FpicFuelRecibeInterno","Descargar")</f>
        <v>Descargar</v>
      </c>
    </row>
    <row r="5069" spans="1:18" x14ac:dyDescent="0.3">
      <c r="A5069">
        <v>1619669</v>
      </c>
      <c r="B5069" t="s">
        <v>18</v>
      </c>
      <c r="C5069" t="s">
        <v>68</v>
      </c>
      <c r="D5069" t="s">
        <v>69</v>
      </c>
      <c r="E5069" t="s">
        <v>3840</v>
      </c>
      <c r="F5069" t="s">
        <v>22</v>
      </c>
      <c r="G5069" t="s">
        <v>23</v>
      </c>
      <c r="H5069" t="s">
        <v>37</v>
      </c>
      <c r="I5069" t="s">
        <v>25</v>
      </c>
      <c r="J5069" s="2">
        <v>45916.638981481483</v>
      </c>
      <c r="K5069">
        <v>16</v>
      </c>
      <c r="L5069">
        <v>9</v>
      </c>
      <c r="M5069">
        <v>2025</v>
      </c>
      <c r="N5069" t="s">
        <v>27</v>
      </c>
      <c r="O5069">
        <v>250</v>
      </c>
      <c r="P5069">
        <v>250</v>
      </c>
      <c r="R5069" s="3" t="str">
        <f>HYPERLINK("https://panda.att.com.mx/ODKServer/view/binaryData?blobKey=FSSuministroFluidosv3%5B%40version%3Dnull+and+%40uiVersion%3Dnull%5D%2Fdata%5B%40key%3Duuid%3A4fb11ffe-a40b-45e4-82eb-9a57072f24dc%5D%2FgroupInfoFuel%5B%40ordinal%3D1%5D%2FpicFuelRecibeInterno","Descargar")</f>
        <v>Descargar</v>
      </c>
    </row>
    <row r="5070" spans="1:18" x14ac:dyDescent="0.3">
      <c r="A5070">
        <v>1621896</v>
      </c>
      <c r="B5070" t="s">
        <v>18</v>
      </c>
      <c r="C5070" t="s">
        <v>68</v>
      </c>
      <c r="D5070" t="s">
        <v>824</v>
      </c>
      <c r="E5070" t="s">
        <v>825</v>
      </c>
      <c r="F5070" t="s">
        <v>33</v>
      </c>
      <c r="G5070" t="s">
        <v>23</v>
      </c>
      <c r="H5070" t="s">
        <v>37</v>
      </c>
      <c r="I5070" t="s">
        <v>25</v>
      </c>
      <c r="J5070" s="2">
        <v>45920.424178240741</v>
      </c>
      <c r="K5070">
        <v>20</v>
      </c>
      <c r="L5070">
        <v>9</v>
      </c>
      <c r="M5070">
        <v>2025</v>
      </c>
      <c r="N5070" t="s">
        <v>27</v>
      </c>
      <c r="O5070">
        <v>250</v>
      </c>
      <c r="Q5070">
        <v>250</v>
      </c>
      <c r="R5070" s="3" t="str">
        <f>HYPERLINK("https://panda.att.com.mx/ODKServer/view/binaryData?blobKey=FSSuministroFluidosv3%5B%40version%3Dnull+and+%40uiVersion%3Dnull%5D%2Fdata%5B%40key%3Duuid%3A481dc8b4-dbe2-4d9d-a5a3-c058b3ea3d35%5D%2FgroupInfoFuel%5B%40ordinal%3D1%5D%2FpicFuelRecibeInterno","Descargar")</f>
        <v>Descargar</v>
      </c>
    </row>
    <row r="5071" spans="1:18" x14ac:dyDescent="0.3">
      <c r="A5071">
        <v>1619667</v>
      </c>
      <c r="B5071" t="s">
        <v>18</v>
      </c>
      <c r="C5071" t="s">
        <v>55</v>
      </c>
      <c r="D5071" t="s">
        <v>366</v>
      </c>
      <c r="E5071" t="s">
        <v>3841</v>
      </c>
      <c r="F5071" t="s">
        <v>22</v>
      </c>
      <c r="G5071" t="s">
        <v>23</v>
      </c>
      <c r="H5071" t="s">
        <v>37</v>
      </c>
      <c r="I5071" t="s">
        <v>25</v>
      </c>
      <c r="J5071" s="2">
        <v>45913.152349537027</v>
      </c>
      <c r="K5071">
        <v>13</v>
      </c>
      <c r="L5071">
        <v>9</v>
      </c>
      <c r="M5071">
        <v>2025</v>
      </c>
      <c r="N5071" t="s">
        <v>27</v>
      </c>
      <c r="O5071">
        <v>400</v>
      </c>
      <c r="P5071">
        <v>400</v>
      </c>
      <c r="R5071" s="3" t="str">
        <f>HYPERLINK("https://panda.att.com.mx/ODKServer/view/binaryData?blobKey=FSSuministroFluidosv3%5B%40version%3Dnull+and+%40uiVersion%3Dnull%5D%2Fdata%5B%40key%3Duuid%3A220a5c08-b878-4676-b837-8ff012eaac8d%5D%2FgroupInfoFuel%5B%40ordinal%3D1%5D%2FpicFuelRecibeInterno","Descargar")</f>
        <v>Descargar</v>
      </c>
    </row>
    <row r="5072" spans="1:18" x14ac:dyDescent="0.3">
      <c r="A5072">
        <v>1620239</v>
      </c>
      <c r="B5072" t="s">
        <v>18</v>
      </c>
      <c r="C5072" t="s">
        <v>55</v>
      </c>
      <c r="D5072" t="s">
        <v>56</v>
      </c>
      <c r="E5072" t="s">
        <v>3842</v>
      </c>
      <c r="F5072" t="s">
        <v>22</v>
      </c>
      <c r="G5072" t="s">
        <v>23</v>
      </c>
      <c r="H5072" t="s">
        <v>58</v>
      </c>
      <c r="I5072" t="s">
        <v>25</v>
      </c>
      <c r="J5072" s="2">
        <v>45915.721979166658</v>
      </c>
      <c r="K5072">
        <v>15</v>
      </c>
      <c r="L5072">
        <v>9</v>
      </c>
      <c r="M5072">
        <v>2025</v>
      </c>
      <c r="N5072" t="s">
        <v>27</v>
      </c>
      <c r="O5072">
        <v>100</v>
      </c>
      <c r="P5072">
        <v>100</v>
      </c>
      <c r="R5072" s="3" t="str">
        <f>HYPERLINK("https://panda.att.com.mx/ODKServer/view/binaryData?blobKey=FSSuministroFluidosv3%5B%40version%3Dnull+and+%40uiVersion%3Dnull%5D%2Fdata%5B%40key%3Duuid%3A2499d25e-5903-41ac-83ab-b5db31fd84c8%5D%2FgroupInfoFuel%5B%40ordinal%3D1%5D%2FpicFuelRecibeInterno","Descargar")</f>
        <v>Descargar</v>
      </c>
    </row>
    <row r="5073" spans="1:18" x14ac:dyDescent="0.3">
      <c r="A5073">
        <v>1621908</v>
      </c>
      <c r="B5073" t="s">
        <v>18</v>
      </c>
      <c r="C5073" t="s">
        <v>55</v>
      </c>
      <c r="D5073" t="s">
        <v>56</v>
      </c>
      <c r="E5073" t="s">
        <v>105</v>
      </c>
      <c r="F5073" t="s">
        <v>22</v>
      </c>
      <c r="G5073" t="s">
        <v>23</v>
      </c>
      <c r="H5073" t="s">
        <v>58</v>
      </c>
      <c r="I5073" t="s">
        <v>25</v>
      </c>
      <c r="J5073" s="2">
        <v>45920.44090277778</v>
      </c>
      <c r="K5073">
        <v>20</v>
      </c>
      <c r="L5073">
        <v>9</v>
      </c>
      <c r="M5073">
        <v>2025</v>
      </c>
      <c r="N5073" t="s">
        <v>27</v>
      </c>
      <c r="O5073">
        <v>200</v>
      </c>
      <c r="P5073">
        <v>200</v>
      </c>
      <c r="R5073" s="3" t="str">
        <f>HYPERLINK("https://panda.att.com.mx/ODKServer/view/binaryData?blobKey=FSSuministroFluidosv3%5B%40version%3Dnull+and+%40uiVersion%3Dnull%5D%2Fdata%5B%40key%3Duuid%3A76f6d3c2-0463-435b-ae1e-c8ae8ce37753%5D%2FgroupInfoFuel%5B%40ordinal%3D1%5D%2FpicFuelRecibeInterno","Descargar")</f>
        <v>Descargar</v>
      </c>
    </row>
    <row r="5074" spans="1:18" x14ac:dyDescent="0.3">
      <c r="A5074">
        <v>1620608</v>
      </c>
      <c r="B5074" t="s">
        <v>18</v>
      </c>
      <c r="C5074" t="s">
        <v>55</v>
      </c>
      <c r="D5074" t="s">
        <v>64</v>
      </c>
      <c r="E5074" t="s">
        <v>2008</v>
      </c>
      <c r="F5074" t="s">
        <v>22</v>
      </c>
      <c r="G5074" t="s">
        <v>23</v>
      </c>
      <c r="H5074" t="s">
        <v>58</v>
      </c>
      <c r="I5074" t="s">
        <v>25</v>
      </c>
      <c r="J5074" s="2">
        <v>45918.298541666663</v>
      </c>
      <c r="K5074">
        <v>18</v>
      </c>
      <c r="L5074">
        <v>9</v>
      </c>
      <c r="M5074">
        <v>2025</v>
      </c>
      <c r="N5074" t="s">
        <v>27</v>
      </c>
      <c r="O5074">
        <v>250</v>
      </c>
      <c r="P5074">
        <v>250</v>
      </c>
      <c r="R5074" s="3" t="str">
        <f>HYPERLINK("https://panda.att.com.mx/ODKServer/view/binaryData?blobKey=FSSuministroFluidosv3%5B%40version%3Dnull+and+%40uiVersion%3Dnull%5D%2Fdata%5B%40key%3Duuid%3A8741e2de-b074-4015-86fe-e238d4a4d216%5D%2FgroupInfoFuel%5B%40ordinal%3D1%5D%2FpicFuelRecibeInterno","Descargar")</f>
        <v>Descargar</v>
      </c>
    </row>
    <row r="5075" spans="1:18" x14ac:dyDescent="0.3">
      <c r="A5075">
        <v>1618850</v>
      </c>
      <c r="B5075" t="s">
        <v>18</v>
      </c>
      <c r="C5075" t="s">
        <v>68</v>
      </c>
      <c r="D5075" t="s">
        <v>91</v>
      </c>
      <c r="E5075" t="s">
        <v>93</v>
      </c>
      <c r="F5075" t="s">
        <v>22</v>
      </c>
      <c r="G5075" t="s">
        <v>47</v>
      </c>
      <c r="H5075" t="s">
        <v>37</v>
      </c>
      <c r="I5075" t="s">
        <v>25</v>
      </c>
      <c r="J5075" s="2">
        <v>45913.527511574073</v>
      </c>
      <c r="K5075">
        <v>13</v>
      </c>
      <c r="L5075">
        <v>9</v>
      </c>
      <c r="M5075">
        <v>2025</v>
      </c>
      <c r="N5075" t="s">
        <v>27</v>
      </c>
      <c r="O5075">
        <v>50</v>
      </c>
      <c r="P5075">
        <v>50</v>
      </c>
      <c r="R5075" s="3" t="str">
        <f>HYPERLINK("https://panda.att.com.mx/ODKServer/view/binaryData?blobKey=FSSuministroFluidosv3%5B%40version%3Dnull+and+%40uiVersion%3Dnull%5D%2Fdata%5B%40key%3Duuid%3A4b7b9ee2-ec3e-4ab1-b83b-a49e8dfd63af%5D%2FgroupInfoFuel%5B%40ordinal%3D1%5D%2FpicFuelRecibeInterno","Descargar")</f>
        <v>Descargar</v>
      </c>
    </row>
    <row r="5076" spans="1:18" x14ac:dyDescent="0.3">
      <c r="A5076">
        <v>1618883</v>
      </c>
      <c r="B5076" t="s">
        <v>18</v>
      </c>
      <c r="C5076" t="s">
        <v>68</v>
      </c>
      <c r="D5076" t="s">
        <v>132</v>
      </c>
      <c r="E5076" t="s">
        <v>3843</v>
      </c>
      <c r="F5076" t="s">
        <v>22</v>
      </c>
      <c r="G5076" t="s">
        <v>1980</v>
      </c>
      <c r="H5076" t="s">
        <v>37</v>
      </c>
      <c r="I5076" t="s">
        <v>25</v>
      </c>
      <c r="J5076" s="2">
        <v>45915.246180555558</v>
      </c>
      <c r="K5076">
        <v>15</v>
      </c>
      <c r="L5076">
        <v>9</v>
      </c>
      <c r="M5076">
        <v>2025</v>
      </c>
      <c r="N5076" t="s">
        <v>27</v>
      </c>
      <c r="O5076">
        <v>50</v>
      </c>
      <c r="P5076">
        <v>50</v>
      </c>
      <c r="R5076" s="3" t="str">
        <f>HYPERLINK("https://panda.att.com.mx/ODKServer/view/binaryData?blobKey=FSSuministroFluidosv3%5B%40version%3Dnull+and+%40uiVersion%3Dnull%5D%2Fdata%5B%40key%3Duuid%3A5351cd7d-6174-4873-98cf-d11dbc6391ec%5D%2FgroupInfoFuel%5B%40ordinal%3D1%5D%2FpicFuelRecibeInterno","Descargar")</f>
        <v>Descargar</v>
      </c>
    </row>
    <row r="5077" spans="1:18" x14ac:dyDescent="0.3">
      <c r="A5077">
        <v>1618650</v>
      </c>
      <c r="B5077" t="s">
        <v>18</v>
      </c>
      <c r="C5077" t="s">
        <v>68</v>
      </c>
      <c r="D5077" t="s">
        <v>78</v>
      </c>
      <c r="E5077" t="s">
        <v>2997</v>
      </c>
      <c r="F5077" t="s">
        <v>22</v>
      </c>
      <c r="G5077" t="s">
        <v>23</v>
      </c>
      <c r="H5077" t="s">
        <v>37</v>
      </c>
      <c r="I5077" t="s">
        <v>25</v>
      </c>
      <c r="J5077" s="2">
        <v>45913.580671296288</v>
      </c>
      <c r="K5077">
        <v>13</v>
      </c>
      <c r="L5077">
        <v>9</v>
      </c>
      <c r="M5077">
        <v>2025</v>
      </c>
      <c r="N5077" t="s">
        <v>27</v>
      </c>
      <c r="O5077">
        <v>250</v>
      </c>
      <c r="Q5077">
        <v>250</v>
      </c>
      <c r="R5077" s="3" t="str">
        <f>HYPERLINK("https://panda.att.com.mx/ODKServer/view/binaryData?blobKey=FSSuministroFluidosv3%5B%40version%3Dnull+and+%40uiVersion%3Dnull%5D%2Fdata%5B%40key%3Duuid%3A52a72d9c-d1f7-46cc-a4c6-a5c85fb2ca78%5D%2FgroupInfoFuel%5B%40ordinal%3D1%5D%2FpicFuelRecibeInterno","Descargar")</f>
        <v>Descargar</v>
      </c>
    </row>
    <row r="5078" spans="1:18" x14ac:dyDescent="0.3">
      <c r="A5078">
        <v>1618420</v>
      </c>
      <c r="B5078" t="s">
        <v>18</v>
      </c>
      <c r="C5078" t="s">
        <v>68</v>
      </c>
      <c r="D5078" t="s">
        <v>91</v>
      </c>
      <c r="E5078" t="s">
        <v>3844</v>
      </c>
      <c r="F5078" t="s">
        <v>22</v>
      </c>
      <c r="G5078" t="s">
        <v>23</v>
      </c>
      <c r="H5078" t="s">
        <v>37</v>
      </c>
      <c r="I5078" t="s">
        <v>25</v>
      </c>
      <c r="J5078" s="2">
        <v>45911.752268518518</v>
      </c>
      <c r="K5078">
        <v>11</v>
      </c>
      <c r="L5078">
        <v>9</v>
      </c>
      <c r="M5078">
        <v>2025</v>
      </c>
      <c r="N5078" t="s">
        <v>27</v>
      </c>
      <c r="O5078">
        <v>430</v>
      </c>
      <c r="P5078">
        <v>430</v>
      </c>
      <c r="R5078" s="3" t="str">
        <f>HYPERLINK("https://panda.att.com.mx/ODKServer/view/binaryData?blobKey=FSSuministroFluidosv3%5B%40version%3Dnull+and+%40uiVersion%3Dnull%5D%2Fdata%5B%40key%3Duuid%3A0061d58f-6f52-4286-914f-f30bca92ec0e%5D%2FgroupInfoFuel%5B%40ordinal%3D1%5D%2FpicFuelRecibeInterno","Descargar")</f>
        <v>Descargar</v>
      </c>
    </row>
    <row r="5079" spans="1:18" x14ac:dyDescent="0.3">
      <c r="A5079">
        <v>1618104</v>
      </c>
      <c r="B5079" t="s">
        <v>18</v>
      </c>
      <c r="C5079" t="s">
        <v>34</v>
      </c>
      <c r="D5079" t="s">
        <v>53</v>
      </c>
      <c r="E5079" t="s">
        <v>491</v>
      </c>
      <c r="F5079" t="s">
        <v>22</v>
      </c>
      <c r="G5079" t="s">
        <v>23</v>
      </c>
      <c r="H5079" t="s">
        <v>37</v>
      </c>
      <c r="I5079" t="s">
        <v>25</v>
      </c>
      <c r="J5079" s="2">
        <v>45912.576655092591</v>
      </c>
      <c r="K5079">
        <v>12</v>
      </c>
      <c r="L5079">
        <v>9</v>
      </c>
      <c r="M5079">
        <v>2025</v>
      </c>
      <c r="N5079" t="s">
        <v>27</v>
      </c>
      <c r="O5079">
        <v>700</v>
      </c>
      <c r="Q5079">
        <v>700</v>
      </c>
      <c r="R5079" s="3" t="str">
        <f>HYPERLINK("https://panda.att.com.mx/ODKServer/view/binaryData?blobKey=FSSuministroFluidosv3%5B%40version%3Dnull+and+%40uiVersion%3Dnull%5D%2Fdata%5B%40key%3Duuid%3A1f1682f8-b177-4c7d-a400-d394f73255b3%5D%2FgroupInfoFuel%5B%40ordinal%3D1%5D%2FpicFuelRecibeInterno","Descargar")</f>
        <v>Descargar</v>
      </c>
    </row>
    <row r="5080" spans="1:18" x14ac:dyDescent="0.3">
      <c r="A5080">
        <v>1619643</v>
      </c>
      <c r="B5080" t="s">
        <v>18</v>
      </c>
      <c r="C5080" t="s">
        <v>19</v>
      </c>
      <c r="D5080" t="s">
        <v>42</v>
      </c>
      <c r="E5080" t="s">
        <v>2682</v>
      </c>
      <c r="F5080" t="s">
        <v>22</v>
      </c>
      <c r="G5080" t="s">
        <v>23</v>
      </c>
      <c r="H5080" t="s">
        <v>24</v>
      </c>
      <c r="I5080" t="s">
        <v>25</v>
      </c>
      <c r="J5080" s="2">
        <v>45915.303483796299</v>
      </c>
      <c r="K5080">
        <v>15</v>
      </c>
      <c r="L5080">
        <v>9</v>
      </c>
      <c r="M5080">
        <v>2025</v>
      </c>
      <c r="N5080" t="s">
        <v>44</v>
      </c>
      <c r="O5080">
        <v>60</v>
      </c>
      <c r="P5080">
        <v>60</v>
      </c>
      <c r="R5080" s="3" t="str">
        <f>HYPERLINK("https://panda.att.com.mx/ODKServer/view/binaryData?blobKey=FSSuministroFluidosv3%5B%40version%3Dnull+and+%40uiVersion%3Dnull%5D%2Fdata%5B%40key%3Duuid%3A6223798c-3e76-4078-8528-6f66eebc4a41%5D%2FgroupInfoFuel%5B%40ordinal%3D1%5D%2FpicFuelRecibeInterno","Descargar")</f>
        <v>Descargar</v>
      </c>
    </row>
    <row r="5081" spans="1:18" x14ac:dyDescent="0.3">
      <c r="A5081">
        <v>1619650</v>
      </c>
      <c r="B5081" t="s">
        <v>18</v>
      </c>
      <c r="C5081" t="s">
        <v>19</v>
      </c>
      <c r="D5081" t="s">
        <v>42</v>
      </c>
      <c r="E5081" t="s">
        <v>3845</v>
      </c>
      <c r="F5081" t="s">
        <v>22</v>
      </c>
      <c r="G5081" t="s">
        <v>23</v>
      </c>
      <c r="H5081" t="s">
        <v>24</v>
      </c>
      <c r="I5081" t="s">
        <v>25</v>
      </c>
      <c r="J5081" s="2">
        <v>45916.582395833328</v>
      </c>
      <c r="K5081">
        <v>16</v>
      </c>
      <c r="L5081">
        <v>9</v>
      </c>
      <c r="M5081">
        <v>2025</v>
      </c>
      <c r="N5081" t="s">
        <v>27</v>
      </c>
      <c r="O5081">
        <v>80</v>
      </c>
      <c r="P5081">
        <v>80</v>
      </c>
      <c r="R5081" s="3" t="str">
        <f>HYPERLINK("https://panda.att.com.mx/ODKServer/view/binaryData?blobKey=FSSuministroFluidosv3%5B%40version%3Dnull+and+%40uiVersion%3Dnull%5D%2Fdata%5B%40key%3Duuid%3Aaf6069b8-c6c9-49f1-a0d1-a72641593b10%5D%2FgroupInfoFuel%5B%40ordinal%3D1%5D%2FpicFuelRecibeInterno","Descargar")</f>
        <v>Descargar</v>
      </c>
    </row>
    <row r="5082" spans="1:18" x14ac:dyDescent="0.3">
      <c r="A5082">
        <v>1618729</v>
      </c>
      <c r="B5082" t="s">
        <v>18</v>
      </c>
      <c r="C5082" t="s">
        <v>19</v>
      </c>
      <c r="D5082" t="s">
        <v>40</v>
      </c>
      <c r="E5082" t="s">
        <v>41</v>
      </c>
      <c r="F5082" t="s">
        <v>22</v>
      </c>
      <c r="G5082" t="s">
        <v>23</v>
      </c>
      <c r="H5082" t="s">
        <v>24</v>
      </c>
      <c r="I5082" t="s">
        <v>25</v>
      </c>
      <c r="J5082" s="2">
        <v>45912.557013888887</v>
      </c>
      <c r="K5082">
        <v>12</v>
      </c>
      <c r="L5082">
        <v>9</v>
      </c>
      <c r="M5082">
        <v>2025</v>
      </c>
      <c r="N5082" t="s">
        <v>27</v>
      </c>
      <c r="O5082">
        <v>350</v>
      </c>
      <c r="P5082">
        <v>350</v>
      </c>
      <c r="R5082" s="3" t="str">
        <f>HYPERLINK("https://panda.att.com.mx/ODKServer/view/binaryData?blobKey=FSSuministroFluidosv3%5B%40version%3Dnull+and+%40uiVersion%3Dnull%5D%2Fdata%5B%40key%3Duuid%3A0db0ca29-c780-4d0b-8993-f85e795cfe75%5D%2FgroupInfoFuel%5B%40ordinal%3D1%5D%2FpicFuelRecibeInterno","Descargar")</f>
        <v>Descargar</v>
      </c>
    </row>
    <row r="5083" spans="1:18" x14ac:dyDescent="0.3">
      <c r="A5083">
        <v>1618730</v>
      </c>
      <c r="B5083" t="s">
        <v>18</v>
      </c>
      <c r="C5083" t="s">
        <v>19</v>
      </c>
      <c r="D5083" t="s">
        <v>42</v>
      </c>
      <c r="E5083" t="s">
        <v>3845</v>
      </c>
      <c r="F5083" t="s">
        <v>22</v>
      </c>
      <c r="G5083" t="s">
        <v>23</v>
      </c>
      <c r="H5083" t="s">
        <v>24</v>
      </c>
      <c r="I5083" t="s">
        <v>25</v>
      </c>
      <c r="J5083" s="2">
        <v>45913.902708333328</v>
      </c>
      <c r="K5083">
        <v>13</v>
      </c>
      <c r="L5083">
        <v>9</v>
      </c>
      <c r="M5083">
        <v>2025</v>
      </c>
      <c r="N5083" t="s">
        <v>27</v>
      </c>
      <c r="O5083">
        <v>100</v>
      </c>
      <c r="P5083">
        <v>100</v>
      </c>
      <c r="R5083" s="3" t="str">
        <f>HYPERLINK("https://panda.att.com.mx/ODKServer/view/binaryData?blobKey=FSSuministroFluidosv3%5B%40version%3Dnull+and+%40uiVersion%3Dnull%5D%2Fdata%5B%40key%3Duuid%3Ab9220905-088f-40cd-9e11-10977b1e93fb%5D%2FgroupInfoFuel%5B%40ordinal%3D1%5D%2FpicFuelRecibeInterno","Descargar")</f>
        <v>Descargar</v>
      </c>
    </row>
    <row r="5084" spans="1:18" x14ac:dyDescent="0.3">
      <c r="A5084">
        <v>1619893</v>
      </c>
      <c r="B5084" t="s">
        <v>18</v>
      </c>
      <c r="C5084" t="s">
        <v>19</v>
      </c>
      <c r="D5084" t="s">
        <v>175</v>
      </c>
      <c r="E5084" t="s">
        <v>1368</v>
      </c>
      <c r="F5084" t="s">
        <v>22</v>
      </c>
      <c r="G5084" t="s">
        <v>23</v>
      </c>
      <c r="H5084" t="s">
        <v>24</v>
      </c>
      <c r="I5084" t="s">
        <v>25</v>
      </c>
      <c r="J5084" s="2">
        <v>45913.566238425927</v>
      </c>
      <c r="K5084">
        <v>13</v>
      </c>
      <c r="L5084">
        <v>9</v>
      </c>
      <c r="M5084">
        <v>2025</v>
      </c>
      <c r="N5084" t="s">
        <v>27</v>
      </c>
      <c r="O5084">
        <v>50</v>
      </c>
      <c r="P5084">
        <v>50</v>
      </c>
      <c r="R5084" s="3" t="str">
        <f>HYPERLINK("https://panda.att.com.mx/ODKServer/view/binaryData?blobKey=FSSuministroFluidosv3%5B%40version%3Dnull+and+%40uiVersion%3Dnull%5D%2Fdata%5B%40key%3Duuid%3Aa25eaf5d-4153-4d2f-8ea8-85853fe51a10%5D%2FgroupInfoFuel%5B%40ordinal%3D1%5D%2FpicFuelRecibeInterno","Descargar")</f>
        <v>Descargar</v>
      </c>
    </row>
    <row r="5085" spans="1:18" x14ac:dyDescent="0.3">
      <c r="A5085">
        <v>1619645</v>
      </c>
      <c r="B5085" t="s">
        <v>18</v>
      </c>
      <c r="C5085" t="s">
        <v>19</v>
      </c>
      <c r="D5085" t="s">
        <v>42</v>
      </c>
      <c r="E5085" t="s">
        <v>2203</v>
      </c>
      <c r="F5085" t="s">
        <v>22</v>
      </c>
      <c r="G5085" t="s">
        <v>23</v>
      </c>
      <c r="H5085" t="s">
        <v>24</v>
      </c>
      <c r="I5085" t="s">
        <v>25</v>
      </c>
      <c r="J5085" s="2">
        <v>45914.917233796303</v>
      </c>
      <c r="K5085">
        <v>14</v>
      </c>
      <c r="L5085">
        <v>9</v>
      </c>
      <c r="M5085">
        <v>2025</v>
      </c>
      <c r="N5085" t="s">
        <v>44</v>
      </c>
      <c r="O5085">
        <v>25</v>
      </c>
      <c r="P5085">
        <v>25</v>
      </c>
      <c r="R5085" s="3" t="str">
        <f>HYPERLINK("https://panda.att.com.mx/ODKServer/view/binaryData?blobKey=FSSuministroFluidosv3%5B%40version%3Dnull+and+%40uiVersion%3Dnull%5D%2Fdata%5B%40key%3Duuid%3A83457ad9-129f-4eb3-9294-738341efa649%5D%2FgroupInfoFuel%5B%40ordinal%3D1%5D%2FpicFuelRecibeInterno","Descargar")</f>
        <v>Descargar</v>
      </c>
    </row>
    <row r="5086" spans="1:18" x14ac:dyDescent="0.3">
      <c r="A5086">
        <v>1615840</v>
      </c>
      <c r="B5086" t="s">
        <v>18</v>
      </c>
      <c r="C5086" t="s">
        <v>19</v>
      </c>
      <c r="D5086" t="s">
        <v>175</v>
      </c>
      <c r="E5086" t="s">
        <v>176</v>
      </c>
      <c r="F5086" t="s">
        <v>22</v>
      </c>
      <c r="G5086" t="s">
        <v>23</v>
      </c>
      <c r="H5086" t="s">
        <v>24</v>
      </c>
      <c r="I5086" t="s">
        <v>25</v>
      </c>
      <c r="J5086" s="2">
        <v>45910.828761574077</v>
      </c>
      <c r="K5086">
        <v>10</v>
      </c>
      <c r="L5086">
        <v>9</v>
      </c>
      <c r="M5086">
        <v>2025</v>
      </c>
      <c r="N5086" t="s">
        <v>44</v>
      </c>
      <c r="O5086">
        <v>30</v>
      </c>
      <c r="P5086">
        <v>30</v>
      </c>
      <c r="R5086" s="3" t="str">
        <f>HYPERLINK("https://panda.att.com.mx/ODKServer/view/binaryData?blobKey=FSSuministroFluidosv3%5B%40version%3Dnull+and+%40uiVersion%3Dnull%5D%2Fdata%5B%40key%3Duuid%3A54452130-b3a4-484f-bae5-7bde18c1f313%5D%2FgroupInfoFuel%5B%40ordinal%3D1%5D%2FpicFuelRecibeInterno","Descargar")</f>
        <v>Descargar</v>
      </c>
    </row>
    <row r="5087" spans="1:18" x14ac:dyDescent="0.3">
      <c r="A5087">
        <v>1618728</v>
      </c>
      <c r="B5087" t="s">
        <v>18</v>
      </c>
      <c r="C5087" t="s">
        <v>19</v>
      </c>
      <c r="D5087" t="s">
        <v>42</v>
      </c>
      <c r="E5087" t="s">
        <v>3846</v>
      </c>
      <c r="F5087" t="s">
        <v>22</v>
      </c>
      <c r="G5087" t="s">
        <v>23</v>
      </c>
      <c r="H5087" t="s">
        <v>24</v>
      </c>
      <c r="I5087" t="s">
        <v>25</v>
      </c>
      <c r="J5087" s="2">
        <v>45910.310578703713</v>
      </c>
      <c r="K5087">
        <v>10</v>
      </c>
      <c r="L5087">
        <v>9</v>
      </c>
      <c r="M5087">
        <v>2025</v>
      </c>
      <c r="N5087" t="s">
        <v>44</v>
      </c>
      <c r="O5087">
        <v>60</v>
      </c>
      <c r="P5087">
        <v>60</v>
      </c>
      <c r="R5087" s="3" t="str">
        <f>HYPERLINK("https://panda.att.com.mx/ODKServer/view/binaryData?blobKey=FSSuministroFluidosv3%5B%40version%3Dnull+and+%40uiVersion%3Dnull%5D%2Fdata%5B%40key%3Duuid%3A674cf7e9-6d23-4ef2-b06b-40d40689e6e6%5D%2FgroupInfoFuel%5B%40ordinal%3D1%5D%2FpicFuelRecibeInterno","Descargar")</f>
        <v>Descargar</v>
      </c>
    </row>
    <row r="5088" spans="1:18" x14ac:dyDescent="0.3">
      <c r="A5088">
        <v>1619707</v>
      </c>
      <c r="B5088" t="s">
        <v>18</v>
      </c>
      <c r="C5088" t="s">
        <v>19</v>
      </c>
      <c r="D5088" t="s">
        <v>175</v>
      </c>
      <c r="E5088" t="s">
        <v>1368</v>
      </c>
      <c r="F5088" t="s">
        <v>22</v>
      </c>
      <c r="G5088" t="s">
        <v>23</v>
      </c>
      <c r="H5088" t="s">
        <v>24</v>
      </c>
      <c r="I5088" t="s">
        <v>25</v>
      </c>
      <c r="J5088" s="2">
        <v>45915.443124999998</v>
      </c>
      <c r="K5088">
        <v>15</v>
      </c>
      <c r="L5088">
        <v>9</v>
      </c>
      <c r="M5088">
        <v>2025</v>
      </c>
      <c r="N5088" t="s">
        <v>27</v>
      </c>
      <c r="O5088">
        <v>100</v>
      </c>
      <c r="P5088">
        <v>100</v>
      </c>
      <c r="R5088" s="3" t="str">
        <f>HYPERLINK("https://panda.att.com.mx/ODKServer/view/binaryData?blobKey=FSSuministroFluidosv3%5B%40version%3Dnull+and+%40uiVersion%3Dnull%5D%2Fdata%5B%40key%3Duuid%3Aaa82c5ba-1fd2-4baf-8388-d5e7171d3dc0%5D%2FgroupInfoFuel%5B%40ordinal%3D1%5D%2FpicFuelRecibeInterno","Descargar")</f>
        <v>Descargar</v>
      </c>
    </row>
    <row r="5089" spans="1:18" x14ac:dyDescent="0.3">
      <c r="A5089">
        <v>1619877</v>
      </c>
      <c r="B5089" t="s">
        <v>18</v>
      </c>
      <c r="C5089" t="s">
        <v>19</v>
      </c>
      <c r="D5089" t="s">
        <v>175</v>
      </c>
      <c r="E5089" t="s">
        <v>2093</v>
      </c>
      <c r="F5089" t="s">
        <v>22</v>
      </c>
      <c r="G5089" t="s">
        <v>23</v>
      </c>
      <c r="H5089" t="s">
        <v>24</v>
      </c>
      <c r="I5089" t="s">
        <v>25</v>
      </c>
      <c r="J5089" s="2">
        <v>45916.499479166669</v>
      </c>
      <c r="K5089">
        <v>16</v>
      </c>
      <c r="L5089">
        <v>9</v>
      </c>
      <c r="M5089">
        <v>2025</v>
      </c>
      <c r="N5089" t="s">
        <v>44</v>
      </c>
      <c r="O5089">
        <v>20</v>
      </c>
      <c r="P5089">
        <v>20</v>
      </c>
      <c r="R5089" s="3" t="str">
        <f>HYPERLINK("https://panda.att.com.mx/ODKServer/view/binaryData?blobKey=FSSuministroFluidosv3%5B%40version%3Dnull+and+%40uiVersion%3Dnull%5D%2Fdata%5B%40key%3Duuid%3Aa691d1c5-9ca7-4bcb-bb16-9c8d2c710ff9%5D%2FgroupInfoFuel%5B%40ordinal%3D1%5D%2FpicFuelRecibeInterno","Descargar")</f>
        <v>Descargar</v>
      </c>
    </row>
    <row r="5090" spans="1:18" x14ac:dyDescent="0.3">
      <c r="A5090">
        <v>1619644</v>
      </c>
      <c r="B5090" t="s">
        <v>18</v>
      </c>
      <c r="C5090" t="s">
        <v>19</v>
      </c>
      <c r="D5090" t="s">
        <v>42</v>
      </c>
      <c r="E5090" t="s">
        <v>2682</v>
      </c>
      <c r="F5090" t="s">
        <v>22</v>
      </c>
      <c r="G5090" t="s">
        <v>23</v>
      </c>
      <c r="H5090" t="s">
        <v>24</v>
      </c>
      <c r="I5090" t="s">
        <v>25</v>
      </c>
      <c r="J5090" s="2">
        <v>45914.934537037043</v>
      </c>
      <c r="K5090">
        <v>14</v>
      </c>
      <c r="L5090">
        <v>9</v>
      </c>
      <c r="M5090">
        <v>2025</v>
      </c>
      <c r="N5090" t="s">
        <v>44</v>
      </c>
      <c r="O5090">
        <v>55</v>
      </c>
      <c r="P5090">
        <v>55</v>
      </c>
      <c r="R5090" s="3" t="str">
        <f>HYPERLINK("https://panda.att.com.mx/ODKServer/view/binaryData?blobKey=FSSuministroFluidosv3%5B%40version%3Dnull+and+%40uiVersion%3Dnull%5D%2Fdata%5B%40key%3Duuid%3Ac5f72851-1398-4c65-b907-faaa7ee5915b%5D%2FgroupInfoFuel%5B%40ordinal%3D1%5D%2FpicFuelRecibeInterno","Descargar")</f>
        <v>Descargar</v>
      </c>
    </row>
    <row r="5091" spans="1:18" x14ac:dyDescent="0.3">
      <c r="A5091">
        <v>1616855</v>
      </c>
      <c r="B5091" t="s">
        <v>18</v>
      </c>
      <c r="C5091" t="s">
        <v>28</v>
      </c>
      <c r="D5091" t="s">
        <v>1723</v>
      </c>
      <c r="E5091" t="s">
        <v>1724</v>
      </c>
      <c r="F5091" t="s">
        <v>22</v>
      </c>
      <c r="G5091" t="s">
        <v>23</v>
      </c>
      <c r="H5091" t="s">
        <v>24</v>
      </c>
      <c r="I5091" t="s">
        <v>25</v>
      </c>
      <c r="J5091" s="2">
        <v>45911.409305555557</v>
      </c>
      <c r="K5091">
        <v>11</v>
      </c>
      <c r="L5091">
        <v>9</v>
      </c>
      <c r="M5091">
        <v>2025</v>
      </c>
      <c r="N5091" t="s">
        <v>27</v>
      </c>
      <c r="O5091">
        <v>300</v>
      </c>
      <c r="Q5091">
        <v>300</v>
      </c>
      <c r="R5091" s="3" t="str">
        <f>HYPERLINK("https://panda.att.com.mx/ODKServer/view/binaryData?blobKey=FSSuministroFluidosv3%5B%40version%3Dnull+and+%40uiVersion%3Dnull%5D%2Fdata%5B%40key%3Duuid%3A79b42a81-34d9-4540-b57e-15e514027490%5D%2FgroupInfoFuel%5B%40ordinal%3D1%5D%2FpicFuelRecibeInterno","Descargar")</f>
        <v>Descargar</v>
      </c>
    </row>
    <row r="5092" spans="1:18" x14ac:dyDescent="0.3">
      <c r="A5092">
        <v>1613080</v>
      </c>
      <c r="B5092" t="s">
        <v>18</v>
      </c>
      <c r="C5092" t="s">
        <v>28</v>
      </c>
      <c r="D5092" t="s">
        <v>1723</v>
      </c>
      <c r="E5092" t="s">
        <v>1724</v>
      </c>
      <c r="F5092" t="s">
        <v>22</v>
      </c>
      <c r="G5092" t="s">
        <v>23</v>
      </c>
      <c r="H5092" t="s">
        <v>24</v>
      </c>
      <c r="I5092" t="s">
        <v>25</v>
      </c>
      <c r="J5092" s="2">
        <v>45905.434444444443</v>
      </c>
      <c r="K5092">
        <v>5</v>
      </c>
      <c r="L5092">
        <v>9</v>
      </c>
      <c r="M5092">
        <v>2025</v>
      </c>
      <c r="N5092" t="s">
        <v>27</v>
      </c>
      <c r="O5092">
        <v>200</v>
      </c>
      <c r="Q5092">
        <v>200</v>
      </c>
      <c r="R5092" s="3" t="str">
        <f>HYPERLINK("https://panda.att.com.mx/ODKServer/view/binaryData?blobKey=FSSuministroFluidosv3%5B%40version%3Dnull+and+%40uiVersion%3Dnull%5D%2Fdata%5B%40key%3Duuid%3Ad7493115-b769-40a1-b1d0-234410b87910%5D%2FgroupInfoFuel%5B%40ordinal%3D1%5D%2FpicFuelRecibeInterno","Descargar")</f>
        <v>Descargar</v>
      </c>
    </row>
    <row r="5093" spans="1:18" x14ac:dyDescent="0.3">
      <c r="A5093">
        <v>1619672</v>
      </c>
      <c r="B5093" t="s">
        <v>18</v>
      </c>
      <c r="C5093" t="s">
        <v>28</v>
      </c>
      <c r="D5093" t="s">
        <v>1036</v>
      </c>
      <c r="E5093" t="s">
        <v>2982</v>
      </c>
      <c r="F5093" t="s">
        <v>22</v>
      </c>
      <c r="G5093" t="s">
        <v>23</v>
      </c>
      <c r="H5093" t="s">
        <v>24</v>
      </c>
      <c r="I5093" t="s">
        <v>25</v>
      </c>
      <c r="J5093" s="2">
        <v>45916.637824074067</v>
      </c>
      <c r="K5093">
        <v>16</v>
      </c>
      <c r="L5093">
        <v>9</v>
      </c>
      <c r="M5093">
        <v>2025</v>
      </c>
      <c r="N5093" t="s">
        <v>27</v>
      </c>
      <c r="O5093">
        <v>80</v>
      </c>
      <c r="P5093">
        <v>80</v>
      </c>
      <c r="R5093" s="3" t="str">
        <f>HYPERLINK("https://panda.att.com.mx/ODKServer/view/binaryData?blobKey=FSSuministroFluidosv3%5B%40version%3Dnull+and+%40uiVersion%3Dnull%5D%2Fdata%5B%40key%3Duuid%3A5fdaacd2-3f60-4069-a32c-d269142816fe%5D%2FgroupInfoFuel%5B%40ordinal%3D1%5D%2FpicFuelRecibeInterno","Descargar")</f>
        <v>Descargar</v>
      </c>
    </row>
    <row r="5094" spans="1:18" x14ac:dyDescent="0.3">
      <c r="A5094">
        <v>1617354</v>
      </c>
      <c r="B5094" t="s">
        <v>18</v>
      </c>
      <c r="C5094" t="s">
        <v>55</v>
      </c>
      <c r="D5094" t="s">
        <v>128</v>
      </c>
      <c r="E5094" t="s">
        <v>240</v>
      </c>
      <c r="F5094" t="s">
        <v>22</v>
      </c>
      <c r="G5094" t="s">
        <v>23</v>
      </c>
      <c r="H5094" t="s">
        <v>58</v>
      </c>
      <c r="I5094" t="s">
        <v>25</v>
      </c>
      <c r="J5094" s="2">
        <v>45912.361701388887</v>
      </c>
      <c r="K5094">
        <v>12</v>
      </c>
      <c r="L5094">
        <v>9</v>
      </c>
      <c r="M5094">
        <v>2025</v>
      </c>
      <c r="N5094" t="s">
        <v>44</v>
      </c>
      <c r="O5094">
        <v>40</v>
      </c>
      <c r="P5094">
        <v>40</v>
      </c>
      <c r="R5094" s="3" t="str">
        <f>HYPERLINK("https://panda.att.com.mx/ODKServer/view/binaryData?blobKey=FSSuministroFluidosv3%5B%40version%3Dnull+and+%40uiVersion%3Dnull%5D%2Fdata%5B%40key%3Duuid%3Ab3a8588b-01f8-4b4f-a6b4-8b9a4a96a910%5D%2FgroupInfoFuel%5B%40ordinal%3D1%5D%2FpicFuelRecibeInterno","Descargar")</f>
        <v>Descargar</v>
      </c>
    </row>
    <row r="5095" spans="1:18" x14ac:dyDescent="0.3">
      <c r="A5095">
        <v>1615808</v>
      </c>
      <c r="B5095" t="s">
        <v>18</v>
      </c>
      <c r="C5095" t="s">
        <v>55</v>
      </c>
      <c r="D5095" t="s">
        <v>210</v>
      </c>
      <c r="E5095" t="s">
        <v>3576</v>
      </c>
      <c r="F5095" t="s">
        <v>22</v>
      </c>
      <c r="G5095" t="s">
        <v>23</v>
      </c>
      <c r="H5095" t="s">
        <v>58</v>
      </c>
      <c r="I5095" t="s">
        <v>25</v>
      </c>
      <c r="J5095" s="2">
        <v>45908.448611111111</v>
      </c>
      <c r="K5095">
        <v>8</v>
      </c>
      <c r="L5095">
        <v>9</v>
      </c>
      <c r="M5095">
        <v>2025</v>
      </c>
      <c r="N5095" t="s">
        <v>27</v>
      </c>
      <c r="O5095">
        <v>200</v>
      </c>
      <c r="P5095">
        <v>200</v>
      </c>
      <c r="R5095" s="3" t="str">
        <f>HYPERLINK("https://panda.att.com.mx/ODKServer/view/binaryData?blobKey=FSSuministroFluidosv3%5B%40version%3Dnull+and+%40uiVersion%3Dnull%5D%2Fdata%5B%40key%3Duuid%3Ad85efdf9-7a16-4084-8f02-db47a1bae05b%5D%2FgroupInfoFuel%5B%40ordinal%3D1%5D%2FpicFuelRecibeInterno","Descargar")</f>
        <v>Descargar</v>
      </c>
    </row>
    <row r="5096" spans="1:18" x14ac:dyDescent="0.3">
      <c r="A5096">
        <v>1615810</v>
      </c>
      <c r="B5096" t="s">
        <v>18</v>
      </c>
      <c r="C5096" t="s">
        <v>55</v>
      </c>
      <c r="D5096" t="s">
        <v>210</v>
      </c>
      <c r="E5096" t="s">
        <v>3576</v>
      </c>
      <c r="F5096" t="s">
        <v>22</v>
      </c>
      <c r="G5096" t="s">
        <v>23</v>
      </c>
      <c r="H5096" t="s">
        <v>58</v>
      </c>
      <c r="I5096" t="s">
        <v>25</v>
      </c>
      <c r="J5096" s="2">
        <v>45907.509456018517</v>
      </c>
      <c r="K5096">
        <v>7</v>
      </c>
      <c r="L5096">
        <v>9</v>
      </c>
      <c r="M5096">
        <v>2025</v>
      </c>
      <c r="N5096" t="s">
        <v>27</v>
      </c>
      <c r="O5096">
        <v>399.9</v>
      </c>
      <c r="P5096">
        <v>399.9</v>
      </c>
      <c r="R5096" s="3" t="str">
        <f>HYPERLINK("https://panda.att.com.mx/ODKServer/view/binaryData?blobKey=FSSuministroFluidosv3%5B%40version%3Dnull+and+%40uiVersion%3Dnull%5D%2Fdata%5B%40key%3Duuid%3A879f8e2c-b799-4d86-b720-557f6ecf3cea%5D%2FgroupInfoFuel%5B%40ordinal%3D1%5D%2FpicFuelRecibeInterno","Descargar")</f>
        <v>Descargar</v>
      </c>
    </row>
    <row r="5097" spans="1:18" x14ac:dyDescent="0.3">
      <c r="A5097">
        <v>1619608</v>
      </c>
      <c r="B5097" t="s">
        <v>18</v>
      </c>
      <c r="C5097" t="s">
        <v>55</v>
      </c>
      <c r="D5097" t="s">
        <v>56</v>
      </c>
      <c r="E5097" t="s">
        <v>105</v>
      </c>
      <c r="F5097" t="s">
        <v>22</v>
      </c>
      <c r="G5097" t="s">
        <v>23</v>
      </c>
      <c r="H5097" t="s">
        <v>58</v>
      </c>
      <c r="I5097" t="s">
        <v>25</v>
      </c>
      <c r="J5097" s="2">
        <v>45915.650289351863</v>
      </c>
      <c r="K5097">
        <v>15</v>
      </c>
      <c r="L5097">
        <v>9</v>
      </c>
      <c r="M5097">
        <v>2025</v>
      </c>
      <c r="N5097" t="s">
        <v>27</v>
      </c>
      <c r="O5097">
        <v>200</v>
      </c>
      <c r="P5097">
        <v>200</v>
      </c>
      <c r="R5097" s="3" t="str">
        <f>HYPERLINK("https://panda.att.com.mx/ODKServer/view/binaryData?blobKey=FSSuministroFluidosv3%5B%40version%3Dnull+and+%40uiVersion%3Dnull%5D%2Fdata%5B%40key%3Duuid%3Aedee3a1a-3401-416e-a6f4-e1fbdc705fd3%5D%2FgroupInfoFuel%5B%40ordinal%3D1%5D%2FpicFuelRecibeInterno","Descargar")</f>
        <v>Descargar</v>
      </c>
    </row>
    <row r="5098" spans="1:18" x14ac:dyDescent="0.3">
      <c r="A5098">
        <v>1616037</v>
      </c>
      <c r="B5098" t="s">
        <v>18</v>
      </c>
      <c r="C5098" t="s">
        <v>55</v>
      </c>
      <c r="D5098" t="s">
        <v>288</v>
      </c>
      <c r="E5098" t="s">
        <v>1534</v>
      </c>
      <c r="F5098" t="s">
        <v>22</v>
      </c>
      <c r="G5098" t="s">
        <v>23</v>
      </c>
      <c r="H5098" t="s">
        <v>58</v>
      </c>
      <c r="I5098" t="s">
        <v>25</v>
      </c>
      <c r="J5098" s="2">
        <v>45911.501956018517</v>
      </c>
      <c r="K5098">
        <v>11</v>
      </c>
      <c r="L5098">
        <v>9</v>
      </c>
      <c r="M5098">
        <v>2025</v>
      </c>
      <c r="N5098" t="s">
        <v>27</v>
      </c>
      <c r="O5098">
        <v>200</v>
      </c>
      <c r="P5098">
        <v>200</v>
      </c>
      <c r="R5098" s="3" t="str">
        <f>HYPERLINK("https://panda.att.com.mx/ODKServer/view/binaryData?blobKey=FSSuministroFluidosv3%5B%40version%3Dnull+and+%40uiVersion%3Dnull%5D%2Fdata%5B%40key%3Duuid%3Af9283beb-bd79-4ace-9829-6f1f4170a1de%5D%2FgroupInfoFuel%5B%40ordinal%3D1%5D%2FpicFuelRecibeInterno","Descargar")</f>
        <v>Descargar</v>
      </c>
    </row>
    <row r="5099" spans="1:18" x14ac:dyDescent="0.3">
      <c r="A5099">
        <v>1618777</v>
      </c>
      <c r="B5099" t="s">
        <v>18</v>
      </c>
      <c r="C5099" t="s">
        <v>55</v>
      </c>
      <c r="D5099" t="s">
        <v>56</v>
      </c>
      <c r="E5099" t="s">
        <v>2025</v>
      </c>
      <c r="F5099" t="s">
        <v>22</v>
      </c>
      <c r="G5099" t="s">
        <v>23</v>
      </c>
      <c r="H5099" t="s">
        <v>58</v>
      </c>
      <c r="I5099" t="s">
        <v>25</v>
      </c>
      <c r="J5099" s="2">
        <v>45913.573125000003</v>
      </c>
      <c r="K5099">
        <v>13</v>
      </c>
      <c r="L5099">
        <v>9</v>
      </c>
      <c r="M5099">
        <v>2025</v>
      </c>
      <c r="N5099" t="s">
        <v>27</v>
      </c>
      <c r="O5099">
        <v>150</v>
      </c>
      <c r="P5099">
        <v>150</v>
      </c>
      <c r="R5099" s="3" t="str">
        <f>HYPERLINK("https://panda.att.com.mx/ODKServer/view/binaryData?blobKey=FSSuministroFluidosv3%5B%40version%3Dnull+and+%40uiVersion%3Dnull%5D%2Fdata%5B%40key%3Duuid%3Adb6d41e6-2387-411a-920f-65c46c48048c%5D%2FgroupInfoFuel%5B%40ordinal%3D1%5D%2FpicFuelRecibeInterno","Descargar")</f>
        <v>Descargar</v>
      </c>
    </row>
    <row r="5100" spans="1:18" x14ac:dyDescent="0.3">
      <c r="A5100">
        <v>1568730</v>
      </c>
      <c r="B5100" t="s">
        <v>18</v>
      </c>
      <c r="C5100" t="s">
        <v>100</v>
      </c>
      <c r="D5100" t="s">
        <v>716</v>
      </c>
      <c r="E5100" t="s">
        <v>717</v>
      </c>
      <c r="F5100" t="s">
        <v>22</v>
      </c>
      <c r="G5100" t="s">
        <v>83</v>
      </c>
      <c r="H5100" t="s">
        <v>58</v>
      </c>
      <c r="I5100" t="s">
        <v>25</v>
      </c>
      <c r="J5100" s="2">
        <v>45839.006145833337</v>
      </c>
      <c r="K5100">
        <v>1</v>
      </c>
      <c r="L5100">
        <v>7</v>
      </c>
      <c r="M5100">
        <v>2025</v>
      </c>
      <c r="N5100" t="s">
        <v>27</v>
      </c>
      <c r="O5100">
        <v>150</v>
      </c>
      <c r="P5100">
        <v>150</v>
      </c>
      <c r="R5100" s="3" t="str">
        <f>HYPERLINK("https://panda.att.com.mx/ODKServer/view/binaryData?blobKey=FSSuministroFluidosv3%5B%40version%3Dnull+and+%40uiVersion%3Dnull%5D%2Fdata%5B%40key%3Duuid%3A2f7f8bc7-c2cf-40fa-826e-72defac7aaab%5D%2FgroupInfoFuel%5B%40ordinal%3D1%5D%2FpicFuelRecibeInterno","Descargar")</f>
        <v>Descargar</v>
      </c>
    </row>
    <row r="5101" spans="1:18" x14ac:dyDescent="0.3">
      <c r="A5101">
        <v>1566808</v>
      </c>
      <c r="B5101" t="s">
        <v>18</v>
      </c>
      <c r="C5101" t="s">
        <v>100</v>
      </c>
      <c r="D5101" t="s">
        <v>716</v>
      </c>
      <c r="E5101" t="s">
        <v>1785</v>
      </c>
      <c r="F5101" t="s">
        <v>22</v>
      </c>
      <c r="G5101" t="s">
        <v>83</v>
      </c>
      <c r="H5101" t="s">
        <v>58</v>
      </c>
      <c r="I5101" t="s">
        <v>25</v>
      </c>
      <c r="J5101" s="2">
        <v>45835.929108796299</v>
      </c>
      <c r="K5101">
        <v>27</v>
      </c>
      <c r="L5101">
        <v>6</v>
      </c>
      <c r="M5101">
        <v>2025</v>
      </c>
      <c r="N5101" t="s">
        <v>27</v>
      </c>
      <c r="O5101">
        <v>150</v>
      </c>
      <c r="P5101">
        <v>150</v>
      </c>
      <c r="R5101" s="3" t="str">
        <f>HYPERLINK("https://panda.att.com.mx/ODKServer/view/binaryData?blobKey=FSSuministroFluidosv3%5B%40version%3Dnull+and+%40uiVersion%3Dnull%5D%2Fdata%5B%40key%3Duuid%3Ad201bd49-90e0-4ebd-bc89-320a5efd59bf%5D%2FgroupInfoFuel%5B%40ordinal%3D1%5D%2FpicFuelRecibeInterno","Descargar")</f>
        <v>Descargar</v>
      </c>
    </row>
    <row r="5102" spans="1:18" x14ac:dyDescent="0.3">
      <c r="A5102">
        <v>1562311</v>
      </c>
      <c r="B5102" t="s">
        <v>18</v>
      </c>
      <c r="C5102" t="s">
        <v>100</v>
      </c>
      <c r="D5102" t="s">
        <v>716</v>
      </c>
      <c r="E5102" t="s">
        <v>2513</v>
      </c>
      <c r="F5102" t="s">
        <v>22</v>
      </c>
      <c r="G5102" t="s">
        <v>23</v>
      </c>
      <c r="H5102" t="s">
        <v>58</v>
      </c>
      <c r="I5102" t="s">
        <v>25</v>
      </c>
      <c r="J5102" s="2">
        <v>45830.776435185187</v>
      </c>
      <c r="K5102">
        <v>22</v>
      </c>
      <c r="L5102">
        <v>6</v>
      </c>
      <c r="M5102">
        <v>2025</v>
      </c>
      <c r="N5102" t="s">
        <v>27</v>
      </c>
      <c r="O5102">
        <v>60</v>
      </c>
      <c r="P5102">
        <v>60</v>
      </c>
      <c r="R5102" s="3" t="str">
        <f>HYPERLINK("https://panda.att.com.mx/ODKServer/view/binaryData?blobKey=FSSuministroFluidosv3%5B%40version%3Dnull+and+%40uiVersion%3Dnull%5D%2Fdata%5B%40key%3Duuid%3A43f4e3cc-e90e-4341-ae8b-040bc025b677%5D%2FgroupInfoFuel%5B%40ordinal%3D1%5D%2FpicFuelRecibeInterno","Descargar")</f>
        <v>Descargar</v>
      </c>
    </row>
    <row r="5103" spans="1:18" x14ac:dyDescent="0.3">
      <c r="A5103">
        <v>1563696</v>
      </c>
      <c r="B5103" t="s">
        <v>18</v>
      </c>
      <c r="C5103" t="s">
        <v>100</v>
      </c>
      <c r="D5103" t="s">
        <v>716</v>
      </c>
      <c r="E5103" t="s">
        <v>717</v>
      </c>
      <c r="F5103" t="s">
        <v>22</v>
      </c>
      <c r="G5103" t="s">
        <v>83</v>
      </c>
      <c r="H5103" t="s">
        <v>58</v>
      </c>
      <c r="I5103" t="s">
        <v>25</v>
      </c>
      <c r="J5103" s="2">
        <v>45832.561041666668</v>
      </c>
      <c r="K5103">
        <v>24</v>
      </c>
      <c r="L5103">
        <v>6</v>
      </c>
      <c r="M5103">
        <v>2025</v>
      </c>
      <c r="N5103" t="s">
        <v>27</v>
      </c>
      <c r="O5103">
        <v>140</v>
      </c>
      <c r="P5103">
        <v>140</v>
      </c>
      <c r="R5103" s="3" t="str">
        <f>HYPERLINK("https://panda.att.com.mx/ODKServer/view/binaryData?blobKey=FSSuministroFluidosv3%5B%40version%3Dnull+and+%40uiVersion%3Dnull%5D%2Fdata%5B%40key%3Duuid%3Ae6f8fbdc-38a8-4aac-8ce9-184ff382201f%5D%2FgroupInfoFuel%5B%40ordinal%3D1%5D%2FpicFuelRecibeInterno","Descargar")</f>
        <v>Descargar</v>
      </c>
    </row>
    <row r="5104" spans="1:18" x14ac:dyDescent="0.3">
      <c r="A5104">
        <v>1562312</v>
      </c>
      <c r="B5104" t="s">
        <v>18</v>
      </c>
      <c r="C5104" t="s">
        <v>100</v>
      </c>
      <c r="D5104" t="s">
        <v>716</v>
      </c>
      <c r="E5104" t="s">
        <v>717</v>
      </c>
      <c r="F5104" t="s">
        <v>22</v>
      </c>
      <c r="G5104" t="s">
        <v>83</v>
      </c>
      <c r="H5104" t="s">
        <v>58</v>
      </c>
      <c r="I5104" t="s">
        <v>25</v>
      </c>
      <c r="J5104" s="2">
        <v>45830.816516203697</v>
      </c>
      <c r="K5104">
        <v>22</v>
      </c>
      <c r="L5104">
        <v>6</v>
      </c>
      <c r="M5104">
        <v>2025</v>
      </c>
      <c r="N5104" t="s">
        <v>27</v>
      </c>
      <c r="O5104">
        <v>100</v>
      </c>
      <c r="P5104">
        <v>100</v>
      </c>
      <c r="R5104" s="3" t="str">
        <f>HYPERLINK("https://panda.att.com.mx/ODKServer/view/binaryData?blobKey=FSSuministroFluidosv3%5B%40version%3Dnull+and+%40uiVersion%3Dnull%5D%2Fdata%5B%40key%3Duuid%3A4e4349b8-f376-4af1-959c-e0771f9d2ee1%5D%2FgroupInfoFuel%5B%40ordinal%3D1%5D%2FpicFuelRecibeInterno","Descargar")</f>
        <v>Descargar</v>
      </c>
    </row>
    <row r="5105" spans="1:18" x14ac:dyDescent="0.3">
      <c r="A5105">
        <v>1565248</v>
      </c>
      <c r="B5105" t="s">
        <v>18</v>
      </c>
      <c r="C5105" t="s">
        <v>100</v>
      </c>
      <c r="D5105" t="s">
        <v>716</v>
      </c>
      <c r="E5105" t="s">
        <v>1785</v>
      </c>
      <c r="F5105" t="s">
        <v>22</v>
      </c>
      <c r="G5105" t="s">
        <v>23</v>
      </c>
      <c r="H5105" t="s">
        <v>58</v>
      </c>
      <c r="I5105" t="s">
        <v>25</v>
      </c>
      <c r="J5105" s="2">
        <v>45834.47923611111</v>
      </c>
      <c r="K5105">
        <v>26</v>
      </c>
      <c r="L5105">
        <v>6</v>
      </c>
      <c r="M5105">
        <v>2025</v>
      </c>
      <c r="N5105" t="s">
        <v>27</v>
      </c>
      <c r="O5105">
        <v>150</v>
      </c>
      <c r="P5105">
        <v>150</v>
      </c>
      <c r="R5105" s="3" t="str">
        <f>HYPERLINK("https://panda.att.com.mx/ODKServer/view/binaryData?blobKey=FSSuministroFluidosv3%5B%40version%3Dnull+and+%40uiVersion%3Dnull%5D%2Fdata%5B%40key%3Duuid%3Af107672f-715e-44bc-ad86-deaacfcf9775%5D%2FgroupInfoFuel%5B%40ordinal%3D1%5D%2FpicFuelRecibeInterno","Descargar")</f>
        <v>Descargar</v>
      </c>
    </row>
    <row r="5106" spans="1:18" x14ac:dyDescent="0.3">
      <c r="A5106">
        <v>1567028</v>
      </c>
      <c r="B5106" t="s">
        <v>18</v>
      </c>
      <c r="C5106" t="s">
        <v>100</v>
      </c>
      <c r="D5106" t="s">
        <v>716</v>
      </c>
      <c r="E5106" t="s">
        <v>717</v>
      </c>
      <c r="F5106" t="s">
        <v>22</v>
      </c>
      <c r="G5106" t="s">
        <v>83</v>
      </c>
      <c r="H5106" t="s">
        <v>58</v>
      </c>
      <c r="I5106" t="s">
        <v>25</v>
      </c>
      <c r="J5106" s="2">
        <v>45836.590416666673</v>
      </c>
      <c r="K5106">
        <v>28</v>
      </c>
      <c r="L5106">
        <v>6</v>
      </c>
      <c r="M5106">
        <v>2025</v>
      </c>
      <c r="N5106" t="s">
        <v>27</v>
      </c>
      <c r="O5106">
        <v>150</v>
      </c>
      <c r="P5106">
        <v>150</v>
      </c>
      <c r="R5106" s="3" t="str">
        <f>HYPERLINK("https://panda.att.com.mx/ODKServer/view/binaryData?blobKey=FSSuministroFluidosv3%5B%40version%3Dnull+and+%40uiVersion%3Dnull%5D%2Fdata%5B%40key%3Duuid%3Ae94b0dd3-e899-4179-aef5-3880a73f80da%5D%2FgroupInfoFuel%5B%40ordinal%3D1%5D%2FpicFuelRecibeInterno","Descargar")</f>
        <v>Descargar</v>
      </c>
    </row>
    <row r="5107" spans="1:18" x14ac:dyDescent="0.3">
      <c r="A5107">
        <v>1561660</v>
      </c>
      <c r="B5107" t="s">
        <v>18</v>
      </c>
      <c r="C5107" t="s">
        <v>100</v>
      </c>
      <c r="D5107" t="s">
        <v>716</v>
      </c>
      <c r="E5107" t="s">
        <v>3847</v>
      </c>
      <c r="F5107" t="s">
        <v>22</v>
      </c>
      <c r="G5107" t="s">
        <v>23</v>
      </c>
      <c r="H5107" t="s">
        <v>58</v>
      </c>
      <c r="I5107" t="s">
        <v>25</v>
      </c>
      <c r="J5107" s="2">
        <v>45828.544351851851</v>
      </c>
      <c r="K5107">
        <v>20</v>
      </c>
      <c r="L5107">
        <v>6</v>
      </c>
      <c r="M5107">
        <v>2025</v>
      </c>
      <c r="N5107" t="s">
        <v>27</v>
      </c>
      <c r="O5107">
        <v>120</v>
      </c>
      <c r="P5107">
        <v>120</v>
      </c>
      <c r="R5107" s="3" t="str">
        <f>HYPERLINK("https://panda.att.com.mx/ODKServer/view/binaryData?blobKey=FSSuministroFluidosv3%5B%40version%3Dnull+and+%40uiVersion%3Dnull%5D%2Fdata%5B%40key%3Duuid%3A8235da07-b4b6-430d-a2d7-2bf6bae8fe22%5D%2FgroupInfoFuel%5B%40ordinal%3D1%5D%2FpicFuelRecibeInterno","Descargar")</f>
        <v>Descargar</v>
      </c>
    </row>
    <row r="5108" spans="1:18" x14ac:dyDescent="0.3">
      <c r="A5108">
        <v>1557000</v>
      </c>
      <c r="B5108" t="s">
        <v>18</v>
      </c>
      <c r="C5108" t="s">
        <v>100</v>
      </c>
      <c r="D5108" t="s">
        <v>716</v>
      </c>
      <c r="E5108" t="s">
        <v>3848</v>
      </c>
      <c r="F5108" t="s">
        <v>22</v>
      </c>
      <c r="G5108" t="s">
        <v>23</v>
      </c>
      <c r="H5108" t="s">
        <v>58</v>
      </c>
      <c r="I5108" t="s">
        <v>25</v>
      </c>
      <c r="J5108" s="2">
        <v>45820.980150462958</v>
      </c>
      <c r="K5108">
        <v>12</v>
      </c>
      <c r="L5108">
        <v>6</v>
      </c>
      <c r="M5108">
        <v>2025</v>
      </c>
      <c r="N5108" t="s">
        <v>27</v>
      </c>
      <c r="O5108">
        <v>120</v>
      </c>
      <c r="P5108">
        <v>120</v>
      </c>
      <c r="R5108" s="3" t="str">
        <f>HYPERLINK("https://panda.att.com.mx/ODKServer/view/binaryData?blobKey=FSSuministroFluidosv3%5B%40version%3Dnull+and+%40uiVersion%3Dnull%5D%2Fdata%5B%40key%3Duuid%3A4d821bc8-e864-43fd-bb58-dbf3c2e73412%5D%2FgroupInfoFuel%5B%40ordinal%3D1%5D%2FpicFuelRecibeInterno","Descargar")</f>
        <v>Descargar</v>
      </c>
    </row>
    <row r="5109" spans="1:18" x14ac:dyDescent="0.3">
      <c r="A5109">
        <v>1556207</v>
      </c>
      <c r="B5109" t="s">
        <v>18</v>
      </c>
      <c r="C5109" t="s">
        <v>100</v>
      </c>
      <c r="D5109" t="s">
        <v>716</v>
      </c>
      <c r="E5109" t="s">
        <v>717</v>
      </c>
      <c r="F5109" t="s">
        <v>22</v>
      </c>
      <c r="G5109" t="s">
        <v>83</v>
      </c>
      <c r="H5109" t="s">
        <v>58</v>
      </c>
      <c r="I5109" t="s">
        <v>25</v>
      </c>
      <c r="J5109" s="2">
        <v>45819.957060185188</v>
      </c>
      <c r="K5109">
        <v>11</v>
      </c>
      <c r="L5109">
        <v>6</v>
      </c>
      <c r="M5109">
        <v>2025</v>
      </c>
      <c r="N5109" t="s">
        <v>27</v>
      </c>
      <c r="O5109">
        <v>130</v>
      </c>
      <c r="P5109">
        <v>130</v>
      </c>
      <c r="R5109" s="3" t="str">
        <f>HYPERLINK("https://panda.att.com.mx/ODKServer/view/binaryData?blobKey=FSSuministroFluidosv3%5B%40version%3Dnull+and+%40uiVersion%3Dnull%5D%2Fdata%5B%40key%3Duuid%3A4f84598b-7089-4633-97f2-d91ec22083ed%5D%2FgroupInfoFuel%5B%40ordinal%3D1%5D%2FpicFuelRecibeInterno","Descargar")</f>
        <v>Descargar</v>
      </c>
    </row>
    <row r="5110" spans="1:18" x14ac:dyDescent="0.3">
      <c r="A5110">
        <v>1556043</v>
      </c>
      <c r="B5110" t="s">
        <v>18</v>
      </c>
      <c r="C5110" t="s">
        <v>100</v>
      </c>
      <c r="D5110" t="s">
        <v>716</v>
      </c>
      <c r="E5110" t="s">
        <v>991</v>
      </c>
      <c r="F5110" t="s">
        <v>22</v>
      </c>
      <c r="G5110" t="s">
        <v>23</v>
      </c>
      <c r="H5110" t="s">
        <v>58</v>
      </c>
      <c r="I5110" t="s">
        <v>25</v>
      </c>
      <c r="J5110" s="2">
        <v>45819.793217592603</v>
      </c>
      <c r="K5110">
        <v>11</v>
      </c>
      <c r="L5110">
        <v>6</v>
      </c>
      <c r="M5110">
        <v>2025</v>
      </c>
      <c r="N5110" t="s">
        <v>27</v>
      </c>
      <c r="O5110">
        <v>300</v>
      </c>
      <c r="P5110">
        <v>300</v>
      </c>
      <c r="R5110" s="3" t="str">
        <f>HYPERLINK("https://panda.att.com.mx/ODKServer/view/binaryData?blobKey=FSSuministroFluidosv3%5B%40version%3Dnull+and+%40uiVersion%3Dnull%5D%2Fdata%5B%40key%3Duuid%3Adcbb6080-35f4-4091-9e59-de9796cf5399%5D%2FgroupInfoFuel%5B%40ordinal%3D1%5D%2FpicFuelRecibeInterno","Descargar")</f>
        <v>Descargar</v>
      </c>
    </row>
    <row r="5111" spans="1:18" x14ac:dyDescent="0.3">
      <c r="A5111">
        <v>1554372</v>
      </c>
      <c r="B5111" t="s">
        <v>18</v>
      </c>
      <c r="C5111" t="s">
        <v>100</v>
      </c>
      <c r="D5111" t="s">
        <v>716</v>
      </c>
      <c r="E5111" t="s">
        <v>717</v>
      </c>
      <c r="F5111" t="s">
        <v>22</v>
      </c>
      <c r="G5111" t="s">
        <v>83</v>
      </c>
      <c r="H5111" t="s">
        <v>58</v>
      </c>
      <c r="I5111" t="s">
        <v>25</v>
      </c>
      <c r="J5111" s="2">
        <v>45817.812002314808</v>
      </c>
      <c r="K5111">
        <v>9</v>
      </c>
      <c r="L5111">
        <v>6</v>
      </c>
      <c r="M5111">
        <v>2025</v>
      </c>
      <c r="N5111" t="s">
        <v>27</v>
      </c>
      <c r="O5111">
        <v>136.58000000000001</v>
      </c>
      <c r="P5111">
        <v>136.58000000000001</v>
      </c>
      <c r="R5111" s="3" t="str">
        <f>HYPERLINK("https://panda.att.com.mx/ODKServer/view/binaryData?blobKey=FSSuministroFluidosv3%5B%40version%3Dnull+and+%40uiVersion%3Dnull%5D%2Fdata%5B%40key%3Duuid%3A277a1be8-05a4-4780-bbb6-8f2c0e6559dc%5D%2FgroupInfoFuel%5B%40ordinal%3D1%5D%2FpicFuelRecibeInterno","Descargar")</f>
        <v>Descargar</v>
      </c>
    </row>
    <row r="5112" spans="1:18" x14ac:dyDescent="0.3">
      <c r="A5112">
        <v>1558707</v>
      </c>
      <c r="B5112" t="s">
        <v>18</v>
      </c>
      <c r="C5112" t="s">
        <v>100</v>
      </c>
      <c r="D5112" t="s">
        <v>716</v>
      </c>
      <c r="E5112" t="s">
        <v>717</v>
      </c>
      <c r="F5112" t="s">
        <v>22</v>
      </c>
      <c r="G5112" t="s">
        <v>83</v>
      </c>
      <c r="H5112" t="s">
        <v>58</v>
      </c>
      <c r="I5112" t="s">
        <v>25</v>
      </c>
      <c r="J5112" s="2">
        <v>45824.731157407397</v>
      </c>
      <c r="K5112">
        <v>16</v>
      </c>
      <c r="L5112">
        <v>6</v>
      </c>
      <c r="M5112">
        <v>2025</v>
      </c>
      <c r="N5112" t="s">
        <v>27</v>
      </c>
      <c r="O5112">
        <v>140</v>
      </c>
      <c r="P5112">
        <v>140</v>
      </c>
      <c r="R5112" s="3" t="str">
        <f>HYPERLINK("https://panda.att.com.mx/ODKServer/view/binaryData?blobKey=FSSuministroFluidosv3%5B%40version%3Dnull+and+%40uiVersion%3Dnull%5D%2Fdata%5B%40key%3Duuid%3Ae4dd5e1f-571a-4839-bf15-c2a10ef9d27f%5D%2FgroupInfoFuel%5B%40ordinal%3D1%5D%2FpicFuelRecibeInterno","Descargar")</f>
        <v>Descargar</v>
      </c>
    </row>
    <row r="5113" spans="1:18" x14ac:dyDescent="0.3">
      <c r="A5113">
        <v>1559814</v>
      </c>
      <c r="B5113" t="s">
        <v>18</v>
      </c>
      <c r="C5113" t="s">
        <v>100</v>
      </c>
      <c r="D5113" t="s">
        <v>716</v>
      </c>
      <c r="E5113" t="s">
        <v>3849</v>
      </c>
      <c r="F5113" t="s">
        <v>22</v>
      </c>
      <c r="G5113" t="s">
        <v>23</v>
      </c>
      <c r="H5113" t="s">
        <v>58</v>
      </c>
      <c r="I5113" t="s">
        <v>25</v>
      </c>
      <c r="J5113" s="2">
        <v>45826.067384259259</v>
      </c>
      <c r="K5113">
        <v>18</v>
      </c>
      <c r="L5113">
        <v>6</v>
      </c>
      <c r="M5113">
        <v>2025</v>
      </c>
      <c r="N5113" t="s">
        <v>27</v>
      </c>
      <c r="O5113">
        <v>150</v>
      </c>
      <c r="P5113">
        <v>150</v>
      </c>
      <c r="R5113" s="3" t="str">
        <f>HYPERLINK("https://panda.att.com.mx/ODKServer/view/binaryData?blobKey=FSSuministroFluidosv3%5B%40version%3Dnull+and+%40uiVersion%3Dnull%5D%2Fdata%5B%40key%3Duuid%3A1658dc6b-bd96-476f-ab94-699c0ec9693c%5D%2FgroupInfoFuel%5B%40ordinal%3D1%5D%2FpicFuelRecibeInterno","Descargar")</f>
        <v>Descargar</v>
      </c>
    </row>
    <row r="5114" spans="1:18" x14ac:dyDescent="0.3">
      <c r="A5114">
        <v>1560363</v>
      </c>
      <c r="B5114" t="s">
        <v>18</v>
      </c>
      <c r="C5114" t="s">
        <v>100</v>
      </c>
      <c r="D5114" t="s">
        <v>716</v>
      </c>
      <c r="E5114" t="s">
        <v>717</v>
      </c>
      <c r="F5114" t="s">
        <v>22</v>
      </c>
      <c r="G5114" t="s">
        <v>83</v>
      </c>
      <c r="H5114" t="s">
        <v>58</v>
      </c>
      <c r="I5114" t="s">
        <v>25</v>
      </c>
      <c r="J5114" s="2">
        <v>45826.744768518518</v>
      </c>
      <c r="K5114">
        <v>18</v>
      </c>
      <c r="L5114">
        <v>6</v>
      </c>
      <c r="M5114">
        <v>2025</v>
      </c>
      <c r="N5114" t="s">
        <v>27</v>
      </c>
      <c r="O5114">
        <v>140</v>
      </c>
      <c r="P5114">
        <v>140</v>
      </c>
      <c r="R5114" s="3" t="str">
        <f>HYPERLINK("https://panda.att.com.mx/ODKServer/view/binaryData?blobKey=FSSuministroFluidosv3%5B%40version%3Dnull+and+%40uiVersion%3Dnull%5D%2Fdata%5B%40key%3Duuid%3Ac9dfbbb5-8c16-421b-80e4-1b9c2046b51c%5D%2FgroupInfoFuel%5B%40ordinal%3D1%5D%2FpicFuelRecibeInterno","Descargar")</f>
        <v>Descargar</v>
      </c>
    </row>
    <row r="5115" spans="1:18" x14ac:dyDescent="0.3">
      <c r="A5115">
        <v>1558865</v>
      </c>
      <c r="B5115" t="s">
        <v>18</v>
      </c>
      <c r="C5115" t="s">
        <v>100</v>
      </c>
      <c r="D5115" t="s">
        <v>716</v>
      </c>
      <c r="E5115" t="s">
        <v>3850</v>
      </c>
      <c r="F5115" t="s">
        <v>22</v>
      </c>
      <c r="G5115" t="s">
        <v>23</v>
      </c>
      <c r="H5115" t="s">
        <v>58</v>
      </c>
      <c r="I5115" t="s">
        <v>25</v>
      </c>
      <c r="J5115" s="2">
        <v>45824.868148148147</v>
      </c>
      <c r="K5115">
        <v>16</v>
      </c>
      <c r="L5115">
        <v>6</v>
      </c>
      <c r="M5115">
        <v>2025</v>
      </c>
      <c r="N5115" t="s">
        <v>27</v>
      </c>
      <c r="O5115">
        <v>100</v>
      </c>
      <c r="P5115">
        <v>100</v>
      </c>
      <c r="R5115" s="3" t="str">
        <f>HYPERLINK("https://panda.att.com.mx/ODKServer/view/binaryData?blobKey=FSSuministroFluidosv3%5B%40version%3Dnull+and+%40uiVersion%3Dnull%5D%2Fdata%5B%40key%3Duuid%3A80503a01-290e-469a-b32b-8ee26502a813%5D%2FgroupInfoFuel%5B%40ordinal%3D1%5D%2FpicFuelRecibeInterno","Descargar")</f>
        <v>Descargar</v>
      </c>
    </row>
    <row r="5116" spans="1:18" x14ac:dyDescent="0.3">
      <c r="A5116">
        <v>1557866</v>
      </c>
      <c r="B5116" t="s">
        <v>18</v>
      </c>
      <c r="C5116" t="s">
        <v>100</v>
      </c>
      <c r="D5116" t="s">
        <v>716</v>
      </c>
      <c r="E5116" t="s">
        <v>717</v>
      </c>
      <c r="F5116" t="s">
        <v>22</v>
      </c>
      <c r="G5116" t="s">
        <v>83</v>
      </c>
      <c r="H5116" t="s">
        <v>58</v>
      </c>
      <c r="I5116" t="s">
        <v>25</v>
      </c>
      <c r="J5116" s="2">
        <v>45822.472245370373</v>
      </c>
      <c r="K5116">
        <v>14</v>
      </c>
      <c r="L5116">
        <v>6</v>
      </c>
      <c r="M5116">
        <v>2025</v>
      </c>
      <c r="N5116" t="s">
        <v>27</v>
      </c>
      <c r="O5116">
        <v>160</v>
      </c>
      <c r="P5116">
        <v>160</v>
      </c>
      <c r="R5116" s="3" t="str">
        <f>HYPERLINK("https://panda.att.com.mx/ODKServer/view/binaryData?blobKey=FSSuministroFluidosv3%5B%40version%3Dnull+and+%40uiVersion%3Dnull%5D%2Fdata%5B%40key%3Duuid%3A3fa65f6a-fe60-4726-b9db-f10b245f7297%5D%2FgroupInfoFuel%5B%40ordinal%3D1%5D%2FpicFuelRecibeInterno","Descargar")</f>
        <v>Descargar</v>
      </c>
    </row>
    <row r="5117" spans="1:18" x14ac:dyDescent="0.3">
      <c r="A5117">
        <v>1558554</v>
      </c>
      <c r="B5117" t="s">
        <v>18</v>
      </c>
      <c r="C5117" t="s">
        <v>100</v>
      </c>
      <c r="D5117" t="s">
        <v>716</v>
      </c>
      <c r="E5117" t="s">
        <v>3849</v>
      </c>
      <c r="F5117" t="s">
        <v>22</v>
      </c>
      <c r="G5117" t="s">
        <v>23</v>
      </c>
      <c r="H5117" t="s">
        <v>58</v>
      </c>
      <c r="I5117" t="s">
        <v>25</v>
      </c>
      <c r="J5117" s="2">
        <v>45824.621979166674</v>
      </c>
      <c r="K5117">
        <v>16</v>
      </c>
      <c r="L5117">
        <v>6</v>
      </c>
      <c r="M5117">
        <v>2025</v>
      </c>
      <c r="N5117" t="s">
        <v>27</v>
      </c>
      <c r="O5117">
        <v>120</v>
      </c>
      <c r="P5117">
        <v>120</v>
      </c>
      <c r="R5117" s="3" t="str">
        <f>HYPERLINK("https://panda.att.com.mx/ODKServer/view/binaryData?blobKey=FSSuministroFluidosv3%5B%40version%3Dnull+and+%40uiVersion%3Dnull%5D%2Fdata%5B%40key%3Duuid%3Ab391c7f2-7d5d-4780-97a4-3cac7e8cceee%5D%2FgroupInfoFuel%5B%40ordinal%3D1%5D%2FpicFuelRecibeInterno","Descargar")</f>
        <v>Descargar</v>
      </c>
    </row>
    <row r="5118" spans="1:18" x14ac:dyDescent="0.3">
      <c r="A5118">
        <v>1571015</v>
      </c>
      <c r="B5118" t="s">
        <v>18</v>
      </c>
      <c r="C5118" t="s">
        <v>55</v>
      </c>
      <c r="D5118" t="s">
        <v>887</v>
      </c>
      <c r="E5118" t="s">
        <v>888</v>
      </c>
      <c r="F5118" t="s">
        <v>22</v>
      </c>
      <c r="G5118" t="s">
        <v>23</v>
      </c>
      <c r="H5118" t="s">
        <v>58</v>
      </c>
      <c r="I5118" t="s">
        <v>1635</v>
      </c>
      <c r="J5118" s="2">
        <v>45842.564062500001</v>
      </c>
      <c r="K5118">
        <v>4</v>
      </c>
      <c r="L5118">
        <v>7</v>
      </c>
      <c r="M5118">
        <v>2025</v>
      </c>
      <c r="N5118" t="s">
        <v>27</v>
      </c>
      <c r="O5118">
        <v>250</v>
      </c>
      <c r="P5118">
        <v>250</v>
      </c>
      <c r="R5118" s="3" t="str">
        <f>HYPERLINK("https://panda.att.com.mx/ODKServer/view/binaryData?blobKey=FSSuministroFluidosv3%5B%40version%3Dnull+and+%40uiVersion%3Dnull%5D%2Fdata%5B%40key%3Duuid%3A16d6639a-0ab1-4215-9ca9-9dd01c6b18fd%5D%2FgroupInfoFuel%5B%40ordinal%3D1%5D%2FpicFuelRecibeInterno","Descargar")</f>
        <v>Descargar</v>
      </c>
    </row>
    <row r="5119" spans="1:18" x14ac:dyDescent="0.3">
      <c r="A5119">
        <v>1550088</v>
      </c>
      <c r="B5119" t="s">
        <v>18</v>
      </c>
      <c r="C5119" t="s">
        <v>167</v>
      </c>
      <c r="D5119" t="s">
        <v>215</v>
      </c>
      <c r="E5119" t="s">
        <v>291</v>
      </c>
      <c r="F5119" t="s">
        <v>22</v>
      </c>
      <c r="G5119" t="s">
        <v>23</v>
      </c>
      <c r="H5119" t="s">
        <v>58</v>
      </c>
      <c r="I5119" t="s">
        <v>209</v>
      </c>
      <c r="J5119" t="s">
        <v>3851</v>
      </c>
      <c r="K5119">
        <v>5</v>
      </c>
      <c r="L5119">
        <v>4</v>
      </c>
      <c r="M5119">
        <v>2025</v>
      </c>
      <c r="N5119" t="s">
        <v>27</v>
      </c>
      <c r="O5119">
        <v>250</v>
      </c>
      <c r="P5119">
        <v>250</v>
      </c>
      <c r="R5119" s="3" t="str">
        <f>HYPERLINK("https://panda.att.com.mx/ODKServer/view/binaryData?blobKey=FSSuministroFluidosv3%5B%40version%3Dnull+and+%40uiVersion%3Dnull%5D%2Fdata%5B%40key%3Duuid%3A56289921-153f-4771-8988-3f73d310c715%5D%2FgroupInfoFuel%5B%40ordinal%3D1%5D%2FpicFuelRecibeInterno","Descargar")</f>
        <v>Descargar</v>
      </c>
    </row>
    <row r="5120" spans="1:18" x14ac:dyDescent="0.3">
      <c r="A5120">
        <v>1530043</v>
      </c>
      <c r="B5120" t="s">
        <v>18</v>
      </c>
      <c r="C5120" t="s">
        <v>167</v>
      </c>
      <c r="D5120" t="s">
        <v>168</v>
      </c>
      <c r="E5120" t="s">
        <v>2062</v>
      </c>
      <c r="F5120" t="s">
        <v>22</v>
      </c>
      <c r="G5120" t="s">
        <v>83</v>
      </c>
      <c r="H5120" t="s">
        <v>58</v>
      </c>
      <c r="I5120" t="s">
        <v>224</v>
      </c>
      <c r="J5120" s="2">
        <v>45780.50037037037</v>
      </c>
      <c r="K5120">
        <v>3</v>
      </c>
      <c r="L5120">
        <v>5</v>
      </c>
      <c r="M5120">
        <v>2025</v>
      </c>
      <c r="N5120" t="s">
        <v>27</v>
      </c>
      <c r="O5120">
        <v>120</v>
      </c>
      <c r="P5120">
        <v>120</v>
      </c>
      <c r="R5120" s="3" t="str">
        <f>HYPERLINK("https://panda.att.com.mx/ODKServer/view/binaryData?blobKey=FSSuministroFluidosv3%5B%40version%3Dnull+and+%40uiVersion%3Dnull%5D%2Fdata%5B%40key%3Duuid%3Ae68f989f-4c77-4ab3-b51d-9d7827596ca9%5D%2FgroupInfoFuel%5B%40ordinal%3D1%5D%2FpicFuelRecibeInterno","Descargar")</f>
        <v>Descargar</v>
      </c>
    </row>
    <row r="5121" spans="1:18" x14ac:dyDescent="0.3">
      <c r="A5121">
        <v>1617353</v>
      </c>
      <c r="B5121" t="s">
        <v>18</v>
      </c>
      <c r="C5121" t="s">
        <v>55</v>
      </c>
      <c r="D5121" t="s">
        <v>128</v>
      </c>
      <c r="E5121" t="s">
        <v>1899</v>
      </c>
      <c r="F5121" t="s">
        <v>22</v>
      </c>
      <c r="G5121" t="s">
        <v>23</v>
      </c>
      <c r="H5121" t="s">
        <v>58</v>
      </c>
      <c r="I5121" t="s">
        <v>25</v>
      </c>
      <c r="J5121" s="2">
        <v>45912.350104166668</v>
      </c>
      <c r="K5121">
        <v>12</v>
      </c>
      <c r="L5121">
        <v>9</v>
      </c>
      <c r="M5121">
        <v>2025</v>
      </c>
      <c r="N5121" t="s">
        <v>44</v>
      </c>
      <c r="O5121">
        <v>25</v>
      </c>
      <c r="P5121">
        <v>25</v>
      </c>
      <c r="R5121" s="3" t="str">
        <f>HYPERLINK("https://panda.att.com.mx/ODKServer/view/binaryData?blobKey=FSSuministroFluidosv3%5B%40version%3Dnull+and+%40uiVersion%3Dnull%5D%2Fdata%5B%40key%3Duuid%3Afe99a668-e1f4-4a79-9215-a4a0aaac2138%5D%2FgroupInfoFuel%5B%40ordinal%3D1%5D%2FpicFuelRecibeInterno","Descargar")</f>
        <v>Descargar</v>
      </c>
    </row>
    <row r="5122" spans="1:18" x14ac:dyDescent="0.3">
      <c r="A5122">
        <v>1615697</v>
      </c>
      <c r="B5122" t="s">
        <v>18</v>
      </c>
      <c r="C5122" t="s">
        <v>55</v>
      </c>
      <c r="D5122" t="s">
        <v>210</v>
      </c>
      <c r="E5122" t="s">
        <v>3829</v>
      </c>
      <c r="F5122" t="s">
        <v>22</v>
      </c>
      <c r="G5122" t="s">
        <v>23</v>
      </c>
      <c r="H5122" t="s">
        <v>58</v>
      </c>
      <c r="I5122" t="s">
        <v>25</v>
      </c>
      <c r="J5122" s="2">
        <v>45909.566423611112</v>
      </c>
      <c r="K5122">
        <v>9</v>
      </c>
      <c r="L5122">
        <v>9</v>
      </c>
      <c r="M5122">
        <v>2025</v>
      </c>
      <c r="N5122" t="s">
        <v>27</v>
      </c>
      <c r="O5122">
        <v>100</v>
      </c>
      <c r="P5122">
        <v>100</v>
      </c>
      <c r="R5122" s="3" t="str">
        <f>HYPERLINK("https://panda.att.com.mx/ODKServer/view/binaryData?blobKey=FSSuministroFluidosv3%5B%40version%3Dnull+and+%40uiVersion%3Dnull%5D%2Fdata%5B%40key%3Duuid%3A883c89c4-be19-42b2-af97-cb4beac79f55%5D%2FgroupInfoFuel%5B%40ordinal%3D1%5D%2FpicFuelRecibeInterno","Descargar")</f>
        <v>Descargar</v>
      </c>
    </row>
    <row r="5123" spans="1:18" x14ac:dyDescent="0.3">
      <c r="A5123">
        <v>1615809</v>
      </c>
      <c r="B5123" t="s">
        <v>18</v>
      </c>
      <c r="C5123" t="s">
        <v>55</v>
      </c>
      <c r="D5123" t="s">
        <v>210</v>
      </c>
      <c r="E5123" t="s">
        <v>3829</v>
      </c>
      <c r="F5123" t="s">
        <v>22</v>
      </c>
      <c r="G5123" t="s">
        <v>23</v>
      </c>
      <c r="H5123" t="s">
        <v>58</v>
      </c>
      <c r="I5123" t="s">
        <v>25</v>
      </c>
      <c r="J5123" s="2">
        <v>45908.414363425924</v>
      </c>
      <c r="K5123">
        <v>8</v>
      </c>
      <c r="L5123">
        <v>9</v>
      </c>
      <c r="M5123">
        <v>2025</v>
      </c>
      <c r="N5123" t="s">
        <v>27</v>
      </c>
      <c r="O5123">
        <v>100</v>
      </c>
      <c r="P5123">
        <v>100</v>
      </c>
      <c r="R5123" s="3" t="str">
        <f>HYPERLINK("https://panda.att.com.mx/ODKServer/view/binaryData?blobKey=FSSuministroFluidosv3%5B%40version%3Dnull+and+%40uiVersion%3Dnull%5D%2Fdata%5B%40key%3Duuid%3A95bfae4d-49e3-4036-b601-d6ae96fd2554%5D%2FgroupInfoFuel%5B%40ordinal%3D1%5D%2FpicFuelRecibeInterno","Descargar")</f>
        <v>Descargar</v>
      </c>
    </row>
    <row r="5124" spans="1:18" x14ac:dyDescent="0.3">
      <c r="A5124">
        <v>1618925</v>
      </c>
      <c r="B5124" t="s">
        <v>18</v>
      </c>
      <c r="C5124" t="s">
        <v>55</v>
      </c>
      <c r="D5124" t="s">
        <v>288</v>
      </c>
      <c r="E5124" t="s">
        <v>3852</v>
      </c>
      <c r="F5124" t="s">
        <v>22</v>
      </c>
      <c r="G5124" t="s">
        <v>23</v>
      </c>
      <c r="H5124" t="s">
        <v>58</v>
      </c>
      <c r="I5124" t="s">
        <v>25</v>
      </c>
      <c r="J5124" s="2">
        <v>45915.350763888891</v>
      </c>
      <c r="K5124">
        <v>15</v>
      </c>
      <c r="L5124">
        <v>9</v>
      </c>
      <c r="M5124">
        <v>2025</v>
      </c>
      <c r="N5124" t="s">
        <v>44</v>
      </c>
      <c r="O5124">
        <v>55</v>
      </c>
      <c r="P5124">
        <v>55</v>
      </c>
      <c r="R5124" s="3" t="str">
        <f>HYPERLINK("https://panda.att.com.mx/ODKServer/view/binaryData?blobKey=FSSuministroFluidosv3%5B%40version%3Dnull+and+%40uiVersion%3Dnull%5D%2Fdata%5B%40key%3Duuid%3A5d1b8eb4-f9a8-4482-925b-a4f4683d5e57%5D%2FgroupInfoFuel%5B%40ordinal%3D1%5D%2FpicFuelRecibeInterno","Descargar")</f>
        <v>Descargar</v>
      </c>
    </row>
    <row r="5125" spans="1:18" x14ac:dyDescent="0.3">
      <c r="A5125">
        <v>1619607</v>
      </c>
      <c r="B5125" t="s">
        <v>18</v>
      </c>
      <c r="C5125" t="s">
        <v>55</v>
      </c>
      <c r="D5125" t="s">
        <v>56</v>
      </c>
      <c r="E5125" t="s">
        <v>3853</v>
      </c>
      <c r="F5125" t="s">
        <v>22</v>
      </c>
      <c r="G5125" t="s">
        <v>23</v>
      </c>
      <c r="H5125" t="s">
        <v>58</v>
      </c>
      <c r="I5125" t="s">
        <v>25</v>
      </c>
      <c r="J5125" s="2">
        <v>45916.448194444441</v>
      </c>
      <c r="K5125">
        <v>16</v>
      </c>
      <c r="L5125">
        <v>9</v>
      </c>
      <c r="M5125">
        <v>2025</v>
      </c>
      <c r="N5125" t="s">
        <v>27</v>
      </c>
      <c r="O5125">
        <v>60</v>
      </c>
      <c r="P5125">
        <v>60</v>
      </c>
      <c r="R5125" s="3" t="str">
        <f>HYPERLINK("https://panda.att.com.mx/ODKServer/view/binaryData?blobKey=FSSuministroFluidosv3%5B%40version%3Dnull+and+%40uiVersion%3Dnull%5D%2Fdata%5B%40key%3Duuid%3A7a374161-836b-4fae-a495-141b14e3f190%5D%2FgroupInfoFuel%5B%40ordinal%3D1%5D%2FpicFuelRecibeInterno","Descargar")</f>
        <v>Descargar</v>
      </c>
    </row>
    <row r="5126" spans="1:18" x14ac:dyDescent="0.3">
      <c r="A5126">
        <v>1618778</v>
      </c>
      <c r="B5126" t="s">
        <v>18</v>
      </c>
      <c r="C5126" t="s">
        <v>55</v>
      </c>
      <c r="D5126" t="s">
        <v>56</v>
      </c>
      <c r="E5126" t="s">
        <v>105</v>
      </c>
      <c r="F5126" t="s">
        <v>22</v>
      </c>
      <c r="G5126" t="s">
        <v>23</v>
      </c>
      <c r="H5126" t="s">
        <v>58</v>
      </c>
      <c r="I5126" t="s">
        <v>25</v>
      </c>
      <c r="J5126" s="2">
        <v>45913.450266203698</v>
      </c>
      <c r="K5126">
        <v>13</v>
      </c>
      <c r="L5126">
        <v>9</v>
      </c>
      <c r="M5126">
        <v>2025</v>
      </c>
      <c r="N5126" t="s">
        <v>27</v>
      </c>
      <c r="O5126">
        <v>170</v>
      </c>
      <c r="P5126">
        <v>170</v>
      </c>
      <c r="R5126" s="3" t="str">
        <f>HYPERLINK("https://panda.att.com.mx/ODKServer/view/binaryData?blobKey=FSSuministroFluidosv3%5B%40version%3Dnull+and+%40uiVersion%3Dnull%5D%2Fdata%5B%40key%3Duuid%3Ab0fa778c-39f7-4a42-b973-382206624f64%5D%2FgroupInfoFuel%5B%40ordinal%3D1%5D%2FpicFuelRecibeInterno","Descargar")</f>
        <v>Descargar</v>
      </c>
    </row>
    <row r="5127" spans="1:18" x14ac:dyDescent="0.3">
      <c r="A5127">
        <v>1618776</v>
      </c>
      <c r="B5127" t="s">
        <v>18</v>
      </c>
      <c r="C5127" t="s">
        <v>55</v>
      </c>
      <c r="D5127" t="s">
        <v>56</v>
      </c>
      <c r="E5127" t="s">
        <v>105</v>
      </c>
      <c r="F5127" t="s">
        <v>22</v>
      </c>
      <c r="G5127" t="s">
        <v>23</v>
      </c>
      <c r="H5127" t="s">
        <v>58</v>
      </c>
      <c r="I5127" t="s">
        <v>25</v>
      </c>
      <c r="J5127" s="2">
        <v>45913.574513888889</v>
      </c>
      <c r="K5127">
        <v>13</v>
      </c>
      <c r="L5127">
        <v>9</v>
      </c>
      <c r="M5127">
        <v>2025</v>
      </c>
      <c r="N5127" t="s">
        <v>27</v>
      </c>
      <c r="O5127">
        <v>300</v>
      </c>
      <c r="P5127">
        <v>300</v>
      </c>
      <c r="R5127" s="3" t="str">
        <f>HYPERLINK("https://panda.att.com.mx/ODKServer/view/binaryData?blobKey=FSSuministroFluidosv3%5B%40version%3Dnull+and+%40uiVersion%3Dnull%5D%2Fdata%5B%40key%3Duuid%3Abcde65da-3b29-4b1a-99c3-bab57cc548e3%5D%2FgroupInfoFuel%5B%40ordinal%3D1%5D%2FpicFuelRecibeInterno","Descargar")</f>
        <v>Descargar</v>
      </c>
    </row>
    <row r="5128" spans="1:18" x14ac:dyDescent="0.3">
      <c r="A5128">
        <v>1618897</v>
      </c>
      <c r="B5128" t="s">
        <v>18</v>
      </c>
      <c r="C5128" t="s">
        <v>150</v>
      </c>
      <c r="D5128" t="s">
        <v>154</v>
      </c>
      <c r="E5128" t="s">
        <v>155</v>
      </c>
      <c r="F5128" t="s">
        <v>22</v>
      </c>
      <c r="G5128" t="s">
        <v>47</v>
      </c>
      <c r="H5128" t="s">
        <v>58</v>
      </c>
      <c r="I5128" t="s">
        <v>25</v>
      </c>
      <c r="J5128" s="2">
        <v>45915.371180555558</v>
      </c>
      <c r="K5128">
        <v>15</v>
      </c>
      <c r="L5128">
        <v>9</v>
      </c>
      <c r="M5128">
        <v>2025</v>
      </c>
      <c r="N5128" t="s">
        <v>27</v>
      </c>
      <c r="O5128">
        <v>400</v>
      </c>
      <c r="P5128">
        <v>400</v>
      </c>
      <c r="R5128" s="3" t="str">
        <f>HYPERLINK("https://panda.att.com.mx/ODKServer/view/binaryData?blobKey=FSSuministroFluidosv3%5B%40version%3Dnull+and+%40uiVersion%3Dnull%5D%2Fdata%5B%40key%3Duuid%3A8b0a329a-6bfd-4113-86ec-a7258143d136%5D%2FgroupInfoFuel%5B%40ordinal%3D1%5D%2FpicFuelRecibeInterno","Descargar")</f>
        <v>Descargar</v>
      </c>
    </row>
    <row r="5129" spans="1:18" x14ac:dyDescent="0.3">
      <c r="A5129">
        <v>1618772</v>
      </c>
      <c r="B5129" t="s">
        <v>18</v>
      </c>
      <c r="C5129" t="s">
        <v>150</v>
      </c>
      <c r="D5129" t="s">
        <v>151</v>
      </c>
      <c r="E5129" t="s">
        <v>180</v>
      </c>
      <c r="F5129" t="s">
        <v>22</v>
      </c>
      <c r="G5129" t="s">
        <v>23</v>
      </c>
      <c r="H5129" t="s">
        <v>58</v>
      </c>
      <c r="I5129" t="s">
        <v>25</v>
      </c>
      <c r="J5129" s="2">
        <v>45914.687199074076</v>
      </c>
      <c r="K5129">
        <v>14</v>
      </c>
      <c r="L5129">
        <v>9</v>
      </c>
      <c r="M5129">
        <v>2025</v>
      </c>
      <c r="N5129" t="s">
        <v>27</v>
      </c>
      <c r="O5129">
        <v>100</v>
      </c>
      <c r="P5129">
        <v>100</v>
      </c>
      <c r="R5129" s="3" t="str">
        <f>HYPERLINK("https://panda.att.com.mx/ODKServer/view/binaryData?blobKey=FSSuministroFluidosv3%5B%40version%3Dnull+and+%40uiVersion%3Dnull%5D%2Fdata%5B%40key%3Duuid%3A1859a393-ffc9-4b2a-988d-dab02a2ac553%5D%2FgroupInfoFuel%5B%40ordinal%3D1%5D%2FpicFuelRecibeInterno","Descargar")</f>
        <v>Descargar</v>
      </c>
    </row>
    <row r="5130" spans="1:18" x14ac:dyDescent="0.3">
      <c r="A5130">
        <v>1619494</v>
      </c>
      <c r="B5130" t="s">
        <v>18</v>
      </c>
      <c r="C5130" t="s">
        <v>150</v>
      </c>
      <c r="D5130" t="s">
        <v>164</v>
      </c>
      <c r="E5130" t="s">
        <v>165</v>
      </c>
      <c r="F5130" t="s">
        <v>22</v>
      </c>
      <c r="G5130" t="s">
        <v>23</v>
      </c>
      <c r="H5130" t="s">
        <v>58</v>
      </c>
      <c r="I5130" t="s">
        <v>25</v>
      </c>
      <c r="J5130" s="2">
        <v>45915.749120370368</v>
      </c>
      <c r="K5130">
        <v>15</v>
      </c>
      <c r="L5130">
        <v>9</v>
      </c>
      <c r="M5130">
        <v>2025</v>
      </c>
      <c r="N5130" t="s">
        <v>27</v>
      </c>
      <c r="O5130">
        <v>400</v>
      </c>
      <c r="P5130">
        <v>400</v>
      </c>
      <c r="R5130" s="3" t="str">
        <f>HYPERLINK("https://panda.att.com.mx/ODKServer/view/binaryData?blobKey=FSSuministroFluidosv3%5B%40version%3Dnull+and+%40uiVersion%3Dnull%5D%2Fdata%5B%40key%3Duuid%3A7c967910-6740-482e-9caa-3157c4588781%5D%2FgroupInfoFuel%5B%40ordinal%3D1%5D%2FpicFuelRecibeInterno","Descargar")</f>
        <v>Descargar</v>
      </c>
    </row>
    <row r="5131" spans="1:18" x14ac:dyDescent="0.3">
      <c r="A5131">
        <v>1618006</v>
      </c>
      <c r="B5131" t="s">
        <v>18</v>
      </c>
      <c r="C5131" t="s">
        <v>55</v>
      </c>
      <c r="D5131" t="s">
        <v>56</v>
      </c>
      <c r="E5131" t="s">
        <v>862</v>
      </c>
      <c r="F5131" t="s">
        <v>22</v>
      </c>
      <c r="G5131" t="s">
        <v>3854</v>
      </c>
      <c r="H5131" t="s">
        <v>58</v>
      </c>
      <c r="I5131" t="s">
        <v>25</v>
      </c>
      <c r="J5131" s="2">
        <v>45912.733912037038</v>
      </c>
      <c r="K5131">
        <v>12</v>
      </c>
      <c r="L5131">
        <v>9</v>
      </c>
      <c r="M5131">
        <v>2025</v>
      </c>
      <c r="N5131" t="s">
        <v>27</v>
      </c>
      <c r="O5131">
        <v>0</v>
      </c>
      <c r="P5131">
        <v>0</v>
      </c>
      <c r="R5131" s="3" t="str">
        <f>HYPERLINK("https://panda.att.com.mx/ODKServer/view/binaryData?blobKey=FSSuministroFluidosv3%5B%40version%3Dnull+and+%40uiVersion%3Dnull%5D%2Fdata%5B%40key%3Duuid%3Aff1791c2-c55e-4fb7-aec7-c35c9ac5dba2%5D%2FgroupInfoFuel%5B%40ordinal%3D1%5D%2FpicFuelRecibeInterno","Descargar")</f>
        <v>Descargar</v>
      </c>
    </row>
    <row r="5132" spans="1:18" x14ac:dyDescent="0.3">
      <c r="A5132">
        <v>1618873</v>
      </c>
      <c r="B5132" t="s">
        <v>18</v>
      </c>
      <c r="C5132" t="s">
        <v>150</v>
      </c>
      <c r="D5132" t="s">
        <v>154</v>
      </c>
      <c r="E5132" t="s">
        <v>3855</v>
      </c>
      <c r="F5132" t="s">
        <v>22</v>
      </c>
      <c r="G5132" t="s">
        <v>23</v>
      </c>
      <c r="H5132" t="s">
        <v>58</v>
      </c>
      <c r="I5132" t="s">
        <v>25</v>
      </c>
      <c r="J5132" s="2">
        <v>45915.293692129628</v>
      </c>
      <c r="K5132">
        <v>15</v>
      </c>
      <c r="L5132">
        <v>9</v>
      </c>
      <c r="M5132">
        <v>2025</v>
      </c>
      <c r="N5132" t="s">
        <v>27</v>
      </c>
      <c r="O5132">
        <v>232</v>
      </c>
      <c r="P5132">
        <v>232</v>
      </c>
      <c r="R5132" s="3" t="str">
        <f>HYPERLINK("https://panda.att.com.mx/ODKServer/view/binaryData?blobKey=FSSuministroFluidosv3%5B%40version%3Dnull+and+%40uiVersion%3Dnull%5D%2Fdata%5B%40key%3Duuid%3A32f58c8e-184e-4fd0-aa8c-0693155309b3%5D%2FgroupInfoFuel%5B%40ordinal%3D1%5D%2FpicFuelRecibeInterno","Descargar")</f>
        <v>Descargar</v>
      </c>
    </row>
    <row r="5133" spans="1:18" x14ac:dyDescent="0.3">
      <c r="A5133">
        <v>1559027</v>
      </c>
      <c r="B5133" t="s">
        <v>18</v>
      </c>
      <c r="C5133" t="s">
        <v>167</v>
      </c>
      <c r="D5133" t="s">
        <v>264</v>
      </c>
      <c r="E5133" t="s">
        <v>284</v>
      </c>
      <c r="F5133" t="s">
        <v>22</v>
      </c>
      <c r="G5133" t="s">
        <v>83</v>
      </c>
      <c r="H5133" t="s">
        <v>58</v>
      </c>
      <c r="I5133" t="s">
        <v>25</v>
      </c>
      <c r="J5133" s="2">
        <v>45822.533831018518</v>
      </c>
      <c r="K5133">
        <v>14</v>
      </c>
      <c r="L5133">
        <v>6</v>
      </c>
      <c r="M5133">
        <v>2025</v>
      </c>
      <c r="N5133" t="s">
        <v>27</v>
      </c>
      <c r="O5133">
        <v>350</v>
      </c>
      <c r="P5133">
        <v>350</v>
      </c>
      <c r="R5133" s="3" t="str">
        <f>HYPERLINK("https://panda.att.com.mx/ODKServer/view/binaryData?blobKey=FSSuministroFluidosv3%5B%40version%3Dnull+and+%40uiVersion%3Dnull%5D%2Fdata%5B%40key%3Duuid%3A3756f316-71b0-4890-8cbd-7ce7640755fb%5D%2FgroupInfoFuel%5B%40ordinal%3D1%5D%2FpicFuelRecibeInterno","Descargar")</f>
        <v>Descargar</v>
      </c>
    </row>
    <row r="5134" spans="1:18" x14ac:dyDescent="0.3">
      <c r="A5134">
        <v>1591316</v>
      </c>
      <c r="B5134" t="s">
        <v>18</v>
      </c>
      <c r="C5134" t="s">
        <v>167</v>
      </c>
      <c r="D5134" t="s">
        <v>264</v>
      </c>
      <c r="E5134" t="s">
        <v>284</v>
      </c>
      <c r="F5134" t="s">
        <v>22</v>
      </c>
      <c r="G5134" t="s">
        <v>83</v>
      </c>
      <c r="H5134" t="s">
        <v>58</v>
      </c>
      <c r="I5134" t="s">
        <v>25</v>
      </c>
      <c r="J5134" t="s">
        <v>3856</v>
      </c>
      <c r="K5134">
        <v>5</v>
      </c>
      <c r="L5134">
        <v>8</v>
      </c>
      <c r="M5134">
        <v>2025</v>
      </c>
      <c r="N5134" t="s">
        <v>27</v>
      </c>
      <c r="O5134">
        <v>300</v>
      </c>
      <c r="P5134">
        <v>300</v>
      </c>
      <c r="R5134" s="3" t="str">
        <f>HYPERLINK("https://panda.att.com.mx/ODKServer/view/binaryData?blobKey=FSSuministroFluidosv3%5B%40version%3Dnull+and+%40uiVersion%3Dnull%5D%2Fdata%5B%40key%3Duuid%3Af3e8a77f-c8a8-4f9b-aabf-16fdd530c4bd%5D%2FgroupInfoFuel%5B%40ordinal%3D1%5D%2FpicFuelRecibeInterno","Descargar")</f>
        <v>Descargar</v>
      </c>
    </row>
    <row r="5135" spans="1:18" x14ac:dyDescent="0.3">
      <c r="A5135">
        <v>1576883</v>
      </c>
      <c r="B5135" t="s">
        <v>18</v>
      </c>
      <c r="C5135" t="s">
        <v>167</v>
      </c>
      <c r="D5135" t="s">
        <v>264</v>
      </c>
      <c r="E5135" t="s">
        <v>284</v>
      </c>
      <c r="F5135" t="s">
        <v>22</v>
      </c>
      <c r="G5135" t="s">
        <v>83</v>
      </c>
      <c r="H5135" t="s">
        <v>58</v>
      </c>
      <c r="I5135" t="s">
        <v>25</v>
      </c>
      <c r="J5135" s="2">
        <v>45852.492673611108</v>
      </c>
      <c r="K5135">
        <v>14</v>
      </c>
      <c r="L5135">
        <v>7</v>
      </c>
      <c r="M5135">
        <v>2025</v>
      </c>
      <c r="N5135" t="s">
        <v>27</v>
      </c>
      <c r="O5135">
        <v>500</v>
      </c>
      <c r="P5135">
        <v>500</v>
      </c>
      <c r="R5135" s="3" t="str">
        <f>HYPERLINK("https://panda.att.com.mx/ODKServer/view/binaryData?blobKey=FSSuministroFluidosv3%5B%40version%3Dnull+and+%40uiVersion%3Dnull%5D%2Fdata%5B%40key%3Duuid%3A4e1b059e-daea-4bba-ae03-532af1417812%5D%2FgroupInfoFuel%5B%40ordinal%3D1%5D%2FpicFuelRecibeInterno","Descargar")</f>
        <v>Descargar</v>
      </c>
    </row>
    <row r="5136" spans="1:18" x14ac:dyDescent="0.3">
      <c r="A5136">
        <v>1598685</v>
      </c>
      <c r="B5136" t="s">
        <v>18</v>
      </c>
      <c r="C5136" t="s">
        <v>167</v>
      </c>
      <c r="D5136" t="s">
        <v>264</v>
      </c>
      <c r="E5136" t="s">
        <v>284</v>
      </c>
      <c r="F5136" t="s">
        <v>22</v>
      </c>
      <c r="G5136" t="s">
        <v>83</v>
      </c>
      <c r="H5136" t="s">
        <v>58</v>
      </c>
      <c r="I5136" t="s">
        <v>25</v>
      </c>
      <c r="J5136" t="s">
        <v>3857</v>
      </c>
      <c r="K5136">
        <v>14</v>
      </c>
      <c r="L5136">
        <v>8</v>
      </c>
      <c r="M5136">
        <v>2025</v>
      </c>
      <c r="N5136" t="s">
        <v>27</v>
      </c>
      <c r="O5136">
        <v>450</v>
      </c>
      <c r="P5136">
        <v>450</v>
      </c>
      <c r="R5136" s="3" t="str">
        <f>HYPERLINK("https://panda.att.com.mx/ODKServer/view/binaryData?blobKey=FSSuministroFluidosv3%5B%40version%3Dnull+and+%40uiVersion%3Dnull%5D%2Fdata%5B%40key%3Duuid%3Af7f490ff-fe7a-4da3-9a30-c82c3afad269%5D%2FgroupInfoFuel%5B%40ordinal%3D1%5D%2FpicFuelRecibeInterno","Descargar")</f>
        <v>Descargar</v>
      </c>
    </row>
    <row r="5137" spans="1:18" x14ac:dyDescent="0.3">
      <c r="A5137">
        <v>1585191</v>
      </c>
      <c r="B5137" t="s">
        <v>18</v>
      </c>
      <c r="C5137" t="s">
        <v>167</v>
      </c>
      <c r="D5137" t="s">
        <v>264</v>
      </c>
      <c r="E5137" t="s">
        <v>284</v>
      </c>
      <c r="F5137" t="s">
        <v>22</v>
      </c>
      <c r="G5137" t="s">
        <v>83</v>
      </c>
      <c r="H5137" t="s">
        <v>58</v>
      </c>
      <c r="I5137" t="s">
        <v>25</v>
      </c>
      <c r="J5137" s="2">
        <v>45864.471192129633</v>
      </c>
      <c r="K5137">
        <v>26</v>
      </c>
      <c r="L5137">
        <v>7</v>
      </c>
      <c r="M5137">
        <v>2025</v>
      </c>
      <c r="N5137" t="s">
        <v>27</v>
      </c>
      <c r="O5137">
        <v>400</v>
      </c>
      <c r="P5137">
        <v>400</v>
      </c>
      <c r="R5137" s="3" t="str">
        <f>HYPERLINK("https://panda.att.com.mx/ODKServer/view/binaryData?blobKey=FSSuministroFluidosv3%5B%40version%3Dnull+and+%40uiVersion%3Dnull%5D%2Fdata%5B%40key%3Duuid%3A9ae675a9-36c6-4962-980b-6abef00e45cb%5D%2FgroupInfoFuel%5B%40ordinal%3D1%5D%2FpicFuelRecibeInterno","Descargar")</f>
        <v>Descargar</v>
      </c>
    </row>
    <row r="5138" spans="1:18" x14ac:dyDescent="0.3">
      <c r="A5138">
        <v>1589455</v>
      </c>
      <c r="B5138" t="s">
        <v>18</v>
      </c>
      <c r="C5138" t="s">
        <v>167</v>
      </c>
      <c r="D5138" t="s">
        <v>264</v>
      </c>
      <c r="E5138" t="s">
        <v>284</v>
      </c>
      <c r="F5138" t="s">
        <v>22</v>
      </c>
      <c r="G5138" t="s">
        <v>83</v>
      </c>
      <c r="H5138" t="s">
        <v>58</v>
      </c>
      <c r="I5138" t="s">
        <v>25</v>
      </c>
      <c r="J5138" s="2">
        <v>45869.499988425923</v>
      </c>
      <c r="K5138">
        <v>31</v>
      </c>
      <c r="L5138">
        <v>7</v>
      </c>
      <c r="M5138">
        <v>2025</v>
      </c>
      <c r="N5138" t="s">
        <v>27</v>
      </c>
      <c r="O5138">
        <v>500</v>
      </c>
      <c r="P5138">
        <v>500</v>
      </c>
      <c r="R5138" s="3" t="str">
        <f>HYPERLINK("https://panda.att.com.mx/ODKServer/view/binaryData?blobKey=FSSuministroFluidosv3%5B%40version%3Dnull+and+%40uiVersion%3Dnull%5D%2Fdata%5B%40key%3Duuid%3A3c57a6a0-6c31-4d18-b07b-a38b36279f5a%5D%2FgroupInfoFuel%5B%40ordinal%3D1%5D%2FpicFuelRecibeInterno","Descargar")</f>
        <v>Descargar</v>
      </c>
    </row>
    <row r="5139" spans="1:18" x14ac:dyDescent="0.3">
      <c r="A5139">
        <v>1603406</v>
      </c>
      <c r="B5139" t="s">
        <v>18</v>
      </c>
      <c r="C5139" t="s">
        <v>167</v>
      </c>
      <c r="D5139" t="s">
        <v>264</v>
      </c>
      <c r="E5139" t="s">
        <v>284</v>
      </c>
      <c r="F5139" t="s">
        <v>22</v>
      </c>
      <c r="G5139" t="s">
        <v>83</v>
      </c>
      <c r="H5139" t="s">
        <v>58</v>
      </c>
      <c r="I5139" t="s">
        <v>25</v>
      </c>
      <c r="J5139" t="s">
        <v>3858</v>
      </c>
      <c r="K5139">
        <v>22</v>
      </c>
      <c r="L5139">
        <v>8</v>
      </c>
      <c r="M5139">
        <v>2025</v>
      </c>
      <c r="N5139" t="s">
        <v>27</v>
      </c>
      <c r="O5139">
        <v>250</v>
      </c>
      <c r="P5139">
        <v>250</v>
      </c>
      <c r="R5139" s="3" t="str">
        <f>HYPERLINK("https://panda.att.com.mx/ODKServer/view/binaryData?blobKey=FSSuministroFluidosv3%5B%40version%3Dnull+and+%40uiVersion%3Dnull%5D%2Fdata%5B%40key%3Duuid%3Adbad4cd3-797d-44e7-9fc3-9d476dd37781%5D%2FgroupInfoFuel%5B%40ordinal%3D1%5D%2FpicFuelRecibeInterno","Descargar")</f>
        <v>Descargar</v>
      </c>
    </row>
    <row r="5140" spans="1:18" x14ac:dyDescent="0.3">
      <c r="A5140">
        <v>1478205</v>
      </c>
      <c r="B5140" t="s">
        <v>3859</v>
      </c>
      <c r="C5140" t="s">
        <v>34</v>
      </c>
      <c r="D5140" t="s">
        <v>53</v>
      </c>
      <c r="E5140" t="s">
        <v>3540</v>
      </c>
      <c r="F5140" t="s">
        <v>22</v>
      </c>
      <c r="G5140" t="s">
        <v>3860</v>
      </c>
      <c r="H5140" t="s">
        <v>37</v>
      </c>
      <c r="I5140" t="s">
        <v>25</v>
      </c>
      <c r="J5140" s="2">
        <v>45696.595300925917</v>
      </c>
      <c r="K5140">
        <v>8</v>
      </c>
      <c r="L5140">
        <v>2</v>
      </c>
      <c r="M5140">
        <v>2025</v>
      </c>
    </row>
    <row r="5141" spans="1:18" x14ac:dyDescent="0.3">
      <c r="A5141">
        <v>1569915</v>
      </c>
      <c r="B5141" t="s">
        <v>18</v>
      </c>
      <c r="C5141" t="s">
        <v>100</v>
      </c>
      <c r="D5141" t="s">
        <v>716</v>
      </c>
      <c r="E5141" t="s">
        <v>717</v>
      </c>
      <c r="F5141" t="s">
        <v>22</v>
      </c>
      <c r="G5141" t="s">
        <v>83</v>
      </c>
      <c r="H5141" t="s">
        <v>58</v>
      </c>
      <c r="I5141" t="s">
        <v>25</v>
      </c>
      <c r="J5141" s="2">
        <v>45840.797002314823</v>
      </c>
      <c r="K5141">
        <v>2</v>
      </c>
      <c r="L5141">
        <v>7</v>
      </c>
      <c r="M5141">
        <v>2025</v>
      </c>
      <c r="N5141" t="s">
        <v>27</v>
      </c>
      <c r="O5141">
        <v>150</v>
      </c>
      <c r="P5141">
        <v>150</v>
      </c>
      <c r="R5141" s="3" t="str">
        <f>HYPERLINK("https://panda.att.com.mx/ODKServer/view/binaryData?blobKey=FSSuministroFluidosv3%5B%40version%3Dnull+and+%40uiVersion%3Dnull%5D%2Fdata%5B%40key%3Duuid%3A16cbac44-0cc9-442f-84c6-2ab53704941c%5D%2FgroupInfoFuel%5B%40ordinal%3D1%5D%2FpicFuelRecibeInterno","Descargar")</f>
        <v>Descargar</v>
      </c>
    </row>
    <row r="5142" spans="1:18" x14ac:dyDescent="0.3">
      <c r="A5142">
        <v>1571733</v>
      </c>
      <c r="B5142" t="s">
        <v>18</v>
      </c>
      <c r="C5142" t="s">
        <v>100</v>
      </c>
      <c r="D5142" t="s">
        <v>716</v>
      </c>
      <c r="E5142" t="s">
        <v>717</v>
      </c>
      <c r="F5142" t="s">
        <v>22</v>
      </c>
      <c r="G5142" t="s">
        <v>83</v>
      </c>
      <c r="H5142" t="s">
        <v>58</v>
      </c>
      <c r="I5142" t="s">
        <v>25</v>
      </c>
      <c r="J5142" s="2">
        <v>45844.598182870373</v>
      </c>
      <c r="K5142">
        <v>6</v>
      </c>
      <c r="L5142">
        <v>7</v>
      </c>
      <c r="M5142">
        <v>2025</v>
      </c>
      <c r="N5142" t="s">
        <v>27</v>
      </c>
      <c r="O5142">
        <v>150</v>
      </c>
      <c r="P5142">
        <v>150</v>
      </c>
      <c r="R5142" s="3" t="str">
        <f>HYPERLINK("https://panda.att.com.mx/ODKServer/view/binaryData?blobKey=FSSuministroFluidosv3%5B%40version%3Dnull+and+%40uiVersion%3Dnull%5D%2Fdata%5B%40key%3Duuid%3Af51f786e-9b33-4caa-a506-9d1dd6756548%5D%2FgroupInfoFuel%5B%40ordinal%3D1%5D%2FpicFuelRecibeInterno","Descargar")</f>
        <v>Descargar</v>
      </c>
    </row>
    <row r="5143" spans="1:18" x14ac:dyDescent="0.3">
      <c r="A5143">
        <v>1563938</v>
      </c>
      <c r="B5143" t="s">
        <v>18</v>
      </c>
      <c r="C5143" t="s">
        <v>100</v>
      </c>
      <c r="D5143" t="s">
        <v>716</v>
      </c>
      <c r="E5143" t="s">
        <v>1238</v>
      </c>
      <c r="F5143" t="s">
        <v>22</v>
      </c>
      <c r="G5143" t="s">
        <v>23</v>
      </c>
      <c r="H5143" t="s">
        <v>58</v>
      </c>
      <c r="I5143" t="s">
        <v>25</v>
      </c>
      <c r="J5143" s="2">
        <v>45832.726851851847</v>
      </c>
      <c r="K5143">
        <v>24</v>
      </c>
      <c r="L5143">
        <v>6</v>
      </c>
      <c r="M5143">
        <v>2025</v>
      </c>
      <c r="N5143" t="s">
        <v>27</v>
      </c>
      <c r="O5143">
        <v>300</v>
      </c>
      <c r="P5143">
        <v>300</v>
      </c>
      <c r="R5143" s="3" t="str">
        <f>HYPERLINK("https://panda.att.com.mx/ODKServer/view/binaryData?blobKey=FSSuministroFluidosv3%5B%40version%3Dnull+and+%40uiVersion%3Dnull%5D%2Fdata%5B%40key%3Duuid%3Aadcf7c9d-40f0-4367-b8f9-87608fbacf0e%5D%2FgroupInfoFuel%5B%40ordinal%3D1%5D%2FpicFuelRecibeInterno","Descargar")</f>
        <v>Descargar</v>
      </c>
    </row>
    <row r="5144" spans="1:18" x14ac:dyDescent="0.3">
      <c r="A5144">
        <v>1561786</v>
      </c>
      <c r="B5144" t="s">
        <v>18</v>
      </c>
      <c r="C5144" t="s">
        <v>100</v>
      </c>
      <c r="D5144" t="s">
        <v>716</v>
      </c>
      <c r="E5144" t="s">
        <v>717</v>
      </c>
      <c r="F5144" t="s">
        <v>22</v>
      </c>
      <c r="G5144" t="s">
        <v>83</v>
      </c>
      <c r="H5144" t="s">
        <v>58</v>
      </c>
      <c r="I5144" t="s">
        <v>25</v>
      </c>
      <c r="J5144" s="2">
        <v>45828.740891203714</v>
      </c>
      <c r="K5144">
        <v>20</v>
      </c>
      <c r="L5144">
        <v>6</v>
      </c>
      <c r="M5144">
        <v>2025</v>
      </c>
      <c r="N5144" t="s">
        <v>27</v>
      </c>
      <c r="O5144">
        <v>140</v>
      </c>
      <c r="P5144">
        <v>140</v>
      </c>
      <c r="R5144" s="3" t="str">
        <f>HYPERLINK("https://panda.att.com.mx/ODKServer/view/binaryData?blobKey=FSSuministroFluidosv3%5B%40version%3Dnull+and+%40uiVersion%3Dnull%5D%2Fdata%5B%40key%3Duuid%3A5cbe3cfd-c27b-4ca3-a6a0-a2873152d778%5D%2FgroupInfoFuel%5B%40ordinal%3D1%5D%2FpicFuelRecibeInterno","Descargar")</f>
        <v>Descargar</v>
      </c>
    </row>
    <row r="5145" spans="1:18" x14ac:dyDescent="0.3">
      <c r="A5145">
        <v>1565346</v>
      </c>
      <c r="B5145" t="s">
        <v>18</v>
      </c>
      <c r="C5145" t="s">
        <v>100</v>
      </c>
      <c r="D5145" t="s">
        <v>716</v>
      </c>
      <c r="E5145" t="s">
        <v>717</v>
      </c>
      <c r="F5145" t="s">
        <v>22</v>
      </c>
      <c r="G5145" t="s">
        <v>83</v>
      </c>
      <c r="H5145" t="s">
        <v>58</v>
      </c>
      <c r="I5145" t="s">
        <v>25</v>
      </c>
      <c r="J5145" s="2">
        <v>45834.548773148148</v>
      </c>
      <c r="K5145">
        <v>26</v>
      </c>
      <c r="L5145">
        <v>6</v>
      </c>
      <c r="M5145">
        <v>2025</v>
      </c>
      <c r="N5145" t="s">
        <v>27</v>
      </c>
      <c r="O5145">
        <v>150</v>
      </c>
      <c r="P5145">
        <v>150</v>
      </c>
      <c r="R5145" s="3" t="str">
        <f>HYPERLINK("https://panda.att.com.mx/ODKServer/view/binaryData?blobKey=FSSuministroFluidosv3%5B%40version%3Dnull+and+%40uiVersion%3Dnull%5D%2Fdata%5B%40key%3Duuid%3Ae3bd7213-df24-4649-876f-365e46820b6b%5D%2FgroupInfoFuel%5B%40ordinal%3D1%5D%2FpicFuelRecibeInterno","Descargar")</f>
        <v>Descargar</v>
      </c>
    </row>
    <row r="5146" spans="1:18" x14ac:dyDescent="0.3">
      <c r="A5146">
        <v>1497829</v>
      </c>
      <c r="B5146" t="s">
        <v>18</v>
      </c>
      <c r="C5146" t="s">
        <v>55</v>
      </c>
      <c r="D5146" t="s">
        <v>56</v>
      </c>
      <c r="E5146" t="s">
        <v>2995</v>
      </c>
      <c r="F5146" t="s">
        <v>22</v>
      </c>
      <c r="G5146" t="s">
        <v>47</v>
      </c>
      <c r="H5146" t="s">
        <v>1763</v>
      </c>
      <c r="I5146" t="s">
        <v>25</v>
      </c>
      <c r="J5146" s="2">
        <v>45723.673645833333</v>
      </c>
      <c r="K5146">
        <v>7</v>
      </c>
      <c r="L5146">
        <v>3</v>
      </c>
      <c r="M5146">
        <v>2025</v>
      </c>
      <c r="N5146" t="s">
        <v>27</v>
      </c>
      <c r="O5146">
        <v>100</v>
      </c>
      <c r="P5146">
        <v>100</v>
      </c>
      <c r="R5146" s="3" t="str">
        <f>HYPERLINK("https://panda.att.com.mx/ODKServer/view/binaryData?blobKey=FSSuministroFluidosv3%5B%40version%3Dnull+and+%40uiVersion%3Dnull%5D%2Fdata%5B%40key%3Duuid%3A2c69e03f-5ded-40cf-9a36-5670f2f94853%5D%2FgroupInfoFuel%5B%40ordinal%3D1%5D%2FpicFuelRecibeInterno","Descargar")</f>
        <v>Descargar</v>
      </c>
    </row>
    <row r="5147" spans="1:18" x14ac:dyDescent="0.3">
      <c r="A5147">
        <v>1497887</v>
      </c>
      <c r="B5147" t="s">
        <v>18</v>
      </c>
      <c r="C5147" t="s">
        <v>55</v>
      </c>
      <c r="D5147" t="s">
        <v>56</v>
      </c>
      <c r="E5147" t="s">
        <v>862</v>
      </c>
      <c r="F5147" t="s">
        <v>22</v>
      </c>
      <c r="G5147" t="s">
        <v>47</v>
      </c>
      <c r="H5147" t="s">
        <v>1763</v>
      </c>
      <c r="I5147" t="s">
        <v>25</v>
      </c>
      <c r="J5147" s="2">
        <v>45707.576539351852</v>
      </c>
      <c r="K5147">
        <v>19</v>
      </c>
      <c r="L5147">
        <v>2</v>
      </c>
      <c r="M5147">
        <v>2025</v>
      </c>
      <c r="N5147" t="s">
        <v>27</v>
      </c>
      <c r="O5147">
        <v>700</v>
      </c>
      <c r="P5147">
        <v>700</v>
      </c>
      <c r="R5147" s="3" t="str">
        <f>HYPERLINK("https://panda.att.com.mx/ODKServer/view/binaryData?blobKey=FSSuministroFluidosv3%5B%40version%3Dnull+and+%40uiVersion%3Dnull%5D%2Fdata%5B%40key%3Duuid%3Ab69b0829-ebb4-42e5-bf21-b88cf14217f7%5D%2FgroupInfoFuel%5B%40ordinal%3D1%5D%2FpicFuelRecibeInterno","Descargar")</f>
        <v>Descargar</v>
      </c>
    </row>
    <row r="5148" spans="1:18" x14ac:dyDescent="0.3">
      <c r="A5148">
        <v>1493791</v>
      </c>
      <c r="B5148" t="s">
        <v>18</v>
      </c>
      <c r="C5148" t="s">
        <v>28</v>
      </c>
      <c r="D5148" t="s">
        <v>138</v>
      </c>
      <c r="E5148" t="s">
        <v>1483</v>
      </c>
      <c r="F5148" t="s">
        <v>22</v>
      </c>
      <c r="G5148" t="s">
        <v>23</v>
      </c>
      <c r="H5148" t="s">
        <v>24</v>
      </c>
      <c r="I5148" t="s">
        <v>25</v>
      </c>
      <c r="J5148" t="s">
        <v>3861</v>
      </c>
      <c r="K5148">
        <v>26</v>
      </c>
      <c r="L5148">
        <v>1</v>
      </c>
      <c r="M5148">
        <v>2025</v>
      </c>
      <c r="N5148" t="s">
        <v>27</v>
      </c>
      <c r="O5148">
        <v>300</v>
      </c>
      <c r="P5148">
        <v>300</v>
      </c>
      <c r="R5148" s="3" t="str">
        <f>HYPERLINK("https://panda.att.com.mx/ODKServer/view/binaryData?blobKey=FSSuministroFluidosv3%5B%40version%3Dnull+and+%40uiVersion%3Dnull%5D%2Fdata%5B%40key%3Duuid%3Ac2fe2210-e70f-495e-b6f7-148c0c1f61f1%5D%2FgroupInfoFuel%5B%40ordinal%3D1%5D%2FpicFuelRecibeInterno","Descargar")</f>
        <v>Descargar</v>
      </c>
    </row>
    <row r="5149" spans="1:18" x14ac:dyDescent="0.3">
      <c r="A5149">
        <v>1493879</v>
      </c>
      <c r="B5149" t="s">
        <v>18</v>
      </c>
      <c r="C5149" t="s">
        <v>150</v>
      </c>
      <c r="D5149" t="s">
        <v>230</v>
      </c>
      <c r="E5149" t="s">
        <v>1510</v>
      </c>
      <c r="F5149" t="s">
        <v>22</v>
      </c>
      <c r="G5149" t="s">
        <v>23</v>
      </c>
      <c r="H5149" t="s">
        <v>1781</v>
      </c>
      <c r="I5149" t="s">
        <v>25</v>
      </c>
      <c r="J5149" s="2">
        <v>45722.383275462962</v>
      </c>
      <c r="K5149">
        <v>6</v>
      </c>
      <c r="L5149">
        <v>3</v>
      </c>
      <c r="M5149">
        <v>2025</v>
      </c>
      <c r="N5149" t="s">
        <v>27</v>
      </c>
      <c r="O5149">
        <v>300</v>
      </c>
      <c r="P5149">
        <v>300</v>
      </c>
      <c r="R5149" s="3" t="str">
        <f>HYPERLINK("https://panda.att.com.mx/ODKServer/view/binaryData?blobKey=FSSuministroFluidosv3%5B%40version%3Dnull+and+%40uiVersion%3Dnull%5D%2Fdata%5B%40key%3Duuid%3A54f61eb3-8d45-41e8-9909-240530f2bb5d%5D%2FgroupInfoFuel%5B%40ordinal%3D1%5D%2FpicFuelRecibeInterno","Descargar")</f>
        <v>Descargar</v>
      </c>
    </row>
    <row r="5150" spans="1:18" x14ac:dyDescent="0.3">
      <c r="A5150">
        <v>1493982</v>
      </c>
      <c r="B5150" t="s">
        <v>18</v>
      </c>
      <c r="C5150" t="s">
        <v>55</v>
      </c>
      <c r="D5150" t="s">
        <v>89</v>
      </c>
      <c r="E5150" t="s">
        <v>3040</v>
      </c>
      <c r="F5150" t="s">
        <v>22</v>
      </c>
      <c r="G5150" t="s">
        <v>47</v>
      </c>
      <c r="H5150" t="s">
        <v>1763</v>
      </c>
      <c r="I5150" t="s">
        <v>25</v>
      </c>
      <c r="J5150" s="2">
        <v>45722.468854166669</v>
      </c>
      <c r="K5150">
        <v>6</v>
      </c>
      <c r="L5150">
        <v>3</v>
      </c>
      <c r="M5150">
        <v>2025</v>
      </c>
      <c r="N5150" t="s">
        <v>44</v>
      </c>
      <c r="O5150">
        <v>30</v>
      </c>
      <c r="P5150">
        <v>30</v>
      </c>
      <c r="R5150" s="3" t="str">
        <f>HYPERLINK("https://panda.att.com.mx/ODKServer/view/binaryData?blobKey=FSSuministroFluidosv3%5B%40version%3Dnull+and+%40uiVersion%3Dnull%5D%2Fdata%5B%40key%3Duuid%3A8005c78d-0a8d-40f7-8b25-f1e1edf260ea%5D%2FgroupInfoFuel%5B%40ordinal%3D1%5D%2FpicFuelRecibeInterno","Descargar")</f>
        <v>Descargar</v>
      </c>
    </row>
    <row r="5151" spans="1:18" x14ac:dyDescent="0.3">
      <c r="A5151">
        <v>1493993</v>
      </c>
      <c r="B5151" t="s">
        <v>18</v>
      </c>
      <c r="C5151" t="s">
        <v>183</v>
      </c>
      <c r="D5151" t="s">
        <v>3862</v>
      </c>
      <c r="E5151" t="s">
        <v>3863</v>
      </c>
      <c r="F5151" t="s">
        <v>22</v>
      </c>
      <c r="G5151" t="s">
        <v>83</v>
      </c>
      <c r="H5151" t="s">
        <v>1816</v>
      </c>
      <c r="I5151" t="s">
        <v>25</v>
      </c>
      <c r="J5151" s="2">
        <v>45719.881249999999</v>
      </c>
      <c r="K5151">
        <v>3</v>
      </c>
      <c r="L5151">
        <v>3</v>
      </c>
      <c r="M5151">
        <v>2025</v>
      </c>
      <c r="N5151" t="s">
        <v>27</v>
      </c>
      <c r="O5151">
        <v>408</v>
      </c>
      <c r="Q5151">
        <v>408</v>
      </c>
      <c r="R5151" s="3" t="str">
        <f>HYPERLINK("https://panda.att.com.mx/ODKServer/view/binaryData?blobKey=FSSuministroFluidosv3%5B%40version%3Dnull+and+%40uiVersion%3Dnull%5D%2Fdata%5B%40key%3Duuid%3Aa71a250a-c17f-4a9d-9eac-7f913d27941e%5D%2FgroupInfoFuel%5B%40ordinal%3D1%5D%2FpicFuelRecibeInterno","Descargar")</f>
        <v>Descargar</v>
      </c>
    </row>
    <row r="5152" spans="1:18" x14ac:dyDescent="0.3">
      <c r="A5152">
        <v>1494151</v>
      </c>
      <c r="B5152" t="s">
        <v>18</v>
      </c>
      <c r="C5152" t="s">
        <v>55</v>
      </c>
      <c r="D5152" t="s">
        <v>288</v>
      </c>
      <c r="E5152" t="s">
        <v>3066</v>
      </c>
      <c r="F5152" t="s">
        <v>22</v>
      </c>
      <c r="G5152" t="s">
        <v>47</v>
      </c>
      <c r="H5152" t="s">
        <v>1763</v>
      </c>
      <c r="I5152" t="s">
        <v>25</v>
      </c>
      <c r="J5152" s="2">
        <v>45722.615613425929</v>
      </c>
      <c r="K5152">
        <v>6</v>
      </c>
      <c r="L5152">
        <v>3</v>
      </c>
      <c r="M5152">
        <v>2025</v>
      </c>
      <c r="N5152" t="s">
        <v>27</v>
      </c>
      <c r="O5152">
        <v>250</v>
      </c>
      <c r="P5152">
        <v>250</v>
      </c>
      <c r="R5152" s="3" t="str">
        <f>HYPERLINK("https://panda.att.com.mx/ODKServer/view/binaryData?blobKey=FSSuministroFluidosv3%5B%40version%3Dnull+and+%40uiVersion%3Dnull%5D%2Fdata%5B%40key%3Duuid%3Ab7d87ca7-8151-4c4a-bb31-2d41464db38f%5D%2FgroupInfoFuel%5B%40ordinal%3D1%5D%2FpicFuelRecibeInterno","Descargar")</f>
        <v>Descargar</v>
      </c>
    </row>
    <row r="5153" spans="1:18" x14ac:dyDescent="0.3">
      <c r="A5153">
        <v>1494212</v>
      </c>
      <c r="B5153" t="s">
        <v>18</v>
      </c>
      <c r="C5153" t="s">
        <v>55</v>
      </c>
      <c r="D5153" t="s">
        <v>128</v>
      </c>
      <c r="E5153" t="s">
        <v>2758</v>
      </c>
      <c r="F5153" t="s">
        <v>22</v>
      </c>
      <c r="G5153" t="s">
        <v>47</v>
      </c>
      <c r="H5153" t="s">
        <v>1763</v>
      </c>
      <c r="I5153" t="s">
        <v>25</v>
      </c>
      <c r="J5153" s="2">
        <v>45722.485092592593</v>
      </c>
      <c r="K5153">
        <v>6</v>
      </c>
      <c r="L5153">
        <v>3</v>
      </c>
      <c r="M5153">
        <v>2025</v>
      </c>
      <c r="N5153" t="s">
        <v>27</v>
      </c>
      <c r="O5153">
        <v>300</v>
      </c>
      <c r="P5153">
        <v>300</v>
      </c>
      <c r="R5153" s="3" t="str">
        <f>HYPERLINK("https://panda.att.com.mx/ODKServer/view/binaryData?blobKey=FSSuministroFluidosv3%5B%40version%3Dnull+and+%40uiVersion%3Dnull%5D%2Fdata%5B%40key%3Duuid%3A318b32b7-8c38-40c6-9b43-6b784489d591%5D%2FgroupInfoFuel%5B%40ordinal%3D1%5D%2FpicFuelRecibeInterno","Descargar")</f>
        <v>Descargar</v>
      </c>
    </row>
    <row r="5154" spans="1:18" x14ac:dyDescent="0.3">
      <c r="A5154">
        <v>1494314</v>
      </c>
      <c r="B5154" t="s">
        <v>18</v>
      </c>
      <c r="C5154" t="s">
        <v>100</v>
      </c>
      <c r="D5154" t="s">
        <v>854</v>
      </c>
      <c r="E5154" t="s">
        <v>993</v>
      </c>
      <c r="F5154" t="s">
        <v>22</v>
      </c>
      <c r="G5154" t="s">
        <v>83</v>
      </c>
      <c r="H5154" t="s">
        <v>1781</v>
      </c>
      <c r="I5154" t="s">
        <v>25</v>
      </c>
      <c r="J5154" s="2">
        <v>45722.551157407397</v>
      </c>
      <c r="K5154">
        <v>6</v>
      </c>
      <c r="L5154">
        <v>3</v>
      </c>
      <c r="M5154">
        <v>2025</v>
      </c>
      <c r="N5154" t="s">
        <v>27</v>
      </c>
      <c r="O5154">
        <v>220</v>
      </c>
      <c r="P5154">
        <v>220</v>
      </c>
      <c r="R5154" s="3" t="str">
        <f>HYPERLINK("https://panda.att.com.mx/ODKServer/view/binaryData?blobKey=FSSuministroFluidosv3%5B%40version%3Dnull+and+%40uiVersion%3Dnull%5D%2Fdata%5B%40key%3Duuid%3A79c7721a-dd9a-480a-bbaf-fcaa5ab42ab9%5D%2FgroupInfoFuel%5B%40ordinal%3D1%5D%2FpicFuelRecibeInterno","Descargar")</f>
        <v>Descargar</v>
      </c>
    </row>
    <row r="5155" spans="1:18" x14ac:dyDescent="0.3">
      <c r="A5155">
        <v>1494339</v>
      </c>
      <c r="B5155" t="s">
        <v>18</v>
      </c>
      <c r="C5155" t="s">
        <v>34</v>
      </c>
      <c r="D5155" t="s">
        <v>53</v>
      </c>
      <c r="E5155" t="s">
        <v>3864</v>
      </c>
      <c r="F5155" t="s">
        <v>22</v>
      </c>
      <c r="G5155" t="s">
        <v>23</v>
      </c>
      <c r="H5155" t="s">
        <v>37</v>
      </c>
      <c r="I5155" t="s">
        <v>25</v>
      </c>
      <c r="J5155" s="2">
        <v>45722.742789351847</v>
      </c>
      <c r="K5155">
        <v>6</v>
      </c>
      <c r="L5155">
        <v>3</v>
      </c>
      <c r="M5155">
        <v>2025</v>
      </c>
      <c r="N5155" t="s">
        <v>27</v>
      </c>
      <c r="O5155">
        <v>350</v>
      </c>
      <c r="P5155">
        <v>350</v>
      </c>
      <c r="R5155" s="3" t="str">
        <f>HYPERLINK("https://panda.att.com.mx/ODKServer/view/binaryData?blobKey=FSSuministroFluidosv3%5B%40version%3Dnull+and+%40uiVersion%3Dnull%5D%2Fdata%5B%40key%3Duuid%3A41c64c72-095f-4f06-9424-4b6cd6c41683%5D%2FgroupInfoFuel%5B%40ordinal%3D1%5D%2FpicFuelRecibeInterno","Descargar")</f>
        <v>Descargar</v>
      </c>
    </row>
    <row r="5156" spans="1:18" x14ac:dyDescent="0.3">
      <c r="A5156">
        <v>1494356</v>
      </c>
      <c r="B5156" t="s">
        <v>18</v>
      </c>
      <c r="C5156" t="s">
        <v>34</v>
      </c>
      <c r="D5156" t="s">
        <v>53</v>
      </c>
      <c r="E5156" t="s">
        <v>327</v>
      </c>
      <c r="F5156" t="s">
        <v>22</v>
      </c>
      <c r="G5156" t="s">
        <v>23</v>
      </c>
      <c r="H5156" t="s">
        <v>37</v>
      </c>
      <c r="I5156" t="s">
        <v>25</v>
      </c>
      <c r="J5156" s="2">
        <v>45722.435949074083</v>
      </c>
      <c r="K5156">
        <v>6</v>
      </c>
      <c r="L5156">
        <v>3</v>
      </c>
      <c r="M5156">
        <v>2025</v>
      </c>
      <c r="N5156" t="s">
        <v>27</v>
      </c>
      <c r="O5156">
        <v>300</v>
      </c>
      <c r="P5156">
        <v>300</v>
      </c>
      <c r="R5156" s="3" t="str">
        <f>HYPERLINK("https://panda.att.com.mx/ODKServer/view/binaryData?blobKey=FSSuministroFluidosv3%5B%40version%3Dnull+and+%40uiVersion%3Dnull%5D%2Fdata%5B%40key%3Duuid%3A3aef6d0d-0576-46f0-b7c2-c80c4775c329%5D%2FgroupInfoFuel%5B%40ordinal%3D1%5D%2FpicFuelRecibeInterno","Descargar")</f>
        <v>Descargar</v>
      </c>
    </row>
    <row r="5157" spans="1:18" x14ac:dyDescent="0.3">
      <c r="A5157">
        <v>1494488</v>
      </c>
      <c r="B5157" t="s">
        <v>18</v>
      </c>
      <c r="C5157" t="s">
        <v>55</v>
      </c>
      <c r="D5157" t="s">
        <v>56</v>
      </c>
      <c r="E5157" t="s">
        <v>2089</v>
      </c>
      <c r="F5157" t="s">
        <v>22</v>
      </c>
      <c r="G5157" t="s">
        <v>47</v>
      </c>
      <c r="H5157" t="s">
        <v>1763</v>
      </c>
      <c r="I5157" t="s">
        <v>25</v>
      </c>
      <c r="J5157" s="2">
        <v>45717.475393518522</v>
      </c>
      <c r="K5157">
        <v>1</v>
      </c>
      <c r="L5157">
        <v>3</v>
      </c>
      <c r="M5157">
        <v>2025</v>
      </c>
      <c r="N5157" t="s">
        <v>27</v>
      </c>
      <c r="O5157">
        <v>300</v>
      </c>
      <c r="P5157">
        <v>300</v>
      </c>
      <c r="R5157" s="3" t="str">
        <f>HYPERLINK("https://panda.att.com.mx/ODKServer/view/binaryData?blobKey=FSSuministroFluidosv3%5B%40version%3Dnull+and+%40uiVersion%3Dnull%5D%2Fdata%5B%40key%3Duuid%3A6414c6f7-624e-4a22-8a7e-202c5268f5ef%5D%2FgroupInfoFuel%5B%40ordinal%3D1%5D%2FpicFuelRecibeInterno","Descargar")</f>
        <v>Descargar</v>
      </c>
    </row>
    <row r="5158" spans="1:18" x14ac:dyDescent="0.3">
      <c r="A5158">
        <v>1494489</v>
      </c>
      <c r="B5158" t="s">
        <v>18</v>
      </c>
      <c r="C5158" t="s">
        <v>55</v>
      </c>
      <c r="D5158" t="s">
        <v>56</v>
      </c>
      <c r="E5158" t="s">
        <v>320</v>
      </c>
      <c r="F5158" t="s">
        <v>22</v>
      </c>
      <c r="G5158" t="s">
        <v>47</v>
      </c>
      <c r="H5158" t="s">
        <v>1763</v>
      </c>
      <c r="I5158" t="s">
        <v>25</v>
      </c>
      <c r="J5158" s="2">
        <v>45717.532442129632</v>
      </c>
      <c r="K5158">
        <v>1</v>
      </c>
      <c r="L5158">
        <v>3</v>
      </c>
      <c r="M5158">
        <v>2025</v>
      </c>
      <c r="N5158" t="s">
        <v>27</v>
      </c>
      <c r="O5158">
        <v>300</v>
      </c>
      <c r="P5158">
        <v>300</v>
      </c>
      <c r="R5158" s="3" t="str">
        <f>HYPERLINK("https://panda.att.com.mx/ODKServer/view/binaryData?blobKey=FSSuministroFluidosv3%5B%40version%3Dnull+and+%40uiVersion%3Dnull%5D%2Fdata%5B%40key%3Duuid%3A0a58ef86-2df1-422b-83f2-a7c404ff20b0%5D%2FgroupInfoFuel%5B%40ordinal%3D1%5D%2FpicFuelRecibeInterno","Descargar")</f>
        <v>Descargar</v>
      </c>
    </row>
    <row r="5159" spans="1:18" x14ac:dyDescent="0.3">
      <c r="A5159">
        <v>1494518</v>
      </c>
      <c r="B5159" t="s">
        <v>18</v>
      </c>
      <c r="C5159" t="s">
        <v>55</v>
      </c>
      <c r="D5159" t="s">
        <v>56</v>
      </c>
      <c r="E5159" t="s">
        <v>1555</v>
      </c>
      <c r="F5159" t="s">
        <v>22</v>
      </c>
      <c r="G5159" t="s">
        <v>47</v>
      </c>
      <c r="H5159" t="s">
        <v>1763</v>
      </c>
      <c r="I5159" t="s">
        <v>25</v>
      </c>
      <c r="J5159" s="2">
        <v>45722.520949074067</v>
      </c>
      <c r="K5159">
        <v>6</v>
      </c>
      <c r="L5159">
        <v>3</v>
      </c>
      <c r="M5159">
        <v>2025</v>
      </c>
      <c r="N5159" t="s">
        <v>27</v>
      </c>
      <c r="O5159">
        <v>300</v>
      </c>
      <c r="P5159">
        <v>300</v>
      </c>
      <c r="R5159" s="3" t="str">
        <f>HYPERLINK("https://panda.att.com.mx/ODKServer/view/binaryData?blobKey=FSSuministroFluidosv3%5B%40version%3Dnull+and+%40uiVersion%3Dnull%5D%2Fdata%5B%40key%3Duuid%3A57c23d75-ce51-432a-9d60-33da06ae9155%5D%2FgroupInfoFuel%5B%40ordinal%3D1%5D%2FpicFuelRecibeInterno","Descargar")</f>
        <v>Descargar</v>
      </c>
    </row>
    <row r="5160" spans="1:18" x14ac:dyDescent="0.3">
      <c r="A5160">
        <v>1494519</v>
      </c>
      <c r="B5160" t="s">
        <v>18</v>
      </c>
      <c r="C5160" t="s">
        <v>100</v>
      </c>
      <c r="D5160" t="s">
        <v>716</v>
      </c>
      <c r="E5160" t="s">
        <v>717</v>
      </c>
      <c r="F5160" t="s">
        <v>22</v>
      </c>
      <c r="G5160" t="s">
        <v>83</v>
      </c>
      <c r="H5160" t="s">
        <v>1781</v>
      </c>
      <c r="I5160" t="s">
        <v>25</v>
      </c>
      <c r="J5160" s="2">
        <v>45722.908807870372</v>
      </c>
      <c r="K5160">
        <v>6</v>
      </c>
      <c r="L5160">
        <v>3</v>
      </c>
      <c r="M5160">
        <v>2025</v>
      </c>
      <c r="N5160" t="s">
        <v>27</v>
      </c>
      <c r="O5160">
        <v>150</v>
      </c>
      <c r="P5160">
        <v>150</v>
      </c>
      <c r="R5160" s="3" t="str">
        <f>HYPERLINK("https://panda.att.com.mx/ODKServer/view/binaryData?blobKey=FSSuministroFluidosv3%5B%40version%3Dnull+and+%40uiVersion%3Dnull%5D%2Fdata%5B%40key%3Duuid%3A8958429e-1eff-49d0-9003-b1107d7aa24e%5D%2FgroupInfoFuel%5B%40ordinal%3D1%5D%2FpicFuelRecibeInterno","Descargar")</f>
        <v>Descargar</v>
      </c>
    </row>
    <row r="5161" spans="1:18" x14ac:dyDescent="0.3">
      <c r="A5161">
        <v>1494568</v>
      </c>
      <c r="B5161" t="s">
        <v>18</v>
      </c>
      <c r="C5161" t="s">
        <v>55</v>
      </c>
      <c r="D5161" t="s">
        <v>89</v>
      </c>
      <c r="E5161" t="s">
        <v>3865</v>
      </c>
      <c r="F5161" t="s">
        <v>22</v>
      </c>
      <c r="G5161" t="s">
        <v>47</v>
      </c>
      <c r="H5161" t="s">
        <v>1763</v>
      </c>
      <c r="I5161" t="s">
        <v>25</v>
      </c>
      <c r="J5161" s="2">
        <v>45722.952060185176</v>
      </c>
      <c r="K5161">
        <v>6</v>
      </c>
      <c r="L5161">
        <v>3</v>
      </c>
      <c r="M5161">
        <v>2025</v>
      </c>
      <c r="N5161" t="s">
        <v>44</v>
      </c>
      <c r="O5161">
        <v>40</v>
      </c>
      <c r="P5161">
        <v>40</v>
      </c>
      <c r="R5161" s="3" t="str">
        <f>HYPERLINK("https://panda.att.com.mx/ODKServer/view/binaryData?blobKey=FSSuministroFluidosv3%5B%40version%3Dnull+and+%40uiVersion%3Dnull%5D%2Fdata%5B%40key%3Duuid%3A2226ddc1-48e2-4e07-96e5-d36a230b17bc%5D%2FgroupInfoFuel%5B%40ordinal%3D1%5D%2FpicFuelRecibeInterno","Descargar")</f>
        <v>Descargar</v>
      </c>
    </row>
    <row r="5162" spans="1:18" x14ac:dyDescent="0.3">
      <c r="A5162">
        <v>1494587</v>
      </c>
      <c r="B5162" t="s">
        <v>18</v>
      </c>
      <c r="C5162" t="s">
        <v>150</v>
      </c>
      <c r="D5162" t="s">
        <v>151</v>
      </c>
      <c r="E5162" t="s">
        <v>152</v>
      </c>
      <c r="F5162" t="s">
        <v>22</v>
      </c>
      <c r="G5162" t="s">
        <v>23</v>
      </c>
      <c r="H5162" t="s">
        <v>1781</v>
      </c>
      <c r="I5162" t="s">
        <v>25</v>
      </c>
      <c r="J5162" s="2">
        <v>45722.573275462957</v>
      </c>
      <c r="K5162">
        <v>6</v>
      </c>
      <c r="L5162">
        <v>3</v>
      </c>
      <c r="M5162">
        <v>2025</v>
      </c>
      <c r="N5162" t="s">
        <v>27</v>
      </c>
      <c r="O5162">
        <v>100</v>
      </c>
      <c r="P5162">
        <v>100</v>
      </c>
      <c r="R5162" s="3" t="str">
        <f>HYPERLINK("https://panda.att.com.mx/ODKServer/view/binaryData?blobKey=FSSuministroFluidosv3%5B%40version%3Dnull+and+%40uiVersion%3Dnull%5D%2Fdata%5B%40key%3Duuid%3Ade7d5c62-ec9e-435d-b848-814523b9fb19%5D%2FgroupInfoFuel%5B%40ordinal%3D1%5D%2FpicFuelRecibeInterno","Descargar")</f>
        <v>Descargar</v>
      </c>
    </row>
    <row r="5163" spans="1:18" x14ac:dyDescent="0.3">
      <c r="A5163">
        <v>1494630</v>
      </c>
      <c r="B5163" t="s">
        <v>18</v>
      </c>
      <c r="C5163" t="s">
        <v>55</v>
      </c>
      <c r="D5163" t="s">
        <v>56</v>
      </c>
      <c r="E5163" t="s">
        <v>3023</v>
      </c>
      <c r="F5163" t="s">
        <v>22</v>
      </c>
      <c r="G5163" t="s">
        <v>47</v>
      </c>
      <c r="H5163" t="s">
        <v>1763</v>
      </c>
      <c r="I5163" t="s">
        <v>25</v>
      </c>
      <c r="J5163" s="2">
        <v>45715.625057870369</v>
      </c>
      <c r="K5163">
        <v>27</v>
      </c>
      <c r="L5163">
        <v>2</v>
      </c>
      <c r="M5163">
        <v>2025</v>
      </c>
      <c r="N5163" t="s">
        <v>27</v>
      </c>
      <c r="O5163">
        <v>250</v>
      </c>
      <c r="P5163">
        <v>250</v>
      </c>
      <c r="R5163" s="3" t="str">
        <f>HYPERLINK("https://panda.att.com.mx/ODKServer/view/binaryData?blobKey=FSSuministroFluidosv3%5B%40version%3Dnull+and+%40uiVersion%3Dnull%5D%2Fdata%5B%40key%3Duuid%3A876af764-96ac-4e58-b2b1-ce47db1dde9c%5D%2FgroupInfoFuel%5B%40ordinal%3D1%5D%2FpicFuelRecibeInterno","Descargar")</f>
        <v>Descargar</v>
      </c>
    </row>
    <row r="5164" spans="1:18" x14ac:dyDescent="0.3">
      <c r="A5164">
        <v>1494687</v>
      </c>
      <c r="B5164" t="s">
        <v>18</v>
      </c>
      <c r="C5164" t="s">
        <v>19</v>
      </c>
      <c r="D5164" t="s">
        <v>45</v>
      </c>
      <c r="E5164" t="s">
        <v>130</v>
      </c>
      <c r="F5164" t="s">
        <v>22</v>
      </c>
      <c r="G5164" t="s">
        <v>23</v>
      </c>
      <c r="H5164" t="s">
        <v>24</v>
      </c>
      <c r="I5164" t="s">
        <v>25</v>
      </c>
      <c r="J5164" s="2">
        <v>45720.438923611109</v>
      </c>
      <c r="K5164">
        <v>4</v>
      </c>
      <c r="L5164">
        <v>3</v>
      </c>
      <c r="M5164">
        <v>2025</v>
      </c>
      <c r="N5164" t="s">
        <v>27</v>
      </c>
      <c r="O5164">
        <v>400</v>
      </c>
      <c r="P5164">
        <v>400</v>
      </c>
      <c r="R5164" s="3" t="str">
        <f>HYPERLINK("https://panda.att.com.mx/ODKServer/view/binaryData?blobKey=FSSuministroFluidosv3%5B%40version%3Dnull+and+%40uiVersion%3Dnull%5D%2Fdata%5B%40key%3Duuid%3Ad51a6983-d37d-4c46-a4ac-b0ac46c0d169%5D%2FgroupInfoFuel%5B%40ordinal%3D1%5D%2FpicFuelRecibeInterno","Descargar")</f>
        <v>Descargar</v>
      </c>
    </row>
    <row r="5165" spans="1:18" x14ac:dyDescent="0.3">
      <c r="A5165">
        <v>1494688</v>
      </c>
      <c r="B5165" t="s">
        <v>18</v>
      </c>
      <c r="C5165" t="s">
        <v>19</v>
      </c>
      <c r="D5165" t="s">
        <v>45</v>
      </c>
      <c r="E5165" t="s">
        <v>130</v>
      </c>
      <c r="F5165" t="s">
        <v>22</v>
      </c>
      <c r="G5165" t="s">
        <v>23</v>
      </c>
      <c r="H5165" t="s">
        <v>24</v>
      </c>
      <c r="I5165" t="s">
        <v>25</v>
      </c>
      <c r="J5165" s="2">
        <v>45717.479629629634</v>
      </c>
      <c r="K5165">
        <v>1</v>
      </c>
      <c r="L5165">
        <v>3</v>
      </c>
      <c r="M5165">
        <v>2025</v>
      </c>
      <c r="N5165" t="s">
        <v>27</v>
      </c>
      <c r="O5165">
        <v>300</v>
      </c>
      <c r="P5165">
        <v>300</v>
      </c>
      <c r="R5165" s="3" t="str">
        <f>HYPERLINK("https://panda.att.com.mx/ODKServer/view/binaryData?blobKey=FSSuministroFluidosv3%5B%40version%3Dnull+and+%40uiVersion%3Dnull%5D%2Fdata%5B%40key%3Duuid%3Ab7a86a18-91a2-4d0b-9567-cbee541b7910%5D%2FgroupInfoFuel%5B%40ordinal%3D1%5D%2FpicFuelRecibeInterno","Descargar")</f>
        <v>Descargar</v>
      </c>
    </row>
    <row r="5166" spans="1:18" x14ac:dyDescent="0.3">
      <c r="A5166">
        <v>1494803</v>
      </c>
      <c r="B5166" t="s">
        <v>18</v>
      </c>
      <c r="C5166" t="s">
        <v>55</v>
      </c>
      <c r="D5166" t="s">
        <v>56</v>
      </c>
      <c r="E5166" t="s">
        <v>2945</v>
      </c>
      <c r="F5166" t="s">
        <v>22</v>
      </c>
      <c r="G5166" t="s">
        <v>47</v>
      </c>
      <c r="H5166" t="s">
        <v>1763</v>
      </c>
      <c r="I5166" t="s">
        <v>25</v>
      </c>
      <c r="J5166" s="2">
        <v>45722.653831018521</v>
      </c>
      <c r="K5166">
        <v>6</v>
      </c>
      <c r="L5166">
        <v>3</v>
      </c>
      <c r="M5166">
        <v>2025</v>
      </c>
      <c r="N5166" t="s">
        <v>27</v>
      </c>
      <c r="O5166">
        <v>150</v>
      </c>
      <c r="P5166">
        <v>150</v>
      </c>
      <c r="R5166" s="3" t="str">
        <f>HYPERLINK("https://panda.att.com.mx/ODKServer/view/binaryData?blobKey=FSSuministroFluidosv3%5B%40version%3Dnull+and+%40uiVersion%3Dnull%5D%2Fdata%5B%40key%3Duuid%3Abb62d78a-3e5a-44fc-b2ef-eb9244b9e088%5D%2FgroupInfoFuel%5B%40ordinal%3D1%5D%2FpicFuelRecibeInterno","Descargar")</f>
        <v>Descargar</v>
      </c>
    </row>
    <row r="5167" spans="1:18" x14ac:dyDescent="0.3">
      <c r="A5167">
        <v>1494804</v>
      </c>
      <c r="B5167" t="s">
        <v>18</v>
      </c>
      <c r="C5167" t="s">
        <v>55</v>
      </c>
      <c r="D5167" t="s">
        <v>56</v>
      </c>
      <c r="E5167" t="s">
        <v>1748</v>
      </c>
      <c r="F5167" t="s">
        <v>22</v>
      </c>
      <c r="G5167" t="s">
        <v>47</v>
      </c>
      <c r="H5167" t="s">
        <v>1763</v>
      </c>
      <c r="I5167" t="s">
        <v>25</v>
      </c>
      <c r="J5167" s="2">
        <v>45722.783090277779</v>
      </c>
      <c r="K5167">
        <v>6</v>
      </c>
      <c r="L5167">
        <v>3</v>
      </c>
      <c r="M5167">
        <v>2025</v>
      </c>
      <c r="N5167" t="s">
        <v>27</v>
      </c>
      <c r="O5167">
        <v>120</v>
      </c>
      <c r="P5167">
        <v>120</v>
      </c>
      <c r="R5167" s="3" t="str">
        <f>HYPERLINK("https://panda.att.com.mx/ODKServer/view/binaryData?blobKey=FSSuministroFluidosv3%5B%40version%3Dnull+and+%40uiVersion%3Dnull%5D%2Fdata%5B%40key%3Duuid%3A2d35d1a9-8121-490d-830b-561d04372e40%5D%2FgroupInfoFuel%5B%40ordinal%3D1%5D%2FpicFuelRecibeInterno","Descargar")</f>
        <v>Descargar</v>
      </c>
    </row>
    <row r="5168" spans="1:18" x14ac:dyDescent="0.3">
      <c r="A5168">
        <v>1494811</v>
      </c>
      <c r="B5168" t="s">
        <v>18</v>
      </c>
      <c r="C5168" t="s">
        <v>55</v>
      </c>
      <c r="D5168" t="s">
        <v>56</v>
      </c>
      <c r="E5168" t="s">
        <v>1713</v>
      </c>
      <c r="F5168" t="s">
        <v>22</v>
      </c>
      <c r="G5168" t="s">
        <v>47</v>
      </c>
      <c r="H5168" t="s">
        <v>1763</v>
      </c>
      <c r="I5168" t="s">
        <v>25</v>
      </c>
      <c r="J5168" s="2">
        <v>45722.730613425927</v>
      </c>
      <c r="K5168">
        <v>6</v>
      </c>
      <c r="L5168">
        <v>3</v>
      </c>
      <c r="M5168">
        <v>2025</v>
      </c>
      <c r="N5168" t="s">
        <v>27</v>
      </c>
      <c r="O5168">
        <v>130</v>
      </c>
      <c r="P5168">
        <v>130</v>
      </c>
      <c r="R5168" s="3" t="str">
        <f>HYPERLINK("https://panda.att.com.mx/ODKServer/view/binaryData?blobKey=FSSuministroFluidosv3%5B%40version%3Dnull+and+%40uiVersion%3Dnull%5D%2Fdata%5B%40key%3Duuid%3A1ce11048-981d-406d-a7d7-2ad4ea83ac11%5D%2FgroupInfoFuel%5B%40ordinal%3D1%5D%2FpicFuelRecibeInterno","Descargar")</f>
        <v>Descargar</v>
      </c>
    </row>
    <row r="5169" spans="1:18" x14ac:dyDescent="0.3">
      <c r="A5169">
        <v>1494818</v>
      </c>
      <c r="B5169" t="s">
        <v>18</v>
      </c>
      <c r="C5169" t="s">
        <v>150</v>
      </c>
      <c r="D5169" t="s">
        <v>230</v>
      </c>
      <c r="E5169" t="s">
        <v>890</v>
      </c>
      <c r="F5169" t="s">
        <v>22</v>
      </c>
      <c r="G5169" t="s">
        <v>23</v>
      </c>
      <c r="H5169" t="s">
        <v>1781</v>
      </c>
      <c r="I5169" t="s">
        <v>25</v>
      </c>
      <c r="J5169" s="2">
        <v>45723.37976851852</v>
      </c>
      <c r="K5169">
        <v>7</v>
      </c>
      <c r="L5169">
        <v>3</v>
      </c>
      <c r="M5169">
        <v>2025</v>
      </c>
      <c r="N5169" t="s">
        <v>27</v>
      </c>
      <c r="O5169">
        <v>150.15</v>
      </c>
      <c r="P5169">
        <v>150.15</v>
      </c>
      <c r="R5169" s="3" t="str">
        <f>HYPERLINK("https://panda.att.com.mx/ODKServer/view/binaryData?blobKey=FSSuministroFluidosv3%5B%40version%3Dnull+and+%40uiVersion%3Dnull%5D%2Fdata%5B%40key%3Duuid%3Aaef40c70-8308-41b8-a03c-51e4982dfc72%5D%2FgroupInfoFuel%5B%40ordinal%3D1%5D%2FpicFuelRecibeInterno","Descargar")</f>
        <v>Descargar</v>
      </c>
    </row>
    <row r="5170" spans="1:18" x14ac:dyDescent="0.3">
      <c r="A5170">
        <v>1494837</v>
      </c>
      <c r="B5170" t="s">
        <v>18</v>
      </c>
      <c r="C5170" t="s">
        <v>55</v>
      </c>
      <c r="D5170" t="s">
        <v>56</v>
      </c>
      <c r="E5170" t="s">
        <v>1748</v>
      </c>
      <c r="F5170" t="s">
        <v>22</v>
      </c>
      <c r="G5170" t="s">
        <v>47</v>
      </c>
      <c r="H5170" t="s">
        <v>1763</v>
      </c>
      <c r="I5170" t="s">
        <v>25</v>
      </c>
      <c r="J5170" s="2">
        <v>45721.385601851849</v>
      </c>
      <c r="K5170">
        <v>5</v>
      </c>
      <c r="L5170">
        <v>3</v>
      </c>
      <c r="M5170">
        <v>2025</v>
      </c>
      <c r="N5170" t="s">
        <v>27</v>
      </c>
      <c r="O5170">
        <v>120</v>
      </c>
      <c r="P5170">
        <v>120</v>
      </c>
      <c r="R5170" s="3" t="str">
        <f>HYPERLINK("https://panda.att.com.mx/ODKServer/view/binaryData?blobKey=FSSuministroFluidosv3%5B%40version%3Dnull+and+%40uiVersion%3Dnull%5D%2Fdata%5B%40key%3Duuid%3Afcb15553-20f8-4fd2-9b78-1378271fcb74%5D%2FgroupInfoFuel%5B%40ordinal%3D1%5D%2FpicFuelRecibeInterno","Descargar")</f>
        <v>Descargar</v>
      </c>
    </row>
    <row r="5171" spans="1:18" x14ac:dyDescent="0.3">
      <c r="A5171">
        <v>1494843</v>
      </c>
      <c r="B5171" t="s">
        <v>18</v>
      </c>
      <c r="C5171" t="s">
        <v>19</v>
      </c>
      <c r="D5171" t="s">
        <v>109</v>
      </c>
      <c r="E5171" t="s">
        <v>1136</v>
      </c>
      <c r="F5171" t="s">
        <v>22</v>
      </c>
      <c r="G5171" t="s">
        <v>23</v>
      </c>
      <c r="H5171" t="s">
        <v>24</v>
      </c>
      <c r="I5171" t="s">
        <v>25</v>
      </c>
      <c r="J5171" s="2">
        <v>45722.73400462963</v>
      </c>
      <c r="K5171">
        <v>6</v>
      </c>
      <c r="L5171">
        <v>3</v>
      </c>
      <c r="M5171">
        <v>2025</v>
      </c>
      <c r="N5171" t="s">
        <v>44</v>
      </c>
      <c r="O5171">
        <v>15</v>
      </c>
      <c r="P5171">
        <v>15</v>
      </c>
      <c r="R5171" s="3" t="str">
        <f>HYPERLINK("https://panda.att.com.mx/ODKServer/view/binaryData?blobKey=FSSuministroFluidosv3%5B%40version%3Dnull+and+%40uiVersion%3Dnull%5D%2Fdata%5B%40key%3Duuid%3A86026940-6b87-44e3-a03a-9856eff17a20%5D%2FgroupInfoFuel%5B%40ordinal%3D1%5D%2FpicFuelRecibeInterno","Descargar")</f>
        <v>Descargar</v>
      </c>
    </row>
    <row r="5172" spans="1:18" x14ac:dyDescent="0.3">
      <c r="A5172">
        <v>1494854</v>
      </c>
      <c r="B5172" t="s">
        <v>18</v>
      </c>
      <c r="C5172" t="s">
        <v>55</v>
      </c>
      <c r="D5172" t="s">
        <v>56</v>
      </c>
      <c r="E5172" t="s">
        <v>668</v>
      </c>
      <c r="F5172" t="s">
        <v>22</v>
      </c>
      <c r="G5172" t="s">
        <v>47</v>
      </c>
      <c r="H5172" t="s">
        <v>1763</v>
      </c>
      <c r="I5172" t="s">
        <v>25</v>
      </c>
      <c r="J5172" s="2">
        <v>45721.604930555557</v>
      </c>
      <c r="K5172">
        <v>5</v>
      </c>
      <c r="L5172">
        <v>3</v>
      </c>
      <c r="M5172">
        <v>2025</v>
      </c>
      <c r="N5172" t="s">
        <v>27</v>
      </c>
      <c r="O5172">
        <v>100</v>
      </c>
      <c r="P5172">
        <v>100</v>
      </c>
      <c r="R5172" s="3" t="str">
        <f>HYPERLINK("https://panda.att.com.mx/ODKServer/view/binaryData?blobKey=FSSuministroFluidosv3%5B%40version%3Dnull+and+%40uiVersion%3Dnull%5D%2Fdata%5B%40key%3Duuid%3A06d5cc80-940a-4b8a-9a98-a7a63a16c584%5D%2FgroupInfoFuel%5B%40ordinal%3D1%5D%2FpicFuelRecibeInterno","Descargar")</f>
        <v>Descargar</v>
      </c>
    </row>
    <row r="5173" spans="1:18" x14ac:dyDescent="0.3">
      <c r="A5173">
        <v>1496339</v>
      </c>
      <c r="B5173" t="s">
        <v>18</v>
      </c>
      <c r="C5173" t="s">
        <v>34</v>
      </c>
      <c r="D5173" t="s">
        <v>53</v>
      </c>
      <c r="E5173" t="s">
        <v>3866</v>
      </c>
      <c r="F5173" t="s">
        <v>22</v>
      </c>
      <c r="G5173" t="s">
        <v>23</v>
      </c>
      <c r="H5173" t="s">
        <v>37</v>
      </c>
      <c r="I5173" t="s">
        <v>25</v>
      </c>
      <c r="J5173" s="2">
        <v>45722.452372685177</v>
      </c>
      <c r="K5173">
        <v>6</v>
      </c>
      <c r="L5173">
        <v>3</v>
      </c>
      <c r="M5173">
        <v>2025</v>
      </c>
      <c r="N5173" t="s">
        <v>27</v>
      </c>
      <c r="O5173">
        <v>100</v>
      </c>
      <c r="P5173">
        <v>100</v>
      </c>
      <c r="R5173" s="3" t="str">
        <f>HYPERLINK("https://panda.att.com.mx/ODKServer/view/binaryData?blobKey=FSSuministroFluidosv3%5B%40version%3Dnull+and+%40uiVersion%3Dnull%5D%2Fdata%5B%40key%3Duuid%3A8599eb25-0061-411f-9a55-c6de8d2cd2c0%5D%2FgroupInfoFuel%5B%40ordinal%3D1%5D%2FpicFuelRecibeInterno","Descargar")</f>
        <v>Descargar</v>
      </c>
    </row>
    <row r="5174" spans="1:18" x14ac:dyDescent="0.3">
      <c r="A5174">
        <v>1496478</v>
      </c>
      <c r="B5174" t="s">
        <v>18</v>
      </c>
      <c r="C5174" t="s">
        <v>55</v>
      </c>
      <c r="D5174" t="s">
        <v>56</v>
      </c>
      <c r="E5174" t="s">
        <v>3013</v>
      </c>
      <c r="F5174" t="s">
        <v>22</v>
      </c>
      <c r="G5174" t="s">
        <v>47</v>
      </c>
      <c r="H5174" t="s">
        <v>1763</v>
      </c>
      <c r="I5174" t="s">
        <v>25</v>
      </c>
      <c r="J5174" s="2">
        <v>45722.486539351848</v>
      </c>
      <c r="K5174">
        <v>6</v>
      </c>
      <c r="L5174">
        <v>3</v>
      </c>
      <c r="M5174">
        <v>2025</v>
      </c>
      <c r="N5174" t="s">
        <v>27</v>
      </c>
      <c r="O5174">
        <v>100</v>
      </c>
      <c r="P5174">
        <v>100</v>
      </c>
      <c r="R5174" s="3" t="str">
        <f>HYPERLINK("https://panda.att.com.mx/ODKServer/view/binaryData?blobKey=FSSuministroFluidosv3%5B%40version%3Dnull+and+%40uiVersion%3Dnull%5D%2Fdata%5B%40key%3Duuid%3A4f524271-f039-4c2d-8f82-76761e8340d3%5D%2FgroupInfoFuel%5B%40ordinal%3D1%5D%2FpicFuelRecibeInterno","Descargar")</f>
        <v>Descargar</v>
      </c>
    </row>
    <row r="5175" spans="1:18" x14ac:dyDescent="0.3">
      <c r="A5175">
        <v>1496543</v>
      </c>
      <c r="B5175" t="s">
        <v>18</v>
      </c>
      <c r="C5175" t="s">
        <v>150</v>
      </c>
      <c r="D5175" t="s">
        <v>230</v>
      </c>
      <c r="E5175" t="s">
        <v>399</v>
      </c>
      <c r="F5175" t="s">
        <v>22</v>
      </c>
      <c r="G5175" t="s">
        <v>23</v>
      </c>
      <c r="H5175" t="s">
        <v>1781</v>
      </c>
      <c r="I5175" t="s">
        <v>25</v>
      </c>
      <c r="J5175" s="2">
        <v>45726.64570601852</v>
      </c>
      <c r="K5175">
        <v>10</v>
      </c>
      <c r="L5175">
        <v>3</v>
      </c>
      <c r="M5175">
        <v>2025</v>
      </c>
      <c r="N5175" t="s">
        <v>27</v>
      </c>
      <c r="O5175">
        <v>290.01</v>
      </c>
      <c r="P5175">
        <v>290.01</v>
      </c>
      <c r="R5175" s="3" t="str">
        <f>HYPERLINK("https://panda.att.com.mx/ODKServer/view/binaryData?blobKey=FSSuministroFluidosv3%5B%40version%3Dnull+and+%40uiVersion%3Dnull%5D%2Fdata%5B%40key%3Duuid%3A09d769bf-ac24-4b7e-9c43-b6172b5d83e3%5D%2FgroupInfoFuel%5B%40ordinal%3D1%5D%2FpicFuelRecibeInterno","Descargar")</f>
        <v>Descargar</v>
      </c>
    </row>
    <row r="5176" spans="1:18" x14ac:dyDescent="0.3">
      <c r="A5176">
        <v>1496619</v>
      </c>
      <c r="B5176" t="s">
        <v>18</v>
      </c>
      <c r="C5176" t="s">
        <v>55</v>
      </c>
      <c r="D5176" t="s">
        <v>288</v>
      </c>
      <c r="E5176" t="s">
        <v>3298</v>
      </c>
      <c r="F5176" t="s">
        <v>22</v>
      </c>
      <c r="G5176" t="s">
        <v>47</v>
      </c>
      <c r="H5176" t="s">
        <v>1763</v>
      </c>
      <c r="I5176" t="s">
        <v>25</v>
      </c>
      <c r="J5176" s="2">
        <v>45726.718831018523</v>
      </c>
      <c r="K5176">
        <v>10</v>
      </c>
      <c r="L5176">
        <v>3</v>
      </c>
      <c r="M5176">
        <v>2025</v>
      </c>
      <c r="N5176" t="s">
        <v>27</v>
      </c>
      <c r="O5176">
        <v>200</v>
      </c>
      <c r="P5176">
        <v>200</v>
      </c>
      <c r="R5176" s="3" t="str">
        <f>HYPERLINK("https://panda.att.com.mx/ODKServer/view/binaryData?blobKey=FSSuministroFluidosv3%5B%40version%3Dnull+and+%40uiVersion%3Dnull%5D%2Fdata%5B%40key%3Duuid%3A2f0d14e1-e76a-4d24-b333-a3ba9b0e1c3a%5D%2FgroupInfoFuel%5B%40ordinal%3D1%5D%2FpicFuelRecibeInterno","Descargar")</f>
        <v>Descargar</v>
      </c>
    </row>
    <row r="5177" spans="1:18" x14ac:dyDescent="0.3">
      <c r="A5177">
        <v>1496645</v>
      </c>
      <c r="B5177" t="s">
        <v>18</v>
      </c>
      <c r="C5177" t="s">
        <v>150</v>
      </c>
      <c r="D5177" t="s">
        <v>230</v>
      </c>
      <c r="E5177" t="s">
        <v>1510</v>
      </c>
      <c r="F5177" t="s">
        <v>22</v>
      </c>
      <c r="G5177" t="s">
        <v>47</v>
      </c>
      <c r="H5177" t="s">
        <v>1781</v>
      </c>
      <c r="I5177" t="s">
        <v>25</v>
      </c>
      <c r="J5177" s="2">
        <v>45726.733113425929</v>
      </c>
      <c r="K5177">
        <v>10</v>
      </c>
      <c r="L5177">
        <v>3</v>
      </c>
      <c r="M5177">
        <v>2025</v>
      </c>
      <c r="N5177" t="s">
        <v>27</v>
      </c>
      <c r="O5177">
        <v>300</v>
      </c>
      <c r="P5177">
        <v>300</v>
      </c>
      <c r="R5177" s="3" t="str">
        <f>HYPERLINK("https://panda.att.com.mx/ODKServer/view/binaryData?blobKey=FSSuministroFluidosv3%5B%40version%3Dnull+and+%40uiVersion%3Dnull%5D%2Fdata%5B%40key%3Duuid%3A9782bc22-7bb8-4c56-b634-7ffe2b15fed3%5D%2FgroupInfoFuel%5B%40ordinal%3D1%5D%2FpicFuelRecibeInterno","Descargar")</f>
        <v>Descargar</v>
      </c>
    </row>
    <row r="5178" spans="1:18" x14ac:dyDescent="0.3">
      <c r="A5178">
        <v>1496669</v>
      </c>
      <c r="B5178" t="s">
        <v>18</v>
      </c>
      <c r="C5178" t="s">
        <v>55</v>
      </c>
      <c r="D5178" t="s">
        <v>288</v>
      </c>
      <c r="E5178" t="s">
        <v>440</v>
      </c>
      <c r="F5178" t="s">
        <v>22</v>
      </c>
      <c r="G5178" t="s">
        <v>47</v>
      </c>
      <c r="H5178" t="s">
        <v>1763</v>
      </c>
      <c r="I5178" t="s">
        <v>25</v>
      </c>
      <c r="J5178" s="2">
        <v>45726.674814814818</v>
      </c>
      <c r="K5178">
        <v>10</v>
      </c>
      <c r="L5178">
        <v>3</v>
      </c>
      <c r="M5178">
        <v>2025</v>
      </c>
      <c r="N5178" t="s">
        <v>27</v>
      </c>
      <c r="O5178">
        <v>250</v>
      </c>
      <c r="P5178">
        <v>250</v>
      </c>
      <c r="R5178" s="3" t="str">
        <f>HYPERLINK("https://panda.att.com.mx/ODKServer/view/binaryData?blobKey=FSSuministroFluidosv3%5B%40version%3Dnull+and+%40uiVersion%3Dnull%5D%2Fdata%5B%40key%3Duuid%3Aab05f879-b273-4bc9-8080-ffebe4a3ee50%5D%2FgroupInfoFuel%5B%40ordinal%3D1%5D%2FpicFuelRecibeInterno","Descargar")</f>
        <v>Descargar</v>
      </c>
    </row>
    <row r="5179" spans="1:18" x14ac:dyDescent="0.3">
      <c r="A5179">
        <v>1496693</v>
      </c>
      <c r="B5179" t="s">
        <v>18</v>
      </c>
      <c r="C5179" t="s">
        <v>28</v>
      </c>
      <c r="D5179" t="s">
        <v>429</v>
      </c>
      <c r="E5179" t="s">
        <v>3867</v>
      </c>
      <c r="F5179" t="s">
        <v>22</v>
      </c>
      <c r="G5179" t="s">
        <v>23</v>
      </c>
      <c r="H5179" t="s">
        <v>24</v>
      </c>
      <c r="I5179" t="s">
        <v>25</v>
      </c>
      <c r="J5179" s="2">
        <v>45726.304710648154</v>
      </c>
      <c r="K5179">
        <v>10</v>
      </c>
      <c r="L5179">
        <v>3</v>
      </c>
      <c r="M5179">
        <v>2025</v>
      </c>
      <c r="N5179" t="s">
        <v>44</v>
      </c>
      <c r="O5179">
        <v>60</v>
      </c>
      <c r="P5179">
        <v>60</v>
      </c>
      <c r="R5179" s="3" t="str">
        <f>HYPERLINK("https://panda.att.com.mx/ODKServer/view/binaryData?blobKey=FSSuministroFluidosv3%5B%40version%3Dnull+and+%40uiVersion%3Dnull%5D%2Fdata%5B%40key%3Duuid%3A6265e74c-4808-42bb-9228-30db9a6e6a14%5D%2FgroupInfoFuel%5B%40ordinal%3D1%5D%2FpicFuelRecibeInterno","Descargar")</f>
        <v>Descargar</v>
      </c>
    </row>
    <row r="5180" spans="1:18" x14ac:dyDescent="0.3">
      <c r="A5180">
        <v>1496714</v>
      </c>
      <c r="B5180" t="s">
        <v>18</v>
      </c>
      <c r="C5180" t="s">
        <v>28</v>
      </c>
      <c r="D5180" t="s">
        <v>1105</v>
      </c>
      <c r="E5180" t="s">
        <v>1106</v>
      </c>
      <c r="F5180" t="s">
        <v>22</v>
      </c>
      <c r="G5180" t="s">
        <v>23</v>
      </c>
      <c r="H5180" t="s">
        <v>24</v>
      </c>
      <c r="I5180" t="s">
        <v>25</v>
      </c>
      <c r="J5180" s="2">
        <v>45723.390173611107</v>
      </c>
      <c r="K5180">
        <v>7</v>
      </c>
      <c r="L5180">
        <v>3</v>
      </c>
      <c r="M5180">
        <v>2025</v>
      </c>
      <c r="N5180" t="s">
        <v>27</v>
      </c>
      <c r="O5180">
        <v>400</v>
      </c>
      <c r="Q5180">
        <v>400</v>
      </c>
      <c r="R5180" s="3" t="str">
        <f>HYPERLINK("https://panda.att.com.mx/ODKServer/view/binaryData?blobKey=FSSuministroFluidosv3%5B%40version%3Dnull+and+%40uiVersion%3Dnull%5D%2Fdata%5B%40key%3Duuid%3A7c04592e-e84e-4f27-94dd-4fafa754c14e%5D%2FgroupInfoFuel%5B%40ordinal%3D1%5D%2FpicFuelRecibeInterno","Descargar")</f>
        <v>Descargar</v>
      </c>
    </row>
    <row r="5181" spans="1:18" x14ac:dyDescent="0.3">
      <c r="A5181">
        <v>1496717</v>
      </c>
      <c r="B5181" t="s">
        <v>18</v>
      </c>
      <c r="C5181" t="s">
        <v>34</v>
      </c>
      <c r="D5181" t="s">
        <v>53</v>
      </c>
      <c r="E5181" t="s">
        <v>3026</v>
      </c>
      <c r="F5181" t="s">
        <v>22</v>
      </c>
      <c r="G5181" t="s">
        <v>23</v>
      </c>
      <c r="H5181" t="s">
        <v>37</v>
      </c>
      <c r="I5181" t="s">
        <v>25</v>
      </c>
      <c r="J5181" s="2">
        <v>45726.810833333337</v>
      </c>
      <c r="K5181">
        <v>10</v>
      </c>
      <c r="L5181">
        <v>3</v>
      </c>
      <c r="M5181">
        <v>2025</v>
      </c>
      <c r="N5181" t="s">
        <v>27</v>
      </c>
      <c r="O5181">
        <v>400</v>
      </c>
      <c r="P5181">
        <v>400</v>
      </c>
      <c r="R5181" s="3" t="str">
        <f>HYPERLINK("https://panda.att.com.mx/ODKServer/view/binaryData?blobKey=FSSuministroFluidosv3%5B%40version%3Dnull+and+%40uiVersion%3Dnull%5D%2Fdata%5B%40key%3Duuid%3Aa9a75355-524e-4c8f-9d3f-f163bb8e2afb%5D%2FgroupInfoFuel%5B%40ordinal%3D1%5D%2FpicFuelRecibeInterno","Descargar")</f>
        <v>Descargar</v>
      </c>
    </row>
    <row r="5182" spans="1:18" x14ac:dyDescent="0.3">
      <c r="A5182">
        <v>1496833</v>
      </c>
      <c r="B5182" t="s">
        <v>18</v>
      </c>
      <c r="C5182" t="s">
        <v>68</v>
      </c>
      <c r="D5182" t="s">
        <v>132</v>
      </c>
      <c r="E5182" t="s">
        <v>3868</v>
      </c>
      <c r="F5182" t="s">
        <v>22</v>
      </c>
      <c r="G5182" t="s">
        <v>23</v>
      </c>
      <c r="H5182" t="s">
        <v>37</v>
      </c>
      <c r="I5182" t="s">
        <v>25</v>
      </c>
      <c r="J5182" s="2">
        <v>45726.960173611107</v>
      </c>
      <c r="K5182">
        <v>10</v>
      </c>
      <c r="L5182">
        <v>3</v>
      </c>
      <c r="M5182">
        <v>2025</v>
      </c>
      <c r="N5182" t="s">
        <v>27</v>
      </c>
      <c r="O5182">
        <v>90</v>
      </c>
      <c r="P5182">
        <v>90</v>
      </c>
      <c r="R5182" s="3" t="str">
        <f>HYPERLINK("https://panda.att.com.mx/ODKServer/view/binaryData?blobKey=FSSuministroFluidosv3%5B%40version%3Dnull+and+%40uiVersion%3Dnull%5D%2Fdata%5B%40key%3Duuid%3A9381e56c-38df-4e1e-b2e0-9ac2290282cc%5D%2FgroupInfoFuel%5B%40ordinal%3D1%5D%2FpicFuelRecibeInterno","Descargar")</f>
        <v>Descargar</v>
      </c>
    </row>
    <row r="5183" spans="1:18" x14ac:dyDescent="0.3">
      <c r="A5183">
        <v>1496850</v>
      </c>
      <c r="B5183" t="s">
        <v>18</v>
      </c>
      <c r="C5183" t="s">
        <v>59</v>
      </c>
      <c r="D5183" t="s">
        <v>60</v>
      </c>
      <c r="E5183" t="s">
        <v>2207</v>
      </c>
      <c r="F5183" t="s">
        <v>22</v>
      </c>
      <c r="G5183" t="s">
        <v>23</v>
      </c>
      <c r="H5183" t="s">
        <v>37</v>
      </c>
      <c r="I5183" t="s">
        <v>25</v>
      </c>
      <c r="J5183" s="2">
        <v>45725.970613425918</v>
      </c>
      <c r="K5183">
        <v>9</v>
      </c>
      <c r="L5183">
        <v>3</v>
      </c>
      <c r="M5183">
        <v>2025</v>
      </c>
      <c r="N5183" t="s">
        <v>27</v>
      </c>
      <c r="O5183">
        <v>199</v>
      </c>
      <c r="P5183">
        <v>199</v>
      </c>
      <c r="R5183" s="3" t="str">
        <f>HYPERLINK("https://panda.att.com.mx/ODKServer/view/binaryData?blobKey=FSSuministroFluidosv3%5B%40version%3Dnull+and+%40uiVersion%3Dnull%5D%2Fdata%5B%40key%3Duuid%3A3eaf2fdb-30b0-45f2-b0fe-43d6649e8463%5D%2FgroupInfoFuel%5B%40ordinal%3D1%5D%2FpicFuelRecibeInterno","Descargar")</f>
        <v>Descargar</v>
      </c>
    </row>
    <row r="5184" spans="1:18" x14ac:dyDescent="0.3">
      <c r="A5184">
        <v>1496870</v>
      </c>
      <c r="B5184" t="s">
        <v>18</v>
      </c>
      <c r="C5184" t="s">
        <v>59</v>
      </c>
      <c r="D5184" t="s">
        <v>60</v>
      </c>
      <c r="E5184" t="s">
        <v>1014</v>
      </c>
      <c r="F5184" t="s">
        <v>22</v>
      </c>
      <c r="G5184" t="s">
        <v>23</v>
      </c>
      <c r="H5184" t="s">
        <v>37</v>
      </c>
      <c r="I5184" t="s">
        <v>25</v>
      </c>
      <c r="J5184" s="2">
        <v>45727.047847222217</v>
      </c>
      <c r="K5184">
        <v>11</v>
      </c>
      <c r="L5184">
        <v>3</v>
      </c>
      <c r="M5184">
        <v>2025</v>
      </c>
      <c r="N5184" t="s">
        <v>27</v>
      </c>
      <c r="O5184">
        <v>100</v>
      </c>
      <c r="P5184">
        <v>100</v>
      </c>
      <c r="R5184" s="3" t="str">
        <f>HYPERLINK("https://panda.att.com.mx/ODKServer/view/binaryData?blobKey=FSSuministroFluidosv3%5B%40version%3Dnull+and+%40uiVersion%3Dnull%5D%2Fdata%5B%40key%3Duuid%3Af54d9d09-9b2c-4d5f-b1fe-7c7342b47c1a%5D%2FgroupInfoFuel%5B%40ordinal%3D1%5D%2FpicFuelRecibeInterno","Descargar")</f>
        <v>Descargar</v>
      </c>
    </row>
    <row r="5185" spans="1:18" x14ac:dyDescent="0.3">
      <c r="A5185">
        <v>1496871</v>
      </c>
      <c r="B5185" t="s">
        <v>18</v>
      </c>
      <c r="C5185" t="s">
        <v>59</v>
      </c>
      <c r="D5185" t="s">
        <v>60</v>
      </c>
      <c r="E5185" t="s">
        <v>3869</v>
      </c>
      <c r="F5185" t="s">
        <v>22</v>
      </c>
      <c r="G5185" t="s">
        <v>23</v>
      </c>
      <c r="H5185" t="s">
        <v>37</v>
      </c>
      <c r="I5185" t="s">
        <v>25</v>
      </c>
      <c r="J5185" s="2">
        <v>45727.063148148147</v>
      </c>
      <c r="K5185">
        <v>11</v>
      </c>
      <c r="L5185">
        <v>3</v>
      </c>
      <c r="M5185">
        <v>2025</v>
      </c>
      <c r="N5185" t="s">
        <v>27</v>
      </c>
      <c r="O5185">
        <v>200</v>
      </c>
      <c r="P5185">
        <v>200</v>
      </c>
      <c r="R5185" s="3" t="str">
        <f>HYPERLINK("https://panda.att.com.mx/ODKServer/view/binaryData?blobKey=FSSuministroFluidosv3%5B%40version%3Dnull+and+%40uiVersion%3Dnull%5D%2Fdata%5B%40key%3Duuid%3Ac32f6e56-9b66-4dff-a0e5-1d1e068c9702%5D%2FgroupInfoFuel%5B%40ordinal%3D1%5D%2FpicFuelRecibeInterno","Descargar")</f>
        <v>Descargar</v>
      </c>
    </row>
    <row r="5186" spans="1:18" x14ac:dyDescent="0.3">
      <c r="A5186">
        <v>1496907</v>
      </c>
      <c r="B5186" t="s">
        <v>18</v>
      </c>
      <c r="C5186" t="s">
        <v>34</v>
      </c>
      <c r="D5186" t="s">
        <v>53</v>
      </c>
      <c r="E5186" t="s">
        <v>3870</v>
      </c>
      <c r="F5186" t="s">
        <v>22</v>
      </c>
      <c r="G5186" t="s">
        <v>23</v>
      </c>
      <c r="H5186" t="s">
        <v>37</v>
      </c>
      <c r="I5186" t="s">
        <v>25</v>
      </c>
      <c r="J5186" s="2">
        <v>45722.474166666667</v>
      </c>
      <c r="K5186">
        <v>6</v>
      </c>
      <c r="L5186">
        <v>3</v>
      </c>
      <c r="M5186">
        <v>2025</v>
      </c>
      <c r="N5186" t="s">
        <v>27</v>
      </c>
      <c r="O5186">
        <v>150</v>
      </c>
      <c r="P5186">
        <v>150</v>
      </c>
      <c r="R5186" s="3" t="str">
        <f>HYPERLINK("https://panda.att.com.mx/ODKServer/view/binaryData?blobKey=FSSuministroFluidosv3%5B%40version%3Dnull+and+%40uiVersion%3Dnull%5D%2Fdata%5B%40key%3Duuid%3Af44ed9cd-731e-4e92-ab5d-94f85e38db96%5D%2FgroupInfoFuel%5B%40ordinal%3D1%5D%2FpicFuelRecibeInterno","Descargar")</f>
        <v>Descargar</v>
      </c>
    </row>
    <row r="5187" spans="1:18" x14ac:dyDescent="0.3">
      <c r="A5187">
        <v>1496946</v>
      </c>
      <c r="B5187" t="s">
        <v>18</v>
      </c>
      <c r="C5187" t="s">
        <v>55</v>
      </c>
      <c r="D5187" t="s">
        <v>56</v>
      </c>
      <c r="E5187" t="s">
        <v>2966</v>
      </c>
      <c r="F5187" t="s">
        <v>22</v>
      </c>
      <c r="G5187" t="s">
        <v>47</v>
      </c>
      <c r="H5187" t="s">
        <v>1763</v>
      </c>
      <c r="I5187" t="s">
        <v>25</v>
      </c>
      <c r="J5187" s="2">
        <v>45711.749513888892</v>
      </c>
      <c r="K5187">
        <v>23</v>
      </c>
      <c r="L5187">
        <v>2</v>
      </c>
      <c r="M5187">
        <v>2025</v>
      </c>
      <c r="N5187" t="s">
        <v>27</v>
      </c>
      <c r="O5187">
        <v>83</v>
      </c>
      <c r="P5187">
        <v>83</v>
      </c>
      <c r="R5187" s="3" t="str">
        <f>HYPERLINK("https://panda.att.com.mx/ODKServer/view/binaryData?blobKey=FSSuministroFluidosv3%5B%40version%3Dnull+and+%40uiVersion%3Dnull%5D%2Fdata%5B%40key%3Duuid%3Af1168e13-6017-453d-9b94-6c3fa76c0da8%5D%2FgroupInfoFuel%5B%40ordinal%3D1%5D%2FpicFuelRecibeInterno","Descargar")</f>
        <v>Descargar</v>
      </c>
    </row>
    <row r="5188" spans="1:18" x14ac:dyDescent="0.3">
      <c r="A5188">
        <v>1496950</v>
      </c>
      <c r="B5188" t="s">
        <v>18</v>
      </c>
      <c r="C5188" t="s">
        <v>34</v>
      </c>
      <c r="D5188" t="s">
        <v>53</v>
      </c>
      <c r="E5188" t="s">
        <v>3866</v>
      </c>
      <c r="F5188" t="s">
        <v>22</v>
      </c>
      <c r="G5188" t="s">
        <v>23</v>
      </c>
      <c r="H5188" t="s">
        <v>37</v>
      </c>
      <c r="I5188" t="s">
        <v>25</v>
      </c>
      <c r="J5188" s="2">
        <v>45726.572268518517</v>
      </c>
      <c r="K5188">
        <v>10</v>
      </c>
      <c r="L5188">
        <v>3</v>
      </c>
      <c r="M5188">
        <v>2025</v>
      </c>
      <c r="N5188" t="s">
        <v>27</v>
      </c>
      <c r="O5188">
        <v>200</v>
      </c>
      <c r="P5188">
        <v>200</v>
      </c>
      <c r="R5188" s="3" t="str">
        <f>HYPERLINK("https://panda.att.com.mx/ODKServer/view/binaryData?blobKey=FSSuministroFluidosv3%5B%40version%3Dnull+and+%40uiVersion%3Dnull%5D%2Fdata%5B%40key%3Duuid%3Ac33de74b-4154-4f3e-bbce-7b99c8c0773a%5D%2FgroupInfoFuel%5B%40ordinal%3D1%5D%2FpicFuelRecibeInterno","Descargar")</f>
        <v>Descargar</v>
      </c>
    </row>
    <row r="5189" spans="1:18" x14ac:dyDescent="0.3">
      <c r="A5189">
        <v>1496966</v>
      </c>
      <c r="B5189" t="s">
        <v>18</v>
      </c>
      <c r="C5189" t="s">
        <v>19</v>
      </c>
      <c r="D5189" t="s">
        <v>189</v>
      </c>
      <c r="E5189" t="s">
        <v>3050</v>
      </c>
      <c r="F5189" t="s">
        <v>22</v>
      </c>
      <c r="G5189" t="s">
        <v>23</v>
      </c>
      <c r="H5189" t="s">
        <v>24</v>
      </c>
      <c r="I5189" t="s">
        <v>25</v>
      </c>
      <c r="J5189" s="2">
        <v>45713.414664351847</v>
      </c>
      <c r="K5189">
        <v>25</v>
      </c>
      <c r="L5189">
        <v>2</v>
      </c>
      <c r="M5189">
        <v>2025</v>
      </c>
      <c r="N5189" t="s">
        <v>27</v>
      </c>
      <c r="O5189">
        <v>300</v>
      </c>
      <c r="P5189">
        <v>300</v>
      </c>
      <c r="R5189" s="3" t="str">
        <f>HYPERLINK("https://panda.att.com.mx/ODKServer/view/binaryData?blobKey=FSSuministroFluidosv3%5B%40version%3Dnull+and+%40uiVersion%3Dnull%5D%2Fdata%5B%40key%3Duuid%3Abfc6ade7-c25b-48f3-8ded-d0caa181eaf4%5D%2FgroupInfoFuel%5B%40ordinal%3D1%5D%2FpicFuelRecibeInterno","Descargar")</f>
        <v>Descargar</v>
      </c>
    </row>
    <row r="5190" spans="1:18" x14ac:dyDescent="0.3">
      <c r="A5190">
        <v>1496967</v>
      </c>
      <c r="B5190" t="s">
        <v>18</v>
      </c>
      <c r="C5190" t="s">
        <v>100</v>
      </c>
      <c r="D5190" t="s">
        <v>716</v>
      </c>
      <c r="E5190" t="s">
        <v>717</v>
      </c>
      <c r="F5190" t="s">
        <v>22</v>
      </c>
      <c r="G5190" t="s">
        <v>83</v>
      </c>
      <c r="H5190" t="s">
        <v>1781</v>
      </c>
      <c r="I5190" t="s">
        <v>25</v>
      </c>
      <c r="J5190" s="2">
        <v>45726.912997685176</v>
      </c>
      <c r="K5190">
        <v>10</v>
      </c>
      <c r="L5190">
        <v>3</v>
      </c>
      <c r="M5190">
        <v>2025</v>
      </c>
      <c r="N5190" t="s">
        <v>27</v>
      </c>
      <c r="O5190">
        <v>126</v>
      </c>
      <c r="P5190">
        <v>126</v>
      </c>
      <c r="R5190" s="3" t="str">
        <f>HYPERLINK("https://panda.att.com.mx/ODKServer/view/binaryData?blobKey=FSSuministroFluidosv3%5B%40version%3Dnull+and+%40uiVersion%3Dnull%5D%2Fdata%5B%40key%3Duuid%3Ab8ef7086-21af-4f69-9dd1-ae4a27885452%5D%2FgroupInfoFuel%5B%40ordinal%3D1%5D%2FpicFuelRecibeInterno","Descargar")</f>
        <v>Descargar</v>
      </c>
    </row>
    <row r="5191" spans="1:18" x14ac:dyDescent="0.3">
      <c r="A5191">
        <v>1496968</v>
      </c>
      <c r="B5191" t="s">
        <v>18</v>
      </c>
      <c r="C5191" t="s">
        <v>100</v>
      </c>
      <c r="D5191" t="s">
        <v>716</v>
      </c>
      <c r="E5191" t="s">
        <v>3871</v>
      </c>
      <c r="F5191" t="s">
        <v>22</v>
      </c>
      <c r="G5191" t="s">
        <v>83</v>
      </c>
      <c r="H5191" t="s">
        <v>1781</v>
      </c>
      <c r="I5191" t="s">
        <v>25</v>
      </c>
      <c r="J5191" s="2">
        <v>45727.324097222219</v>
      </c>
      <c r="K5191">
        <v>11</v>
      </c>
      <c r="L5191">
        <v>3</v>
      </c>
      <c r="M5191">
        <v>2025</v>
      </c>
      <c r="N5191" t="s">
        <v>27</v>
      </c>
      <c r="O5191">
        <v>150</v>
      </c>
      <c r="P5191">
        <v>150</v>
      </c>
      <c r="R5191" s="3" t="str">
        <f>HYPERLINK("https://panda.att.com.mx/ODKServer/view/binaryData?blobKey=FSSuministroFluidosv3%5B%40version%3Dnull+and+%40uiVersion%3Dnull%5D%2Fdata%5B%40key%3Duuid%3Aa8800ad7-ed63-42f3-8a0d-9f46cdb0dbaf%5D%2FgroupInfoFuel%5B%40ordinal%3D1%5D%2FpicFuelRecibeInterno","Descargar")</f>
        <v>Descargar</v>
      </c>
    </row>
    <row r="5192" spans="1:18" x14ac:dyDescent="0.3">
      <c r="A5192">
        <v>1497215</v>
      </c>
      <c r="B5192" t="s">
        <v>18</v>
      </c>
      <c r="C5192" t="s">
        <v>28</v>
      </c>
      <c r="D5192" t="s">
        <v>181</v>
      </c>
      <c r="E5192" t="s">
        <v>2636</v>
      </c>
      <c r="F5192" t="s">
        <v>22</v>
      </c>
      <c r="G5192" t="s">
        <v>23</v>
      </c>
      <c r="H5192" t="s">
        <v>24</v>
      </c>
      <c r="I5192" t="s">
        <v>25</v>
      </c>
      <c r="J5192" s="2">
        <v>45725.957488425927</v>
      </c>
      <c r="K5192">
        <v>9</v>
      </c>
      <c r="L5192">
        <v>3</v>
      </c>
      <c r="M5192">
        <v>2025</v>
      </c>
      <c r="N5192" t="s">
        <v>44</v>
      </c>
      <c r="O5192">
        <v>50</v>
      </c>
      <c r="Q5192">
        <v>50</v>
      </c>
      <c r="R5192" s="3" t="str">
        <f>HYPERLINK("https://panda.att.com.mx/ODKServer/view/binaryData?blobKey=FSSuministroFluidosv3%5B%40version%3Dnull+and+%40uiVersion%3Dnull%5D%2Fdata%5B%40key%3Duuid%3A54a19856-f8ab-43a2-b5bb-dc95d9b918fc%5D%2FgroupInfoFuel%5B%40ordinal%3D1%5D%2FpicFuelRecibeInterno","Descargar")</f>
        <v>Descargar</v>
      </c>
    </row>
    <row r="5193" spans="1:18" x14ac:dyDescent="0.3">
      <c r="A5193">
        <v>1497256</v>
      </c>
      <c r="B5193" t="s">
        <v>18</v>
      </c>
      <c r="C5193" t="s">
        <v>55</v>
      </c>
      <c r="D5193" t="s">
        <v>56</v>
      </c>
      <c r="E5193" t="s">
        <v>3013</v>
      </c>
      <c r="F5193" t="s">
        <v>22</v>
      </c>
      <c r="G5193" t="s">
        <v>47</v>
      </c>
      <c r="H5193" t="s">
        <v>1763</v>
      </c>
      <c r="I5193" t="s">
        <v>25</v>
      </c>
      <c r="J5193" s="2">
        <v>45723.733460648153</v>
      </c>
      <c r="K5193">
        <v>7</v>
      </c>
      <c r="L5193">
        <v>3</v>
      </c>
      <c r="M5193">
        <v>2025</v>
      </c>
      <c r="N5193" t="s">
        <v>27</v>
      </c>
      <c r="O5193">
        <v>100</v>
      </c>
      <c r="P5193">
        <v>100</v>
      </c>
      <c r="R5193" s="3" t="str">
        <f>HYPERLINK("https://panda.att.com.mx/ODKServer/view/binaryData?blobKey=FSSuministroFluidosv3%5B%40version%3Dnull+and+%40uiVersion%3Dnull%5D%2Fdata%5B%40key%3Duuid%3A1cb07727-20b3-4ec3-bf64-b97211efd142%5D%2FgroupInfoFuel%5B%40ordinal%3D1%5D%2FpicFuelRecibeInterno","Descargar")</f>
        <v>Descargar</v>
      </c>
    </row>
    <row r="5194" spans="1:18" x14ac:dyDescent="0.3">
      <c r="A5194">
        <v>1497309</v>
      </c>
      <c r="B5194" t="s">
        <v>18</v>
      </c>
      <c r="C5194" t="s">
        <v>55</v>
      </c>
      <c r="D5194" t="s">
        <v>56</v>
      </c>
      <c r="E5194" t="s">
        <v>2995</v>
      </c>
      <c r="F5194" t="s">
        <v>22</v>
      </c>
      <c r="G5194" t="s">
        <v>47</v>
      </c>
      <c r="H5194" t="s">
        <v>1763</v>
      </c>
      <c r="I5194" t="s">
        <v>25</v>
      </c>
      <c r="J5194" s="2">
        <v>45725.652349537027</v>
      </c>
      <c r="K5194">
        <v>9</v>
      </c>
      <c r="L5194">
        <v>3</v>
      </c>
      <c r="M5194">
        <v>2025</v>
      </c>
      <c r="N5194" t="s">
        <v>27</v>
      </c>
      <c r="O5194">
        <v>100</v>
      </c>
      <c r="P5194">
        <v>100</v>
      </c>
      <c r="R5194" s="3" t="str">
        <f>HYPERLINK("https://panda.att.com.mx/ODKServer/view/binaryData?blobKey=FSSuministroFluidosv3%5B%40version%3Dnull+and+%40uiVersion%3Dnull%5D%2Fdata%5B%40key%3Duuid%3A5ec53ca1-8c0a-48a2-ab6e-e2f7bcf0d4c2%5D%2FgroupInfoFuel%5B%40ordinal%3D1%5D%2FpicFuelRecibeInterno","Descargar")</f>
        <v>Descargar</v>
      </c>
    </row>
    <row r="5195" spans="1:18" x14ac:dyDescent="0.3">
      <c r="A5195">
        <v>1497450</v>
      </c>
      <c r="B5195" t="s">
        <v>18</v>
      </c>
      <c r="C5195" t="s">
        <v>28</v>
      </c>
      <c r="D5195" t="s">
        <v>138</v>
      </c>
      <c r="E5195" t="s">
        <v>139</v>
      </c>
      <c r="F5195" t="s">
        <v>22</v>
      </c>
      <c r="G5195" t="s">
        <v>23</v>
      </c>
      <c r="H5195" t="s">
        <v>24</v>
      </c>
      <c r="I5195" t="s">
        <v>25</v>
      </c>
      <c r="J5195" s="2">
        <v>45727.321458333332</v>
      </c>
      <c r="K5195">
        <v>11</v>
      </c>
      <c r="L5195">
        <v>3</v>
      </c>
      <c r="M5195">
        <v>2025</v>
      </c>
      <c r="N5195" t="s">
        <v>44</v>
      </c>
      <c r="O5195">
        <v>60</v>
      </c>
      <c r="P5195">
        <v>60</v>
      </c>
      <c r="R5195" s="3" t="str">
        <f>HYPERLINK("https://panda.att.com.mx/ODKServer/view/binaryData?blobKey=FSSuministroFluidosv3%5B%40version%3Dnull+and+%40uiVersion%3Dnull%5D%2Fdata%5B%40key%3Duuid%3Ab7de8898-8db6-4755-a786-142219896e37%5D%2FgroupInfoFuel%5B%40ordinal%3D1%5D%2FpicFuelRecibeInterno","Descargar")</f>
        <v>Descargar</v>
      </c>
    </row>
    <row r="5196" spans="1:18" x14ac:dyDescent="0.3">
      <c r="A5196">
        <v>1497604</v>
      </c>
      <c r="B5196" t="s">
        <v>18</v>
      </c>
      <c r="C5196" t="s">
        <v>100</v>
      </c>
      <c r="D5196" t="s">
        <v>854</v>
      </c>
      <c r="E5196" t="s">
        <v>993</v>
      </c>
      <c r="F5196" t="s">
        <v>22</v>
      </c>
      <c r="G5196" t="s">
        <v>83</v>
      </c>
      <c r="H5196" t="s">
        <v>1781</v>
      </c>
      <c r="I5196" t="s">
        <v>25</v>
      </c>
      <c r="J5196" s="2">
        <v>45727.624537037038</v>
      </c>
      <c r="K5196">
        <v>11</v>
      </c>
      <c r="L5196">
        <v>3</v>
      </c>
      <c r="M5196">
        <v>2025</v>
      </c>
      <c r="N5196" t="s">
        <v>27</v>
      </c>
      <c r="O5196">
        <v>180</v>
      </c>
      <c r="P5196">
        <v>180</v>
      </c>
      <c r="R5196" s="3" t="str">
        <f>HYPERLINK("https://panda.att.com.mx/ODKServer/view/binaryData?blobKey=FSSuministroFluidosv3%5B%40version%3Dnull+and+%40uiVersion%3Dnull%5D%2Fdata%5B%40key%3Duuid%3A25fcd30f-62f8-4fe7-a0b3-5b77a6786077%5D%2FgroupInfoFuel%5B%40ordinal%3D1%5D%2FpicFuelRecibeInterno","Descargar")</f>
        <v>Descargar</v>
      </c>
    </row>
    <row r="5197" spans="1:18" x14ac:dyDescent="0.3">
      <c r="A5197">
        <v>1497621</v>
      </c>
      <c r="B5197" t="s">
        <v>18</v>
      </c>
      <c r="C5197" t="s">
        <v>55</v>
      </c>
      <c r="D5197" t="s">
        <v>56</v>
      </c>
      <c r="E5197" t="s">
        <v>2995</v>
      </c>
      <c r="F5197" t="s">
        <v>22</v>
      </c>
      <c r="G5197" t="s">
        <v>47</v>
      </c>
      <c r="H5197" t="s">
        <v>1763</v>
      </c>
      <c r="I5197" t="s">
        <v>25</v>
      </c>
      <c r="J5197" s="2">
        <v>45724.565289351849</v>
      </c>
      <c r="K5197">
        <v>8</v>
      </c>
      <c r="L5197">
        <v>3</v>
      </c>
      <c r="M5197">
        <v>2025</v>
      </c>
      <c r="N5197" t="s">
        <v>27</v>
      </c>
      <c r="O5197">
        <v>100</v>
      </c>
      <c r="P5197">
        <v>100</v>
      </c>
      <c r="R5197" s="3" t="str">
        <f>HYPERLINK("https://panda.att.com.mx/ODKServer/view/binaryData?blobKey=FSSuministroFluidosv3%5B%40version%3Dnull+and+%40uiVersion%3Dnull%5D%2Fdata%5B%40key%3Duuid%3A20092e38-4575-431d-b3d7-921e8959297a%5D%2FgroupInfoFuel%5B%40ordinal%3D1%5D%2FpicFuelRecibeInterno","Descargar")</f>
        <v>Descargar</v>
      </c>
    </row>
    <row r="5198" spans="1:18" x14ac:dyDescent="0.3">
      <c r="A5198">
        <v>1495731</v>
      </c>
      <c r="B5198" t="s">
        <v>18</v>
      </c>
      <c r="C5198" t="s">
        <v>34</v>
      </c>
      <c r="D5198" t="s">
        <v>53</v>
      </c>
      <c r="E5198" t="s">
        <v>3010</v>
      </c>
      <c r="F5198" t="s">
        <v>22</v>
      </c>
      <c r="G5198" t="s">
        <v>23</v>
      </c>
      <c r="H5198" t="s">
        <v>37</v>
      </c>
      <c r="I5198" t="s">
        <v>25</v>
      </c>
      <c r="J5198" s="2">
        <v>45724.801249999997</v>
      </c>
      <c r="K5198">
        <v>8</v>
      </c>
      <c r="L5198">
        <v>3</v>
      </c>
      <c r="M5198">
        <v>2025</v>
      </c>
      <c r="N5198" t="s">
        <v>27</v>
      </c>
      <c r="O5198">
        <v>240</v>
      </c>
      <c r="P5198">
        <v>240</v>
      </c>
      <c r="R5198" s="3" t="str">
        <f>HYPERLINK("https://panda.att.com.mx/ODKServer/view/binaryData?blobKey=FSSuministroFluidosv3%5B%40version%3Dnull+and+%40uiVersion%3Dnull%5D%2Fdata%5B%40key%3Duuid%3A42d39ecc-c0b2-4f4e-9208-72a3411a9c42%5D%2FgroupInfoFuel%5B%40ordinal%3D1%5D%2FpicFuelRecibeInterno","Descargar")</f>
        <v>Descargar</v>
      </c>
    </row>
    <row r="5199" spans="1:18" x14ac:dyDescent="0.3">
      <c r="A5199">
        <v>1495732</v>
      </c>
      <c r="B5199" t="s">
        <v>18</v>
      </c>
      <c r="C5199" t="s">
        <v>55</v>
      </c>
      <c r="D5199" t="s">
        <v>366</v>
      </c>
      <c r="E5199" t="s">
        <v>579</v>
      </c>
      <c r="F5199" t="s">
        <v>22</v>
      </c>
      <c r="G5199" t="s">
        <v>23</v>
      </c>
      <c r="H5199" t="s">
        <v>1781</v>
      </c>
      <c r="I5199" t="s">
        <v>25</v>
      </c>
      <c r="J5199" s="2">
        <v>45724.876331018517</v>
      </c>
      <c r="K5199">
        <v>8</v>
      </c>
      <c r="L5199">
        <v>3</v>
      </c>
      <c r="M5199">
        <v>2025</v>
      </c>
      <c r="N5199" t="s">
        <v>27</v>
      </c>
      <c r="O5199">
        <v>145</v>
      </c>
      <c r="P5199">
        <v>145</v>
      </c>
      <c r="R5199" s="3" t="str">
        <f>HYPERLINK("https://panda.att.com.mx/ODKServer/view/binaryData?blobKey=FSSuministroFluidosv3%5B%40version%3Dnull+and+%40uiVersion%3Dnull%5D%2Fdata%5B%40key%3Duuid%3Ad337f9aa-3865-475b-998e-a903f1ae46aa%5D%2FgroupInfoFuel%5B%40ordinal%3D1%5D%2FpicFuelRecibeInterno","Descargar")</f>
        <v>Descargar</v>
      </c>
    </row>
    <row r="5200" spans="1:18" x14ac:dyDescent="0.3">
      <c r="A5200">
        <v>1495772</v>
      </c>
      <c r="B5200" t="s">
        <v>18</v>
      </c>
      <c r="C5200" t="s">
        <v>100</v>
      </c>
      <c r="D5200" t="s">
        <v>716</v>
      </c>
      <c r="E5200" t="s">
        <v>717</v>
      </c>
      <c r="F5200" t="s">
        <v>22</v>
      </c>
      <c r="G5200" t="s">
        <v>83</v>
      </c>
      <c r="H5200" t="s">
        <v>1781</v>
      </c>
      <c r="I5200" t="s">
        <v>25</v>
      </c>
      <c r="J5200" s="2">
        <v>45724.888298611113</v>
      </c>
      <c r="K5200">
        <v>8</v>
      </c>
      <c r="L5200">
        <v>3</v>
      </c>
      <c r="M5200">
        <v>2025</v>
      </c>
      <c r="N5200" t="s">
        <v>27</v>
      </c>
      <c r="O5200">
        <v>125</v>
      </c>
      <c r="P5200">
        <v>125</v>
      </c>
      <c r="R5200" s="3" t="str">
        <f>HYPERLINK("https://panda.att.com.mx/ODKServer/view/binaryData?blobKey=FSSuministroFluidosv3%5B%40version%3Dnull+and+%40uiVersion%3Dnull%5D%2Fdata%5B%40key%3Duuid%3A74e2366c-95e6-421d-8fa1-4e3081b1bc1a%5D%2FgroupInfoFuel%5B%40ordinal%3D1%5D%2FpicFuelRecibeInterno","Descargar")</f>
        <v>Descargar</v>
      </c>
    </row>
    <row r="5201" spans="1:18" x14ac:dyDescent="0.3">
      <c r="A5201">
        <v>1495776</v>
      </c>
      <c r="B5201" t="s">
        <v>18</v>
      </c>
      <c r="C5201" t="s">
        <v>19</v>
      </c>
      <c r="D5201" t="s">
        <v>156</v>
      </c>
      <c r="E5201" t="s">
        <v>3015</v>
      </c>
      <c r="F5201" t="s">
        <v>22</v>
      </c>
      <c r="G5201" t="s">
        <v>23</v>
      </c>
      <c r="H5201" t="s">
        <v>24</v>
      </c>
      <c r="I5201" t="s">
        <v>25</v>
      </c>
      <c r="J5201" s="2">
        <v>45717.917858796303</v>
      </c>
      <c r="K5201">
        <v>1</v>
      </c>
      <c r="L5201">
        <v>3</v>
      </c>
      <c r="M5201">
        <v>2025</v>
      </c>
      <c r="N5201" t="s">
        <v>27</v>
      </c>
      <c r="O5201">
        <v>90</v>
      </c>
      <c r="P5201">
        <v>90</v>
      </c>
      <c r="R5201" s="3" t="str">
        <f>HYPERLINK("https://panda.att.com.mx/ODKServer/view/binaryData?blobKey=FSSuministroFluidosv3%5B%40version%3Dnull+and+%40uiVersion%3Dnull%5D%2Fdata%5B%40key%3Duuid%3A9f755e9f-cf09-4819-bb3c-916f709a3c49%5D%2FgroupInfoFuel%5B%40ordinal%3D1%5D%2FpicFuelRecibeInterno","Descargar")</f>
        <v>Descargar</v>
      </c>
    </row>
    <row r="5202" spans="1:18" x14ac:dyDescent="0.3">
      <c r="A5202">
        <v>1495842</v>
      </c>
      <c r="B5202" t="s">
        <v>18</v>
      </c>
      <c r="C5202" t="s">
        <v>59</v>
      </c>
      <c r="D5202" t="s">
        <v>60</v>
      </c>
      <c r="E5202" t="s">
        <v>2207</v>
      </c>
      <c r="F5202" t="s">
        <v>22</v>
      </c>
      <c r="G5202" t="s">
        <v>23</v>
      </c>
      <c r="H5202" t="s">
        <v>37</v>
      </c>
      <c r="I5202" t="s">
        <v>25</v>
      </c>
      <c r="J5202" s="2">
        <v>45722.721608796302</v>
      </c>
      <c r="K5202">
        <v>6</v>
      </c>
      <c r="L5202">
        <v>3</v>
      </c>
      <c r="M5202">
        <v>2025</v>
      </c>
      <c r="N5202" t="s">
        <v>27</v>
      </c>
      <c r="O5202">
        <v>100</v>
      </c>
      <c r="P5202">
        <v>100</v>
      </c>
      <c r="R5202" s="3" t="str">
        <f>HYPERLINK("https://panda.att.com.mx/ODKServer/view/binaryData?blobKey=FSSuministroFluidosv3%5B%40version%3Dnull+and+%40uiVersion%3Dnull%5D%2Fdata%5B%40key%3Duuid%3A29b0d012-68d8-4e6b-a144-86b7f1988ceb%5D%2FgroupInfoFuel%5B%40ordinal%3D1%5D%2FpicFuelRecibeInterno","Descargar")</f>
        <v>Descargar</v>
      </c>
    </row>
    <row r="5203" spans="1:18" x14ac:dyDescent="0.3">
      <c r="A5203">
        <v>1495843</v>
      </c>
      <c r="B5203" t="s">
        <v>18</v>
      </c>
      <c r="C5203" t="s">
        <v>59</v>
      </c>
      <c r="D5203" t="s">
        <v>60</v>
      </c>
      <c r="E5203" t="s">
        <v>2207</v>
      </c>
      <c r="F5203" t="s">
        <v>22</v>
      </c>
      <c r="G5203" t="s">
        <v>23</v>
      </c>
      <c r="H5203" t="s">
        <v>37</v>
      </c>
      <c r="I5203" t="s">
        <v>25</v>
      </c>
      <c r="J5203" s="2">
        <v>45723.951666666668</v>
      </c>
      <c r="K5203">
        <v>7</v>
      </c>
      <c r="L5203">
        <v>3</v>
      </c>
      <c r="M5203">
        <v>2025</v>
      </c>
      <c r="N5203" t="s">
        <v>27</v>
      </c>
      <c r="O5203">
        <v>160</v>
      </c>
      <c r="P5203">
        <v>160</v>
      </c>
      <c r="R5203" s="3" t="str">
        <f>HYPERLINK("https://panda.att.com.mx/ODKServer/view/binaryData?blobKey=FSSuministroFluidosv3%5B%40version%3Dnull+and+%40uiVersion%3Dnull%5D%2Fdata%5B%40key%3Duuid%3Adcda6f7e-7589-453c-b132-68c242171478%5D%2FgroupInfoFuel%5B%40ordinal%3D1%5D%2FpicFuelRecibeInterno","Descargar")</f>
        <v>Descargar</v>
      </c>
    </row>
    <row r="5204" spans="1:18" x14ac:dyDescent="0.3">
      <c r="A5204">
        <v>1495865</v>
      </c>
      <c r="B5204" t="s">
        <v>18</v>
      </c>
      <c r="C5204" t="s">
        <v>28</v>
      </c>
      <c r="D5204" t="s">
        <v>181</v>
      </c>
      <c r="E5204" t="s">
        <v>2636</v>
      </c>
      <c r="F5204" t="s">
        <v>22</v>
      </c>
      <c r="G5204" t="s">
        <v>23</v>
      </c>
      <c r="H5204" t="s">
        <v>24</v>
      </c>
      <c r="I5204" t="s">
        <v>25</v>
      </c>
      <c r="J5204" s="2">
        <v>45723.59171296296</v>
      </c>
      <c r="K5204">
        <v>7</v>
      </c>
      <c r="L5204">
        <v>3</v>
      </c>
      <c r="M5204">
        <v>2025</v>
      </c>
      <c r="N5204" t="s">
        <v>44</v>
      </c>
      <c r="O5204">
        <v>50</v>
      </c>
      <c r="Q5204">
        <v>50</v>
      </c>
      <c r="R5204" s="3" t="str">
        <f>HYPERLINK("https://panda.att.com.mx/ODKServer/view/binaryData?blobKey=FSSuministroFluidosv3%5B%40version%3Dnull+and+%40uiVersion%3Dnull%5D%2Fdata%5B%40key%3Duuid%3Ab7ca0b6b-fae8-4eae-9e5d-89cacb8eab29%5D%2FgroupInfoFuel%5B%40ordinal%3D1%5D%2FpicFuelRecibeInterno","Descargar")</f>
        <v>Descargar</v>
      </c>
    </row>
    <row r="5205" spans="1:18" x14ac:dyDescent="0.3">
      <c r="A5205">
        <v>1495871</v>
      </c>
      <c r="B5205" t="s">
        <v>18</v>
      </c>
      <c r="C5205" t="s">
        <v>150</v>
      </c>
      <c r="D5205" t="s">
        <v>230</v>
      </c>
      <c r="E5205" t="s">
        <v>392</v>
      </c>
      <c r="F5205" t="s">
        <v>22</v>
      </c>
      <c r="G5205" t="s">
        <v>47</v>
      </c>
      <c r="H5205" t="s">
        <v>1781</v>
      </c>
      <c r="I5205" t="s">
        <v>25</v>
      </c>
      <c r="J5205" s="2">
        <v>45725.379571759258</v>
      </c>
      <c r="K5205">
        <v>9</v>
      </c>
      <c r="L5205">
        <v>3</v>
      </c>
      <c r="M5205">
        <v>2025</v>
      </c>
      <c r="N5205" t="s">
        <v>27</v>
      </c>
      <c r="O5205">
        <v>250</v>
      </c>
      <c r="P5205">
        <v>250</v>
      </c>
      <c r="R5205" s="3" t="str">
        <f>HYPERLINK("https://panda.att.com.mx/ODKServer/view/binaryData?blobKey=FSSuministroFluidosv3%5B%40version%3Dnull+and+%40uiVersion%3Dnull%5D%2Fdata%5B%40key%3Duuid%3Acf997c67-8eb4-4d95-91d1-60d42277ae6c%5D%2FgroupInfoFuel%5B%40ordinal%3D1%5D%2FpicFuelRecibeInterno","Descargar")</f>
        <v>Descargar</v>
      </c>
    </row>
    <row r="5206" spans="1:18" x14ac:dyDescent="0.3">
      <c r="A5206">
        <v>1495880</v>
      </c>
      <c r="B5206" t="s">
        <v>18</v>
      </c>
      <c r="C5206" t="s">
        <v>19</v>
      </c>
      <c r="D5206" t="s">
        <v>347</v>
      </c>
      <c r="E5206" t="s">
        <v>3872</v>
      </c>
      <c r="F5206" t="s">
        <v>22</v>
      </c>
      <c r="G5206" t="s">
        <v>23</v>
      </c>
      <c r="H5206" t="s">
        <v>24</v>
      </c>
      <c r="I5206" t="s">
        <v>25</v>
      </c>
      <c r="J5206" s="2">
        <v>45724.293252314812</v>
      </c>
      <c r="K5206">
        <v>8</v>
      </c>
      <c r="L5206">
        <v>3</v>
      </c>
      <c r="M5206">
        <v>2025</v>
      </c>
      <c r="N5206" t="s">
        <v>44</v>
      </c>
      <c r="O5206">
        <v>40</v>
      </c>
      <c r="P5206">
        <v>40</v>
      </c>
      <c r="R5206" s="3" t="str">
        <f>HYPERLINK("https://panda.att.com.mx/ODKServer/view/binaryData?blobKey=FSSuministroFluidosv3%5B%40version%3Dnull+and+%40uiVersion%3Dnull%5D%2Fdata%5B%40key%3Duuid%3A8b63a403-9a9c-47d3-af20-9d7b1fd578de%5D%2FgroupInfoFuel%5B%40ordinal%3D1%5D%2FpicFuelRecibeInterno","Descargar")</f>
        <v>Descargar</v>
      </c>
    </row>
    <row r="5207" spans="1:18" x14ac:dyDescent="0.3">
      <c r="A5207">
        <v>1495908</v>
      </c>
      <c r="B5207" t="s">
        <v>18</v>
      </c>
      <c r="C5207" t="s">
        <v>68</v>
      </c>
      <c r="D5207" t="s">
        <v>91</v>
      </c>
      <c r="E5207" t="s">
        <v>3873</v>
      </c>
      <c r="F5207" t="s">
        <v>22</v>
      </c>
      <c r="G5207" t="s">
        <v>23</v>
      </c>
      <c r="H5207" t="s">
        <v>37</v>
      </c>
      <c r="I5207" t="s">
        <v>25</v>
      </c>
      <c r="J5207" s="2">
        <v>45724.49858796296</v>
      </c>
      <c r="K5207">
        <v>8</v>
      </c>
      <c r="L5207">
        <v>3</v>
      </c>
      <c r="M5207">
        <v>2025</v>
      </c>
      <c r="N5207" t="s">
        <v>27</v>
      </c>
      <c r="O5207">
        <v>130</v>
      </c>
      <c r="P5207">
        <v>130</v>
      </c>
      <c r="R5207" s="3" t="str">
        <f>HYPERLINK("https://panda.att.com.mx/ODKServer/view/binaryData?blobKey=FSSuministroFluidosv3%5B%40version%3Dnull+and+%40uiVersion%3Dnull%5D%2Fdata%5B%40key%3Duuid%3Abfaf99ab-1381-491b-9d4d-8c923267970c%5D%2FgroupInfoFuel%5B%40ordinal%3D1%5D%2FpicFuelRecibeInterno","Descargar")</f>
        <v>Descargar</v>
      </c>
    </row>
    <row r="5208" spans="1:18" x14ac:dyDescent="0.3">
      <c r="A5208">
        <v>1495923</v>
      </c>
      <c r="B5208" t="s">
        <v>18</v>
      </c>
      <c r="C5208" t="s">
        <v>150</v>
      </c>
      <c r="D5208" t="s">
        <v>164</v>
      </c>
      <c r="E5208" t="s">
        <v>3874</v>
      </c>
      <c r="F5208" t="s">
        <v>22</v>
      </c>
      <c r="G5208" t="s">
        <v>47</v>
      </c>
      <c r="H5208" t="s">
        <v>1781</v>
      </c>
      <c r="I5208" t="s">
        <v>25</v>
      </c>
      <c r="J5208" s="2">
        <v>45725.514814814807</v>
      </c>
      <c r="K5208">
        <v>9</v>
      </c>
      <c r="L5208">
        <v>3</v>
      </c>
      <c r="M5208">
        <v>2025</v>
      </c>
      <c r="N5208" t="s">
        <v>27</v>
      </c>
      <c r="O5208">
        <v>197.01</v>
      </c>
      <c r="P5208">
        <v>197.01</v>
      </c>
      <c r="R5208" s="3" t="str">
        <f>HYPERLINK("https://panda.att.com.mx/ODKServer/view/binaryData?blobKey=FSSuministroFluidosv3%5B%40version%3Dnull+and+%40uiVersion%3Dnull%5D%2Fdata%5B%40key%3Duuid%3A32ca14d7-758b-4362-9021-11101c5654f2%5D%2FgroupInfoFuel%5B%40ordinal%3D1%5D%2FpicFuelRecibeInterno","Descargar")</f>
        <v>Descargar</v>
      </c>
    </row>
    <row r="5209" spans="1:18" x14ac:dyDescent="0.3">
      <c r="A5209">
        <v>1495926</v>
      </c>
      <c r="B5209" t="s">
        <v>18</v>
      </c>
      <c r="C5209" t="s">
        <v>55</v>
      </c>
      <c r="D5209" t="s">
        <v>128</v>
      </c>
      <c r="E5209" t="s">
        <v>2441</v>
      </c>
      <c r="F5209" t="s">
        <v>22</v>
      </c>
      <c r="G5209" t="s">
        <v>47</v>
      </c>
      <c r="H5209" t="s">
        <v>1763</v>
      </c>
      <c r="I5209" t="s">
        <v>25</v>
      </c>
      <c r="J5209" s="2">
        <v>45725.58152777778</v>
      </c>
      <c r="K5209">
        <v>9</v>
      </c>
      <c r="L5209">
        <v>3</v>
      </c>
      <c r="M5209">
        <v>2025</v>
      </c>
      <c r="N5209" t="s">
        <v>44</v>
      </c>
      <c r="O5209">
        <v>40</v>
      </c>
      <c r="P5209">
        <v>40</v>
      </c>
      <c r="R5209" s="3" t="str">
        <f>HYPERLINK("https://panda.att.com.mx/ODKServer/view/binaryData?blobKey=FSSuministroFluidosv3%5B%40version%3Dnull+and+%40uiVersion%3Dnull%5D%2Fdata%5B%40key%3Duuid%3Af0641d24-e6f4-41cb-8035-e6463dbd1c70%5D%2FgroupInfoFuel%5B%40ordinal%3D1%5D%2FpicFuelRecibeInterno","Descargar")</f>
        <v>Descargar</v>
      </c>
    </row>
    <row r="5210" spans="1:18" x14ac:dyDescent="0.3">
      <c r="A5210">
        <v>1495950</v>
      </c>
      <c r="B5210" t="s">
        <v>18</v>
      </c>
      <c r="C5210" t="s">
        <v>55</v>
      </c>
      <c r="D5210" t="s">
        <v>128</v>
      </c>
      <c r="E5210" t="s">
        <v>2758</v>
      </c>
      <c r="F5210" t="s">
        <v>22</v>
      </c>
      <c r="G5210" t="s">
        <v>47</v>
      </c>
      <c r="H5210" t="s">
        <v>1763</v>
      </c>
      <c r="I5210" t="s">
        <v>25</v>
      </c>
      <c r="J5210" s="2">
        <v>45725.721342592587</v>
      </c>
      <c r="K5210">
        <v>9</v>
      </c>
      <c r="L5210">
        <v>3</v>
      </c>
      <c r="M5210">
        <v>2025</v>
      </c>
      <c r="N5210" t="s">
        <v>27</v>
      </c>
      <c r="O5210">
        <v>300</v>
      </c>
      <c r="P5210">
        <v>300</v>
      </c>
      <c r="R5210" s="3" t="str">
        <f>HYPERLINK("https://panda.att.com.mx/ODKServer/view/binaryData?blobKey=FSSuministroFluidosv3%5B%40version%3Dnull+and+%40uiVersion%3Dnull%5D%2Fdata%5B%40key%3Duuid%3A0ea63e66-aa3e-4fb8-9ed5-092a3707e3a1%5D%2FgroupInfoFuel%5B%40ordinal%3D1%5D%2FpicFuelRecibeInterno","Descargar")</f>
        <v>Descargar</v>
      </c>
    </row>
    <row r="5211" spans="1:18" x14ac:dyDescent="0.3">
      <c r="A5211">
        <v>1495954</v>
      </c>
      <c r="B5211" t="s">
        <v>18</v>
      </c>
      <c r="C5211" t="s">
        <v>59</v>
      </c>
      <c r="D5211" t="s">
        <v>60</v>
      </c>
      <c r="E5211" t="s">
        <v>3875</v>
      </c>
      <c r="F5211" t="s">
        <v>22</v>
      </c>
      <c r="G5211" t="s">
        <v>23</v>
      </c>
      <c r="H5211" t="s">
        <v>37</v>
      </c>
      <c r="I5211" t="s">
        <v>25</v>
      </c>
      <c r="J5211" s="2">
        <v>45725.479432870372</v>
      </c>
      <c r="K5211">
        <v>9</v>
      </c>
      <c r="L5211">
        <v>3</v>
      </c>
      <c r="M5211">
        <v>2025</v>
      </c>
      <c r="N5211" t="s">
        <v>27</v>
      </c>
      <c r="O5211">
        <v>60</v>
      </c>
      <c r="P5211">
        <v>60</v>
      </c>
      <c r="R5211" s="3" t="str">
        <f>HYPERLINK("https://panda.att.com.mx/ODKServer/view/binaryData?blobKey=FSSuministroFluidosv3%5B%40version%3Dnull+and+%40uiVersion%3Dnull%5D%2Fdata%5B%40key%3Duuid%3Aa5eae7a8-22ca-4dbe-9aba-2a3d2d40ad32%5D%2FgroupInfoFuel%5B%40ordinal%3D1%5D%2FpicFuelRecibeInterno","Descargar")</f>
        <v>Descargar</v>
      </c>
    </row>
    <row r="5212" spans="1:18" x14ac:dyDescent="0.3">
      <c r="A5212">
        <v>1495955</v>
      </c>
      <c r="B5212" t="s">
        <v>18</v>
      </c>
      <c r="C5212" t="s">
        <v>150</v>
      </c>
      <c r="D5212" t="s">
        <v>230</v>
      </c>
      <c r="E5212" t="s">
        <v>3149</v>
      </c>
      <c r="F5212" t="s">
        <v>22</v>
      </c>
      <c r="G5212" t="s">
        <v>47</v>
      </c>
      <c r="H5212" t="s">
        <v>1781</v>
      </c>
      <c r="I5212" t="s">
        <v>25</v>
      </c>
      <c r="J5212" s="2">
        <v>45725.752465277779</v>
      </c>
      <c r="K5212">
        <v>9</v>
      </c>
      <c r="L5212">
        <v>3</v>
      </c>
      <c r="M5212">
        <v>2025</v>
      </c>
      <c r="N5212" t="s">
        <v>27</v>
      </c>
      <c r="O5212">
        <v>120.02</v>
      </c>
      <c r="P5212">
        <v>120.02</v>
      </c>
      <c r="R5212" s="3" t="str">
        <f>HYPERLINK("https://panda.att.com.mx/ODKServer/view/binaryData?blobKey=FSSuministroFluidosv3%5B%40version%3Dnull+and+%40uiVersion%3Dnull%5D%2Fdata%5B%40key%3Duuid%3A417f6c4f-b379-4d70-8b68-d47e0e6d1d68%5D%2FgroupInfoFuel%5B%40ordinal%3D1%5D%2FpicFuelRecibeInterno","Descargar")</f>
        <v>Descargar</v>
      </c>
    </row>
    <row r="5213" spans="1:18" x14ac:dyDescent="0.3">
      <c r="A5213">
        <v>1495957</v>
      </c>
      <c r="B5213" t="s">
        <v>18</v>
      </c>
      <c r="C5213" t="s">
        <v>150</v>
      </c>
      <c r="D5213" t="s">
        <v>230</v>
      </c>
      <c r="E5213" t="s">
        <v>3149</v>
      </c>
      <c r="F5213" t="s">
        <v>22</v>
      </c>
      <c r="G5213" t="s">
        <v>47</v>
      </c>
      <c r="H5213" t="s">
        <v>1781</v>
      </c>
      <c r="I5213" t="s">
        <v>25</v>
      </c>
      <c r="J5213" s="2">
        <v>45725.770173611112</v>
      </c>
      <c r="K5213">
        <v>9</v>
      </c>
      <c r="L5213">
        <v>3</v>
      </c>
      <c r="M5213">
        <v>2025</v>
      </c>
      <c r="N5213" t="s">
        <v>27</v>
      </c>
      <c r="O5213">
        <v>70.010000000000005</v>
      </c>
      <c r="P5213">
        <v>70.010000000000005</v>
      </c>
      <c r="R5213" s="3" t="str">
        <f>HYPERLINK("https://panda.att.com.mx/ODKServer/view/binaryData?blobKey=FSSuministroFluidosv3%5B%40version%3Dnull+and+%40uiVersion%3Dnull%5D%2Fdata%5B%40key%3Duuid%3A62d6c784-922a-489b-8f1d-f8b83a086850%5D%2FgroupInfoFuel%5B%40ordinal%3D1%5D%2FpicFuelRecibeInterno","Descargar")</f>
        <v>Descargar</v>
      </c>
    </row>
    <row r="5214" spans="1:18" x14ac:dyDescent="0.3">
      <c r="A5214">
        <v>1495959</v>
      </c>
      <c r="B5214" t="s">
        <v>18</v>
      </c>
      <c r="C5214" t="s">
        <v>150</v>
      </c>
      <c r="D5214" t="s">
        <v>230</v>
      </c>
      <c r="E5214" t="s">
        <v>3149</v>
      </c>
      <c r="F5214" t="s">
        <v>22</v>
      </c>
      <c r="G5214" t="s">
        <v>47</v>
      </c>
      <c r="H5214" t="s">
        <v>1781</v>
      </c>
      <c r="I5214" t="s">
        <v>25</v>
      </c>
      <c r="J5214" s="2">
        <v>45725.779780092591</v>
      </c>
      <c r="K5214">
        <v>9</v>
      </c>
      <c r="L5214">
        <v>3</v>
      </c>
      <c r="M5214">
        <v>2025</v>
      </c>
      <c r="N5214" t="s">
        <v>27</v>
      </c>
      <c r="O5214">
        <v>60.01</v>
      </c>
      <c r="P5214">
        <v>60.01</v>
      </c>
      <c r="R5214" s="3" t="str">
        <f>HYPERLINK("https://panda.att.com.mx/ODKServer/view/binaryData?blobKey=FSSuministroFluidosv3%5B%40version%3Dnull+and+%40uiVersion%3Dnull%5D%2Fdata%5B%40key%3Duuid%3A532674a9-5b2d-4329-9ebf-02075937b453%5D%2FgroupInfoFuel%5B%40ordinal%3D1%5D%2FpicFuelRecibeInterno","Descargar")</f>
        <v>Descargar</v>
      </c>
    </row>
    <row r="5215" spans="1:18" x14ac:dyDescent="0.3">
      <c r="A5215">
        <v>1495967</v>
      </c>
      <c r="B5215" t="s">
        <v>18</v>
      </c>
      <c r="C5215" t="s">
        <v>150</v>
      </c>
      <c r="D5215" t="s">
        <v>230</v>
      </c>
      <c r="E5215" t="s">
        <v>3149</v>
      </c>
      <c r="F5215" t="s">
        <v>22</v>
      </c>
      <c r="G5215" t="s">
        <v>47</v>
      </c>
      <c r="H5215" t="s">
        <v>1781</v>
      </c>
      <c r="I5215" t="s">
        <v>25</v>
      </c>
      <c r="J5215" s="2">
        <v>45725.795520833337</v>
      </c>
      <c r="K5215">
        <v>9</v>
      </c>
      <c r="L5215">
        <v>3</v>
      </c>
      <c r="M5215">
        <v>2025</v>
      </c>
      <c r="N5215" t="s">
        <v>27</v>
      </c>
      <c r="O5215">
        <v>170</v>
      </c>
      <c r="P5215">
        <v>170</v>
      </c>
      <c r="R5215" s="3" t="str">
        <f>HYPERLINK("https://panda.att.com.mx/ODKServer/view/binaryData?blobKey=FSSuministroFluidosv3%5B%40version%3Dnull+and+%40uiVersion%3Dnull%5D%2Fdata%5B%40key%3Duuid%3A48367e46-cf6d-4848-a3dd-ebcb77943a7f%5D%2FgroupInfoFuel%5B%40ordinal%3D1%5D%2FpicFuelRecibeInterno","Descargar")</f>
        <v>Descargar</v>
      </c>
    </row>
    <row r="5216" spans="1:18" x14ac:dyDescent="0.3">
      <c r="A5216">
        <v>1495972</v>
      </c>
      <c r="B5216" t="s">
        <v>18</v>
      </c>
      <c r="C5216" t="s">
        <v>150</v>
      </c>
      <c r="D5216" t="s">
        <v>230</v>
      </c>
      <c r="E5216" t="s">
        <v>3149</v>
      </c>
      <c r="F5216" t="s">
        <v>22</v>
      </c>
      <c r="G5216" t="s">
        <v>47</v>
      </c>
      <c r="H5216" t="s">
        <v>1781</v>
      </c>
      <c r="I5216" t="s">
        <v>25</v>
      </c>
      <c r="J5216" s="2">
        <v>45725.817314814813</v>
      </c>
      <c r="K5216">
        <v>9</v>
      </c>
      <c r="L5216">
        <v>3</v>
      </c>
      <c r="M5216">
        <v>2025</v>
      </c>
      <c r="N5216" t="s">
        <v>27</v>
      </c>
      <c r="O5216">
        <v>150.01</v>
      </c>
      <c r="P5216">
        <v>150.01</v>
      </c>
      <c r="R5216" s="3" t="str">
        <f>HYPERLINK("https://panda.att.com.mx/ODKServer/view/binaryData?blobKey=FSSuministroFluidosv3%5B%40version%3Dnull+and+%40uiVersion%3Dnull%5D%2Fdata%5B%40key%3Duuid%3Ae1d36f8d-36ba-4104-a4b6-03bfb3e475b5%5D%2FgroupInfoFuel%5B%40ordinal%3D1%5D%2FpicFuelRecibeInterno","Descargar")</f>
        <v>Descargar</v>
      </c>
    </row>
    <row r="5217" spans="1:18" x14ac:dyDescent="0.3">
      <c r="A5217">
        <v>1495979</v>
      </c>
      <c r="B5217" t="s">
        <v>18</v>
      </c>
      <c r="C5217" t="s">
        <v>150</v>
      </c>
      <c r="D5217" t="s">
        <v>230</v>
      </c>
      <c r="E5217" t="s">
        <v>3149</v>
      </c>
      <c r="F5217" t="s">
        <v>22</v>
      </c>
      <c r="G5217" t="s">
        <v>47</v>
      </c>
      <c r="H5217" t="s">
        <v>1781</v>
      </c>
      <c r="I5217" t="s">
        <v>25</v>
      </c>
      <c r="J5217" s="2">
        <v>45725.829409722217</v>
      </c>
      <c r="K5217">
        <v>9</v>
      </c>
      <c r="L5217">
        <v>3</v>
      </c>
      <c r="M5217">
        <v>2025</v>
      </c>
      <c r="N5217" t="s">
        <v>27</v>
      </c>
      <c r="O5217">
        <v>300.02</v>
      </c>
      <c r="P5217">
        <v>300.02</v>
      </c>
      <c r="R5217" s="3" t="str">
        <f>HYPERLINK("https://panda.att.com.mx/ODKServer/view/binaryData?blobKey=FSSuministroFluidosv3%5B%40version%3Dnull+and+%40uiVersion%3Dnull%5D%2Fdata%5B%40key%3Duuid%3Aa192bf1f-f962-4b51-99b4-13c44c148b97%5D%2FgroupInfoFuel%5B%40ordinal%3D1%5D%2FpicFuelRecibeInterno","Descargar")</f>
        <v>Descargar</v>
      </c>
    </row>
    <row r="5218" spans="1:18" x14ac:dyDescent="0.3">
      <c r="A5218">
        <v>1495989</v>
      </c>
      <c r="B5218" t="s">
        <v>18</v>
      </c>
      <c r="C5218" t="s">
        <v>150</v>
      </c>
      <c r="D5218" t="s">
        <v>230</v>
      </c>
      <c r="E5218" t="s">
        <v>3149</v>
      </c>
      <c r="F5218" t="s">
        <v>22</v>
      </c>
      <c r="G5218" t="s">
        <v>47</v>
      </c>
      <c r="H5218" t="s">
        <v>1781</v>
      </c>
      <c r="I5218" t="s">
        <v>25</v>
      </c>
      <c r="J5218" s="2">
        <v>45725.865555555552</v>
      </c>
      <c r="K5218">
        <v>9</v>
      </c>
      <c r="L5218">
        <v>3</v>
      </c>
      <c r="M5218">
        <v>2025</v>
      </c>
      <c r="N5218" t="s">
        <v>27</v>
      </c>
      <c r="O5218">
        <v>203.31</v>
      </c>
      <c r="P5218">
        <v>203.31</v>
      </c>
      <c r="R5218" s="3" t="str">
        <f>HYPERLINK("https://panda.att.com.mx/ODKServer/view/binaryData?blobKey=FSSuministroFluidosv3%5B%40version%3Dnull+and+%40uiVersion%3Dnull%5D%2Fdata%5B%40key%3Duuid%3Ab0d3b764-5558-42a3-abc4-5e0141472d8b%5D%2FgroupInfoFuel%5B%40ordinal%3D1%5D%2FpicFuelRecibeInterno","Descargar")</f>
        <v>Descargar</v>
      </c>
    </row>
    <row r="5219" spans="1:18" x14ac:dyDescent="0.3">
      <c r="A5219">
        <v>1496000</v>
      </c>
      <c r="B5219" t="s">
        <v>18</v>
      </c>
      <c r="C5219" t="s">
        <v>55</v>
      </c>
      <c r="D5219" t="s">
        <v>56</v>
      </c>
      <c r="E5219" t="s">
        <v>2316</v>
      </c>
      <c r="F5219" t="s">
        <v>22</v>
      </c>
      <c r="G5219" t="s">
        <v>47</v>
      </c>
      <c r="H5219" t="s">
        <v>1763</v>
      </c>
      <c r="I5219" t="s">
        <v>25</v>
      </c>
      <c r="J5219" s="2">
        <v>45723.4765625</v>
      </c>
      <c r="K5219">
        <v>7</v>
      </c>
      <c r="L5219">
        <v>3</v>
      </c>
      <c r="M5219">
        <v>2025</v>
      </c>
      <c r="N5219" t="s">
        <v>27</v>
      </c>
      <c r="O5219">
        <v>150</v>
      </c>
      <c r="P5219">
        <v>150</v>
      </c>
      <c r="R5219" s="3" t="str">
        <f>HYPERLINK("https://panda.att.com.mx/ODKServer/view/binaryData?blobKey=FSSuministroFluidosv3%5B%40version%3Dnull+and+%40uiVersion%3Dnull%5D%2Fdata%5B%40key%3Duuid%3Aafa13fbb-e5a7-4987-9b9f-47a9498d42b2%5D%2FgroupInfoFuel%5B%40ordinal%3D1%5D%2FpicFuelRecibeInterno","Descargar")</f>
        <v>Descargar</v>
      </c>
    </row>
    <row r="5220" spans="1:18" x14ac:dyDescent="0.3">
      <c r="A5220">
        <v>1496064</v>
      </c>
      <c r="B5220" t="s">
        <v>18</v>
      </c>
      <c r="C5220" t="s">
        <v>55</v>
      </c>
      <c r="D5220" t="s">
        <v>56</v>
      </c>
      <c r="E5220" t="s">
        <v>3096</v>
      </c>
      <c r="F5220" t="s">
        <v>22</v>
      </c>
      <c r="G5220" t="s">
        <v>47</v>
      </c>
      <c r="H5220" t="s">
        <v>1763</v>
      </c>
      <c r="I5220" t="s">
        <v>25</v>
      </c>
      <c r="J5220" s="2">
        <v>45721.849560185183</v>
      </c>
      <c r="K5220">
        <v>5</v>
      </c>
      <c r="L5220">
        <v>3</v>
      </c>
      <c r="M5220">
        <v>2025</v>
      </c>
      <c r="N5220" t="s">
        <v>27</v>
      </c>
      <c r="O5220">
        <v>100</v>
      </c>
      <c r="P5220">
        <v>100</v>
      </c>
      <c r="R5220" s="3" t="str">
        <f>HYPERLINK("https://panda.att.com.mx/ODKServer/view/binaryData?blobKey=FSSuministroFluidosv3%5B%40version%3Dnull+and+%40uiVersion%3Dnull%5D%2Fdata%5B%40key%3Duuid%3A4dddc6c5-05cd-4bf8-93f7-f20b7750e853%5D%2FgroupInfoFuel%5B%40ordinal%3D1%5D%2FpicFuelRecibeInterno","Descargar")</f>
        <v>Descargar</v>
      </c>
    </row>
    <row r="5221" spans="1:18" x14ac:dyDescent="0.3">
      <c r="A5221">
        <v>1496267</v>
      </c>
      <c r="B5221" t="s">
        <v>18</v>
      </c>
      <c r="C5221" t="s">
        <v>100</v>
      </c>
      <c r="D5221" t="s">
        <v>716</v>
      </c>
      <c r="E5221" t="s">
        <v>3871</v>
      </c>
      <c r="F5221" t="s">
        <v>22</v>
      </c>
      <c r="G5221" t="s">
        <v>83</v>
      </c>
      <c r="H5221" t="s">
        <v>1781</v>
      </c>
      <c r="I5221" t="s">
        <v>25</v>
      </c>
      <c r="J5221" s="2">
        <v>45725.495497685188</v>
      </c>
      <c r="K5221">
        <v>9</v>
      </c>
      <c r="L5221">
        <v>3</v>
      </c>
      <c r="M5221">
        <v>2025</v>
      </c>
      <c r="N5221" t="s">
        <v>27</v>
      </c>
      <c r="O5221">
        <v>141</v>
      </c>
      <c r="P5221">
        <v>141</v>
      </c>
      <c r="R5221" s="3" t="str">
        <f>HYPERLINK("https://panda.att.com.mx/ODKServer/view/binaryData?blobKey=FSSuministroFluidosv3%5B%40version%3Dnull+and+%40uiVersion%3Dnull%5D%2Fdata%5B%40key%3Duuid%3A880d12b6-3a54-42fa-a3f6-893dd75c5918%5D%2FgroupInfoFuel%5B%40ordinal%3D1%5D%2FpicFuelRecibeInterno","Descargar")</f>
        <v>Descargar</v>
      </c>
    </row>
    <row r="5222" spans="1:18" x14ac:dyDescent="0.3">
      <c r="A5222">
        <v>1496325</v>
      </c>
      <c r="B5222" t="s">
        <v>18</v>
      </c>
      <c r="C5222" t="s">
        <v>150</v>
      </c>
      <c r="D5222" t="s">
        <v>154</v>
      </c>
      <c r="E5222" t="s">
        <v>2714</v>
      </c>
      <c r="F5222" t="s">
        <v>22</v>
      </c>
      <c r="G5222" t="s">
        <v>47</v>
      </c>
      <c r="H5222" t="s">
        <v>1781</v>
      </c>
      <c r="I5222" t="s">
        <v>25</v>
      </c>
      <c r="J5222" s="2">
        <v>45726.473078703697</v>
      </c>
      <c r="K5222">
        <v>10</v>
      </c>
      <c r="L5222">
        <v>3</v>
      </c>
      <c r="M5222">
        <v>2025</v>
      </c>
      <c r="N5222" t="s">
        <v>27</v>
      </c>
      <c r="O5222">
        <v>349.56</v>
      </c>
      <c r="P5222">
        <v>349.56</v>
      </c>
      <c r="R5222" s="3" t="str">
        <f>HYPERLINK("https://panda.att.com.mx/ODKServer/view/binaryData?blobKey=FSSuministroFluidosv3%5B%40version%3Dnull+and+%40uiVersion%3Dnull%5D%2Fdata%5B%40key%3Duuid%3A97d5031b-bee1-4a3d-bd1e-7a9590efeebf%5D%2FgroupInfoFuel%5B%40ordinal%3D1%5D%2FpicFuelRecibeInterno","Descargar")</f>
        <v>Descargar</v>
      </c>
    </row>
    <row r="5223" spans="1:18" x14ac:dyDescent="0.3">
      <c r="A5223">
        <v>1494866</v>
      </c>
      <c r="B5223" t="s">
        <v>18</v>
      </c>
      <c r="C5223" t="s">
        <v>55</v>
      </c>
      <c r="D5223" t="s">
        <v>56</v>
      </c>
      <c r="E5223" t="s">
        <v>3876</v>
      </c>
      <c r="F5223" t="s">
        <v>22</v>
      </c>
      <c r="G5223" t="s">
        <v>47</v>
      </c>
      <c r="H5223" t="s">
        <v>1763</v>
      </c>
      <c r="I5223" t="s">
        <v>25</v>
      </c>
      <c r="J5223" s="2">
        <v>45721.734305555547</v>
      </c>
      <c r="K5223">
        <v>5</v>
      </c>
      <c r="L5223">
        <v>3</v>
      </c>
      <c r="M5223">
        <v>2025</v>
      </c>
      <c r="N5223" t="s">
        <v>27</v>
      </c>
      <c r="O5223">
        <v>100</v>
      </c>
      <c r="P5223">
        <v>100</v>
      </c>
      <c r="R5223" s="3" t="str">
        <f>HYPERLINK("https://panda.att.com.mx/ODKServer/view/binaryData?blobKey=FSSuministroFluidosv3%5B%40version%3Dnull+and+%40uiVersion%3Dnull%5D%2Fdata%5B%40key%3Duuid%3Ab98a7687-a692-424b-a85d-bd2efba02967%5D%2FgroupInfoFuel%5B%40ordinal%3D1%5D%2FpicFuelRecibeInterno","Descargar")</f>
        <v>Descargar</v>
      </c>
    </row>
    <row r="5224" spans="1:18" x14ac:dyDescent="0.3">
      <c r="A5224">
        <v>1494947</v>
      </c>
      <c r="B5224" t="s">
        <v>18</v>
      </c>
      <c r="C5224" t="s">
        <v>59</v>
      </c>
      <c r="D5224" t="s">
        <v>60</v>
      </c>
      <c r="E5224" t="s">
        <v>3877</v>
      </c>
      <c r="F5224" t="s">
        <v>22</v>
      </c>
      <c r="G5224" t="s">
        <v>23</v>
      </c>
      <c r="H5224" t="s">
        <v>37</v>
      </c>
      <c r="I5224" t="s">
        <v>25</v>
      </c>
      <c r="J5224" s="2">
        <v>45721.599988425929</v>
      </c>
      <c r="K5224">
        <v>5</v>
      </c>
      <c r="L5224">
        <v>3</v>
      </c>
      <c r="M5224">
        <v>2025</v>
      </c>
      <c r="N5224" t="s">
        <v>27</v>
      </c>
      <c r="O5224">
        <v>95</v>
      </c>
      <c r="P5224">
        <v>95</v>
      </c>
      <c r="R5224" s="3" t="str">
        <f>HYPERLINK("https://panda.att.com.mx/ODKServer/view/binaryData?blobKey=FSSuministroFluidosv3%5B%40version%3Dnull+and+%40uiVersion%3Dnull%5D%2Fdata%5B%40key%3Duuid%3Afb3a21c1-7065-4f14-9249-848496b40da3%5D%2FgroupInfoFuel%5B%40ordinal%3D1%5D%2FpicFuelRecibeInterno","Descargar")</f>
        <v>Descargar</v>
      </c>
    </row>
    <row r="5225" spans="1:18" x14ac:dyDescent="0.3">
      <c r="A5225">
        <v>1494958</v>
      </c>
      <c r="B5225" t="s">
        <v>18</v>
      </c>
      <c r="C5225" t="s">
        <v>59</v>
      </c>
      <c r="D5225" t="s">
        <v>60</v>
      </c>
      <c r="E5225" t="s">
        <v>2207</v>
      </c>
      <c r="F5225" t="s">
        <v>22</v>
      </c>
      <c r="G5225" t="s">
        <v>23</v>
      </c>
      <c r="H5225" t="s">
        <v>37</v>
      </c>
      <c r="I5225" t="s">
        <v>25</v>
      </c>
      <c r="J5225" s="2">
        <v>45720.949953703697</v>
      </c>
      <c r="K5225">
        <v>4</v>
      </c>
      <c r="L5225">
        <v>3</v>
      </c>
      <c r="M5225">
        <v>2025</v>
      </c>
      <c r="N5225" t="s">
        <v>27</v>
      </c>
      <c r="O5225">
        <v>140</v>
      </c>
      <c r="P5225">
        <v>140</v>
      </c>
      <c r="R5225" s="3" t="str">
        <f>HYPERLINK("https://panda.att.com.mx/ODKServer/view/binaryData?blobKey=FSSuministroFluidosv3%5B%40version%3Dnull+and+%40uiVersion%3Dnull%5D%2Fdata%5B%40key%3Duuid%3A9bf61e3b-014d-400c-8488-4d69147a0828%5D%2FgroupInfoFuel%5B%40ordinal%3D1%5D%2FpicFuelRecibeInterno","Descargar")</f>
        <v>Descargar</v>
      </c>
    </row>
    <row r="5226" spans="1:18" x14ac:dyDescent="0.3">
      <c r="A5226">
        <v>1495015</v>
      </c>
      <c r="B5226" t="s">
        <v>18</v>
      </c>
      <c r="C5226" t="s">
        <v>100</v>
      </c>
      <c r="D5226" t="s">
        <v>3878</v>
      </c>
      <c r="E5226" t="s">
        <v>3879</v>
      </c>
      <c r="F5226" t="s">
        <v>22</v>
      </c>
      <c r="G5226" t="s">
        <v>23</v>
      </c>
      <c r="H5226" t="s">
        <v>1781</v>
      </c>
      <c r="I5226" t="s">
        <v>25</v>
      </c>
      <c r="J5226" s="2">
        <v>45723.418124999997</v>
      </c>
      <c r="K5226">
        <v>7</v>
      </c>
      <c r="L5226">
        <v>3</v>
      </c>
      <c r="M5226">
        <v>2025</v>
      </c>
      <c r="N5226" t="s">
        <v>27</v>
      </c>
      <c r="O5226">
        <v>200</v>
      </c>
      <c r="P5226">
        <v>200</v>
      </c>
      <c r="R5226" s="3" t="str">
        <f>HYPERLINK("https://panda.att.com.mx/ODKServer/view/binaryData?blobKey=FSSuministroFluidosv3%5B%40version%3Dnull+and+%40uiVersion%3Dnull%5D%2Fdata%5B%40key%3Duuid%3A02dd5bdf-b94a-4770-a8b0-40832ccba09e%5D%2FgroupInfoFuel%5B%40ordinal%3D1%5D%2FpicFuelRecibeInterno","Descargar")</f>
        <v>Descargar</v>
      </c>
    </row>
    <row r="5227" spans="1:18" x14ac:dyDescent="0.3">
      <c r="A5227">
        <v>1495189</v>
      </c>
      <c r="B5227" t="s">
        <v>18</v>
      </c>
      <c r="C5227" t="s">
        <v>55</v>
      </c>
      <c r="D5227" t="s">
        <v>64</v>
      </c>
      <c r="E5227" t="s">
        <v>1317</v>
      </c>
      <c r="F5227" t="s">
        <v>22</v>
      </c>
      <c r="G5227" t="s">
        <v>47</v>
      </c>
      <c r="H5227" t="s">
        <v>1763</v>
      </c>
      <c r="I5227" t="s">
        <v>25</v>
      </c>
      <c r="J5227" s="2">
        <v>45723.548402777778</v>
      </c>
      <c r="K5227">
        <v>7</v>
      </c>
      <c r="L5227">
        <v>3</v>
      </c>
      <c r="M5227">
        <v>2025</v>
      </c>
      <c r="N5227" t="s">
        <v>27</v>
      </c>
      <c r="O5227">
        <v>200</v>
      </c>
      <c r="P5227">
        <v>200</v>
      </c>
      <c r="R5227" s="3" t="str">
        <f>HYPERLINK("https://panda.att.com.mx/ODKServer/view/binaryData?blobKey=FSSuministroFluidosv3%5B%40version%3Dnull+and+%40uiVersion%3Dnull%5D%2Fdata%5B%40key%3Duuid%3A53414340-adb9-40f7-b9df-b413bd4e1b5b%5D%2FgroupInfoFuel%5B%40ordinal%3D1%5D%2FpicFuelRecibeInterno","Descargar")</f>
        <v>Descargar</v>
      </c>
    </row>
    <row r="5228" spans="1:18" x14ac:dyDescent="0.3">
      <c r="A5228">
        <v>1495275</v>
      </c>
      <c r="B5228" t="s">
        <v>18</v>
      </c>
      <c r="C5228" t="s">
        <v>19</v>
      </c>
      <c r="D5228" t="s">
        <v>45</v>
      </c>
      <c r="E5228" t="s">
        <v>752</v>
      </c>
      <c r="F5228" t="s">
        <v>22</v>
      </c>
      <c r="G5228" t="s">
        <v>23</v>
      </c>
      <c r="H5228" t="s">
        <v>24</v>
      </c>
      <c r="I5228" t="s">
        <v>25</v>
      </c>
      <c r="J5228" s="2">
        <v>45723.498807870368</v>
      </c>
      <c r="K5228">
        <v>7</v>
      </c>
      <c r="L5228">
        <v>3</v>
      </c>
      <c r="M5228">
        <v>2025</v>
      </c>
      <c r="N5228" t="s">
        <v>27</v>
      </c>
      <c r="O5228">
        <v>400</v>
      </c>
      <c r="P5228">
        <v>400</v>
      </c>
      <c r="R5228" s="3" t="str">
        <f>HYPERLINK("https://panda.att.com.mx/ODKServer/view/binaryData?blobKey=FSSuministroFluidosv3%5B%40version%3Dnull+and+%40uiVersion%3Dnull%5D%2Fdata%5B%40key%3Duuid%3Af234b44b-06b5-44bb-9e7f-d87daaf106d2%5D%2FgroupInfoFuel%5B%40ordinal%3D1%5D%2FpicFuelRecibeInterno","Descargar")</f>
        <v>Descargar</v>
      </c>
    </row>
    <row r="5229" spans="1:18" x14ac:dyDescent="0.3">
      <c r="A5229">
        <v>1495276</v>
      </c>
      <c r="B5229" t="s">
        <v>18</v>
      </c>
      <c r="C5229" t="s">
        <v>19</v>
      </c>
      <c r="D5229" t="s">
        <v>45</v>
      </c>
      <c r="E5229" t="s">
        <v>383</v>
      </c>
      <c r="F5229" t="s">
        <v>22</v>
      </c>
      <c r="G5229" t="s">
        <v>23</v>
      </c>
      <c r="H5229" t="s">
        <v>24</v>
      </c>
      <c r="I5229" t="s">
        <v>25</v>
      </c>
      <c r="J5229" s="2">
        <v>45722.767442129632</v>
      </c>
      <c r="K5229">
        <v>6</v>
      </c>
      <c r="L5229">
        <v>3</v>
      </c>
      <c r="M5229">
        <v>2025</v>
      </c>
      <c r="N5229" t="s">
        <v>27</v>
      </c>
      <c r="O5229">
        <v>250</v>
      </c>
      <c r="P5229">
        <v>250</v>
      </c>
      <c r="R5229" s="3" t="str">
        <f>HYPERLINK("https://panda.att.com.mx/ODKServer/view/binaryData?blobKey=FSSuministroFluidosv3%5B%40version%3Dnull+and+%40uiVersion%3Dnull%5D%2Fdata%5B%40key%3Duuid%3A6b7c021b-946c-43e5-b361-d0da2e1c0cd1%5D%2FgroupInfoFuel%5B%40ordinal%3D1%5D%2FpicFuelRecibeInterno","Descargar")</f>
        <v>Descargar</v>
      </c>
    </row>
    <row r="5230" spans="1:18" x14ac:dyDescent="0.3">
      <c r="A5230">
        <v>1495314</v>
      </c>
      <c r="B5230" t="s">
        <v>18</v>
      </c>
      <c r="C5230" t="s">
        <v>34</v>
      </c>
      <c r="D5230" t="s">
        <v>51</v>
      </c>
      <c r="E5230" t="s">
        <v>3880</v>
      </c>
      <c r="F5230" t="s">
        <v>22</v>
      </c>
      <c r="G5230" t="s">
        <v>23</v>
      </c>
      <c r="H5230" t="s">
        <v>24</v>
      </c>
      <c r="I5230" t="s">
        <v>25</v>
      </c>
      <c r="J5230" s="2">
        <v>45723.456724537027</v>
      </c>
      <c r="K5230">
        <v>7</v>
      </c>
      <c r="L5230">
        <v>3</v>
      </c>
      <c r="M5230">
        <v>2025</v>
      </c>
      <c r="N5230" t="s">
        <v>27</v>
      </c>
      <c r="O5230">
        <v>300</v>
      </c>
      <c r="Q5230">
        <v>300</v>
      </c>
      <c r="R5230" s="3" t="str">
        <f>HYPERLINK("https://panda.att.com.mx/ODKServer/view/binaryData?blobKey=FSSuministroFluidosv3%5B%40version%3Dnull+and+%40uiVersion%3Dnull%5D%2Fdata%5B%40key%3Duuid%3Ababb3c90-09ee-493e-9431-76b7b496f4db%5D%2FgroupInfoFuel%5B%40ordinal%3D1%5D%2FpicFuelRecibeInterno","Descargar")</f>
        <v>Descargar</v>
      </c>
    </row>
    <row r="5231" spans="1:18" x14ac:dyDescent="0.3">
      <c r="A5231">
        <v>1495361</v>
      </c>
      <c r="B5231" t="s">
        <v>18</v>
      </c>
      <c r="C5231" t="s">
        <v>150</v>
      </c>
      <c r="D5231" t="s">
        <v>230</v>
      </c>
      <c r="E5231" t="s">
        <v>3092</v>
      </c>
      <c r="F5231" t="s">
        <v>22</v>
      </c>
      <c r="G5231" t="s">
        <v>47</v>
      </c>
      <c r="H5231" t="s">
        <v>1781</v>
      </c>
      <c r="I5231" t="s">
        <v>25</v>
      </c>
      <c r="J5231" s="2">
        <v>45723.763078703712</v>
      </c>
      <c r="K5231">
        <v>7</v>
      </c>
      <c r="L5231">
        <v>3</v>
      </c>
      <c r="M5231">
        <v>2025</v>
      </c>
      <c r="N5231" t="s">
        <v>44</v>
      </c>
      <c r="O5231">
        <v>30.04</v>
      </c>
      <c r="P5231">
        <v>30.04</v>
      </c>
      <c r="R5231" s="3" t="str">
        <f>HYPERLINK("https://panda.att.com.mx/ODKServer/view/binaryData?blobKey=FSSuministroFluidosv3%5B%40version%3Dnull+and+%40uiVersion%3Dnull%5D%2Fdata%5B%40key%3Duuid%3Ad0c5a0bc-84ca-4d98-b0d4-a2e18176068b%5D%2FgroupInfoFuel%5B%40ordinal%3D1%5D%2FpicFuelRecibeInterno","Descargar")</f>
        <v>Descargar</v>
      </c>
    </row>
    <row r="5232" spans="1:18" x14ac:dyDescent="0.3">
      <c r="A5232">
        <v>1495425</v>
      </c>
      <c r="B5232" t="s">
        <v>18</v>
      </c>
      <c r="C5232" t="s">
        <v>183</v>
      </c>
      <c r="D5232" t="s">
        <v>3881</v>
      </c>
      <c r="E5232" t="s">
        <v>3882</v>
      </c>
      <c r="F5232" t="s">
        <v>22</v>
      </c>
      <c r="G5232" t="s">
        <v>23</v>
      </c>
      <c r="H5232" t="s">
        <v>24</v>
      </c>
      <c r="I5232" t="s">
        <v>25</v>
      </c>
      <c r="J5232" s="2">
        <v>45723.709641203714</v>
      </c>
      <c r="K5232">
        <v>7</v>
      </c>
      <c r="L5232">
        <v>3</v>
      </c>
      <c r="M5232">
        <v>2025</v>
      </c>
      <c r="N5232" t="s">
        <v>44</v>
      </c>
      <c r="O5232">
        <v>50</v>
      </c>
      <c r="P5232">
        <v>50</v>
      </c>
      <c r="R5232" s="3" t="str">
        <f>HYPERLINK("https://panda.att.com.mx/ODKServer/view/binaryData?blobKey=FSSuministroFluidosv3%5B%40version%3Dnull+and+%40uiVersion%3Dnull%5D%2Fdata%5B%40key%3Duuid%3A1f54a3ac-4f9b-414f-88df-cafa91becbc9%5D%2FgroupInfoFuel%5B%40ordinal%3D1%5D%2FpicFuelRecibeInterno","Descargar")</f>
        <v>Descargar</v>
      </c>
    </row>
    <row r="5233" spans="1:18" x14ac:dyDescent="0.3">
      <c r="A5233">
        <v>1495448</v>
      </c>
      <c r="B5233" t="s">
        <v>18</v>
      </c>
      <c r="C5233" t="s">
        <v>183</v>
      </c>
      <c r="D5233" t="s">
        <v>3881</v>
      </c>
      <c r="E5233" t="s">
        <v>3883</v>
      </c>
      <c r="F5233" t="s">
        <v>22</v>
      </c>
      <c r="G5233" t="s">
        <v>23</v>
      </c>
      <c r="H5233" t="s">
        <v>24</v>
      </c>
      <c r="I5233" t="s">
        <v>25</v>
      </c>
      <c r="J5233" s="2">
        <v>45723.7496875</v>
      </c>
      <c r="K5233">
        <v>7</v>
      </c>
      <c r="L5233">
        <v>3</v>
      </c>
      <c r="M5233">
        <v>2025</v>
      </c>
      <c r="N5233" t="s">
        <v>44</v>
      </c>
      <c r="O5233">
        <v>50</v>
      </c>
      <c r="P5233">
        <v>50</v>
      </c>
      <c r="R5233" s="3" t="str">
        <f>HYPERLINK("https://panda.att.com.mx/ODKServer/view/binaryData?blobKey=FSSuministroFluidosv3%5B%40version%3Dnull+and+%40uiVersion%3Dnull%5D%2Fdata%5B%40key%3Duuid%3A0d6f1883-451a-43cb-9dfa-c0639a9acf1d%5D%2FgroupInfoFuel%5B%40ordinal%3D1%5D%2FpicFuelRecibeInterno","Descargar")</f>
        <v>Descargar</v>
      </c>
    </row>
    <row r="5234" spans="1:18" x14ac:dyDescent="0.3">
      <c r="A5234">
        <v>1495449</v>
      </c>
      <c r="B5234" t="s">
        <v>18</v>
      </c>
      <c r="C5234" t="s">
        <v>28</v>
      </c>
      <c r="D5234" t="s">
        <v>261</v>
      </c>
      <c r="E5234" t="s">
        <v>262</v>
      </c>
      <c r="F5234" t="s">
        <v>22</v>
      </c>
      <c r="G5234" t="s">
        <v>23</v>
      </c>
      <c r="H5234" t="s">
        <v>24</v>
      </c>
      <c r="I5234" t="s">
        <v>25</v>
      </c>
      <c r="J5234" s="2">
        <v>45723.587719907409</v>
      </c>
      <c r="K5234">
        <v>7</v>
      </c>
      <c r="L5234">
        <v>3</v>
      </c>
      <c r="M5234">
        <v>2025</v>
      </c>
      <c r="N5234" t="s">
        <v>27</v>
      </c>
      <c r="O5234">
        <v>280</v>
      </c>
      <c r="P5234">
        <v>280</v>
      </c>
      <c r="R5234" s="3" t="str">
        <f>HYPERLINK("https://panda.att.com.mx/ODKServer/view/binaryData?blobKey=FSSuministroFluidosv3%5B%40version%3Dnull+and+%40uiVersion%3Dnull%5D%2Fdata%5B%40key%3Duuid%3Ad931aa73-6816-4f56-9f37-ea0f7937d62e%5D%2FgroupInfoFuel%5B%40ordinal%3D1%5D%2FpicFuelRecibeInterno","Descargar")</f>
        <v>Descargar</v>
      </c>
    </row>
    <row r="5235" spans="1:18" x14ac:dyDescent="0.3">
      <c r="A5235">
        <v>1495456</v>
      </c>
      <c r="B5235" t="s">
        <v>18</v>
      </c>
      <c r="C5235" t="s">
        <v>59</v>
      </c>
      <c r="D5235" t="s">
        <v>60</v>
      </c>
      <c r="E5235" t="s">
        <v>2738</v>
      </c>
      <c r="F5235" t="s">
        <v>22</v>
      </c>
      <c r="G5235" t="s">
        <v>23</v>
      </c>
      <c r="H5235" t="s">
        <v>37</v>
      </c>
      <c r="I5235" t="s">
        <v>25</v>
      </c>
      <c r="J5235" s="2">
        <v>45719.604155092587</v>
      </c>
      <c r="K5235">
        <v>3</v>
      </c>
      <c r="L5235">
        <v>3</v>
      </c>
      <c r="M5235">
        <v>2025</v>
      </c>
      <c r="N5235" t="s">
        <v>27</v>
      </c>
      <c r="O5235">
        <v>130</v>
      </c>
      <c r="P5235">
        <v>130</v>
      </c>
      <c r="R5235" s="3" t="str">
        <f>HYPERLINK("https://panda.att.com.mx/ODKServer/view/binaryData?blobKey=FSSuministroFluidosv3%5B%40version%3Dnull+and+%40uiVersion%3Dnull%5D%2Fdata%5B%40key%3Duuid%3Af9f4fd0b-0a60-4cc4-bbc3-4463277dfff0%5D%2FgroupInfoFuel%5B%40ordinal%3D1%5D%2FpicFuelRecibeInterno","Descargar")</f>
        <v>Descargar</v>
      </c>
    </row>
    <row r="5236" spans="1:18" x14ac:dyDescent="0.3">
      <c r="A5236">
        <v>1495474</v>
      </c>
      <c r="B5236" t="s">
        <v>18</v>
      </c>
      <c r="C5236" t="s">
        <v>59</v>
      </c>
      <c r="D5236" t="s">
        <v>60</v>
      </c>
      <c r="E5236" t="s">
        <v>2738</v>
      </c>
      <c r="F5236" t="s">
        <v>22</v>
      </c>
      <c r="G5236" t="s">
        <v>23</v>
      </c>
      <c r="H5236" t="s">
        <v>37</v>
      </c>
      <c r="I5236" t="s">
        <v>25</v>
      </c>
      <c r="J5236" s="2">
        <v>45720.987511574072</v>
      </c>
      <c r="K5236">
        <v>4</v>
      </c>
      <c r="L5236">
        <v>3</v>
      </c>
      <c r="M5236">
        <v>2025</v>
      </c>
      <c r="N5236" t="s">
        <v>27</v>
      </c>
      <c r="O5236">
        <v>110</v>
      </c>
      <c r="P5236">
        <v>110</v>
      </c>
      <c r="R5236" s="3" t="str">
        <f>HYPERLINK("https://panda.att.com.mx/ODKServer/view/binaryData?blobKey=FSSuministroFluidosv3%5B%40version%3Dnull+and+%40uiVersion%3Dnull%5D%2Fdata%5B%40key%3Duuid%3Ad33b11b1-2570-4804-b56c-d864d6bbff16%5D%2FgroupInfoFuel%5B%40ordinal%3D1%5D%2FpicFuelRecibeInterno","Descargar")</f>
        <v>Descargar</v>
      </c>
    </row>
    <row r="5237" spans="1:18" x14ac:dyDescent="0.3">
      <c r="A5237">
        <v>1495479</v>
      </c>
      <c r="B5237" t="s">
        <v>18</v>
      </c>
      <c r="C5237" t="s">
        <v>59</v>
      </c>
      <c r="D5237" t="s">
        <v>60</v>
      </c>
      <c r="E5237" t="s">
        <v>2738</v>
      </c>
      <c r="F5237" t="s">
        <v>22</v>
      </c>
      <c r="G5237" t="s">
        <v>23</v>
      </c>
      <c r="H5237" t="s">
        <v>37</v>
      </c>
      <c r="I5237" t="s">
        <v>25</v>
      </c>
      <c r="J5237" s="2">
        <v>45722.371805555558</v>
      </c>
      <c r="K5237">
        <v>6</v>
      </c>
      <c r="L5237">
        <v>3</v>
      </c>
      <c r="M5237">
        <v>2025</v>
      </c>
      <c r="N5237" t="s">
        <v>27</v>
      </c>
      <c r="O5237">
        <v>130</v>
      </c>
      <c r="P5237">
        <v>130</v>
      </c>
      <c r="R5237" s="3" t="str">
        <f>HYPERLINK("https://panda.att.com.mx/ODKServer/view/binaryData?blobKey=FSSuministroFluidosv3%5B%40version%3Dnull+and+%40uiVersion%3Dnull%5D%2Fdata%5B%40key%3Duuid%3A4d0246f8-f05f-4b09-9c1d-78715f0f587e%5D%2FgroupInfoFuel%5B%40ordinal%3D1%5D%2FpicFuelRecibeInterno","Descargar")</f>
        <v>Descargar</v>
      </c>
    </row>
    <row r="5238" spans="1:18" x14ac:dyDescent="0.3">
      <c r="A5238">
        <v>1495490</v>
      </c>
      <c r="B5238" t="s">
        <v>18</v>
      </c>
      <c r="C5238" t="s">
        <v>59</v>
      </c>
      <c r="D5238" t="s">
        <v>60</v>
      </c>
      <c r="E5238" t="s">
        <v>2738</v>
      </c>
      <c r="F5238" t="s">
        <v>22</v>
      </c>
      <c r="G5238" t="s">
        <v>23</v>
      </c>
      <c r="H5238" t="s">
        <v>37</v>
      </c>
      <c r="I5238" t="s">
        <v>25</v>
      </c>
      <c r="J5238" s="2">
        <v>45723.861238425918</v>
      </c>
      <c r="K5238">
        <v>7</v>
      </c>
      <c r="L5238">
        <v>3</v>
      </c>
      <c r="M5238">
        <v>2025</v>
      </c>
      <c r="N5238" t="s">
        <v>27</v>
      </c>
      <c r="O5238">
        <v>130</v>
      </c>
      <c r="P5238">
        <v>130</v>
      </c>
      <c r="R5238" s="3" t="str">
        <f>HYPERLINK("https://panda.att.com.mx/ODKServer/view/binaryData?blobKey=FSSuministroFluidosv3%5B%40version%3Dnull+and+%40uiVersion%3Dnull%5D%2Fdata%5B%40key%3Duuid%3A49c8abe0-518b-4a1c-9114-b04d0e067375%5D%2FgroupInfoFuel%5B%40ordinal%3D1%5D%2FpicFuelRecibeInterno","Descargar")</f>
        <v>Descargar</v>
      </c>
    </row>
    <row r="5239" spans="1:18" x14ac:dyDescent="0.3">
      <c r="A5239">
        <v>1495517</v>
      </c>
      <c r="B5239" t="s">
        <v>18</v>
      </c>
      <c r="C5239" t="s">
        <v>100</v>
      </c>
      <c r="D5239" t="s">
        <v>716</v>
      </c>
      <c r="E5239" t="s">
        <v>3871</v>
      </c>
      <c r="F5239" t="s">
        <v>22</v>
      </c>
      <c r="G5239" t="s">
        <v>23</v>
      </c>
      <c r="H5239" t="s">
        <v>1781</v>
      </c>
      <c r="I5239" t="s">
        <v>25</v>
      </c>
      <c r="J5239" s="2">
        <v>45723.928414351853</v>
      </c>
      <c r="K5239">
        <v>7</v>
      </c>
      <c r="L5239">
        <v>3</v>
      </c>
      <c r="M5239">
        <v>2025</v>
      </c>
      <c r="N5239" t="s">
        <v>27</v>
      </c>
      <c r="O5239">
        <v>120</v>
      </c>
      <c r="P5239">
        <v>120</v>
      </c>
      <c r="R5239" s="3" t="str">
        <f>HYPERLINK("https://panda.att.com.mx/ODKServer/view/binaryData?blobKey=FSSuministroFluidosv3%5B%40version%3Dnull+and+%40uiVersion%3Dnull%5D%2Fdata%5B%40key%3Duuid%3Aed27b982-9fa1-4ed0-99ba-56daf3aebf0d%5D%2FgroupInfoFuel%5B%40ordinal%3D1%5D%2FpicFuelRecibeInterno","Descargar")</f>
        <v>Descargar</v>
      </c>
    </row>
    <row r="5240" spans="1:18" x14ac:dyDescent="0.3">
      <c r="A5240">
        <v>1495556</v>
      </c>
      <c r="B5240" t="s">
        <v>18</v>
      </c>
      <c r="C5240" t="s">
        <v>100</v>
      </c>
      <c r="D5240" t="s">
        <v>101</v>
      </c>
      <c r="E5240" t="s">
        <v>126</v>
      </c>
      <c r="F5240" t="s">
        <v>22</v>
      </c>
      <c r="G5240" t="s">
        <v>23</v>
      </c>
      <c r="H5240" t="s">
        <v>1781</v>
      </c>
      <c r="I5240" t="s">
        <v>25</v>
      </c>
      <c r="J5240" s="2">
        <v>45724.399143518523</v>
      </c>
      <c r="K5240">
        <v>8</v>
      </c>
      <c r="L5240">
        <v>3</v>
      </c>
      <c r="M5240">
        <v>2025</v>
      </c>
      <c r="N5240" t="s">
        <v>27</v>
      </c>
      <c r="O5240">
        <v>300</v>
      </c>
      <c r="P5240">
        <v>300</v>
      </c>
      <c r="R5240" s="3" t="str">
        <f>HYPERLINK("https://panda.att.com.mx/ODKServer/view/binaryData?blobKey=FSSuministroFluidosv3%5B%40version%3Dnull+and+%40uiVersion%3Dnull%5D%2Fdata%5B%40key%3Duuid%3A730259e2-4698-491d-879f-3e4d305ca82a%5D%2FgroupInfoFuel%5B%40ordinal%3D1%5D%2FpicFuelRecibeInterno","Descargar")</f>
        <v>Descargar</v>
      </c>
    </row>
    <row r="5241" spans="1:18" x14ac:dyDescent="0.3">
      <c r="A5241">
        <v>1495562</v>
      </c>
      <c r="B5241" t="s">
        <v>18</v>
      </c>
      <c r="C5241" t="s">
        <v>150</v>
      </c>
      <c r="D5241" t="s">
        <v>230</v>
      </c>
      <c r="E5241" t="s">
        <v>3092</v>
      </c>
      <c r="F5241" t="s">
        <v>22</v>
      </c>
      <c r="G5241" t="s">
        <v>47</v>
      </c>
      <c r="H5241" t="s">
        <v>1781</v>
      </c>
      <c r="I5241" t="s">
        <v>25</v>
      </c>
      <c r="J5241" s="2">
        <v>45724.417557870373</v>
      </c>
      <c r="K5241">
        <v>8</v>
      </c>
      <c r="L5241">
        <v>3</v>
      </c>
      <c r="M5241">
        <v>2025</v>
      </c>
      <c r="N5241" t="s">
        <v>44</v>
      </c>
      <c r="O5241">
        <v>50.02</v>
      </c>
      <c r="P5241">
        <v>50.02</v>
      </c>
      <c r="R5241" s="3" t="str">
        <f>HYPERLINK("https://panda.att.com.mx/ODKServer/view/binaryData?blobKey=FSSuministroFluidosv3%5B%40version%3Dnull+and+%40uiVersion%3Dnull%5D%2Fdata%5B%40key%3Duuid%3A8554afc3-a1df-4d0f-81d8-066b39148ddd%5D%2FgroupInfoFuel%5B%40ordinal%3D1%5D%2FpicFuelRecibeInterno","Descargar")</f>
        <v>Descargar</v>
      </c>
    </row>
    <row r="5242" spans="1:18" x14ac:dyDescent="0.3">
      <c r="A5242">
        <v>1495564</v>
      </c>
      <c r="B5242" t="s">
        <v>18</v>
      </c>
      <c r="C5242" t="s">
        <v>68</v>
      </c>
      <c r="D5242" t="s">
        <v>69</v>
      </c>
      <c r="E5242" t="s">
        <v>3884</v>
      </c>
      <c r="F5242" t="s">
        <v>22</v>
      </c>
      <c r="G5242" t="s">
        <v>23</v>
      </c>
      <c r="H5242" t="s">
        <v>37</v>
      </c>
      <c r="I5242" t="s">
        <v>25</v>
      </c>
      <c r="J5242" s="2">
        <v>45723.698680555557</v>
      </c>
      <c r="K5242">
        <v>7</v>
      </c>
      <c r="L5242">
        <v>3</v>
      </c>
      <c r="M5242">
        <v>2025</v>
      </c>
      <c r="N5242" t="s">
        <v>27</v>
      </c>
      <c r="O5242">
        <v>300</v>
      </c>
      <c r="P5242">
        <v>300</v>
      </c>
      <c r="R5242" s="3" t="str">
        <f>HYPERLINK("https://panda.att.com.mx/ODKServer/view/binaryData?blobKey=FSSuministroFluidosv3%5B%40version%3Dnull+and+%40uiVersion%3Dnull%5D%2Fdata%5B%40key%3Duuid%3A6a0ffe08-9734-47f1-af90-93a6f0da824e%5D%2FgroupInfoFuel%5B%40ordinal%3D1%5D%2FpicFuelRecibeInterno","Descargar")</f>
        <v>Descargar</v>
      </c>
    </row>
    <row r="5243" spans="1:18" x14ac:dyDescent="0.3">
      <c r="A5243">
        <v>1495607</v>
      </c>
      <c r="B5243" t="s">
        <v>18</v>
      </c>
      <c r="C5243" t="s">
        <v>150</v>
      </c>
      <c r="D5243" t="s">
        <v>230</v>
      </c>
      <c r="E5243" t="s">
        <v>3885</v>
      </c>
      <c r="F5243" t="s">
        <v>22</v>
      </c>
      <c r="G5243" t="s">
        <v>47</v>
      </c>
      <c r="H5243" t="s">
        <v>1781</v>
      </c>
      <c r="I5243" t="s">
        <v>25</v>
      </c>
      <c r="J5243" s="2">
        <v>45724.462905092587</v>
      </c>
      <c r="K5243">
        <v>8</v>
      </c>
      <c r="L5243">
        <v>3</v>
      </c>
      <c r="M5243">
        <v>2025</v>
      </c>
      <c r="N5243" t="s">
        <v>27</v>
      </c>
      <c r="O5243">
        <v>200.02</v>
      </c>
      <c r="P5243">
        <v>200.02</v>
      </c>
      <c r="R5243" s="3" t="str">
        <f>HYPERLINK("https://panda.att.com.mx/ODKServer/view/binaryData?blobKey=FSSuministroFluidosv3%5B%40version%3Dnull+and+%40uiVersion%3Dnull%5D%2Fdata%5B%40key%3Duuid%3Ab5a47a46-911b-4d85-95b1-c3be7c9e7719%5D%2FgroupInfoFuel%5B%40ordinal%3D1%5D%2FpicFuelRecibeInterno","Descargar")</f>
        <v>Descargar</v>
      </c>
    </row>
    <row r="5244" spans="1:18" x14ac:dyDescent="0.3">
      <c r="A5244">
        <v>1495638</v>
      </c>
      <c r="B5244" t="s">
        <v>18</v>
      </c>
      <c r="C5244" t="s">
        <v>167</v>
      </c>
      <c r="D5244" t="s">
        <v>168</v>
      </c>
      <c r="E5244" t="s">
        <v>169</v>
      </c>
      <c r="F5244" t="s">
        <v>22</v>
      </c>
      <c r="G5244" t="s">
        <v>83</v>
      </c>
      <c r="H5244" t="s">
        <v>58</v>
      </c>
      <c r="I5244" t="s">
        <v>25</v>
      </c>
      <c r="J5244" s="2">
        <v>45724.543055555558</v>
      </c>
      <c r="K5244">
        <v>8</v>
      </c>
      <c r="L5244">
        <v>3</v>
      </c>
      <c r="M5244">
        <v>2025</v>
      </c>
      <c r="N5244" t="s">
        <v>27</v>
      </c>
      <c r="O5244">
        <v>450</v>
      </c>
      <c r="P5244">
        <v>450</v>
      </c>
      <c r="R5244" s="3" t="str">
        <f>HYPERLINK("https://panda.att.com.mx/ODKServer/view/binaryData?blobKey=FSSuministroFluidosv3%5B%40version%3Dnull+and+%40uiVersion%3Dnull%5D%2Fdata%5B%40key%3Duuid%3A971f8145-f3fa-45c7-873a-c6528be85df1%5D%2FgroupInfoFuel%5B%40ordinal%3D1%5D%2FpicFuelRecibeInterno","Descargar")</f>
        <v>Descargar</v>
      </c>
    </row>
    <row r="5245" spans="1:18" x14ac:dyDescent="0.3">
      <c r="A5245">
        <v>1495660</v>
      </c>
      <c r="B5245" t="s">
        <v>18</v>
      </c>
      <c r="C5245" t="s">
        <v>150</v>
      </c>
      <c r="D5245" t="s">
        <v>230</v>
      </c>
      <c r="E5245" t="s">
        <v>399</v>
      </c>
      <c r="F5245" t="s">
        <v>22</v>
      </c>
      <c r="G5245" t="s">
        <v>47</v>
      </c>
      <c r="H5245" t="s">
        <v>1781</v>
      </c>
      <c r="I5245" t="s">
        <v>25</v>
      </c>
      <c r="J5245" s="2">
        <v>45724.526504629634</v>
      </c>
      <c r="K5245">
        <v>8</v>
      </c>
      <c r="L5245">
        <v>3</v>
      </c>
      <c r="M5245">
        <v>2025</v>
      </c>
      <c r="N5245" t="s">
        <v>27</v>
      </c>
      <c r="O5245">
        <v>200.02</v>
      </c>
      <c r="P5245">
        <v>200.02</v>
      </c>
      <c r="R5245" s="3" t="str">
        <f>HYPERLINK("https://panda.att.com.mx/ODKServer/view/binaryData?blobKey=FSSuministroFluidosv3%5B%40version%3Dnull+and+%40uiVersion%3Dnull%5D%2Fdata%5B%40key%3Duuid%3A6264a8ba-a8af-4a26-a330-36667be3b890%5D%2FgroupInfoFuel%5B%40ordinal%3D1%5D%2FpicFuelRecibeInterno","Descargar")</f>
        <v>Descargar</v>
      </c>
    </row>
    <row r="5246" spans="1:18" x14ac:dyDescent="0.3">
      <c r="A5246">
        <v>1495696</v>
      </c>
      <c r="B5246" t="s">
        <v>18</v>
      </c>
      <c r="C5246" t="s">
        <v>100</v>
      </c>
      <c r="D5246" t="s">
        <v>854</v>
      </c>
      <c r="E5246" t="s">
        <v>993</v>
      </c>
      <c r="F5246" t="s">
        <v>22</v>
      </c>
      <c r="G5246" t="s">
        <v>83</v>
      </c>
      <c r="H5246" t="s">
        <v>1781</v>
      </c>
      <c r="I5246" t="s">
        <v>25</v>
      </c>
      <c r="J5246" s="2">
        <v>45724.502789351849</v>
      </c>
      <c r="K5246">
        <v>8</v>
      </c>
      <c r="L5246">
        <v>3</v>
      </c>
      <c r="M5246">
        <v>2025</v>
      </c>
      <c r="N5246" t="s">
        <v>27</v>
      </c>
      <c r="O5246">
        <v>120</v>
      </c>
      <c r="P5246">
        <v>120</v>
      </c>
      <c r="R5246" s="3" t="str">
        <f>HYPERLINK("https://panda.att.com.mx/ODKServer/view/binaryData?blobKey=FSSuministroFluidosv3%5B%40version%3Dnull+and+%40uiVersion%3Dnull%5D%2Fdata%5B%40key%3Duuid%3Ad32af1b1-7f30-41a0-bfc4-63f37f86ab87%5D%2FgroupInfoFuel%5B%40ordinal%3D1%5D%2FpicFuelRecibeInterno","Descargar")</f>
        <v>Descargar</v>
      </c>
    </row>
    <row r="5247" spans="1:18" x14ac:dyDescent="0.3">
      <c r="A5247">
        <v>1495727</v>
      </c>
      <c r="B5247" t="s">
        <v>18</v>
      </c>
      <c r="C5247" t="s">
        <v>68</v>
      </c>
      <c r="D5247" t="s">
        <v>219</v>
      </c>
      <c r="E5247" t="s">
        <v>3886</v>
      </c>
      <c r="F5247" t="s">
        <v>22</v>
      </c>
      <c r="G5247" t="s">
        <v>23</v>
      </c>
      <c r="H5247" t="s">
        <v>37</v>
      </c>
      <c r="I5247" t="s">
        <v>84</v>
      </c>
      <c r="J5247" s="2">
        <v>45724.747465277767</v>
      </c>
      <c r="K5247">
        <v>8</v>
      </c>
      <c r="L5247">
        <v>3</v>
      </c>
      <c r="M5247">
        <v>2025</v>
      </c>
      <c r="N5247" t="s">
        <v>27</v>
      </c>
      <c r="O5247">
        <v>130</v>
      </c>
      <c r="P5247">
        <v>130</v>
      </c>
      <c r="R5247" s="3" t="str">
        <f>HYPERLINK("https://panda.att.com.mx/ODKServer/view/binaryData?blobKey=FSSuministroFluidosv3%5B%40version%3Dnull+and+%40uiVersion%3Dnull%5D%2Fdata%5B%40key%3Duuid%3A9718cb12-e177-4ca4-abb8-99f08c974679%5D%2FgroupInfoFuel%5B%40ordinal%3D1%5D%2FpicFuelRecibeInterno","Descargar")</f>
        <v>Descargar</v>
      </c>
    </row>
  </sheetData>
  <autoFilter ref="A1:R5247" xr:uid="{00000000-0001-0000-0000-000000000000}"/>
  <hyperlinks>
    <hyperlink ref="E3874" r:id="rId1" tooltip="View Site Info" display="https://panda.att.com.mx/Panda/app/site/siteInfo.do?p_idSite=2014985" xr:uid="{1467B96C-8287-4D3E-B6E8-5BB8DE71EDD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MELO RANGEL, HUGO DE JESUS</cp:lastModifiedBy>
  <dcterms:created xsi:type="dcterms:W3CDTF">2025-12-11T23:30:57Z</dcterms:created>
  <dcterms:modified xsi:type="dcterms:W3CDTF">2025-12-15T17:07:29Z</dcterms:modified>
</cp:coreProperties>
</file>